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chartsheets/sheet2.xml" ContentType="application/vnd.openxmlformats-officedocument.spreadsheetml.chartsheet+xml"/>
  <Override PartName="/xl/worksheets/sheet9.xml" ContentType="application/vnd.openxmlformats-officedocument.spreadsheetml.worksheet+xml"/>
  <Override PartName="/xl/chartsheets/sheet3.xml" ContentType="application/vnd.openxmlformats-officedocument.spreadsheetml.chartsheet+xml"/>
  <Override PartName="/xl/worksheets/sheet10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upcomillas-my.sharepoint.com/personal/aramos_comillas_edu/Documents/Andres/StarLite/"/>
    </mc:Choice>
  </mc:AlternateContent>
  <xr:revisionPtr revIDLastSave="0" documentId="13_ncr:1_{AE285729-E71C-4573-9E27-2CE73E0604AA}" xr6:coauthVersionLast="47" xr6:coauthVersionMax="47" xr10:uidLastSave="{00000000-0000-0000-0000-000000000000}"/>
  <bookViews>
    <workbookView xWindow="-120" yWindow="-120" windowWidth="29040" windowHeight="15720" tabRatio="708" xr2:uid="{00000000-000D-0000-FFFF-FFFF00000000}"/>
  </bookViews>
  <sheets>
    <sheet name="Menu" sheetId="1" r:id="rId1"/>
    <sheet name="Indices" sheetId="2" r:id="rId2"/>
    <sheet name="Parameters" sheetId="3" r:id="rId3"/>
    <sheet name="DemandReserveIG" sheetId="4" r:id="rId4"/>
    <sheet name="Generation" sheetId="7" r:id="rId5"/>
    <sheet name="Inflows" sheetId="18" r:id="rId6"/>
    <sheet name="UC" sheetId="9" r:id="rId7"/>
    <sheet name="GrUC" sheetId="24" r:id="rId8"/>
    <sheet name="Output" sheetId="8" r:id="rId9"/>
    <sheet name="GrOutput" sheetId="23" r:id="rId10"/>
    <sheet name="IG" sheetId="26" r:id="rId11"/>
    <sheet name="GrIG" sheetId="28" r:id="rId12"/>
    <sheet name="SRMC" sheetId="10" r:id="rId13"/>
    <sheet name="GrSRMC" sheetId="25" r:id="rId14"/>
  </sheets>
  <functionGroups builtInGroupCount="19"/>
  <definedNames>
    <definedName name="_xlnm._FilterDatabase" localSheetId="10" hidden="1">IG!$A$1:$Y$4</definedName>
    <definedName name="_xlnm._FilterDatabase" localSheetId="8" hidden="1">Output!$A$1:$Z$55</definedName>
    <definedName name="demand">DemandReserveIG!$B$2:$E$34</definedName>
    <definedName name="hydrogen">Generation!$B$24:$S$35</definedName>
    <definedName name="IGgen">DemandReserveIG!$V$2:$AG$34</definedName>
    <definedName name="indices">Indices!$B$2:$J$41</definedName>
    <definedName name="inflows">Inflows!$B$2:$AB$10</definedName>
    <definedName name="oprres">DemandReserveIG!$G$2:$J$34</definedName>
    <definedName name="oprresdw">DemandReserveIG!$Q$2:$T$34</definedName>
    <definedName name="oprresup">DemandReserveIG!$L$2:$O$34</definedName>
    <definedName name="param">Parameters!$B$2:$H$16</definedName>
    <definedName name="thermalgen">Generation!$B$2:$S$22</definedName>
  </definedNames>
  <calcPr calcId="191029"/>
  <customWorkbookViews>
    <customWorkbookView name="Andres Ramos - Vista personalizada" guid="{162D0EED-4A71-4EB6-8FDF-A42498BFDBC9}" autoUpdate="1" mergeInterval="5" onlySync="1" personalView="1" maximized="1" windowWidth="1112" windowHeight="624" tabRatio="506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33" i="4" l="1"/>
  <c r="Y33" i="4"/>
  <c r="X33" i="4"/>
  <c r="Z32" i="4"/>
  <c r="Y32" i="4"/>
  <c r="X32" i="4"/>
  <c r="Z31" i="4"/>
  <c r="Y31" i="4"/>
  <c r="X31" i="4"/>
  <c r="S33" i="4"/>
  <c r="S32" i="4"/>
  <c r="S31" i="4"/>
  <c r="I33" i="4"/>
  <c r="I32" i="4"/>
  <c r="I31" i="4"/>
  <c r="D33" i="4"/>
  <c r="D32" i="4"/>
  <c r="D31" i="4"/>
  <c r="N6" i="4" l="1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R7" i="7"/>
  <c r="E8" i="7"/>
  <c r="R8" i="7"/>
  <c r="E9" i="7"/>
  <c r="R9" i="7"/>
  <c r="E10" i="7"/>
  <c r="R10" i="7"/>
  <c r="E11" i="7"/>
  <c r="R11" i="7"/>
  <c r="E12" i="7"/>
  <c r="G12" i="7"/>
  <c r="H12" i="7"/>
  <c r="R12" i="7"/>
  <c r="E13" i="7"/>
  <c r="G13" i="7"/>
  <c r="H13" i="7"/>
  <c r="R13" i="7"/>
  <c r="E14" i="7"/>
  <c r="F14" i="7" s="1"/>
  <c r="G14" i="7"/>
  <c r="H14" i="7"/>
  <c r="R14" i="7"/>
  <c r="E15" i="7"/>
  <c r="G15" i="7"/>
  <c r="H15" i="7"/>
  <c r="R15" i="7"/>
  <c r="G16" i="7"/>
  <c r="H16" i="7"/>
  <c r="R16" i="7"/>
  <c r="G17" i="7"/>
  <c r="H17" i="7"/>
  <c r="R17" i="7"/>
  <c r="G18" i="7"/>
  <c r="H18" i="7"/>
  <c r="R18" i="7"/>
  <c r="G19" i="7"/>
  <c r="H19" i="7"/>
  <c r="R19" i="7"/>
  <c r="N33" i="4" l="1"/>
  <c r="N32" i="4"/>
  <c r="N31" i="4"/>
</calcChain>
</file>

<file path=xl/sharedStrings.xml><?xml version="1.0" encoding="utf-8"?>
<sst xmlns="http://schemas.openxmlformats.org/spreadsheetml/2006/main" count="546" uniqueCount="119">
  <si>
    <t>hours</t>
  </si>
  <si>
    <t>scenarios</t>
  </si>
  <si>
    <t>/</t>
  </si>
  <si>
    <t>=</t>
  </si>
  <si>
    <t>;</t>
  </si>
  <si>
    <t>* parameters</t>
  </si>
  <si>
    <t>[MW]</t>
  </si>
  <si>
    <t>* demand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</si>
  <si>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</si>
  <si>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</si>
  <si>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</si>
  <si>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</si>
  <si>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</si>
  <si>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</si>
  <si>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</si>
  <si>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</si>
  <si>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</si>
  <si>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</si>
  <si>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</si>
  <si>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</si>
  <si>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</si>
  <si>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</si>
  <si>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</si>
  <si>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</si>
  <si>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</si>
  <si>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</si>
  <si>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</si>
  <si>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</si>
  <si>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</si>
  <si>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</si>
  <si>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</si>
  <si>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</si>
  <si>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sc01</t>
  </si>
  <si>
    <t>sc02</t>
  </si>
  <si>
    <t>sc03</t>
  </si>
  <si>
    <t>* scenario probability</t>
  </si>
  <si>
    <t>[p.u.]</t>
  </si>
  <si>
    <t>* thermal generation</t>
  </si>
  <si>
    <t>Andrés Ramos</t>
  </si>
  <si>
    <t>* indices</t>
  </si>
  <si>
    <t>*</t>
  </si>
  <si>
    <t>* operating reserve</t>
  </si>
  <si>
    <t>Nuclear</t>
  </si>
  <si>
    <t>CCGT_1</t>
  </si>
  <si>
    <t>CCGT_2</t>
  </si>
  <si>
    <t>SlopeVarCost</t>
  </si>
  <si>
    <t>RampUp</t>
  </si>
  <si>
    <t>[MW/h]</t>
  </si>
  <si>
    <t>* intermittent generation</t>
  </si>
  <si>
    <t>FuelCost</t>
  </si>
  <si>
    <t>[te/h]</t>
  </si>
  <si>
    <t>[te/MWh]</t>
  </si>
  <si>
    <t>[te]</t>
  </si>
  <si>
    <t>CCGT_3</t>
  </si>
  <si>
    <t>CCGT_4</t>
  </si>
  <si>
    <t>BrownLignite</t>
  </si>
  <si>
    <t>FuelOilGas</t>
  </si>
  <si>
    <t>Aux</t>
  </si>
  <si>
    <t>OCGT_1</t>
  </si>
  <si>
    <t>OCGT_2</t>
  </si>
  <si>
    <t>OCGT_3</t>
  </si>
  <si>
    <t>OMVarCost</t>
  </si>
  <si>
    <t>sc</t>
  </si>
  <si>
    <t>g</t>
  </si>
  <si>
    <t>generation units</t>
  </si>
  <si>
    <t>MaxProd</t>
  </si>
  <si>
    <t>MinProd</t>
  </si>
  <si>
    <t>IniProd</t>
  </si>
  <si>
    <r>
      <t>StarGen Lite</t>
    </r>
    <r>
      <rPr>
        <i/>
        <sz val="18"/>
        <rFont val="Palatino Linotype"/>
        <family val="1"/>
      </rPr>
      <t xml:space="preserve"> Stochastic Daily Unit Commitment</t>
    </r>
  </si>
  <si>
    <t>* cost of energy non served</t>
  </si>
  <si>
    <t>pENSCost</t>
  </si>
  <si>
    <t>n</t>
  </si>
  <si>
    <t>pScenProb</t>
  </si>
  <si>
    <t>('sc01')</t>
  </si>
  <si>
    <t>('sc02')</t>
  </si>
  <si>
    <t>('sc03')</t>
  </si>
  <si>
    <t>DomesticCoal_Anthracite</t>
  </si>
  <si>
    <t>ImportedCoal_Bituminous</t>
  </si>
  <si>
    <t>ImportedCoal_SubBituminous</t>
  </si>
  <si>
    <t>* hydro generation</t>
  </si>
  <si>
    <t>ProdFunct</t>
  </si>
  <si>
    <t>Efficiency</t>
  </si>
  <si>
    <t>MaxCons</t>
  </si>
  <si>
    <r>
      <t>[kWh/m</t>
    </r>
    <r>
      <rPr>
        <vertAlign val="superscript"/>
        <sz val="10"/>
        <color indexed="48"/>
        <rFont val="Calibri"/>
        <family val="2"/>
        <scheme val="minor"/>
      </rPr>
      <t>3</t>
    </r>
    <r>
      <rPr>
        <sz val="10"/>
        <color indexed="48"/>
        <rFont val="Calibri"/>
        <family val="2"/>
        <scheme val="minor"/>
      </rPr>
      <t>]</t>
    </r>
  </si>
  <si>
    <t>RunOfRiver</t>
  </si>
  <si>
    <t>StorageHydro1_Basin1</t>
  </si>
  <si>
    <t>StorageHydro2_Basin1</t>
  </si>
  <si>
    <t>StorageHydro3_Basin1</t>
  </si>
  <si>
    <t>PumpedStorageHydro</t>
  </si>
  <si>
    <t>MaxReserve</t>
  </si>
  <si>
    <t>MinReserve</t>
  </si>
  <si>
    <t>IniReserve</t>
  </si>
  <si>
    <t>[GWh]</t>
  </si>
  <si>
    <t xml:space="preserve"> </t>
  </si>
  <si>
    <t>hydro plants</t>
  </si>
  <si>
    <r>
      <t xml:space="preserve">* natural hydro inflows </t>
    </r>
    <r>
      <rPr>
        <sz val="10"/>
        <color indexed="48"/>
        <rFont val="Calibri"/>
        <family val="2"/>
        <scheme val="minor"/>
      </rPr>
      <t>[GWh]</t>
    </r>
  </si>
  <si>
    <t>EmissionRate</t>
  </si>
  <si>
    <t>[tCO2/MWh]</t>
  </si>
  <si>
    <t>* cost of CO2 emissions</t>
  </si>
  <si>
    <t>pCO2Cost</t>
  </si>
  <si>
    <t>* operating reserve UP</t>
  </si>
  <si>
    <t>* operating reserve DOWN</t>
  </si>
  <si>
    <t>[h]</t>
  </si>
  <si>
    <t>andres.ramos@comillas.edu</t>
  </si>
  <si>
    <t>https://www.iit.comillas.edu/aramos/</t>
  </si>
  <si>
    <t>Unit</t>
  </si>
  <si>
    <t>Scen</t>
  </si>
  <si>
    <t>* Max</t>
  </si>
  <si>
    <t>* Min</t>
  </si>
  <si>
    <t>* Energy</t>
  </si>
  <si>
    <t>MinUptime</t>
  </si>
  <si>
    <t>MinDownTime</t>
  </si>
  <si>
    <t>RampDown</t>
  </si>
  <si>
    <t>InterceptVarCost</t>
  </si>
  <si>
    <t>StartUpCost</t>
  </si>
  <si>
    <t>ShutDownCost</t>
  </si>
  <si>
    <t>[EUR/MWh]</t>
  </si>
  <si>
    <t>[EUR/tCO2]</t>
  </si>
  <si>
    <t>[EUR/te]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</si>
</sst>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0"/>
      <name val="Arial"/>
    </font>
    <font>
      <sz val="8"/>
      <name val="Arial"/>
      <family val="2"/>
    </font>
    <font>
      <i/>
      <sz val="18"/>
      <name val="Palatino Linotype"/>
      <family val="1"/>
    </font>
    <font>
      <u/>
      <sz val="10"/>
      <color indexed="12"/>
      <name val="Arial"/>
      <family val="2"/>
    </font>
    <font>
      <u/>
      <sz val="14"/>
      <color indexed="12"/>
      <name val="Courier New"/>
      <family val="3"/>
    </font>
    <font>
      <b/>
      <i/>
      <sz val="18"/>
      <name val="Palatino Linotype"/>
      <family val="1"/>
    </font>
    <font>
      <b/>
      <i/>
      <sz val="20"/>
      <name val="Palatino Linotype"/>
      <family val="1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indexed="48"/>
      <name val="Calibri"/>
      <family val="2"/>
      <scheme val="minor"/>
    </font>
    <font>
      <b/>
      <sz val="10"/>
      <color indexed="48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indexed="57"/>
      <name val="Calibri"/>
      <family val="2"/>
      <scheme val="minor"/>
    </font>
    <font>
      <sz val="10"/>
      <name val="Arial"/>
      <family val="2"/>
    </font>
    <font>
      <vertAlign val="superscript"/>
      <sz val="10"/>
      <color indexed="48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u/>
      <sz val="10"/>
      <name val="Arial"/>
      <family val="2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4" fillId="0" borderId="0"/>
  </cellStyleXfs>
  <cellXfs count="75">
    <xf numFmtId="0" fontId="0" fillId="0" borderId="0" xfId="0"/>
    <xf numFmtId="0" fontId="0" fillId="0" borderId="0" xfId="0" applyAlignment="1">
      <alignment horizontal="center"/>
    </xf>
    <xf numFmtId="0" fontId="4" fillId="0" borderId="0" xfId="1" applyFont="1" applyAlignment="1" applyProtection="1">
      <alignment horizontal="center"/>
    </xf>
    <xf numFmtId="0" fontId="5" fillId="0" borderId="0" xfId="0" applyFont="1" applyAlignment="1">
      <alignment horizontal="center"/>
    </xf>
    <xf numFmtId="0" fontId="0" fillId="0" borderId="0" xfId="0" applyFill="1"/>
    <xf numFmtId="0" fontId="6" fillId="4" borderId="0" xfId="0" applyFont="1" applyFill="1" applyAlignment="1">
      <alignment horizontal="center"/>
    </xf>
    <xf numFmtId="0" fontId="0" fillId="4" borderId="0" xfId="0" applyFill="1"/>
    <xf numFmtId="0" fontId="7" fillId="0" borderId="0" xfId="0" applyFont="1"/>
    <xf numFmtId="0" fontId="8" fillId="0" borderId="0" xfId="0" applyFont="1" applyAlignment="1">
      <alignment horizontal="center"/>
    </xf>
    <xf numFmtId="0" fontId="7" fillId="0" borderId="1" xfId="0" applyFont="1" applyFill="1" applyBorder="1"/>
    <xf numFmtId="0" fontId="7" fillId="0" borderId="2" xfId="0" applyFont="1" applyFill="1" applyBorder="1"/>
    <xf numFmtId="0" fontId="8" fillId="0" borderId="2" xfId="0" applyFont="1" applyFill="1" applyBorder="1" applyAlignment="1">
      <alignment horizontal="center"/>
    </xf>
    <xf numFmtId="0" fontId="7" fillId="0" borderId="3" xfId="0" applyFont="1" applyFill="1" applyBorder="1"/>
    <xf numFmtId="0" fontId="9" fillId="0" borderId="4" xfId="0" applyFont="1" applyFill="1" applyBorder="1"/>
    <xf numFmtId="0" fontId="7" fillId="0" borderId="0" xfId="0" applyFont="1" applyFill="1" applyBorder="1"/>
    <xf numFmtId="0" fontId="8" fillId="0" borderId="0" xfId="0" applyFont="1" applyFill="1" applyBorder="1" applyAlignment="1">
      <alignment horizontal="center"/>
    </xf>
    <xf numFmtId="0" fontId="7" fillId="0" borderId="5" xfId="0" applyFont="1" applyFill="1" applyBorder="1"/>
    <xf numFmtId="0" fontId="7" fillId="0" borderId="4" xfId="0" applyFont="1" applyFill="1" applyBorder="1"/>
    <xf numFmtId="0" fontId="10" fillId="0" borderId="0" xfId="0" applyFont="1" applyFill="1" applyBorder="1"/>
    <xf numFmtId="0" fontId="7" fillId="0" borderId="0" xfId="0" quotePrefix="1" applyFont="1" applyFill="1" applyBorder="1"/>
    <xf numFmtId="0" fontId="7" fillId="3" borderId="0" xfId="0" applyFont="1" applyFill="1" applyBorder="1" applyAlignment="1">
      <alignment horizontal="center"/>
    </xf>
    <xf numFmtId="0" fontId="8" fillId="0" borderId="0" xfId="0" quotePrefix="1" applyFont="1" applyFill="1" applyBorder="1" applyAlignment="1">
      <alignment horizontal="center"/>
    </xf>
    <xf numFmtId="0" fontId="7" fillId="3" borderId="0" xfId="0" applyFont="1" applyFill="1" applyBorder="1" applyAlignment="1">
      <alignment horizontal="left"/>
    </xf>
    <xf numFmtId="0" fontId="7" fillId="0" borderId="6" xfId="0" applyFont="1" applyFill="1" applyBorder="1"/>
    <xf numFmtId="0" fontId="7" fillId="0" borderId="7" xfId="0" applyFont="1" applyFill="1" applyBorder="1"/>
    <xf numFmtId="0" fontId="8" fillId="0" borderId="7" xfId="0" applyFont="1" applyFill="1" applyBorder="1" applyAlignment="1">
      <alignment horizontal="center"/>
    </xf>
    <xf numFmtId="0" fontId="7" fillId="0" borderId="8" xfId="0" applyFont="1" applyFill="1" applyBorder="1"/>
    <xf numFmtId="0" fontId="7" fillId="0" borderId="0" xfId="0" applyFont="1" applyFill="1"/>
    <xf numFmtId="0" fontId="7" fillId="2" borderId="0" xfId="0" quotePrefix="1" applyFont="1" applyFill="1" applyAlignment="1">
      <alignment horizontal="left"/>
    </xf>
    <xf numFmtId="1" fontId="7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" fontId="7" fillId="0" borderId="0" xfId="0" applyNumberFormat="1" applyFont="1"/>
    <xf numFmtId="0" fontId="7" fillId="2" borderId="0" xfId="0" applyFont="1" applyFill="1" applyAlignment="1">
      <alignment horizontal="left"/>
    </xf>
    <xf numFmtId="0" fontId="7" fillId="2" borderId="0" xfId="0" quotePrefix="1" applyFont="1" applyFill="1" applyAlignment="1">
      <alignment horizontal="center"/>
    </xf>
    <xf numFmtId="0" fontId="11" fillId="0" borderId="4" xfId="0" applyFont="1" applyFill="1" applyBorder="1"/>
    <xf numFmtId="0" fontId="11" fillId="0" borderId="0" xfId="0" applyFont="1" applyFill="1" applyBorder="1"/>
    <xf numFmtId="0" fontId="7" fillId="0" borderId="4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center"/>
    </xf>
    <xf numFmtId="0" fontId="7" fillId="0" borderId="5" xfId="0" applyFont="1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0" fontId="10" fillId="0" borderId="4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center"/>
    </xf>
    <xf numFmtId="164" fontId="7" fillId="3" borderId="0" xfId="0" applyNumberFormat="1" applyFont="1" applyFill="1" applyBorder="1"/>
    <xf numFmtId="0" fontId="7" fillId="3" borderId="0" xfId="0" applyFont="1" applyFill="1" applyBorder="1"/>
    <xf numFmtId="2" fontId="7" fillId="3" borderId="0" xfId="0" applyNumberFormat="1" applyFont="1" applyFill="1" applyBorder="1"/>
    <xf numFmtId="1" fontId="7" fillId="3" borderId="0" xfId="0" applyNumberFormat="1" applyFont="1" applyFill="1" applyBorder="1"/>
    <xf numFmtId="0" fontId="7" fillId="0" borderId="5" xfId="0" quotePrefix="1" applyFont="1" applyFill="1" applyBorder="1"/>
    <xf numFmtId="0" fontId="7" fillId="0" borderId="4" xfId="0" applyFont="1" applyFill="1" applyBorder="1" applyAlignment="1">
      <alignment horizontal="center"/>
    </xf>
    <xf numFmtId="0" fontId="12" fillId="0" borderId="0" xfId="0" applyFont="1" applyFill="1" applyBorder="1"/>
    <xf numFmtId="0" fontId="12" fillId="0" borderId="0" xfId="0" applyFont="1" applyFill="1" applyBorder="1" applyAlignment="1">
      <alignment horizontal="center"/>
    </xf>
    <xf numFmtId="0" fontId="13" fillId="3" borderId="0" xfId="0" quotePrefix="1" applyFont="1" applyFill="1" applyBorder="1"/>
    <xf numFmtId="0" fontId="10" fillId="0" borderId="4" xfId="0" applyFont="1" applyFill="1" applyBorder="1"/>
    <xf numFmtId="0" fontId="13" fillId="3" borderId="0" xfId="0" applyFont="1" applyFill="1" applyBorder="1"/>
    <xf numFmtId="0" fontId="13" fillId="3" borderId="0" xfId="0" applyFont="1" applyFill="1" applyBorder="1" applyAlignment="1">
      <alignment horizontal="right"/>
    </xf>
    <xf numFmtId="0" fontId="7" fillId="0" borderId="0" xfId="2" applyFont="1" applyFill="1"/>
    <xf numFmtId="0" fontId="7" fillId="0" borderId="0" xfId="2" applyFont="1" applyFill="1" applyAlignment="1">
      <alignment horizontal="center"/>
    </xf>
    <xf numFmtId="0" fontId="7" fillId="0" borderId="1" xfId="2" applyFont="1" applyFill="1" applyBorder="1"/>
    <xf numFmtId="0" fontId="7" fillId="0" borderId="2" xfId="2" applyFont="1" applyFill="1" applyBorder="1"/>
    <xf numFmtId="0" fontId="7" fillId="0" borderId="3" xfId="2" applyFont="1" applyFill="1" applyBorder="1"/>
    <xf numFmtId="0" fontId="11" fillId="0" borderId="4" xfId="2" applyFont="1" applyFill="1" applyBorder="1"/>
    <xf numFmtId="0" fontId="11" fillId="0" borderId="0" xfId="2" applyFont="1" applyFill="1" applyBorder="1"/>
    <xf numFmtId="0" fontId="7" fillId="0" borderId="5" xfId="2" applyFont="1" applyFill="1" applyBorder="1"/>
    <xf numFmtId="0" fontId="7" fillId="0" borderId="4" xfId="2" applyFont="1" applyFill="1" applyBorder="1"/>
    <xf numFmtId="0" fontId="7" fillId="0" borderId="0" xfId="2" applyFont="1" applyFill="1" applyBorder="1"/>
    <xf numFmtId="0" fontId="7" fillId="0" borderId="0" xfId="2" applyFont="1" applyFill="1" applyBorder="1" applyAlignment="1">
      <alignment horizontal="center"/>
    </xf>
    <xf numFmtId="0" fontId="7" fillId="0" borderId="4" xfId="2" applyFont="1" applyFill="1" applyBorder="1" applyAlignment="1">
      <alignment horizontal="left"/>
    </xf>
    <xf numFmtId="0" fontId="7" fillId="0" borderId="5" xfId="2" applyFont="1" applyFill="1" applyBorder="1" applyAlignment="1">
      <alignment horizontal="center"/>
    </xf>
    <xf numFmtId="164" fontId="7" fillId="3" borderId="0" xfId="2" applyNumberFormat="1" applyFont="1" applyFill="1" applyBorder="1"/>
    <xf numFmtId="0" fontId="7" fillId="0" borderId="6" xfId="2" applyFont="1" applyFill="1" applyBorder="1"/>
    <xf numFmtId="0" fontId="7" fillId="0" borderId="7" xfId="2" applyFont="1" applyFill="1" applyBorder="1"/>
    <xf numFmtId="0" fontId="7" fillId="0" borderId="8" xfId="2" applyFont="1" applyFill="1" applyBorder="1"/>
    <xf numFmtId="164" fontId="7" fillId="0" borderId="0" xfId="0" applyNumberFormat="1" applyFont="1"/>
    <xf numFmtId="0" fontId="16" fillId="0" borderId="4" xfId="0" applyFont="1" applyFill="1" applyBorder="1"/>
    <xf numFmtId="0" fontId="17" fillId="0" borderId="0" xfId="0" applyFont="1" applyFill="1" applyBorder="1" applyAlignment="1">
      <alignment horizontal="center"/>
    </xf>
    <xf numFmtId="0" fontId="18" fillId="0" borderId="0" xfId="0" applyFont="1"/>
  </cellXfs>
  <cellStyles count="3">
    <cellStyle name="Hipervínculo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worksheet" Target="worksheets/sheet10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9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chartsheet" Target="chartsheets/sheet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hartsheet" Target="chartsheets/sheet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DemandReserveIG!$X$6:$X$29</c:f>
              <c:numCache>
                <c:formatCode>0</c:formatCode>
                <c:ptCount val="24"/>
                <c:pt idx="0">
                  <c:v>450.3</c:v>
                </c:pt>
                <c:pt idx="1">
                  <c:v>450.6</c:v>
                </c:pt>
                <c:pt idx="2">
                  <c:v>475.2</c:v>
                </c:pt>
                <c:pt idx="3">
                  <c:v>465.1</c:v>
                </c:pt>
                <c:pt idx="4">
                  <c:v>477.2</c:v>
                </c:pt>
                <c:pt idx="5">
                  <c:v>458.8</c:v>
                </c:pt>
                <c:pt idx="6">
                  <c:v>452.2</c:v>
                </c:pt>
                <c:pt idx="7">
                  <c:v>431.2</c:v>
                </c:pt>
                <c:pt idx="8">
                  <c:v>459.7</c:v>
                </c:pt>
                <c:pt idx="9">
                  <c:v>503</c:v>
                </c:pt>
                <c:pt idx="10">
                  <c:v>489.5</c:v>
                </c:pt>
                <c:pt idx="11">
                  <c:v>519</c:v>
                </c:pt>
                <c:pt idx="12">
                  <c:v>543.79999999999995</c:v>
                </c:pt>
                <c:pt idx="13">
                  <c:v>567.9</c:v>
                </c:pt>
                <c:pt idx="14">
                  <c:v>588.9</c:v>
                </c:pt>
                <c:pt idx="15">
                  <c:v>599.5</c:v>
                </c:pt>
                <c:pt idx="16">
                  <c:v>619.1</c:v>
                </c:pt>
                <c:pt idx="17">
                  <c:v>619</c:v>
                </c:pt>
                <c:pt idx="18">
                  <c:v>699.7</c:v>
                </c:pt>
                <c:pt idx="19">
                  <c:v>763.5</c:v>
                </c:pt>
                <c:pt idx="20">
                  <c:v>768.3</c:v>
                </c:pt>
                <c:pt idx="21">
                  <c:v>793.8</c:v>
                </c:pt>
                <c:pt idx="22">
                  <c:v>818.5</c:v>
                </c:pt>
                <c:pt idx="23">
                  <c:v>791.3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A0-431A-9D6A-AF320C76FAFD}"/>
            </c:ext>
          </c:extLst>
        </c:ser>
        <c:ser>
          <c:idx val="1"/>
          <c:order val="1"/>
          <c:marker>
            <c:symbol val="none"/>
          </c:marker>
          <c:val>
            <c:numRef>
              <c:f>DemandReserveIG!$Y$6:$Y$29</c:f>
              <c:numCache>
                <c:formatCode>0</c:formatCode>
                <c:ptCount val="24"/>
                <c:pt idx="0">
                  <c:v>354.93630068093609</c:v>
                </c:pt>
                <c:pt idx="1">
                  <c:v>345.07170709668952</c:v>
                </c:pt>
                <c:pt idx="2">
                  <c:v>370.66136517119861</c:v>
                </c:pt>
                <c:pt idx="3">
                  <c:v>383.80759400392697</c:v>
                </c:pt>
                <c:pt idx="4">
                  <c:v>429.15094193949773</c:v>
                </c:pt>
                <c:pt idx="5">
                  <c:v>430.15660072036985</c:v>
                </c:pt>
                <c:pt idx="6">
                  <c:v>419.74698939484358</c:v>
                </c:pt>
                <c:pt idx="7">
                  <c:v>384.67739517059357</c:v>
                </c:pt>
                <c:pt idx="8">
                  <c:v>424.82005182503423</c:v>
                </c:pt>
                <c:pt idx="9">
                  <c:v>521.90425160764835</c:v>
                </c:pt>
                <c:pt idx="10">
                  <c:v>603.29438211294519</c:v>
                </c:pt>
                <c:pt idx="11">
                  <c:v>700.08034393561638</c:v>
                </c:pt>
                <c:pt idx="12">
                  <c:v>719.61247635829909</c:v>
                </c:pt>
                <c:pt idx="13">
                  <c:v>696.20942207242001</c:v>
                </c:pt>
                <c:pt idx="14">
                  <c:v>674.70976883835613</c:v>
                </c:pt>
                <c:pt idx="15">
                  <c:v>682.26254312401829</c:v>
                </c:pt>
                <c:pt idx="16">
                  <c:v>696.59399504624434</c:v>
                </c:pt>
                <c:pt idx="17">
                  <c:v>671.87182871273967</c:v>
                </c:pt>
                <c:pt idx="18">
                  <c:v>755.56061543676947</c:v>
                </c:pt>
                <c:pt idx="19">
                  <c:v>872.93428582785384</c:v>
                </c:pt>
                <c:pt idx="20">
                  <c:v>934.46447132020535</c:v>
                </c:pt>
                <c:pt idx="21">
                  <c:v>949.98154440815063</c:v>
                </c:pt>
                <c:pt idx="22">
                  <c:v>908.71804906727175</c:v>
                </c:pt>
                <c:pt idx="23">
                  <c:v>816.56859067013693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A0-431A-9D6A-AF320C76FAFD}"/>
            </c:ext>
          </c:extLst>
        </c:ser>
        <c:ser>
          <c:idx val="2"/>
          <c:order val="2"/>
          <c:marker>
            <c:symbol val="none"/>
          </c:marker>
          <c:val>
            <c:numRef>
              <c:f>DemandReserveIG!$Z$6:$Z$29</c:f>
              <c:numCache>
                <c:formatCode>0</c:formatCode>
                <c:ptCount val="24"/>
                <c:pt idx="0">
                  <c:v>635.83798560866444</c:v>
                </c:pt>
                <c:pt idx="1">
                  <c:v>621.48139108038822</c:v>
                </c:pt>
                <c:pt idx="2">
                  <c:v>629.17603970544519</c:v>
                </c:pt>
                <c:pt idx="3">
                  <c:v>626.10903726452057</c:v>
                </c:pt>
                <c:pt idx="4">
                  <c:v>649.36574065273965</c:v>
                </c:pt>
                <c:pt idx="5">
                  <c:v>606.92664859472609</c:v>
                </c:pt>
                <c:pt idx="6">
                  <c:v>593.03337461618719</c:v>
                </c:pt>
                <c:pt idx="7">
                  <c:v>582.79559169095887</c:v>
                </c:pt>
                <c:pt idx="8">
                  <c:v>637.29928294277397</c:v>
                </c:pt>
                <c:pt idx="9">
                  <c:v>716.81311349155249</c:v>
                </c:pt>
                <c:pt idx="10">
                  <c:v>752.24783192566201</c:v>
                </c:pt>
                <c:pt idx="11">
                  <c:v>891.22355816438358</c:v>
                </c:pt>
                <c:pt idx="12">
                  <c:v>1003.5301370043379</c:v>
                </c:pt>
                <c:pt idx="13">
                  <c:v>1063.5635605627854</c:v>
                </c:pt>
                <c:pt idx="14">
                  <c:v>1069.0626217174658</c:v>
                </c:pt>
                <c:pt idx="15">
                  <c:v>1078.4432044493151</c:v>
                </c:pt>
                <c:pt idx="16">
                  <c:v>1073.7773811663242</c:v>
                </c:pt>
                <c:pt idx="17">
                  <c:v>1005.937158180137</c:v>
                </c:pt>
                <c:pt idx="18">
                  <c:v>971.83210215511417</c:v>
                </c:pt>
                <c:pt idx="19">
                  <c:v>934.63285901369863</c:v>
                </c:pt>
                <c:pt idx="20">
                  <c:v>923.887640059315</c:v>
                </c:pt>
                <c:pt idx="21">
                  <c:v>954.74871022331047</c:v>
                </c:pt>
                <c:pt idx="22">
                  <c:v>963.27120490563925</c:v>
                </c:pt>
                <c:pt idx="23">
                  <c:v>878.47819722328768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A0-431A-9D6A-AF320C76F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9373664"/>
        <c:axId val="349375296"/>
      </c:lineChart>
      <c:catAx>
        <c:axId val="349373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Hours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9375296"/>
        <c:crosses val="autoZero"/>
        <c:auto val="1"/>
        <c:lblAlgn val="ctr"/>
        <c:lblOffset val="100"/>
        <c:noMultiLvlLbl val="0"/>
      </c:catAx>
      <c:valAx>
        <c:axId val="349375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Intermittent Generation [MW]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349373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UC!$A$2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UC!$B$2:$Y$2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BF-445F-8373-063FC5F983D9}"/>
            </c:ext>
          </c:extLst>
        </c:ser>
        <c:ser>
          <c:idx val="1"/>
          <c:order val="1"/>
          <c:tx>
            <c:strRef>
              <c:f>UC!$A$3</c:f>
              <c:strCache>
                <c:ptCount val="1"/>
                <c:pt idx="0">
                  <c:v>DomesticCoal_Anthracite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UC!$B$3:$Y$3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BF-445F-8373-063FC5F983D9}"/>
            </c:ext>
          </c:extLst>
        </c:ser>
        <c:ser>
          <c:idx val="2"/>
          <c:order val="2"/>
          <c:tx>
            <c:strRef>
              <c:f>UC!$A$4</c:f>
              <c:strCache>
                <c:ptCount val="1"/>
                <c:pt idx="0">
                  <c:v>BrownLignite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UC!$B$4:$Y$4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BF-445F-8373-063FC5F983D9}"/>
            </c:ext>
          </c:extLst>
        </c:ser>
        <c:ser>
          <c:idx val="3"/>
          <c:order val="3"/>
          <c:tx>
            <c:strRef>
              <c:f>UC!$A$5</c:f>
              <c:strCache>
                <c:ptCount val="1"/>
                <c:pt idx="0">
                  <c:v>ImportedCoal_SubBituminous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UC!$B$5:$Y$5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BF-445F-8373-063FC5F983D9}"/>
            </c:ext>
          </c:extLst>
        </c:ser>
        <c:ser>
          <c:idx val="4"/>
          <c:order val="4"/>
          <c:tx>
            <c:strRef>
              <c:f>UC!$A$6</c:f>
              <c:strCache>
                <c:ptCount val="1"/>
                <c:pt idx="0">
                  <c:v>ImportedCoal_Bituminous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UC!$B$6:$Y$6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BF-445F-8373-063FC5F983D9}"/>
            </c:ext>
          </c:extLst>
        </c:ser>
        <c:ser>
          <c:idx val="5"/>
          <c:order val="5"/>
          <c:tx>
            <c:strRef>
              <c:f>UC!$A$7</c:f>
              <c:strCache>
                <c:ptCount val="1"/>
                <c:pt idx="0">
                  <c:v>CCGT_1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UC!$B$7:$Y$7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BF-445F-8373-063FC5F983D9}"/>
            </c:ext>
          </c:extLst>
        </c:ser>
        <c:ser>
          <c:idx val="6"/>
          <c:order val="6"/>
          <c:tx>
            <c:strRef>
              <c:f>UC!$A$8</c:f>
              <c:strCache>
                <c:ptCount val="1"/>
                <c:pt idx="0">
                  <c:v>CCGT_2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UC!$B$8:$Y$8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BF-445F-8373-063FC5F983D9}"/>
            </c:ext>
          </c:extLst>
        </c:ser>
        <c:ser>
          <c:idx val="7"/>
          <c:order val="7"/>
          <c:tx>
            <c:strRef>
              <c:f>UC!$A$9</c:f>
              <c:strCache>
                <c:ptCount val="1"/>
                <c:pt idx="0">
                  <c:v>CCGT_3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UC!$B$9:$Y$9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BF-445F-8373-063FC5F983D9}"/>
            </c:ext>
          </c:extLst>
        </c:ser>
        <c:ser>
          <c:idx val="8"/>
          <c:order val="8"/>
          <c:tx>
            <c:strRef>
              <c:f>UC!$A$10</c:f>
              <c:strCache>
                <c:ptCount val="1"/>
                <c:pt idx="0">
                  <c:v>CCGT_4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UC!$B$10:$Y$10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BF-445F-8373-063FC5F983D9}"/>
            </c:ext>
          </c:extLst>
        </c:ser>
        <c:ser>
          <c:idx val="9"/>
          <c:order val="9"/>
          <c:tx>
            <c:strRef>
              <c:f>UC!$A$11</c:f>
              <c:strCache>
                <c:ptCount val="1"/>
                <c:pt idx="0">
                  <c:v>OCGT_1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UC!$B$11:$Y$11</c:f>
              <c:numCache>
                <c:formatCode>0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BF-445F-8373-063FC5F983D9}"/>
            </c:ext>
          </c:extLst>
        </c:ser>
        <c:ser>
          <c:idx val="10"/>
          <c:order val="10"/>
          <c:tx>
            <c:strRef>
              <c:f>UC!$A$12</c:f>
              <c:strCache>
                <c:ptCount val="1"/>
                <c:pt idx="0">
                  <c:v>OCGT_2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UC!$B$12:$Y$12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0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CBF-445F-8373-063FC5F983D9}"/>
            </c:ext>
          </c:extLst>
        </c:ser>
        <c:ser>
          <c:idx val="11"/>
          <c:order val="11"/>
          <c:tx>
            <c:strRef>
              <c:f>UC!$A$13</c:f>
              <c:strCache>
                <c:ptCount val="1"/>
                <c:pt idx="0">
                  <c:v>OCGT_3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UC!$B$13:$Y$13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BF-445F-8373-063FC5F983D9}"/>
            </c:ext>
          </c:extLst>
        </c:ser>
        <c:ser>
          <c:idx val="12"/>
          <c:order val="12"/>
          <c:tx>
            <c:strRef>
              <c:f>UC!$A$14</c:f>
              <c:strCache>
                <c:ptCount val="1"/>
                <c:pt idx="0">
                  <c:v>FuelOilGas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UC!$B$14:$Y$14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BF-445F-8373-063FC5F98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7232912"/>
        <c:axId val="1240219456"/>
      </c:barChart>
      <c:catAx>
        <c:axId val="143723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40219456"/>
        <c:crosses val="autoZero"/>
        <c:auto val="1"/>
        <c:lblAlgn val="ctr"/>
        <c:lblOffset val="100"/>
        <c:noMultiLvlLbl val="0"/>
      </c:catAx>
      <c:valAx>
        <c:axId val="124021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Committed thermal units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3723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Output!$A$2:$B$2</c:f>
              <c:strCache>
                <c:ptCount val="2"/>
                <c:pt idx="0">
                  <c:v>sc01</c:v>
                </c:pt>
                <c:pt idx="1">
                  <c:v>Nuclear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Output!$C$2:$Z$2</c:f>
              <c:numCache>
                <c:formatCode>0</c:formatCode>
                <c:ptCount val="24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88-4978-ABD3-A4644D1E349A}"/>
            </c:ext>
          </c:extLst>
        </c:ser>
        <c:ser>
          <c:idx val="1"/>
          <c:order val="1"/>
          <c:tx>
            <c:strRef>
              <c:f>Output!$A$3:$B$3</c:f>
              <c:strCache>
                <c:ptCount val="2"/>
                <c:pt idx="0">
                  <c:v>sc01</c:v>
                </c:pt>
                <c:pt idx="1">
                  <c:v>DomesticCoal_Anthracite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Output!$C$3:$Z$3</c:f>
              <c:numCache>
                <c:formatCode>0</c:formatCode>
                <c:ptCount val="24"/>
                <c:pt idx="0">
                  <c:v>235.2</c:v>
                </c:pt>
                <c:pt idx="1">
                  <c:v>235.2</c:v>
                </c:pt>
                <c:pt idx="2">
                  <c:v>235.2</c:v>
                </c:pt>
                <c:pt idx="3">
                  <c:v>235.2</c:v>
                </c:pt>
                <c:pt idx="4">
                  <c:v>235.2</c:v>
                </c:pt>
                <c:pt idx="5">
                  <c:v>235.2</c:v>
                </c:pt>
                <c:pt idx="6">
                  <c:v>235.2</c:v>
                </c:pt>
                <c:pt idx="7">
                  <c:v>235.2</c:v>
                </c:pt>
                <c:pt idx="8">
                  <c:v>282.56000000000103</c:v>
                </c:pt>
                <c:pt idx="9">
                  <c:v>265.40000000000094</c:v>
                </c:pt>
                <c:pt idx="10">
                  <c:v>309.90000000001208</c:v>
                </c:pt>
                <c:pt idx="11">
                  <c:v>248.40000000000069</c:v>
                </c:pt>
                <c:pt idx="12">
                  <c:v>235.2</c:v>
                </c:pt>
                <c:pt idx="13">
                  <c:v>235.2</c:v>
                </c:pt>
                <c:pt idx="14">
                  <c:v>235.2</c:v>
                </c:pt>
                <c:pt idx="15">
                  <c:v>235.2</c:v>
                </c:pt>
                <c:pt idx="16">
                  <c:v>235.2</c:v>
                </c:pt>
                <c:pt idx="17">
                  <c:v>235.2</c:v>
                </c:pt>
                <c:pt idx="18">
                  <c:v>411.80000000000047</c:v>
                </c:pt>
                <c:pt idx="19">
                  <c:v>335.00000000000017</c:v>
                </c:pt>
                <c:pt idx="20">
                  <c:v>274.2</c:v>
                </c:pt>
                <c:pt idx="21">
                  <c:v>235.2</c:v>
                </c:pt>
                <c:pt idx="22">
                  <c:v>235.2</c:v>
                </c:pt>
                <c:pt idx="23">
                  <c:v>255.20000000000087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88-4978-ABD3-A4644D1E349A}"/>
            </c:ext>
          </c:extLst>
        </c:ser>
        <c:ser>
          <c:idx val="2"/>
          <c:order val="2"/>
          <c:tx>
            <c:strRef>
              <c:f>Output!$A$4:$B$4</c:f>
              <c:strCache>
                <c:ptCount val="2"/>
                <c:pt idx="0">
                  <c:v>sc01</c:v>
                </c:pt>
                <c:pt idx="1">
                  <c:v>BrownLignite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Output!$C$4:$Z$4</c:f>
              <c:numCache>
                <c:formatCode>0</c:formatCode>
                <c:ptCount val="24"/>
                <c:pt idx="0">
                  <c:v>83.100000000000009</c:v>
                </c:pt>
                <c:pt idx="1">
                  <c:v>81.239999999999327</c:v>
                </c:pt>
                <c:pt idx="2">
                  <c:v>81.239999999999327</c:v>
                </c:pt>
                <c:pt idx="3">
                  <c:v>81.239999999999327</c:v>
                </c:pt>
                <c:pt idx="4">
                  <c:v>81.239999999999327</c:v>
                </c:pt>
                <c:pt idx="5">
                  <c:v>81.239999999999327</c:v>
                </c:pt>
                <c:pt idx="6">
                  <c:v>81.239999999999327</c:v>
                </c:pt>
                <c:pt idx="7">
                  <c:v>81.239999999999327</c:v>
                </c:pt>
                <c:pt idx="8">
                  <c:v>201.2399999999993</c:v>
                </c:pt>
                <c:pt idx="9">
                  <c:v>203.1</c:v>
                </c:pt>
                <c:pt idx="10">
                  <c:v>203.1</c:v>
                </c:pt>
                <c:pt idx="11">
                  <c:v>203.1</c:v>
                </c:pt>
                <c:pt idx="12">
                  <c:v>132.49999999999997</c:v>
                </c:pt>
                <c:pt idx="13">
                  <c:v>81.239999999999327</c:v>
                </c:pt>
                <c:pt idx="14">
                  <c:v>81.239999999999327</c:v>
                </c:pt>
                <c:pt idx="15">
                  <c:v>81.239999999999327</c:v>
                </c:pt>
                <c:pt idx="16">
                  <c:v>81.239999999999327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88-4978-ABD3-A4644D1E349A}"/>
            </c:ext>
          </c:extLst>
        </c:ser>
        <c:ser>
          <c:idx val="3"/>
          <c:order val="3"/>
          <c:tx>
            <c:strRef>
              <c:f>Output!$A$5:$B$5</c:f>
              <c:strCache>
                <c:ptCount val="2"/>
                <c:pt idx="0">
                  <c:v>sc01</c:v>
                </c:pt>
                <c:pt idx="1">
                  <c:v>ImportedCoal_SubBituminous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Output!$C$5:$Z$5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88-4978-ABD3-A4644D1E349A}"/>
            </c:ext>
          </c:extLst>
        </c:ser>
        <c:ser>
          <c:idx val="4"/>
          <c:order val="4"/>
          <c:tx>
            <c:strRef>
              <c:f>Output!$A$6:$B$6</c:f>
              <c:strCache>
                <c:ptCount val="2"/>
                <c:pt idx="0">
                  <c:v>sc01</c:v>
                </c:pt>
                <c:pt idx="1">
                  <c:v>ImportedCoal_Bituminous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Output!$C$6:$Z$6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88-4978-ABD3-A4644D1E349A}"/>
            </c:ext>
          </c:extLst>
        </c:ser>
        <c:ser>
          <c:idx val="5"/>
          <c:order val="5"/>
          <c:tx>
            <c:strRef>
              <c:f>Output!$A$7:$B$7</c:f>
              <c:strCache>
                <c:ptCount val="2"/>
                <c:pt idx="0">
                  <c:v>sc01</c:v>
                </c:pt>
                <c:pt idx="1">
                  <c:v>CCGT_1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Output!$C$7:$Z$7</c:f>
              <c:numCache>
                <c:formatCode>0</c:formatCode>
                <c:ptCount val="24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490.86000000000075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488-4978-ABD3-A4644D1E349A}"/>
            </c:ext>
          </c:extLst>
        </c:ser>
        <c:ser>
          <c:idx val="6"/>
          <c:order val="6"/>
          <c:tx>
            <c:strRef>
              <c:f>Output!$A$8:$B$8</c:f>
              <c:strCache>
                <c:ptCount val="2"/>
                <c:pt idx="0">
                  <c:v>sc01</c:v>
                </c:pt>
                <c:pt idx="1">
                  <c:v>CCGT_2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Output!$C$8:$Z$8</c:f>
              <c:numCache>
                <c:formatCode>0</c:formatCode>
                <c:ptCount val="24"/>
                <c:pt idx="0">
                  <c:v>459.90000000000077</c:v>
                </c:pt>
                <c:pt idx="1">
                  <c:v>312.46000000000095</c:v>
                </c:pt>
                <c:pt idx="2">
                  <c:v>167.86000000000092</c:v>
                </c:pt>
                <c:pt idx="3">
                  <c:v>113.96000000000086</c:v>
                </c:pt>
                <c:pt idx="4">
                  <c:v>100</c:v>
                </c:pt>
                <c:pt idx="5">
                  <c:v>130.26000000000107</c:v>
                </c:pt>
                <c:pt idx="6">
                  <c:v>425.86000000000092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488-4978-ABD3-A4644D1E349A}"/>
            </c:ext>
          </c:extLst>
        </c:ser>
        <c:ser>
          <c:idx val="7"/>
          <c:order val="7"/>
          <c:tx>
            <c:strRef>
              <c:f>Output!$A$9:$B$9</c:f>
              <c:strCache>
                <c:ptCount val="2"/>
                <c:pt idx="0">
                  <c:v>sc01</c:v>
                </c:pt>
                <c:pt idx="1">
                  <c:v>CCGT_3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Output!$C$9:$Z$9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449.86000000000092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443.15999999999866</c:v>
                </c:pt>
                <c:pt idx="14">
                  <c:v>319.16000000000111</c:v>
                </c:pt>
                <c:pt idx="15">
                  <c:v>279.56000000000114</c:v>
                </c:pt>
                <c:pt idx="16">
                  <c:v>333.96000000000106</c:v>
                </c:pt>
                <c:pt idx="17">
                  <c:v>464.30000000000069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400.50000000000017</c:v>
                </c:pt>
                <c:pt idx="22">
                  <c:v>251.80000000000047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488-4978-ABD3-A4644D1E349A}"/>
            </c:ext>
          </c:extLst>
        </c:ser>
        <c:ser>
          <c:idx val="8"/>
          <c:order val="8"/>
          <c:tx>
            <c:strRef>
              <c:f>Output!$A$10:$B$10</c:f>
              <c:strCache>
                <c:ptCount val="2"/>
                <c:pt idx="0">
                  <c:v>sc01</c:v>
                </c:pt>
                <c:pt idx="1">
                  <c:v>CCGT_4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Output!$C$10:$Z$10</c:f>
              <c:numCache>
                <c:formatCode>0</c:formatCode>
                <c:ptCount val="24"/>
                <c:pt idx="0">
                  <c:v>667.5</c:v>
                </c:pt>
                <c:pt idx="1">
                  <c:v>667.5</c:v>
                </c:pt>
                <c:pt idx="2">
                  <c:v>667.5</c:v>
                </c:pt>
                <c:pt idx="3">
                  <c:v>667.5</c:v>
                </c:pt>
                <c:pt idx="4">
                  <c:v>667.5</c:v>
                </c:pt>
                <c:pt idx="5">
                  <c:v>667.5</c:v>
                </c:pt>
                <c:pt idx="6">
                  <c:v>667.5</c:v>
                </c:pt>
                <c:pt idx="7">
                  <c:v>667.5</c:v>
                </c:pt>
                <c:pt idx="8">
                  <c:v>667.5</c:v>
                </c:pt>
                <c:pt idx="9">
                  <c:v>667.5</c:v>
                </c:pt>
                <c:pt idx="10">
                  <c:v>667.5</c:v>
                </c:pt>
                <c:pt idx="11">
                  <c:v>667.5</c:v>
                </c:pt>
                <c:pt idx="12">
                  <c:v>667.5</c:v>
                </c:pt>
                <c:pt idx="13">
                  <c:v>667.5</c:v>
                </c:pt>
                <c:pt idx="14">
                  <c:v>667.5</c:v>
                </c:pt>
                <c:pt idx="15">
                  <c:v>667.5</c:v>
                </c:pt>
                <c:pt idx="16">
                  <c:v>667.5</c:v>
                </c:pt>
                <c:pt idx="17">
                  <c:v>667.5</c:v>
                </c:pt>
                <c:pt idx="18">
                  <c:v>667.5</c:v>
                </c:pt>
                <c:pt idx="19">
                  <c:v>667.5</c:v>
                </c:pt>
                <c:pt idx="20">
                  <c:v>667.5</c:v>
                </c:pt>
                <c:pt idx="21">
                  <c:v>667.5</c:v>
                </c:pt>
                <c:pt idx="22">
                  <c:v>667.5</c:v>
                </c:pt>
                <c:pt idx="23">
                  <c:v>667.5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488-4978-ABD3-A4644D1E349A}"/>
            </c:ext>
          </c:extLst>
        </c:ser>
        <c:ser>
          <c:idx val="9"/>
          <c:order val="9"/>
          <c:tx>
            <c:strRef>
              <c:f>Output!$A$11:$B$11</c:f>
              <c:strCache>
                <c:ptCount val="2"/>
                <c:pt idx="0">
                  <c:v>sc01</c:v>
                </c:pt>
                <c:pt idx="1">
                  <c:v>OCGT_1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Output!$C$11:$Z$11</c:f>
              <c:numCache>
                <c:formatCode>0</c:formatCode>
                <c:ptCount val="24"/>
                <c:pt idx="0">
                  <c:v>99.999999999999744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100</c:v>
                </c:pt>
                <c:pt idx="10">
                  <c:v>99.999999999988987</c:v>
                </c:pt>
                <c:pt idx="11">
                  <c:v>100.00000000000041</c:v>
                </c:pt>
                <c:pt idx="12">
                  <c:v>100.00000000000038</c:v>
                </c:pt>
                <c:pt idx="13">
                  <c:v>100.0000000000023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99.999999999999673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99.999999999999616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488-4978-ABD3-A4644D1E349A}"/>
            </c:ext>
          </c:extLst>
        </c:ser>
        <c:ser>
          <c:idx val="10"/>
          <c:order val="10"/>
          <c:tx>
            <c:strRef>
              <c:f>Output!$A$12:$B$12</c:f>
              <c:strCache>
                <c:ptCount val="2"/>
                <c:pt idx="0">
                  <c:v>sc01</c:v>
                </c:pt>
                <c:pt idx="1">
                  <c:v>OCGT_2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Output!$C$12:$Z$12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99.999999999999588</c:v>
                </c:pt>
                <c:pt idx="19">
                  <c:v>100</c:v>
                </c:pt>
                <c:pt idx="20">
                  <c:v>100.00000000000018</c:v>
                </c:pt>
                <c:pt idx="21">
                  <c:v>100.00000000000009</c:v>
                </c:pt>
                <c:pt idx="22">
                  <c:v>0</c:v>
                </c:pt>
                <c:pt idx="23">
                  <c:v>99.999999999999616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488-4978-ABD3-A4644D1E349A}"/>
            </c:ext>
          </c:extLst>
        </c:ser>
        <c:ser>
          <c:idx val="11"/>
          <c:order val="11"/>
          <c:tx>
            <c:strRef>
              <c:f>Output!$A$13:$B$13</c:f>
              <c:strCache>
                <c:ptCount val="2"/>
                <c:pt idx="0">
                  <c:v>sc01</c:v>
                </c:pt>
                <c:pt idx="1">
                  <c:v>OCGT_3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Output!$C$13:$Z$13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488-4978-ABD3-A4644D1E349A}"/>
            </c:ext>
          </c:extLst>
        </c:ser>
        <c:ser>
          <c:idx val="12"/>
          <c:order val="12"/>
          <c:tx>
            <c:strRef>
              <c:f>Output!$A$14:$B$14</c:f>
              <c:strCache>
                <c:ptCount val="2"/>
                <c:pt idx="0">
                  <c:v>sc01</c:v>
                </c:pt>
                <c:pt idx="1">
                  <c:v>FuelOilGas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Output!$C$14:$Z$14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488-4978-ABD3-A4644D1E349A}"/>
            </c:ext>
          </c:extLst>
        </c:ser>
        <c:ser>
          <c:idx val="13"/>
          <c:order val="13"/>
          <c:tx>
            <c:strRef>
              <c:f>Output!$A$15:$B$15</c:f>
              <c:strCache>
                <c:ptCount val="2"/>
                <c:pt idx="0">
                  <c:v>sc01</c:v>
                </c:pt>
                <c:pt idx="1">
                  <c:v>RunOfRiver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Output!$C$15:$Z$15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488-4978-ABD3-A4644D1E349A}"/>
            </c:ext>
          </c:extLst>
        </c:ser>
        <c:ser>
          <c:idx val="14"/>
          <c:order val="14"/>
          <c:tx>
            <c:strRef>
              <c:f>Output!$A$16:$B$16</c:f>
              <c:strCache>
                <c:ptCount val="2"/>
                <c:pt idx="0">
                  <c:v>sc01</c:v>
                </c:pt>
                <c:pt idx="1">
                  <c:v>StorageHydro1_Basin1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Output!$C$16:$Z$16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488-4978-ABD3-A4644D1E349A}"/>
            </c:ext>
          </c:extLst>
        </c:ser>
        <c:ser>
          <c:idx val="15"/>
          <c:order val="15"/>
          <c:tx>
            <c:strRef>
              <c:f>Output!$A$17:$B$17</c:f>
              <c:strCache>
                <c:ptCount val="2"/>
                <c:pt idx="0">
                  <c:v>sc01</c:v>
                </c:pt>
                <c:pt idx="1">
                  <c:v>StorageHydro2_Basin1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Output!$C$17:$Z$17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488-4978-ABD3-A4644D1E349A}"/>
            </c:ext>
          </c:extLst>
        </c:ser>
        <c:ser>
          <c:idx val="16"/>
          <c:order val="16"/>
          <c:tx>
            <c:strRef>
              <c:f>Output!$A$18:$B$18</c:f>
              <c:strCache>
                <c:ptCount val="2"/>
                <c:pt idx="0">
                  <c:v>sc01</c:v>
                </c:pt>
                <c:pt idx="1">
                  <c:v>StorageHydro3_Basin1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Output!$C$18:$Z$18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488-4978-ABD3-A4644D1E349A}"/>
            </c:ext>
          </c:extLst>
        </c:ser>
        <c:ser>
          <c:idx val="17"/>
          <c:order val="17"/>
          <c:tx>
            <c:strRef>
              <c:f>Output!$A$19:$B$19</c:f>
              <c:strCache>
                <c:ptCount val="2"/>
                <c:pt idx="0">
                  <c:v>sc01</c:v>
                </c:pt>
                <c:pt idx="1">
                  <c:v>PumpedStorageHydro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Output!$C$19:$Z$19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488-4978-ABD3-A4644D1E349A}"/>
            </c:ext>
          </c:extLst>
        </c:ser>
        <c:ser>
          <c:idx val="18"/>
          <c:order val="18"/>
          <c:tx>
            <c:strRef>
              <c:f>Output!$A$20:$B$20</c:f>
              <c:strCache>
                <c:ptCount val="2"/>
                <c:pt idx="0">
                  <c:v>sc02</c:v>
                </c:pt>
                <c:pt idx="1">
                  <c:v>Nuclear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Output!$C$20:$Z$20</c:f>
              <c:numCache>
                <c:formatCode>0</c:formatCode>
                <c:ptCount val="24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488-4978-ABD3-A4644D1E349A}"/>
            </c:ext>
          </c:extLst>
        </c:ser>
        <c:ser>
          <c:idx val="19"/>
          <c:order val="19"/>
          <c:tx>
            <c:strRef>
              <c:f>Output!$A$21:$B$21</c:f>
              <c:strCache>
                <c:ptCount val="2"/>
                <c:pt idx="0">
                  <c:v>sc02</c:v>
                </c:pt>
                <c:pt idx="1">
                  <c:v>DomesticCoal_Anthracite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Output!$C$21:$Z$21</c:f>
              <c:numCache>
                <c:formatCode>0</c:formatCode>
                <c:ptCount val="24"/>
                <c:pt idx="0">
                  <c:v>235.2</c:v>
                </c:pt>
                <c:pt idx="1">
                  <c:v>235.2</c:v>
                </c:pt>
                <c:pt idx="2">
                  <c:v>235.2</c:v>
                </c:pt>
                <c:pt idx="3">
                  <c:v>235.2</c:v>
                </c:pt>
                <c:pt idx="4">
                  <c:v>235.2</c:v>
                </c:pt>
                <c:pt idx="5">
                  <c:v>235.2</c:v>
                </c:pt>
                <c:pt idx="6">
                  <c:v>235.2</c:v>
                </c:pt>
                <c:pt idx="7">
                  <c:v>235.2</c:v>
                </c:pt>
                <c:pt idx="8">
                  <c:v>317.43994817496701</c:v>
                </c:pt>
                <c:pt idx="9">
                  <c:v>246.49574839235302</c:v>
                </c:pt>
                <c:pt idx="10">
                  <c:v>235.2</c:v>
                </c:pt>
                <c:pt idx="11">
                  <c:v>235.2</c:v>
                </c:pt>
                <c:pt idx="12">
                  <c:v>235.2</c:v>
                </c:pt>
                <c:pt idx="13">
                  <c:v>235.2</c:v>
                </c:pt>
                <c:pt idx="14">
                  <c:v>235.2</c:v>
                </c:pt>
                <c:pt idx="15">
                  <c:v>235.2</c:v>
                </c:pt>
                <c:pt idx="16">
                  <c:v>235.2</c:v>
                </c:pt>
                <c:pt idx="17">
                  <c:v>235.2</c:v>
                </c:pt>
                <c:pt idx="18">
                  <c:v>355.93938456323156</c:v>
                </c:pt>
                <c:pt idx="19">
                  <c:v>235.2</c:v>
                </c:pt>
                <c:pt idx="20">
                  <c:v>235.2</c:v>
                </c:pt>
                <c:pt idx="21">
                  <c:v>235.2</c:v>
                </c:pt>
                <c:pt idx="22">
                  <c:v>235.2</c:v>
                </c:pt>
                <c:pt idx="23">
                  <c:v>235.2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488-4978-ABD3-A4644D1E349A}"/>
            </c:ext>
          </c:extLst>
        </c:ser>
        <c:ser>
          <c:idx val="20"/>
          <c:order val="20"/>
          <c:tx>
            <c:strRef>
              <c:f>Output!$A$22:$B$22</c:f>
              <c:strCache>
                <c:ptCount val="2"/>
                <c:pt idx="0">
                  <c:v>sc02</c:v>
                </c:pt>
                <c:pt idx="1">
                  <c:v>BrownLignite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Output!$C$22:$Z$22</c:f>
              <c:numCache>
                <c:formatCode>0</c:formatCode>
                <c:ptCount val="24"/>
                <c:pt idx="0">
                  <c:v>138.36369931906475</c:v>
                </c:pt>
                <c:pt idx="1">
                  <c:v>81.239999999999327</c:v>
                </c:pt>
                <c:pt idx="2">
                  <c:v>81.239999999999327</c:v>
                </c:pt>
                <c:pt idx="3">
                  <c:v>81.239999999999327</c:v>
                </c:pt>
                <c:pt idx="4">
                  <c:v>81.239999999999327</c:v>
                </c:pt>
                <c:pt idx="5">
                  <c:v>81.239999999999327</c:v>
                </c:pt>
                <c:pt idx="6">
                  <c:v>81.239999999999327</c:v>
                </c:pt>
                <c:pt idx="7">
                  <c:v>81.239999999999327</c:v>
                </c:pt>
                <c:pt idx="8">
                  <c:v>201.2399999999993</c:v>
                </c:pt>
                <c:pt idx="9">
                  <c:v>203.1</c:v>
                </c:pt>
                <c:pt idx="10">
                  <c:v>164.00561788706656</c:v>
                </c:pt>
                <c:pt idx="11">
                  <c:v>81.239999999999327</c:v>
                </c:pt>
                <c:pt idx="12">
                  <c:v>81.239999999999327</c:v>
                </c:pt>
                <c:pt idx="13">
                  <c:v>81.239999999999327</c:v>
                </c:pt>
                <c:pt idx="14">
                  <c:v>81.239999999999327</c:v>
                </c:pt>
                <c:pt idx="15">
                  <c:v>81.239999999999327</c:v>
                </c:pt>
                <c:pt idx="16">
                  <c:v>81.239999999999327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488-4978-ABD3-A4644D1E349A}"/>
            </c:ext>
          </c:extLst>
        </c:ser>
        <c:ser>
          <c:idx val="21"/>
          <c:order val="21"/>
          <c:tx>
            <c:strRef>
              <c:f>Output!$A$23:$B$23</c:f>
              <c:strCache>
                <c:ptCount val="2"/>
                <c:pt idx="0">
                  <c:v>sc02</c:v>
                </c:pt>
                <c:pt idx="1">
                  <c:v>ImportedCoal_SubBituminous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Output!$C$23:$Z$23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488-4978-ABD3-A4644D1E349A}"/>
            </c:ext>
          </c:extLst>
        </c:ser>
        <c:ser>
          <c:idx val="22"/>
          <c:order val="22"/>
          <c:tx>
            <c:strRef>
              <c:f>Output!$A$24:$B$24</c:f>
              <c:strCache>
                <c:ptCount val="2"/>
                <c:pt idx="0">
                  <c:v>sc02</c:v>
                </c:pt>
                <c:pt idx="1">
                  <c:v>ImportedCoal_Bituminous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Output!$C$24:$Z$24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488-4978-ABD3-A4644D1E349A}"/>
            </c:ext>
          </c:extLst>
        </c:ser>
        <c:ser>
          <c:idx val="23"/>
          <c:order val="23"/>
          <c:tx>
            <c:strRef>
              <c:f>Output!$A$25:$B$25</c:f>
              <c:strCache>
                <c:ptCount val="2"/>
                <c:pt idx="0">
                  <c:v>sc02</c:v>
                </c:pt>
                <c:pt idx="1">
                  <c:v>CCGT_1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Output!$C$25:$Z$25</c:f>
              <c:numCache>
                <c:formatCode>0</c:formatCode>
                <c:ptCount val="24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488-4978-ABD3-A4644D1E349A}"/>
            </c:ext>
          </c:extLst>
        </c:ser>
        <c:ser>
          <c:idx val="24"/>
          <c:order val="24"/>
          <c:tx>
            <c:strRef>
              <c:f>Output!$A$26:$B$26</c:f>
              <c:strCache>
                <c:ptCount val="2"/>
                <c:pt idx="0">
                  <c:v>sc02</c:v>
                </c:pt>
                <c:pt idx="1">
                  <c:v>CCGT_2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Output!$C$26:$Z$26</c:f>
              <c:numCache>
                <c:formatCode>0</c:formatCode>
                <c:ptCount val="24"/>
                <c:pt idx="0">
                  <c:v>500</c:v>
                </c:pt>
                <c:pt idx="1">
                  <c:v>417.98829290331105</c:v>
                </c:pt>
                <c:pt idx="2">
                  <c:v>272.39863482880202</c:v>
                </c:pt>
                <c:pt idx="3">
                  <c:v>195.25240599607383</c:v>
                </c:pt>
                <c:pt idx="4">
                  <c:v>138.90905806050273</c:v>
                </c:pt>
                <c:pt idx="5">
                  <c:v>158.90339927963106</c:v>
                </c:pt>
                <c:pt idx="6">
                  <c:v>458.31301060515682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494.73140932986382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488-4978-ABD3-A4644D1E349A}"/>
            </c:ext>
          </c:extLst>
        </c:ser>
        <c:ser>
          <c:idx val="25"/>
          <c:order val="25"/>
          <c:tx>
            <c:strRef>
              <c:f>Output!$A$27:$B$27</c:f>
              <c:strCache>
                <c:ptCount val="2"/>
                <c:pt idx="0">
                  <c:v>sc02</c:v>
                </c:pt>
                <c:pt idx="1">
                  <c:v>CCGT_3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Output!$C$27:$Z$27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496.382604829407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453.97965606438476</c:v>
                </c:pt>
                <c:pt idx="12">
                  <c:v>375.44752364170165</c:v>
                </c:pt>
                <c:pt idx="13">
                  <c:v>314.85057792757863</c:v>
                </c:pt>
                <c:pt idx="14">
                  <c:v>233.35023116164507</c:v>
                </c:pt>
                <c:pt idx="15">
                  <c:v>196.79745687598313</c:v>
                </c:pt>
                <c:pt idx="16">
                  <c:v>256.46600495375702</c:v>
                </c:pt>
                <c:pt idx="17">
                  <c:v>411.42817128726074</c:v>
                </c:pt>
                <c:pt idx="18">
                  <c:v>500</c:v>
                </c:pt>
                <c:pt idx="19">
                  <c:v>490.36571417214634</c:v>
                </c:pt>
                <c:pt idx="20">
                  <c:v>372.83552867979495</c:v>
                </c:pt>
                <c:pt idx="21">
                  <c:v>244.31845559184913</c:v>
                </c:pt>
                <c:pt idx="22">
                  <c:v>161.5819509327284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488-4978-ABD3-A4644D1E349A}"/>
            </c:ext>
          </c:extLst>
        </c:ser>
        <c:ser>
          <c:idx val="26"/>
          <c:order val="26"/>
          <c:tx>
            <c:strRef>
              <c:f>Output!$A$28:$B$28</c:f>
              <c:strCache>
                <c:ptCount val="2"/>
                <c:pt idx="0">
                  <c:v>sc02</c:v>
                </c:pt>
                <c:pt idx="1">
                  <c:v>CCGT_4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Output!$C$28:$Z$28</c:f>
              <c:numCache>
                <c:formatCode>0</c:formatCode>
                <c:ptCount val="24"/>
                <c:pt idx="0">
                  <c:v>667.5</c:v>
                </c:pt>
                <c:pt idx="1">
                  <c:v>667.5</c:v>
                </c:pt>
                <c:pt idx="2">
                  <c:v>667.5</c:v>
                </c:pt>
                <c:pt idx="3">
                  <c:v>667.5</c:v>
                </c:pt>
                <c:pt idx="4">
                  <c:v>667.5</c:v>
                </c:pt>
                <c:pt idx="5">
                  <c:v>667.5</c:v>
                </c:pt>
                <c:pt idx="6">
                  <c:v>667.5</c:v>
                </c:pt>
                <c:pt idx="7">
                  <c:v>667.5</c:v>
                </c:pt>
                <c:pt idx="8">
                  <c:v>667.5</c:v>
                </c:pt>
                <c:pt idx="9">
                  <c:v>667.5</c:v>
                </c:pt>
                <c:pt idx="10">
                  <c:v>667.5</c:v>
                </c:pt>
                <c:pt idx="11">
                  <c:v>667.5</c:v>
                </c:pt>
                <c:pt idx="12">
                  <c:v>667.5</c:v>
                </c:pt>
                <c:pt idx="13">
                  <c:v>667.5</c:v>
                </c:pt>
                <c:pt idx="14">
                  <c:v>667.5</c:v>
                </c:pt>
                <c:pt idx="15">
                  <c:v>667.5</c:v>
                </c:pt>
                <c:pt idx="16">
                  <c:v>667.5</c:v>
                </c:pt>
                <c:pt idx="17">
                  <c:v>667.5</c:v>
                </c:pt>
                <c:pt idx="18">
                  <c:v>667.5</c:v>
                </c:pt>
                <c:pt idx="19">
                  <c:v>667.5</c:v>
                </c:pt>
                <c:pt idx="20">
                  <c:v>667.5</c:v>
                </c:pt>
                <c:pt idx="21">
                  <c:v>667.5</c:v>
                </c:pt>
                <c:pt idx="22">
                  <c:v>667.5</c:v>
                </c:pt>
                <c:pt idx="23">
                  <c:v>667.5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488-4978-ABD3-A4644D1E349A}"/>
            </c:ext>
          </c:extLst>
        </c:ser>
        <c:ser>
          <c:idx val="27"/>
          <c:order val="27"/>
          <c:tx>
            <c:strRef>
              <c:f>Output!$A$29:$B$29</c:f>
              <c:strCache>
                <c:ptCount val="2"/>
                <c:pt idx="0">
                  <c:v>sc02</c:v>
                </c:pt>
                <c:pt idx="1">
                  <c:v>OCGT_1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Output!$C$29:$Z$29</c:f>
              <c:numCache>
                <c:formatCode>0</c:formatCode>
                <c:ptCount val="24"/>
                <c:pt idx="0">
                  <c:v>99.999999999999744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100</c:v>
                </c:pt>
                <c:pt idx="10">
                  <c:v>99.999999999988987</c:v>
                </c:pt>
                <c:pt idx="11">
                  <c:v>100.00000000000041</c:v>
                </c:pt>
                <c:pt idx="12">
                  <c:v>100.00000000000038</c:v>
                </c:pt>
                <c:pt idx="13">
                  <c:v>100.0000000000023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99.999999999999673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99.999999999999616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488-4978-ABD3-A4644D1E349A}"/>
            </c:ext>
          </c:extLst>
        </c:ser>
        <c:ser>
          <c:idx val="28"/>
          <c:order val="28"/>
          <c:tx>
            <c:strRef>
              <c:f>Output!$A$30:$B$30</c:f>
              <c:strCache>
                <c:ptCount val="2"/>
                <c:pt idx="0">
                  <c:v>sc02</c:v>
                </c:pt>
                <c:pt idx="1">
                  <c:v>OCGT_2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Output!$C$30:$Z$30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99.999999999999588</c:v>
                </c:pt>
                <c:pt idx="19">
                  <c:v>100</c:v>
                </c:pt>
                <c:pt idx="20">
                  <c:v>100.00000000000018</c:v>
                </c:pt>
                <c:pt idx="21">
                  <c:v>100.00000000000009</c:v>
                </c:pt>
                <c:pt idx="22">
                  <c:v>0</c:v>
                </c:pt>
                <c:pt idx="23">
                  <c:v>99.999999999999616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488-4978-ABD3-A4644D1E349A}"/>
            </c:ext>
          </c:extLst>
        </c:ser>
        <c:ser>
          <c:idx val="29"/>
          <c:order val="29"/>
          <c:tx>
            <c:strRef>
              <c:f>Output!$A$31:$B$31</c:f>
              <c:strCache>
                <c:ptCount val="2"/>
                <c:pt idx="0">
                  <c:v>sc02</c:v>
                </c:pt>
                <c:pt idx="1">
                  <c:v>OCGT_3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Output!$C$31:$Z$31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488-4978-ABD3-A4644D1E349A}"/>
            </c:ext>
          </c:extLst>
        </c:ser>
        <c:ser>
          <c:idx val="30"/>
          <c:order val="30"/>
          <c:tx>
            <c:strRef>
              <c:f>Output!$A$32:$B$32</c:f>
              <c:strCache>
                <c:ptCount val="2"/>
                <c:pt idx="0">
                  <c:v>sc02</c:v>
                </c:pt>
                <c:pt idx="1">
                  <c:v>FuelOilGas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Output!$C$32:$Z$32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488-4978-ABD3-A4644D1E349A}"/>
            </c:ext>
          </c:extLst>
        </c:ser>
        <c:ser>
          <c:idx val="31"/>
          <c:order val="31"/>
          <c:tx>
            <c:strRef>
              <c:f>Output!$A$33:$B$33</c:f>
              <c:strCache>
                <c:ptCount val="2"/>
                <c:pt idx="0">
                  <c:v>sc02</c:v>
                </c:pt>
                <c:pt idx="1">
                  <c:v>RunOfRiver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Output!$C$33:$Z$33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488-4978-ABD3-A4644D1E349A}"/>
            </c:ext>
          </c:extLst>
        </c:ser>
        <c:ser>
          <c:idx val="32"/>
          <c:order val="32"/>
          <c:tx>
            <c:strRef>
              <c:f>Output!$A$34:$B$34</c:f>
              <c:strCache>
                <c:ptCount val="2"/>
                <c:pt idx="0">
                  <c:v>sc02</c:v>
                </c:pt>
                <c:pt idx="1">
                  <c:v>StorageHydro1_Basin1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Output!$C$34:$Z$34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488-4978-ABD3-A4644D1E349A}"/>
            </c:ext>
          </c:extLst>
        </c:ser>
        <c:ser>
          <c:idx val="33"/>
          <c:order val="33"/>
          <c:tx>
            <c:strRef>
              <c:f>Output!$A$35:$B$35</c:f>
              <c:strCache>
                <c:ptCount val="2"/>
                <c:pt idx="0">
                  <c:v>sc02</c:v>
                </c:pt>
                <c:pt idx="1">
                  <c:v>StorageHydro2_Basin1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Output!$C$35:$Z$35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488-4978-ABD3-A4644D1E349A}"/>
            </c:ext>
          </c:extLst>
        </c:ser>
        <c:ser>
          <c:idx val="34"/>
          <c:order val="34"/>
          <c:tx>
            <c:strRef>
              <c:f>Output!$A$36:$B$36</c:f>
              <c:strCache>
                <c:ptCount val="2"/>
                <c:pt idx="0">
                  <c:v>sc02</c:v>
                </c:pt>
                <c:pt idx="1">
                  <c:v>StorageHydro3_Basin1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Output!$C$36:$Z$36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488-4978-ABD3-A4644D1E349A}"/>
            </c:ext>
          </c:extLst>
        </c:ser>
        <c:ser>
          <c:idx val="35"/>
          <c:order val="35"/>
          <c:tx>
            <c:strRef>
              <c:f>Output!$A$37:$B$37</c:f>
              <c:strCache>
                <c:ptCount val="2"/>
                <c:pt idx="0">
                  <c:v>sc02</c:v>
                </c:pt>
                <c:pt idx="1">
                  <c:v>PumpedStorageHydro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Output!$C$37:$Z$37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488-4978-ABD3-A4644D1E349A}"/>
            </c:ext>
          </c:extLst>
        </c:ser>
        <c:ser>
          <c:idx val="36"/>
          <c:order val="36"/>
          <c:tx>
            <c:strRef>
              <c:f>Output!$A$38:$B$38</c:f>
              <c:strCache>
                <c:ptCount val="2"/>
                <c:pt idx="0">
                  <c:v>sc03</c:v>
                </c:pt>
                <c:pt idx="1">
                  <c:v>Nuclear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Output!$C$38:$Z$38</c:f>
              <c:numCache>
                <c:formatCode>0</c:formatCode>
                <c:ptCount val="24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488-4978-ABD3-A4644D1E349A}"/>
            </c:ext>
          </c:extLst>
        </c:ser>
        <c:ser>
          <c:idx val="37"/>
          <c:order val="37"/>
          <c:tx>
            <c:strRef>
              <c:f>Output!$A$39:$B$39</c:f>
              <c:strCache>
                <c:ptCount val="2"/>
                <c:pt idx="0">
                  <c:v>sc03</c:v>
                </c:pt>
                <c:pt idx="1">
                  <c:v>DomesticCoal_Anthracite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Output!$C$39:$Z$39</c:f>
              <c:numCache>
                <c:formatCode>0</c:formatCode>
                <c:ptCount val="24"/>
                <c:pt idx="0">
                  <c:v>235.2</c:v>
                </c:pt>
                <c:pt idx="1">
                  <c:v>235.2</c:v>
                </c:pt>
                <c:pt idx="2">
                  <c:v>235.2</c:v>
                </c:pt>
                <c:pt idx="3">
                  <c:v>235.2</c:v>
                </c:pt>
                <c:pt idx="4">
                  <c:v>235.2</c:v>
                </c:pt>
                <c:pt idx="5">
                  <c:v>235.2</c:v>
                </c:pt>
                <c:pt idx="6">
                  <c:v>235.2</c:v>
                </c:pt>
                <c:pt idx="7">
                  <c:v>235.2</c:v>
                </c:pt>
                <c:pt idx="8">
                  <c:v>235.2</c:v>
                </c:pt>
                <c:pt idx="9">
                  <c:v>235.2</c:v>
                </c:pt>
                <c:pt idx="10">
                  <c:v>235.2</c:v>
                </c:pt>
                <c:pt idx="11">
                  <c:v>235.2</c:v>
                </c:pt>
                <c:pt idx="12">
                  <c:v>235.2</c:v>
                </c:pt>
                <c:pt idx="13">
                  <c:v>235.2</c:v>
                </c:pt>
                <c:pt idx="14">
                  <c:v>235.2</c:v>
                </c:pt>
                <c:pt idx="15">
                  <c:v>235.2</c:v>
                </c:pt>
                <c:pt idx="16">
                  <c:v>235.2</c:v>
                </c:pt>
                <c:pt idx="17">
                  <c:v>235.2</c:v>
                </c:pt>
                <c:pt idx="18">
                  <c:v>235.2</c:v>
                </c:pt>
                <c:pt idx="19">
                  <c:v>235.2</c:v>
                </c:pt>
                <c:pt idx="20">
                  <c:v>235.2</c:v>
                </c:pt>
                <c:pt idx="21">
                  <c:v>235.2</c:v>
                </c:pt>
                <c:pt idx="22">
                  <c:v>235.2</c:v>
                </c:pt>
                <c:pt idx="23">
                  <c:v>235.2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9488-4978-ABD3-A4644D1E349A}"/>
            </c:ext>
          </c:extLst>
        </c:ser>
        <c:ser>
          <c:idx val="38"/>
          <c:order val="38"/>
          <c:tx>
            <c:strRef>
              <c:f>Output!$A$40:$B$40</c:f>
              <c:strCache>
                <c:ptCount val="2"/>
                <c:pt idx="0">
                  <c:v>sc03</c:v>
                </c:pt>
                <c:pt idx="1">
                  <c:v>BrownLignite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Output!$C$40:$Z$40</c:f>
              <c:numCache>
                <c:formatCode>0</c:formatCode>
                <c:ptCount val="24"/>
                <c:pt idx="0">
                  <c:v>83.100000000000009</c:v>
                </c:pt>
                <c:pt idx="1">
                  <c:v>81.239999999999327</c:v>
                </c:pt>
                <c:pt idx="2">
                  <c:v>81.239999999999327</c:v>
                </c:pt>
                <c:pt idx="3">
                  <c:v>81.239999999999327</c:v>
                </c:pt>
                <c:pt idx="4">
                  <c:v>81.239999999999327</c:v>
                </c:pt>
                <c:pt idx="5">
                  <c:v>81.239999999999327</c:v>
                </c:pt>
                <c:pt idx="6">
                  <c:v>81.239999999999327</c:v>
                </c:pt>
                <c:pt idx="7">
                  <c:v>81.239999999999327</c:v>
                </c:pt>
                <c:pt idx="8">
                  <c:v>81.239999999999327</c:v>
                </c:pt>
                <c:pt idx="9">
                  <c:v>81.239999999999327</c:v>
                </c:pt>
                <c:pt idx="10">
                  <c:v>81.239999999999327</c:v>
                </c:pt>
                <c:pt idx="11">
                  <c:v>81.239999999999327</c:v>
                </c:pt>
                <c:pt idx="12">
                  <c:v>81.239999999999327</c:v>
                </c:pt>
                <c:pt idx="13">
                  <c:v>81.239999999999327</c:v>
                </c:pt>
                <c:pt idx="14">
                  <c:v>81.239999999999327</c:v>
                </c:pt>
                <c:pt idx="15">
                  <c:v>81.239999999999327</c:v>
                </c:pt>
                <c:pt idx="16">
                  <c:v>81.239999999999327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9488-4978-ABD3-A4644D1E349A}"/>
            </c:ext>
          </c:extLst>
        </c:ser>
        <c:ser>
          <c:idx val="39"/>
          <c:order val="39"/>
          <c:tx>
            <c:strRef>
              <c:f>Output!$A$41:$B$41</c:f>
              <c:strCache>
                <c:ptCount val="2"/>
                <c:pt idx="0">
                  <c:v>sc03</c:v>
                </c:pt>
                <c:pt idx="1">
                  <c:v>ImportedCoal_SubBituminous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Output!$C$41:$Z$41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9488-4978-ABD3-A4644D1E349A}"/>
            </c:ext>
          </c:extLst>
        </c:ser>
        <c:ser>
          <c:idx val="40"/>
          <c:order val="40"/>
          <c:tx>
            <c:strRef>
              <c:f>Output!$A$42:$B$42</c:f>
              <c:strCache>
                <c:ptCount val="2"/>
                <c:pt idx="0">
                  <c:v>sc03</c:v>
                </c:pt>
                <c:pt idx="1">
                  <c:v>ImportedCoal_Bituminous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Output!$C$42:$Z$42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9488-4978-ABD3-A4644D1E349A}"/>
            </c:ext>
          </c:extLst>
        </c:ser>
        <c:ser>
          <c:idx val="41"/>
          <c:order val="41"/>
          <c:tx>
            <c:strRef>
              <c:f>Output!$A$43:$B$43</c:f>
              <c:strCache>
                <c:ptCount val="2"/>
                <c:pt idx="0">
                  <c:v>sc03</c:v>
                </c:pt>
                <c:pt idx="1">
                  <c:v>CCGT_1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Output!$C$43:$Z$43</c:f>
              <c:numCache>
                <c:formatCode>0</c:formatCode>
                <c:ptCount val="24"/>
                <c:pt idx="0">
                  <c:v>500</c:v>
                </c:pt>
                <c:pt idx="1">
                  <c:v>500</c:v>
                </c:pt>
                <c:pt idx="2">
                  <c:v>413.883960294556</c:v>
                </c:pt>
                <c:pt idx="3">
                  <c:v>352.95096273547989</c:v>
                </c:pt>
                <c:pt idx="4">
                  <c:v>318.69425934726081</c:v>
                </c:pt>
                <c:pt idx="5">
                  <c:v>382.13335140527516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9488-4978-ABD3-A4644D1E349A}"/>
            </c:ext>
          </c:extLst>
        </c:ser>
        <c:ser>
          <c:idx val="42"/>
          <c:order val="42"/>
          <c:tx>
            <c:strRef>
              <c:f>Output!$A$44:$B$44</c:f>
              <c:strCache>
                <c:ptCount val="2"/>
                <c:pt idx="0">
                  <c:v>sc03</c:v>
                </c:pt>
                <c:pt idx="1">
                  <c:v>CCGT_2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Output!$C$44:$Z$44</c:f>
              <c:numCache>
                <c:formatCode>0</c:formatCode>
                <c:ptCount val="24"/>
                <c:pt idx="0">
                  <c:v>274.36201439133669</c:v>
                </c:pt>
                <c:pt idx="1">
                  <c:v>141.57860891961303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285.02662538381384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491.52986299566027</c:v>
                </c:pt>
                <c:pt idx="13">
                  <c:v>347.49643943720821</c:v>
                </c:pt>
                <c:pt idx="14">
                  <c:v>238.99737828253072</c:v>
                </c:pt>
                <c:pt idx="15">
                  <c:v>200.61679555068054</c:v>
                </c:pt>
                <c:pt idx="16">
                  <c:v>279.28261883368054</c:v>
                </c:pt>
                <c:pt idx="17">
                  <c:v>477.36284181986031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432.8218027767129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9488-4978-ABD3-A4644D1E349A}"/>
            </c:ext>
          </c:extLst>
        </c:ser>
        <c:ser>
          <c:idx val="43"/>
          <c:order val="43"/>
          <c:tx>
            <c:strRef>
              <c:f>Output!$A$45:$B$45</c:f>
              <c:strCache>
                <c:ptCount val="2"/>
                <c:pt idx="0">
                  <c:v>sc03</c:v>
                </c:pt>
                <c:pt idx="1">
                  <c:v>CCGT_3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Output!$C$45:$Z$45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298.26440830904198</c:v>
                </c:pt>
                <c:pt idx="8">
                  <c:v>489.76071705722711</c:v>
                </c:pt>
                <c:pt idx="9">
                  <c:v>438.24688650844899</c:v>
                </c:pt>
                <c:pt idx="10">
                  <c:v>433.81216807435021</c:v>
                </c:pt>
                <c:pt idx="11">
                  <c:v>262.83644183561671</c:v>
                </c:pt>
                <c:pt idx="12">
                  <c:v>100.00000000000043</c:v>
                </c:pt>
                <c:pt idx="13">
                  <c:v>100.00000000000043</c:v>
                </c:pt>
                <c:pt idx="14">
                  <c:v>100.00000000000043</c:v>
                </c:pt>
                <c:pt idx="15">
                  <c:v>100.00000000000043</c:v>
                </c:pt>
                <c:pt idx="16">
                  <c:v>100.00000000000043</c:v>
                </c:pt>
                <c:pt idx="17">
                  <c:v>100.00000000000043</c:v>
                </c:pt>
                <c:pt idx="18">
                  <c:v>404.46789784488669</c:v>
                </c:pt>
                <c:pt idx="19">
                  <c:v>428.66714098630132</c:v>
                </c:pt>
                <c:pt idx="20">
                  <c:v>383.41235994068501</c:v>
                </c:pt>
                <c:pt idx="21">
                  <c:v>239.55128977669014</c:v>
                </c:pt>
                <c:pt idx="22">
                  <c:v>107.02879509436144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9488-4978-ABD3-A4644D1E349A}"/>
            </c:ext>
          </c:extLst>
        </c:ser>
        <c:ser>
          <c:idx val="44"/>
          <c:order val="44"/>
          <c:tx>
            <c:strRef>
              <c:f>Output!$A$46:$B$46</c:f>
              <c:strCache>
                <c:ptCount val="2"/>
                <c:pt idx="0">
                  <c:v>sc03</c:v>
                </c:pt>
                <c:pt idx="1">
                  <c:v>CCGT_4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Output!$C$46:$Z$46</c:f>
              <c:numCache>
                <c:formatCode>0</c:formatCode>
                <c:ptCount val="24"/>
                <c:pt idx="0">
                  <c:v>667.5</c:v>
                </c:pt>
                <c:pt idx="1">
                  <c:v>667.5</c:v>
                </c:pt>
                <c:pt idx="2">
                  <c:v>667.5</c:v>
                </c:pt>
                <c:pt idx="3">
                  <c:v>667.5</c:v>
                </c:pt>
                <c:pt idx="4">
                  <c:v>667.5</c:v>
                </c:pt>
                <c:pt idx="5">
                  <c:v>667.5</c:v>
                </c:pt>
                <c:pt idx="6">
                  <c:v>667.5</c:v>
                </c:pt>
                <c:pt idx="7">
                  <c:v>667.5</c:v>
                </c:pt>
                <c:pt idx="8">
                  <c:v>667.5</c:v>
                </c:pt>
                <c:pt idx="9">
                  <c:v>667.5</c:v>
                </c:pt>
                <c:pt idx="10">
                  <c:v>667.5</c:v>
                </c:pt>
                <c:pt idx="11">
                  <c:v>667.5</c:v>
                </c:pt>
                <c:pt idx="12">
                  <c:v>667.5</c:v>
                </c:pt>
                <c:pt idx="13">
                  <c:v>667.5</c:v>
                </c:pt>
                <c:pt idx="14">
                  <c:v>667.5</c:v>
                </c:pt>
                <c:pt idx="15">
                  <c:v>667.5</c:v>
                </c:pt>
                <c:pt idx="16">
                  <c:v>667.5</c:v>
                </c:pt>
                <c:pt idx="17">
                  <c:v>667.5</c:v>
                </c:pt>
                <c:pt idx="18">
                  <c:v>667.5</c:v>
                </c:pt>
                <c:pt idx="19">
                  <c:v>667.5</c:v>
                </c:pt>
                <c:pt idx="20">
                  <c:v>667.5</c:v>
                </c:pt>
                <c:pt idx="21">
                  <c:v>667.5</c:v>
                </c:pt>
                <c:pt idx="22">
                  <c:v>667.5</c:v>
                </c:pt>
                <c:pt idx="23">
                  <c:v>667.5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488-4978-ABD3-A4644D1E349A}"/>
            </c:ext>
          </c:extLst>
        </c:ser>
        <c:ser>
          <c:idx val="45"/>
          <c:order val="45"/>
          <c:tx>
            <c:strRef>
              <c:f>Output!$A$47:$B$47</c:f>
              <c:strCache>
                <c:ptCount val="2"/>
                <c:pt idx="0">
                  <c:v>sc03</c:v>
                </c:pt>
                <c:pt idx="1">
                  <c:v>OCGT_1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Output!$C$47:$Z$47</c:f>
              <c:numCache>
                <c:formatCode>0</c:formatCode>
                <c:ptCount val="24"/>
                <c:pt idx="0">
                  <c:v>99.999999999999744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100</c:v>
                </c:pt>
                <c:pt idx="10">
                  <c:v>99.999999999988987</c:v>
                </c:pt>
                <c:pt idx="11">
                  <c:v>100.00000000000041</c:v>
                </c:pt>
                <c:pt idx="12">
                  <c:v>100.00000000000038</c:v>
                </c:pt>
                <c:pt idx="13">
                  <c:v>100.0000000000023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99.999999999999673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99.999999999999616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9488-4978-ABD3-A4644D1E349A}"/>
            </c:ext>
          </c:extLst>
        </c:ser>
        <c:ser>
          <c:idx val="46"/>
          <c:order val="46"/>
          <c:tx>
            <c:strRef>
              <c:f>Output!$A$48:$B$48</c:f>
              <c:strCache>
                <c:ptCount val="2"/>
                <c:pt idx="0">
                  <c:v>sc03</c:v>
                </c:pt>
                <c:pt idx="1">
                  <c:v>OCGT_2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Output!$C$48:$Z$48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99.999999999999588</c:v>
                </c:pt>
                <c:pt idx="19">
                  <c:v>100</c:v>
                </c:pt>
                <c:pt idx="20">
                  <c:v>100.00000000000018</c:v>
                </c:pt>
                <c:pt idx="21">
                  <c:v>100.00000000000009</c:v>
                </c:pt>
                <c:pt idx="22">
                  <c:v>0</c:v>
                </c:pt>
                <c:pt idx="23">
                  <c:v>99.999999999999616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9488-4978-ABD3-A4644D1E349A}"/>
            </c:ext>
          </c:extLst>
        </c:ser>
        <c:ser>
          <c:idx val="47"/>
          <c:order val="47"/>
          <c:tx>
            <c:strRef>
              <c:f>Output!$A$49:$B$49</c:f>
              <c:strCache>
                <c:ptCount val="2"/>
                <c:pt idx="0">
                  <c:v>sc03</c:v>
                </c:pt>
                <c:pt idx="1">
                  <c:v>OCGT_3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Output!$C$49:$Z$49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9488-4978-ABD3-A4644D1E349A}"/>
            </c:ext>
          </c:extLst>
        </c:ser>
        <c:ser>
          <c:idx val="48"/>
          <c:order val="48"/>
          <c:tx>
            <c:strRef>
              <c:f>Output!$A$50:$B$50</c:f>
              <c:strCache>
                <c:ptCount val="2"/>
                <c:pt idx="0">
                  <c:v>sc03</c:v>
                </c:pt>
                <c:pt idx="1">
                  <c:v>FuelOilGas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Output!$C$50:$Z$50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9488-4978-ABD3-A4644D1E349A}"/>
            </c:ext>
          </c:extLst>
        </c:ser>
        <c:ser>
          <c:idx val="49"/>
          <c:order val="49"/>
          <c:tx>
            <c:strRef>
              <c:f>Output!$A$51:$B$51</c:f>
              <c:strCache>
                <c:ptCount val="2"/>
                <c:pt idx="0">
                  <c:v>sc03</c:v>
                </c:pt>
                <c:pt idx="1">
                  <c:v>RunOfRiver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Output!$C$51:$Z$51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9488-4978-ABD3-A4644D1E349A}"/>
            </c:ext>
          </c:extLst>
        </c:ser>
        <c:ser>
          <c:idx val="50"/>
          <c:order val="50"/>
          <c:tx>
            <c:strRef>
              <c:f>Output!$A$52:$B$52</c:f>
              <c:strCache>
                <c:ptCount val="2"/>
                <c:pt idx="0">
                  <c:v>sc03</c:v>
                </c:pt>
                <c:pt idx="1">
                  <c:v>StorageHydro1_Basin1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Output!$C$52:$Z$52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9488-4978-ABD3-A4644D1E349A}"/>
            </c:ext>
          </c:extLst>
        </c:ser>
        <c:ser>
          <c:idx val="51"/>
          <c:order val="51"/>
          <c:tx>
            <c:strRef>
              <c:f>Output!$A$53:$B$53</c:f>
              <c:strCache>
                <c:ptCount val="2"/>
                <c:pt idx="0">
                  <c:v>sc03</c:v>
                </c:pt>
                <c:pt idx="1">
                  <c:v>StorageHydro2_Basin1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Output!$C$53:$Z$53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9488-4978-ABD3-A4644D1E349A}"/>
            </c:ext>
          </c:extLst>
        </c:ser>
        <c:ser>
          <c:idx val="52"/>
          <c:order val="52"/>
          <c:tx>
            <c:strRef>
              <c:f>Output!$A$54:$B$54</c:f>
              <c:strCache>
                <c:ptCount val="2"/>
                <c:pt idx="0">
                  <c:v>sc03</c:v>
                </c:pt>
                <c:pt idx="1">
                  <c:v>StorageHydro3_Basin1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Output!$C$54:$Z$54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9488-4978-ABD3-A4644D1E349A}"/>
            </c:ext>
          </c:extLst>
        </c:ser>
        <c:ser>
          <c:idx val="53"/>
          <c:order val="53"/>
          <c:tx>
            <c:strRef>
              <c:f>Output!$A$55:$B$55</c:f>
              <c:strCache>
                <c:ptCount val="2"/>
                <c:pt idx="0">
                  <c:v>sc03</c:v>
                </c:pt>
                <c:pt idx="1">
                  <c:v>PumpedStorageHydro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Output!$C$55:$Z$55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9488-4978-ABD3-A4644D1E3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276288"/>
        <c:axId val="1894290016"/>
      </c:areaChart>
      <c:catAx>
        <c:axId val="1894276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4290016"/>
        <c:crosses val="autoZero"/>
        <c:auto val="1"/>
        <c:lblAlgn val="ctr"/>
        <c:lblOffset val="100"/>
        <c:noMultiLvlLbl val="0"/>
      </c:catAx>
      <c:valAx>
        <c:axId val="189429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Output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4276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IG!$A$2</c:f>
              <c:strCache>
                <c:ptCount val="1"/>
                <c:pt idx="0">
                  <c:v>sc01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IG!$B$1:$Y$1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IG!$B$2:$Y$2</c:f>
              <c:numCache>
                <c:formatCode>0</c:formatCode>
                <c:ptCount val="24"/>
                <c:pt idx="0">
                  <c:v>450.3</c:v>
                </c:pt>
                <c:pt idx="1">
                  <c:v>450.60000000000008</c:v>
                </c:pt>
                <c:pt idx="2">
                  <c:v>475.2</c:v>
                </c:pt>
                <c:pt idx="3">
                  <c:v>465.1</c:v>
                </c:pt>
                <c:pt idx="4">
                  <c:v>477.2</c:v>
                </c:pt>
                <c:pt idx="5">
                  <c:v>458.80000000000007</c:v>
                </c:pt>
                <c:pt idx="6">
                  <c:v>452.2</c:v>
                </c:pt>
                <c:pt idx="7">
                  <c:v>431.2</c:v>
                </c:pt>
                <c:pt idx="8">
                  <c:v>459.7</c:v>
                </c:pt>
                <c:pt idx="9">
                  <c:v>503</c:v>
                </c:pt>
                <c:pt idx="10">
                  <c:v>489.5</c:v>
                </c:pt>
                <c:pt idx="11">
                  <c:v>519</c:v>
                </c:pt>
                <c:pt idx="12">
                  <c:v>543.79999999999995</c:v>
                </c:pt>
                <c:pt idx="13">
                  <c:v>567.9</c:v>
                </c:pt>
                <c:pt idx="14">
                  <c:v>588.9</c:v>
                </c:pt>
                <c:pt idx="15">
                  <c:v>599.5</c:v>
                </c:pt>
                <c:pt idx="16">
                  <c:v>619.1</c:v>
                </c:pt>
                <c:pt idx="17">
                  <c:v>619</c:v>
                </c:pt>
                <c:pt idx="18">
                  <c:v>699.7</c:v>
                </c:pt>
                <c:pt idx="19">
                  <c:v>763.50000000000011</c:v>
                </c:pt>
                <c:pt idx="20">
                  <c:v>768.3</c:v>
                </c:pt>
                <c:pt idx="21">
                  <c:v>793.8</c:v>
                </c:pt>
                <c:pt idx="22">
                  <c:v>818.5</c:v>
                </c:pt>
                <c:pt idx="23">
                  <c:v>791.3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BD-468E-8D03-91A3139E1717}"/>
            </c:ext>
          </c:extLst>
        </c:ser>
        <c:ser>
          <c:idx val="1"/>
          <c:order val="1"/>
          <c:tx>
            <c:strRef>
              <c:f>IG!$A$3</c:f>
              <c:strCache>
                <c:ptCount val="1"/>
                <c:pt idx="0">
                  <c:v>sc02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IG!$B$1:$Y$1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IG!$B$3:$Y$3</c:f>
              <c:numCache>
                <c:formatCode>0</c:formatCode>
                <c:ptCount val="24"/>
                <c:pt idx="0">
                  <c:v>354.93630068093597</c:v>
                </c:pt>
                <c:pt idx="1">
                  <c:v>345.07170709668998</c:v>
                </c:pt>
                <c:pt idx="2">
                  <c:v>370.66136517119901</c:v>
                </c:pt>
                <c:pt idx="3">
                  <c:v>383.80759400392708</c:v>
                </c:pt>
                <c:pt idx="4">
                  <c:v>429.15094193949807</c:v>
                </c:pt>
                <c:pt idx="5">
                  <c:v>430.15660072037002</c:v>
                </c:pt>
                <c:pt idx="6">
                  <c:v>419.74698939484398</c:v>
                </c:pt>
                <c:pt idx="7">
                  <c:v>384.67739517059402</c:v>
                </c:pt>
                <c:pt idx="8">
                  <c:v>424.820051825034</c:v>
                </c:pt>
                <c:pt idx="9">
                  <c:v>521.90425160764801</c:v>
                </c:pt>
                <c:pt idx="10">
                  <c:v>603.29438211294496</c:v>
                </c:pt>
                <c:pt idx="11">
                  <c:v>700.08034393561604</c:v>
                </c:pt>
                <c:pt idx="12">
                  <c:v>719.61247635829898</c:v>
                </c:pt>
                <c:pt idx="13">
                  <c:v>696.20942207242001</c:v>
                </c:pt>
                <c:pt idx="14">
                  <c:v>674.70976883835601</c:v>
                </c:pt>
                <c:pt idx="15">
                  <c:v>682.26254312401807</c:v>
                </c:pt>
                <c:pt idx="16">
                  <c:v>696.593995046244</c:v>
                </c:pt>
                <c:pt idx="17">
                  <c:v>671.87182871274001</c:v>
                </c:pt>
                <c:pt idx="18">
                  <c:v>755.56061543676901</c:v>
                </c:pt>
                <c:pt idx="19">
                  <c:v>872.93428582785396</c:v>
                </c:pt>
                <c:pt idx="20">
                  <c:v>934.46447132020501</c:v>
                </c:pt>
                <c:pt idx="21">
                  <c:v>949.98154440815097</c:v>
                </c:pt>
                <c:pt idx="22">
                  <c:v>908.71804906727209</c:v>
                </c:pt>
                <c:pt idx="23">
                  <c:v>816.56859067013704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BD-468E-8D03-91A3139E1717}"/>
            </c:ext>
          </c:extLst>
        </c:ser>
        <c:ser>
          <c:idx val="2"/>
          <c:order val="2"/>
          <c:tx>
            <c:strRef>
              <c:f>IG!$A$4</c:f>
              <c:strCache>
                <c:ptCount val="1"/>
                <c:pt idx="0">
                  <c:v>sc03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IG!$B$1:$Y$1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IG!$B$4:$Y$4</c:f>
              <c:numCache>
                <c:formatCode>0</c:formatCode>
                <c:ptCount val="24"/>
                <c:pt idx="0">
                  <c:v>635.83798560866398</c:v>
                </c:pt>
                <c:pt idx="1">
                  <c:v>621.48139108038799</c:v>
                </c:pt>
                <c:pt idx="2">
                  <c:v>629.17603970544496</c:v>
                </c:pt>
                <c:pt idx="3">
                  <c:v>626.10903726452102</c:v>
                </c:pt>
                <c:pt idx="4">
                  <c:v>649.36574065273999</c:v>
                </c:pt>
                <c:pt idx="5">
                  <c:v>606.92664859472598</c:v>
                </c:pt>
                <c:pt idx="6">
                  <c:v>593.03337461618696</c:v>
                </c:pt>
                <c:pt idx="7">
                  <c:v>582.79559169095899</c:v>
                </c:pt>
                <c:pt idx="8">
                  <c:v>637.29928294277397</c:v>
                </c:pt>
                <c:pt idx="9">
                  <c:v>716.81311349155203</c:v>
                </c:pt>
                <c:pt idx="10">
                  <c:v>752.24783192566201</c:v>
                </c:pt>
                <c:pt idx="11">
                  <c:v>891.22355816438403</c:v>
                </c:pt>
                <c:pt idx="12">
                  <c:v>1003.5301370043398</c:v>
                </c:pt>
                <c:pt idx="13">
                  <c:v>1063.5635605627899</c:v>
                </c:pt>
                <c:pt idx="14">
                  <c:v>1069.0626217174699</c:v>
                </c:pt>
                <c:pt idx="15">
                  <c:v>1078.4432044493201</c:v>
                </c:pt>
                <c:pt idx="16">
                  <c:v>1073.7773811663201</c:v>
                </c:pt>
                <c:pt idx="17">
                  <c:v>1005.9371581801399</c:v>
                </c:pt>
                <c:pt idx="18">
                  <c:v>971.83210215511394</c:v>
                </c:pt>
                <c:pt idx="19">
                  <c:v>934.63285901369898</c:v>
                </c:pt>
                <c:pt idx="20">
                  <c:v>923.887640059315</c:v>
                </c:pt>
                <c:pt idx="21">
                  <c:v>954.74871022331001</c:v>
                </c:pt>
                <c:pt idx="22">
                  <c:v>963.27120490563902</c:v>
                </c:pt>
                <c:pt idx="23">
                  <c:v>878.47819722328802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BD-468E-8D03-91A3139E1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4252288"/>
        <c:axId val="1554259776"/>
      </c:lineChart>
      <c:catAx>
        <c:axId val="155425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54259776"/>
        <c:crosses val="autoZero"/>
        <c:auto val="1"/>
        <c:lblAlgn val="ctr"/>
        <c:lblOffset val="100"/>
        <c:noMultiLvlLbl val="0"/>
      </c:catAx>
      <c:valAx>
        <c:axId val="155425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Output IG [MWh]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5425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SRMC!$A$2</c:f>
              <c:strCache>
                <c:ptCount val="1"/>
                <c:pt idx="0">
                  <c:v>sc01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SRMC!$B$1:$Y$1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SRMC!$B$2:$Y$2</c:f>
              <c:numCache>
                <c:formatCode>0.0</c:formatCode>
                <c:ptCount val="24"/>
                <c:pt idx="0">
                  <c:v>32.5</c:v>
                </c:pt>
                <c:pt idx="1">
                  <c:v>32.5</c:v>
                </c:pt>
                <c:pt idx="2">
                  <c:v>32.5</c:v>
                </c:pt>
                <c:pt idx="3">
                  <c:v>32.5</c:v>
                </c:pt>
                <c:pt idx="4">
                  <c:v>31.5</c:v>
                </c:pt>
                <c:pt idx="5">
                  <c:v>32.5</c:v>
                </c:pt>
                <c:pt idx="6">
                  <c:v>32.5</c:v>
                </c:pt>
                <c:pt idx="7">
                  <c:v>35.500000000000007</c:v>
                </c:pt>
                <c:pt idx="8">
                  <c:v>58.500000000000007</c:v>
                </c:pt>
                <c:pt idx="9">
                  <c:v>58.500000000000007</c:v>
                </c:pt>
                <c:pt idx="10">
                  <c:v>58.500000000000007</c:v>
                </c:pt>
                <c:pt idx="11">
                  <c:v>58.500000000000007</c:v>
                </c:pt>
                <c:pt idx="12">
                  <c:v>56.5</c:v>
                </c:pt>
                <c:pt idx="13">
                  <c:v>35.500000000000007</c:v>
                </c:pt>
                <c:pt idx="14">
                  <c:v>35.500000000000007</c:v>
                </c:pt>
                <c:pt idx="15">
                  <c:v>35.500000000000007</c:v>
                </c:pt>
                <c:pt idx="16">
                  <c:v>35.500000000000007</c:v>
                </c:pt>
                <c:pt idx="17">
                  <c:v>35.500000000000007</c:v>
                </c:pt>
                <c:pt idx="18">
                  <c:v>58.500000000000007</c:v>
                </c:pt>
                <c:pt idx="19">
                  <c:v>58.500000000000007</c:v>
                </c:pt>
                <c:pt idx="20">
                  <c:v>58.500000000000007</c:v>
                </c:pt>
                <c:pt idx="21">
                  <c:v>35.500000000000007</c:v>
                </c:pt>
                <c:pt idx="22">
                  <c:v>35.500000000000007</c:v>
                </c:pt>
                <c:pt idx="23">
                  <c:v>58.500000000000007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F-41C8-90C8-4D29FCED41E5}"/>
            </c:ext>
          </c:extLst>
        </c:ser>
        <c:ser>
          <c:idx val="1"/>
          <c:order val="1"/>
          <c:tx>
            <c:strRef>
              <c:f>SRMC!$A$3</c:f>
              <c:strCache>
                <c:ptCount val="1"/>
                <c:pt idx="0">
                  <c:v>sc02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SRMC!$B$1:$Y$1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SRMC!$B$3:$Y$3</c:f>
              <c:numCache>
                <c:formatCode>0.0</c:formatCode>
                <c:ptCount val="24"/>
                <c:pt idx="0">
                  <c:v>56.500000000000007</c:v>
                </c:pt>
                <c:pt idx="1">
                  <c:v>32.5</c:v>
                </c:pt>
                <c:pt idx="2">
                  <c:v>32.5</c:v>
                </c:pt>
                <c:pt idx="3">
                  <c:v>32.5</c:v>
                </c:pt>
                <c:pt idx="4">
                  <c:v>32.5</c:v>
                </c:pt>
                <c:pt idx="5">
                  <c:v>32.5</c:v>
                </c:pt>
                <c:pt idx="6">
                  <c:v>32.5</c:v>
                </c:pt>
                <c:pt idx="7">
                  <c:v>35.500000000000007</c:v>
                </c:pt>
                <c:pt idx="8">
                  <c:v>58.5</c:v>
                </c:pt>
                <c:pt idx="9">
                  <c:v>58.5</c:v>
                </c:pt>
                <c:pt idx="10">
                  <c:v>56.500000000000007</c:v>
                </c:pt>
                <c:pt idx="11">
                  <c:v>35.500000000000007</c:v>
                </c:pt>
                <c:pt idx="12">
                  <c:v>35.500000000000007</c:v>
                </c:pt>
                <c:pt idx="13">
                  <c:v>35.500000000000007</c:v>
                </c:pt>
                <c:pt idx="14">
                  <c:v>35.500000000000007</c:v>
                </c:pt>
                <c:pt idx="15">
                  <c:v>35.500000000000007</c:v>
                </c:pt>
                <c:pt idx="16">
                  <c:v>35.500000000000007</c:v>
                </c:pt>
                <c:pt idx="17">
                  <c:v>35.500000000000007</c:v>
                </c:pt>
                <c:pt idx="18">
                  <c:v>58.5</c:v>
                </c:pt>
                <c:pt idx="19">
                  <c:v>35.500000000000007</c:v>
                </c:pt>
                <c:pt idx="20">
                  <c:v>35.500000000000007</c:v>
                </c:pt>
                <c:pt idx="21">
                  <c:v>35.500000000000007</c:v>
                </c:pt>
                <c:pt idx="22">
                  <c:v>35.500000000000007</c:v>
                </c:pt>
                <c:pt idx="23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F-41C8-90C8-4D29FCED41E5}"/>
            </c:ext>
          </c:extLst>
        </c:ser>
        <c:ser>
          <c:idx val="2"/>
          <c:order val="2"/>
          <c:tx>
            <c:strRef>
              <c:f>SRMC!$A$4</c:f>
              <c:strCache>
                <c:ptCount val="1"/>
                <c:pt idx="0">
                  <c:v>sc03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SRMC!$B$1:$Y$1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SRMC!$B$4:$Y$4</c:f>
              <c:numCache>
                <c:formatCode>0.0</c:formatCode>
                <c:ptCount val="24"/>
                <c:pt idx="0">
                  <c:v>32.5</c:v>
                </c:pt>
                <c:pt idx="1">
                  <c:v>32.5</c:v>
                </c:pt>
                <c:pt idx="2">
                  <c:v>31.499999999999996</c:v>
                </c:pt>
                <c:pt idx="3">
                  <c:v>31.499999999999996</c:v>
                </c:pt>
                <c:pt idx="4">
                  <c:v>31.499999999999996</c:v>
                </c:pt>
                <c:pt idx="5">
                  <c:v>31.499999999999996</c:v>
                </c:pt>
                <c:pt idx="6">
                  <c:v>32.5</c:v>
                </c:pt>
                <c:pt idx="7">
                  <c:v>35.5</c:v>
                </c:pt>
                <c:pt idx="8">
                  <c:v>35.5</c:v>
                </c:pt>
                <c:pt idx="9">
                  <c:v>35.5</c:v>
                </c:pt>
                <c:pt idx="10">
                  <c:v>35.5</c:v>
                </c:pt>
                <c:pt idx="11">
                  <c:v>35.5</c:v>
                </c:pt>
                <c:pt idx="12">
                  <c:v>32.5</c:v>
                </c:pt>
                <c:pt idx="13">
                  <c:v>32.5</c:v>
                </c:pt>
                <c:pt idx="14">
                  <c:v>32.5</c:v>
                </c:pt>
                <c:pt idx="15">
                  <c:v>32.5</c:v>
                </c:pt>
                <c:pt idx="16">
                  <c:v>32.5</c:v>
                </c:pt>
                <c:pt idx="17">
                  <c:v>32.5</c:v>
                </c:pt>
                <c:pt idx="18">
                  <c:v>35.5</c:v>
                </c:pt>
                <c:pt idx="19">
                  <c:v>35.5</c:v>
                </c:pt>
                <c:pt idx="20">
                  <c:v>35.5</c:v>
                </c:pt>
                <c:pt idx="21">
                  <c:v>35.5</c:v>
                </c:pt>
                <c:pt idx="22">
                  <c:v>35.5</c:v>
                </c:pt>
                <c:pt idx="23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EF-41C8-90C8-4D29FCED4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4252288"/>
        <c:axId val="1554259776"/>
      </c:barChart>
      <c:catAx>
        <c:axId val="155425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54259776"/>
        <c:crosses val="autoZero"/>
        <c:auto val="1"/>
        <c:lblAlgn val="ctr"/>
        <c:lblOffset val="100"/>
        <c:noMultiLvlLbl val="0"/>
      </c:catAx>
      <c:valAx>
        <c:axId val="155425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SRMC [EUR/MWh]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5425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>
    <tabColor rgb="FF00B0F0"/>
  </sheetPr>
  <sheetViews>
    <sheetView zoomScale="8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>
    <tabColor rgb="FF00B0F0"/>
  </sheetPr>
  <sheetViews>
    <sheetView zoomScale="89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>
    <tabColor rgb="FF00B0F0"/>
  </sheetPr>
  <sheetViews>
    <sheetView zoomScale="8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>
    <tabColor rgb="FF00B0F0"/>
  </sheetPr>
  <sheetViews>
    <sheetView zoomScale="8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1133475</xdr:colOff>
          <xdr:row>23</xdr:row>
          <xdr:rowOff>57150</xdr:rowOff>
        </xdr:from>
        <xdr:to>
          <xdr:col>5</xdr:col>
          <xdr:colOff>3028950</xdr:colOff>
          <xdr:row>24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1143000</xdr:colOff>
          <xdr:row>25</xdr:row>
          <xdr:rowOff>85725</xdr:rowOff>
        </xdr:from>
        <xdr:to>
          <xdr:col>5</xdr:col>
          <xdr:colOff>3028950</xdr:colOff>
          <xdr:row>27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results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198120</xdr:colOff>
      <xdr:row>6</xdr:row>
      <xdr:rowOff>30480</xdr:rowOff>
    </xdr:from>
    <xdr:to>
      <xdr:col>7</xdr:col>
      <xdr:colOff>612565</xdr:colOff>
      <xdr:row>16</xdr:row>
      <xdr:rowOff>135032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2680" y="1234440"/>
          <a:ext cx="6761905" cy="17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2</xdr:row>
      <xdr:rowOff>123825</xdr:rowOff>
    </xdr:from>
    <xdr:to>
      <xdr:col>38</xdr:col>
      <xdr:colOff>247650</xdr:colOff>
      <xdr:row>19</xdr:row>
      <xdr:rowOff>114300</xdr:rowOff>
    </xdr:to>
    <xdr:graphicFrame macro="">
      <xdr:nvGraphicFramePr>
        <xdr:cNvPr id="4099" name="3 Gráfico">
          <a:extLst>
            <a:ext uri="{FF2B5EF4-FFF2-40B4-BE49-F238E27FC236}">
              <a16:creationId xmlns:a16="http://schemas.microsoft.com/office/drawing/2014/main" id="{00000000-0008-0000-0300-000003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112" cy="607031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8112" cy="607031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8112" cy="607031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8112" cy="607031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www.iit.comillas.edu/aramos/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andres.ramos@comillas.edu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>
    <tabColor indexed="51"/>
  </sheetPr>
  <dimension ref="A1:H26"/>
  <sheetViews>
    <sheetView showGridLines="0" showRowColHeaders="0" tabSelected="1" zoomScaleNormal="100" workbookViewId="0"/>
  </sheetViews>
  <sheetFormatPr baseColWidth="10" defaultColWidth="10.7109375" defaultRowHeight="12.75" x14ac:dyDescent="0.2"/>
  <cols>
    <col min="1" max="5" width="10.7109375" customWidth="1"/>
    <col min="6" max="6" width="60.5703125" style="1" bestFit="1" customWidth="1"/>
  </cols>
  <sheetData>
    <row r="1" spans="1:8" x14ac:dyDescent="0.2">
      <c r="A1" s="74"/>
    </row>
    <row r="4" spans="1:8" ht="27.75" x14ac:dyDescent="0.45">
      <c r="D4" s="6"/>
      <c r="E4" s="6"/>
      <c r="F4" s="5" t="s">
        <v>68</v>
      </c>
      <c r="G4" s="6"/>
      <c r="H4" s="6"/>
    </row>
    <row r="20" spans="6:8" ht="25.5" x14ac:dyDescent="0.45">
      <c r="F20" s="3" t="s">
        <v>38</v>
      </c>
    </row>
    <row r="21" spans="6:8" ht="18.75" x14ac:dyDescent="0.3">
      <c r="F21" s="2" t="s">
        <v>104</v>
      </c>
    </row>
    <row r="22" spans="6:8" ht="18.75" x14ac:dyDescent="0.3">
      <c r="F22" s="2" t="s">
        <v>103</v>
      </c>
    </row>
    <row r="26" spans="6:8" x14ac:dyDescent="0.2">
      <c r="H26" s="4"/>
    </row>
  </sheetData>
  <customSheetViews>
    <customSheetView guid="{162D0EED-4A71-4EB6-8FDF-A42498BFDBC9}" showGridLines="0" showRuler="0">
      <selection activeCell="B4" sqref="B4"/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hyperlinks>
    <hyperlink ref="F22" r:id="rId2" xr:uid="{00000000-0004-0000-0000-000000000000}"/>
    <hyperlink ref="F21" r:id="rId3" display="http://www.iit.comillas.edu/aramos/" xr:uid="{00000000-0004-0000-0000-000001000000}"/>
  </hyperlinks>
  <pageMargins left="0.75" right="0.75" top="1" bottom="1" header="0" footer="0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ModelExecution">
                <anchor moveWithCells="1">
                  <from>
                    <xdr:col>5</xdr:col>
                    <xdr:colOff>1133475</xdr:colOff>
                    <xdr:row>23</xdr:row>
                    <xdr:rowOff>57150</xdr:rowOff>
                  </from>
                  <to>
                    <xdr:col>5</xdr:col>
                    <xdr:colOff>3028950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CollectResults">
                <anchor moveWithCells="1" sizeWithCells="1">
                  <from>
                    <xdr:col>5</xdr:col>
                    <xdr:colOff>1143000</xdr:colOff>
                    <xdr:row>25</xdr:row>
                    <xdr:rowOff>85725</xdr:rowOff>
                  </from>
                  <to>
                    <xdr:col>5</xdr:col>
                    <xdr:colOff>3028950</xdr:colOff>
                    <xdr:row>27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>
    <tabColor indexed="57"/>
  </sheetPr>
  <dimension ref="B1:J41"/>
  <sheetViews>
    <sheetView showGridLines="0" zoomScaleNormal="100" workbookViewId="0"/>
  </sheetViews>
  <sheetFormatPr baseColWidth="10" defaultColWidth="11.42578125" defaultRowHeight="12.75" x14ac:dyDescent="0.2"/>
  <cols>
    <col min="1" max="2" width="3.7109375" style="7" customWidth="1"/>
    <col min="3" max="3" width="2.5703125" style="7" bestFit="1" customWidth="1"/>
    <col min="4" max="4" width="13.7109375" style="7" bestFit="1" customWidth="1"/>
    <col min="5" max="5" width="1.7109375" style="7" bestFit="1" customWidth="1"/>
    <col min="6" max="6" width="24.42578125" style="7" bestFit="1" customWidth="1"/>
    <col min="7" max="7" width="1.85546875" style="8" bestFit="1" customWidth="1"/>
    <col min="8" max="8" width="4.5703125" style="7" bestFit="1" customWidth="1"/>
    <col min="9" max="9" width="1.7109375" style="7" bestFit="1" customWidth="1"/>
    <col min="10" max="10" width="3.7109375" style="7" customWidth="1"/>
    <col min="11" max="16384" width="11.42578125" style="7"/>
  </cols>
  <sheetData>
    <row r="1" spans="2:10" ht="13.5" thickBot="1" x14ac:dyDescent="0.25"/>
    <row r="2" spans="2:10" x14ac:dyDescent="0.2">
      <c r="B2" s="9"/>
      <c r="C2" s="10"/>
      <c r="D2" s="10"/>
      <c r="E2" s="10"/>
      <c r="F2" s="10"/>
      <c r="G2" s="11"/>
      <c r="H2" s="10"/>
      <c r="I2" s="10"/>
      <c r="J2" s="12"/>
    </row>
    <row r="3" spans="2:10" x14ac:dyDescent="0.2">
      <c r="B3" s="72" t="s">
        <v>39</v>
      </c>
      <c r="C3" s="14"/>
      <c r="D3" s="14"/>
      <c r="E3" s="14"/>
      <c r="F3" s="14"/>
      <c r="G3" s="15"/>
      <c r="H3" s="14"/>
      <c r="I3" s="14"/>
      <c r="J3" s="16"/>
    </row>
    <row r="4" spans="2:10" x14ac:dyDescent="0.2">
      <c r="B4" s="13"/>
      <c r="C4" s="14"/>
      <c r="D4" s="14"/>
      <c r="E4" s="14"/>
      <c r="F4" s="14"/>
      <c r="G4" s="15"/>
      <c r="H4" s="14"/>
      <c r="I4" s="14"/>
      <c r="J4" s="16"/>
    </row>
    <row r="5" spans="2:10" x14ac:dyDescent="0.2">
      <c r="B5" s="17"/>
      <c r="C5" s="14" t="s">
        <v>71</v>
      </c>
      <c r="D5" s="18" t="s">
        <v>0</v>
      </c>
      <c r="E5" s="19" t="s">
        <v>2</v>
      </c>
      <c r="F5" s="20" t="s">
        <v>8</v>
      </c>
      <c r="G5" s="15" t="s">
        <v>40</v>
      </c>
      <c r="H5" s="20" t="s">
        <v>31</v>
      </c>
      <c r="I5" s="19" t="s">
        <v>2</v>
      </c>
      <c r="J5" s="16"/>
    </row>
    <row r="6" spans="2:10" x14ac:dyDescent="0.2">
      <c r="B6" s="17"/>
      <c r="C6" s="14" t="s">
        <v>62</v>
      </c>
      <c r="D6" s="18" t="s">
        <v>1</v>
      </c>
      <c r="E6" s="19" t="s">
        <v>2</v>
      </c>
      <c r="F6" s="20" t="s">
        <v>32</v>
      </c>
      <c r="G6" s="15" t="s">
        <v>40</v>
      </c>
      <c r="H6" s="20" t="s">
        <v>34</v>
      </c>
      <c r="I6" s="19" t="s">
        <v>2</v>
      </c>
      <c r="J6" s="16"/>
    </row>
    <row r="7" spans="2:10" x14ac:dyDescent="0.2">
      <c r="B7" s="17"/>
      <c r="C7" s="14"/>
      <c r="D7" s="18"/>
      <c r="E7" s="14"/>
      <c r="F7" s="14"/>
      <c r="G7" s="15"/>
      <c r="H7" s="14"/>
      <c r="I7" s="14"/>
      <c r="J7" s="16"/>
    </row>
    <row r="8" spans="2:10" x14ac:dyDescent="0.2">
      <c r="B8" s="17"/>
      <c r="C8" s="14" t="s">
        <v>63</v>
      </c>
      <c r="D8" s="18" t="s">
        <v>64</v>
      </c>
      <c r="E8" s="19" t="s">
        <v>2</v>
      </c>
      <c r="F8" s="19"/>
      <c r="G8" s="21"/>
      <c r="H8" s="19"/>
      <c r="I8" s="19"/>
      <c r="J8" s="16"/>
    </row>
    <row r="9" spans="2:10" x14ac:dyDescent="0.2">
      <c r="B9" s="17"/>
      <c r="C9" s="14"/>
      <c r="D9" s="18"/>
      <c r="E9" s="19"/>
      <c r="F9" s="22" t="s">
        <v>42</v>
      </c>
      <c r="G9" s="21"/>
      <c r="H9" s="19"/>
      <c r="I9" s="19"/>
      <c r="J9" s="16"/>
    </row>
    <row r="10" spans="2:10" x14ac:dyDescent="0.2">
      <c r="B10" s="17"/>
      <c r="C10" s="14"/>
      <c r="D10" s="18"/>
      <c r="E10" s="19"/>
      <c r="F10" s="22" t="s">
        <v>76</v>
      </c>
      <c r="G10" s="21"/>
      <c r="H10" s="19"/>
      <c r="I10" s="19"/>
      <c r="J10" s="16"/>
    </row>
    <row r="11" spans="2:10" x14ac:dyDescent="0.2">
      <c r="B11" s="17"/>
      <c r="C11" s="14"/>
      <c r="D11" s="18"/>
      <c r="E11" s="19"/>
      <c r="F11" s="22" t="s">
        <v>55</v>
      </c>
      <c r="G11" s="21"/>
      <c r="H11" s="19"/>
      <c r="I11" s="19"/>
      <c r="J11" s="16"/>
    </row>
    <row r="12" spans="2:10" x14ac:dyDescent="0.2">
      <c r="B12" s="17"/>
      <c r="C12" s="14"/>
      <c r="D12" s="18"/>
      <c r="E12" s="19"/>
      <c r="F12" s="22" t="s">
        <v>78</v>
      </c>
      <c r="G12" s="21"/>
      <c r="H12" s="19"/>
      <c r="I12" s="19"/>
      <c r="J12" s="16"/>
    </row>
    <row r="13" spans="2:10" x14ac:dyDescent="0.2">
      <c r="B13" s="17"/>
      <c r="C13" s="14"/>
      <c r="D13" s="18"/>
      <c r="E13" s="19"/>
      <c r="F13" s="22" t="s">
        <v>77</v>
      </c>
      <c r="G13" s="21"/>
      <c r="H13" s="19"/>
      <c r="I13" s="19"/>
      <c r="J13" s="16"/>
    </row>
    <row r="14" spans="2:10" x14ac:dyDescent="0.2">
      <c r="B14" s="17"/>
      <c r="C14" s="14"/>
      <c r="D14" s="18"/>
      <c r="E14" s="19"/>
      <c r="F14" s="22" t="s">
        <v>43</v>
      </c>
      <c r="G14" s="21"/>
      <c r="H14" s="19"/>
      <c r="I14" s="19"/>
      <c r="J14" s="16"/>
    </row>
    <row r="15" spans="2:10" x14ac:dyDescent="0.2">
      <c r="B15" s="17"/>
      <c r="C15" s="14"/>
      <c r="D15" s="18"/>
      <c r="E15" s="19"/>
      <c r="F15" s="22" t="s">
        <v>44</v>
      </c>
      <c r="G15" s="21"/>
      <c r="H15" s="19"/>
      <c r="I15" s="19"/>
      <c r="J15" s="16"/>
    </row>
    <row r="16" spans="2:10" x14ac:dyDescent="0.2">
      <c r="B16" s="17"/>
      <c r="C16" s="14"/>
      <c r="D16" s="18"/>
      <c r="E16" s="19"/>
      <c r="F16" s="22" t="s">
        <v>53</v>
      </c>
      <c r="G16" s="21"/>
      <c r="H16" s="19"/>
      <c r="I16" s="19"/>
      <c r="J16" s="16"/>
    </row>
    <row r="17" spans="2:10" x14ac:dyDescent="0.2">
      <c r="B17" s="17"/>
      <c r="C17" s="14"/>
      <c r="D17" s="18"/>
      <c r="E17" s="19"/>
      <c r="F17" s="22" t="s">
        <v>54</v>
      </c>
      <c r="G17" s="21"/>
      <c r="H17" s="19"/>
      <c r="I17" s="19"/>
      <c r="J17" s="16"/>
    </row>
    <row r="18" spans="2:10" x14ac:dyDescent="0.2">
      <c r="B18" s="17"/>
      <c r="C18" s="14"/>
      <c r="D18" s="18"/>
      <c r="E18" s="19"/>
      <c r="F18" s="22" t="s">
        <v>58</v>
      </c>
      <c r="G18" s="21"/>
      <c r="H18" s="19"/>
      <c r="I18" s="19"/>
      <c r="J18" s="16"/>
    </row>
    <row r="19" spans="2:10" x14ac:dyDescent="0.2">
      <c r="B19" s="17"/>
      <c r="C19" s="14"/>
      <c r="D19" s="18"/>
      <c r="E19" s="19"/>
      <c r="F19" s="22" t="s">
        <v>59</v>
      </c>
      <c r="G19" s="21"/>
      <c r="H19" s="19"/>
      <c r="I19" s="19"/>
      <c r="J19" s="16"/>
    </row>
    <row r="20" spans="2:10" x14ac:dyDescent="0.2">
      <c r="B20" s="17"/>
      <c r="C20" s="14"/>
      <c r="D20" s="18"/>
      <c r="E20" s="19"/>
      <c r="F20" s="22" t="s">
        <v>60</v>
      </c>
      <c r="G20" s="21"/>
      <c r="H20" s="19"/>
      <c r="I20" s="19"/>
      <c r="J20" s="16"/>
    </row>
    <row r="21" spans="2:10" x14ac:dyDescent="0.2">
      <c r="B21" s="17"/>
      <c r="C21" s="14"/>
      <c r="D21" s="18"/>
      <c r="E21" s="19"/>
      <c r="F21" s="22" t="s">
        <v>56</v>
      </c>
      <c r="G21" s="21"/>
      <c r="H21" s="19"/>
      <c r="I21" s="19"/>
      <c r="J21" s="16"/>
    </row>
    <row r="22" spans="2:10" x14ac:dyDescent="0.2">
      <c r="B22" s="51" t="s">
        <v>40</v>
      </c>
      <c r="C22" s="14"/>
      <c r="D22" s="18" t="s">
        <v>94</v>
      </c>
      <c r="E22" s="19"/>
      <c r="F22" s="19"/>
      <c r="G22" s="21"/>
      <c r="H22" s="19"/>
      <c r="I22" s="19"/>
      <c r="J22" s="16"/>
    </row>
    <row r="23" spans="2:10" x14ac:dyDescent="0.2">
      <c r="B23" s="17"/>
      <c r="C23" s="14"/>
      <c r="D23" s="18"/>
      <c r="E23" s="19"/>
      <c r="F23" s="22" t="s">
        <v>84</v>
      </c>
      <c r="G23" s="21"/>
      <c r="H23" s="19"/>
      <c r="I23" s="19"/>
      <c r="J23" s="16"/>
    </row>
    <row r="24" spans="2:10" x14ac:dyDescent="0.2">
      <c r="B24" s="17"/>
      <c r="C24" s="14"/>
      <c r="D24" s="18"/>
      <c r="E24" s="19"/>
      <c r="F24" s="22" t="s">
        <v>85</v>
      </c>
      <c r="G24" s="21"/>
      <c r="H24" s="19"/>
      <c r="I24" s="19"/>
      <c r="J24" s="16"/>
    </row>
    <row r="25" spans="2:10" x14ac:dyDescent="0.2">
      <c r="B25" s="17"/>
      <c r="C25" s="14"/>
      <c r="D25" s="18"/>
      <c r="E25" s="19"/>
      <c r="F25" s="22" t="s">
        <v>86</v>
      </c>
      <c r="G25" s="21"/>
      <c r="H25" s="19"/>
      <c r="I25" s="19"/>
      <c r="J25" s="16"/>
    </row>
    <row r="26" spans="2:10" x14ac:dyDescent="0.2">
      <c r="B26" s="17"/>
      <c r="C26" s="14"/>
      <c r="D26" s="18"/>
      <c r="E26" s="19"/>
      <c r="F26" s="22" t="s">
        <v>87</v>
      </c>
      <c r="G26" s="21"/>
      <c r="H26" s="19"/>
      <c r="I26" s="19"/>
      <c r="J26" s="16"/>
    </row>
    <row r="27" spans="2:10" x14ac:dyDescent="0.2">
      <c r="B27" s="17"/>
      <c r="C27" s="14"/>
      <c r="D27" s="18"/>
      <c r="E27" s="19"/>
      <c r="F27" s="22" t="s">
        <v>88</v>
      </c>
      <c r="G27" s="21"/>
      <c r="H27" s="19"/>
      <c r="I27" s="19"/>
      <c r="J27" s="16"/>
    </row>
    <row r="28" spans="2:10" x14ac:dyDescent="0.2">
      <c r="B28" s="17"/>
      <c r="C28" s="14"/>
      <c r="D28" s="18"/>
      <c r="E28" s="19"/>
      <c r="F28" s="22"/>
      <c r="G28" s="21"/>
      <c r="H28" s="19"/>
      <c r="I28" s="19"/>
      <c r="J28" s="16"/>
    </row>
    <row r="29" spans="2:10" x14ac:dyDescent="0.2">
      <c r="B29" s="17"/>
      <c r="C29" s="14"/>
      <c r="D29" s="18"/>
      <c r="E29" s="19"/>
      <c r="F29" s="22"/>
      <c r="G29" s="21"/>
      <c r="H29" s="19"/>
      <c r="I29" s="19"/>
      <c r="J29" s="16"/>
    </row>
    <row r="30" spans="2:10" x14ac:dyDescent="0.2">
      <c r="B30" s="17"/>
      <c r="C30" s="14"/>
      <c r="D30" s="18"/>
      <c r="E30" s="19"/>
      <c r="F30" s="22"/>
      <c r="G30" s="21"/>
      <c r="H30" s="19"/>
      <c r="I30" s="19"/>
      <c r="J30" s="16"/>
    </row>
    <row r="31" spans="2:10" x14ac:dyDescent="0.2">
      <c r="B31" s="17"/>
      <c r="C31" s="14"/>
      <c r="D31" s="18"/>
      <c r="E31" s="19"/>
      <c r="F31" s="22"/>
      <c r="G31" s="21"/>
      <c r="H31" s="19"/>
      <c r="I31" s="19"/>
      <c r="J31" s="16"/>
    </row>
    <row r="32" spans="2:10" x14ac:dyDescent="0.2">
      <c r="B32" s="17"/>
      <c r="C32" s="14"/>
      <c r="D32" s="18"/>
      <c r="E32" s="19"/>
      <c r="F32" s="22"/>
      <c r="G32" s="21"/>
      <c r="H32" s="19"/>
      <c r="I32" s="19"/>
      <c r="J32" s="16"/>
    </row>
    <row r="33" spans="2:10" x14ac:dyDescent="0.2">
      <c r="B33" s="17"/>
      <c r="C33" s="14"/>
      <c r="D33" s="18"/>
      <c r="E33" s="19"/>
      <c r="F33" s="22"/>
      <c r="G33" s="21"/>
      <c r="H33" s="19"/>
      <c r="I33" s="19"/>
      <c r="J33" s="16"/>
    </row>
    <row r="34" spans="2:10" x14ac:dyDescent="0.2">
      <c r="B34" s="17"/>
      <c r="C34" s="14"/>
      <c r="D34" s="18"/>
      <c r="E34" s="19"/>
      <c r="F34" s="22"/>
      <c r="G34" s="21"/>
      <c r="H34" s="19"/>
      <c r="I34" s="19"/>
      <c r="J34" s="16"/>
    </row>
    <row r="35" spans="2:10" x14ac:dyDescent="0.2">
      <c r="B35" s="17"/>
      <c r="C35" s="14"/>
      <c r="D35" s="18"/>
      <c r="E35" s="19"/>
      <c r="F35" s="22"/>
      <c r="G35" s="21"/>
      <c r="H35" s="19"/>
      <c r="I35" s="19"/>
      <c r="J35" s="16"/>
    </row>
    <row r="36" spans="2:10" x14ac:dyDescent="0.2">
      <c r="B36" s="17"/>
      <c r="C36" s="14"/>
      <c r="D36" s="18"/>
      <c r="E36" s="19"/>
      <c r="F36" s="22"/>
      <c r="G36" s="21"/>
      <c r="H36" s="19"/>
      <c r="I36" s="19"/>
      <c r="J36" s="16"/>
    </row>
    <row r="37" spans="2:10" x14ac:dyDescent="0.2">
      <c r="B37" s="17"/>
      <c r="C37" s="14"/>
      <c r="D37" s="18"/>
      <c r="E37" s="19"/>
      <c r="F37" s="22"/>
      <c r="G37" s="21"/>
      <c r="H37" s="19"/>
      <c r="I37" s="19"/>
      <c r="J37" s="16"/>
    </row>
    <row r="38" spans="2:10" x14ac:dyDescent="0.2">
      <c r="B38" s="17"/>
      <c r="C38" s="14"/>
      <c r="D38" s="18"/>
      <c r="E38" s="19"/>
      <c r="F38" s="22"/>
      <c r="G38" s="21"/>
      <c r="H38" s="19"/>
      <c r="I38" s="19"/>
      <c r="J38" s="16"/>
    </row>
    <row r="39" spans="2:10" x14ac:dyDescent="0.2">
      <c r="B39" s="17"/>
      <c r="C39" s="14"/>
      <c r="D39" s="18"/>
      <c r="E39" s="19"/>
      <c r="F39" s="22"/>
      <c r="G39" s="21"/>
      <c r="H39" s="19"/>
      <c r="I39" s="19"/>
      <c r="J39" s="16"/>
    </row>
    <row r="40" spans="2:10" x14ac:dyDescent="0.2">
      <c r="B40" s="17"/>
      <c r="C40" s="14"/>
      <c r="D40" s="18"/>
      <c r="E40" s="19"/>
      <c r="F40" s="19"/>
      <c r="G40" s="21"/>
      <c r="H40" s="19"/>
      <c r="I40" s="19" t="s">
        <v>2</v>
      </c>
      <c r="J40" s="16"/>
    </row>
    <row r="41" spans="2:10" ht="13.5" thickBot="1" x14ac:dyDescent="0.25">
      <c r="B41" s="23"/>
      <c r="C41" s="24"/>
      <c r="D41" s="24"/>
      <c r="E41" s="24"/>
      <c r="F41" s="24"/>
      <c r="G41" s="25"/>
      <c r="H41" s="24"/>
      <c r="I41" s="24"/>
      <c r="J41" s="26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>
    <tabColor indexed="57"/>
  </sheetPr>
  <dimension ref="B1:H16"/>
  <sheetViews>
    <sheetView showGridLines="0" zoomScaleNormal="100" workbookViewId="0">
      <selection activeCell="F14" sqref="F14"/>
    </sheetView>
  </sheetViews>
  <sheetFormatPr baseColWidth="10" defaultColWidth="11.42578125" defaultRowHeight="12.75" x14ac:dyDescent="0.2"/>
  <cols>
    <col min="1" max="2" width="3.7109375" style="27" customWidth="1"/>
    <col min="3" max="3" width="9.28515625" style="27" bestFit="1" customWidth="1"/>
    <col min="4" max="4" width="6.5703125" style="27" bestFit="1" customWidth="1"/>
    <col min="5" max="5" width="1.85546875" style="27" bestFit="1" customWidth="1"/>
    <col min="6" max="6" width="8.28515625" style="27" bestFit="1" customWidth="1"/>
    <col min="7" max="7" width="1.5703125" style="27" bestFit="1" customWidth="1"/>
    <col min="8" max="8" width="3.7109375" style="27" customWidth="1"/>
    <col min="9" max="16384" width="11.42578125" style="27"/>
  </cols>
  <sheetData>
    <row r="1" spans="2:8" ht="13.5" thickBot="1" x14ac:dyDescent="0.25"/>
    <row r="2" spans="2:8" x14ac:dyDescent="0.2">
      <c r="B2" s="9"/>
      <c r="C2" s="10"/>
      <c r="D2" s="10"/>
      <c r="E2" s="10"/>
      <c r="F2" s="10"/>
      <c r="G2" s="10"/>
      <c r="H2" s="12"/>
    </row>
    <row r="3" spans="2:8" x14ac:dyDescent="0.2">
      <c r="B3" s="72" t="s">
        <v>5</v>
      </c>
      <c r="C3" s="35"/>
      <c r="D3" s="35"/>
      <c r="E3" s="14"/>
      <c r="F3" s="14"/>
      <c r="G3" s="14"/>
      <c r="H3" s="16"/>
    </row>
    <row r="4" spans="2:8" x14ac:dyDescent="0.2">
      <c r="B4" s="17"/>
      <c r="C4" s="14"/>
      <c r="D4" s="14"/>
      <c r="E4" s="14"/>
      <c r="F4" s="14"/>
      <c r="G4" s="14"/>
      <c r="H4" s="16"/>
    </row>
    <row r="5" spans="2:8" x14ac:dyDescent="0.2">
      <c r="B5" s="72" t="s">
        <v>69</v>
      </c>
      <c r="C5" s="48"/>
      <c r="D5" s="48"/>
      <c r="E5" s="48"/>
      <c r="F5" s="73" t="s">
        <v>116</v>
      </c>
      <c r="G5" s="49"/>
      <c r="H5" s="16"/>
    </row>
    <row r="6" spans="2:8" x14ac:dyDescent="0.2">
      <c r="B6" s="17"/>
      <c r="C6" s="14" t="s">
        <v>70</v>
      </c>
      <c r="D6" s="14"/>
      <c r="E6" s="14" t="s">
        <v>3</v>
      </c>
      <c r="F6" s="50">
        <v>10000</v>
      </c>
      <c r="G6" s="14" t="s">
        <v>4</v>
      </c>
      <c r="H6" s="16"/>
    </row>
    <row r="7" spans="2:8" x14ac:dyDescent="0.2">
      <c r="B7" s="17"/>
      <c r="C7" s="14"/>
      <c r="D7" s="14"/>
      <c r="E7" s="14"/>
      <c r="F7" s="14"/>
      <c r="G7" s="14"/>
      <c r="H7" s="16"/>
    </row>
    <row r="8" spans="2:8" x14ac:dyDescent="0.2">
      <c r="B8" s="72" t="s">
        <v>98</v>
      </c>
      <c r="C8" s="48"/>
      <c r="D8" s="48"/>
      <c r="E8" s="48"/>
      <c r="F8" s="73" t="s">
        <v>117</v>
      </c>
      <c r="G8" s="49"/>
      <c r="H8" s="16"/>
    </row>
    <row r="9" spans="2:8" x14ac:dyDescent="0.2">
      <c r="B9" s="17"/>
      <c r="C9" s="14" t="s">
        <v>99</v>
      </c>
      <c r="D9" s="14"/>
      <c r="E9" s="14" t="s">
        <v>3</v>
      </c>
      <c r="F9" s="50">
        <v>5</v>
      </c>
      <c r="G9" s="14" t="s">
        <v>4</v>
      </c>
      <c r="H9" s="16"/>
    </row>
    <row r="10" spans="2:8" x14ac:dyDescent="0.2">
      <c r="B10" s="17"/>
      <c r="C10" s="14"/>
      <c r="D10" s="14"/>
      <c r="E10" s="14"/>
      <c r="F10" s="14"/>
      <c r="G10" s="14"/>
      <c r="H10" s="16"/>
    </row>
    <row r="11" spans="2:8" x14ac:dyDescent="0.2">
      <c r="B11" s="72" t="s">
        <v>35</v>
      </c>
      <c r="C11" s="14"/>
      <c r="D11" s="14"/>
      <c r="E11" s="18"/>
      <c r="F11" s="73" t="s">
        <v>36</v>
      </c>
      <c r="G11" s="14"/>
      <c r="H11" s="16"/>
    </row>
    <row r="12" spans="2:8" x14ac:dyDescent="0.2">
      <c r="B12" s="17"/>
      <c r="C12" s="14" t="s">
        <v>72</v>
      </c>
      <c r="D12" s="52" t="s">
        <v>73</v>
      </c>
      <c r="E12" s="19" t="s">
        <v>3</v>
      </c>
      <c r="F12" s="53">
        <v>0.3</v>
      </c>
      <c r="G12" s="14" t="s">
        <v>4</v>
      </c>
      <c r="H12" s="16"/>
    </row>
    <row r="13" spans="2:8" x14ac:dyDescent="0.2">
      <c r="B13" s="17"/>
      <c r="C13" s="14" t="s">
        <v>72</v>
      </c>
      <c r="D13" s="52" t="s">
        <v>74</v>
      </c>
      <c r="E13" s="19" t="s">
        <v>3</v>
      </c>
      <c r="F13" s="53">
        <v>0.5</v>
      </c>
      <c r="G13" s="14" t="s">
        <v>4</v>
      </c>
      <c r="H13" s="16"/>
    </row>
    <row r="14" spans="2:8" x14ac:dyDescent="0.2">
      <c r="B14" s="17"/>
      <c r="C14" s="14" t="s">
        <v>72</v>
      </c>
      <c r="D14" s="52" t="s">
        <v>75</v>
      </c>
      <c r="E14" s="19" t="s">
        <v>3</v>
      </c>
      <c r="F14" s="53">
        <v>0.2</v>
      </c>
      <c r="G14" s="14" t="s">
        <v>4</v>
      </c>
      <c r="H14" s="16"/>
    </row>
    <row r="15" spans="2:8" x14ac:dyDescent="0.2">
      <c r="B15" s="17"/>
      <c r="C15" s="14"/>
      <c r="D15" s="14"/>
      <c r="E15" s="14"/>
      <c r="F15" s="14"/>
      <c r="G15" s="14"/>
      <c r="H15" s="16"/>
    </row>
    <row r="16" spans="2:8" ht="13.5" thickBot="1" x14ac:dyDescent="0.25">
      <c r="B16" s="23"/>
      <c r="C16" s="24"/>
      <c r="D16" s="24"/>
      <c r="E16" s="24"/>
      <c r="F16" s="24"/>
      <c r="G16" s="24"/>
      <c r="H16" s="26"/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indexed="57"/>
  </sheetPr>
  <dimension ref="B1:AG34"/>
  <sheetViews>
    <sheetView showGridLines="0" zoomScaleNormal="100" workbookViewId="0"/>
  </sheetViews>
  <sheetFormatPr baseColWidth="10" defaultColWidth="11.42578125" defaultRowHeight="12.75" x14ac:dyDescent="0.2"/>
  <cols>
    <col min="1" max="2" width="3.7109375" style="27" customWidth="1"/>
    <col min="3" max="3" width="5.7109375" style="27" customWidth="1"/>
    <col min="4" max="4" width="6" style="27" bestFit="1" customWidth="1"/>
    <col min="5" max="7" width="3.7109375" style="27" customWidth="1"/>
    <col min="8" max="8" width="13" style="27" customWidth="1"/>
    <col min="9" max="9" width="5.42578125" style="27" bestFit="1" customWidth="1"/>
    <col min="10" max="12" width="3.7109375" style="27" customWidth="1"/>
    <col min="13" max="13" width="18.7109375" style="27" customWidth="1"/>
    <col min="14" max="14" width="5.42578125" style="27" bestFit="1" customWidth="1"/>
    <col min="15" max="17" width="3.7109375" style="27" customWidth="1"/>
    <col min="18" max="18" width="18.7109375" style="27" customWidth="1"/>
    <col min="19" max="19" width="5.42578125" style="27" bestFit="1" customWidth="1"/>
    <col min="20" max="22" width="3.7109375" style="27" customWidth="1"/>
    <col min="23" max="23" width="4" style="27" bestFit="1" customWidth="1"/>
    <col min="24" max="26" width="6" style="27" bestFit="1" customWidth="1"/>
    <col min="27" max="32" width="5.140625" style="27" customWidth="1"/>
    <col min="33" max="33" width="3.7109375" style="27" customWidth="1"/>
    <col min="34" max="16384" width="11.42578125" style="27"/>
  </cols>
  <sheetData>
    <row r="1" spans="2:33" ht="13.5" thickBot="1" x14ac:dyDescent="0.25"/>
    <row r="2" spans="2:33" x14ac:dyDescent="0.2">
      <c r="B2" s="9"/>
      <c r="C2" s="10"/>
      <c r="D2" s="10"/>
      <c r="E2" s="12"/>
      <c r="G2" s="9"/>
      <c r="H2" s="10"/>
      <c r="I2" s="10"/>
      <c r="J2" s="12"/>
      <c r="L2" s="9"/>
      <c r="M2" s="10"/>
      <c r="N2" s="10"/>
      <c r="O2" s="12"/>
      <c r="Q2" s="9"/>
      <c r="R2" s="10"/>
      <c r="S2" s="10"/>
      <c r="T2" s="12"/>
      <c r="V2" s="9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2"/>
    </row>
    <row r="3" spans="2:33" x14ac:dyDescent="0.2">
      <c r="B3" s="34" t="s">
        <v>7</v>
      </c>
      <c r="C3" s="35"/>
      <c r="D3" s="41" t="s">
        <v>6</v>
      </c>
      <c r="E3" s="16"/>
      <c r="G3" s="34" t="s">
        <v>41</v>
      </c>
      <c r="H3" s="35"/>
      <c r="I3" s="41" t="s">
        <v>6</v>
      </c>
      <c r="J3" s="16"/>
      <c r="L3" s="34" t="s">
        <v>100</v>
      </c>
      <c r="M3" s="35"/>
      <c r="N3" s="41" t="s">
        <v>6</v>
      </c>
      <c r="O3" s="16"/>
      <c r="Q3" s="34" t="s">
        <v>101</v>
      </c>
      <c r="R3" s="35"/>
      <c r="S3" s="41" t="s">
        <v>6</v>
      </c>
      <c r="T3" s="16"/>
      <c r="V3" s="34" t="s">
        <v>48</v>
      </c>
      <c r="W3" s="14"/>
      <c r="X3" s="14"/>
      <c r="Y3" s="18"/>
      <c r="Z3" s="18"/>
      <c r="AA3" s="41" t="s">
        <v>6</v>
      </c>
      <c r="AB3" s="18"/>
      <c r="AC3" s="18"/>
      <c r="AD3" s="18"/>
      <c r="AE3" s="18"/>
      <c r="AF3" s="18"/>
      <c r="AG3" s="16"/>
    </row>
    <row r="4" spans="2:33" x14ac:dyDescent="0.2">
      <c r="B4" s="34"/>
      <c r="C4" s="35"/>
      <c r="D4" s="41"/>
      <c r="E4" s="16"/>
      <c r="G4" s="34"/>
      <c r="H4" s="35"/>
      <c r="I4" s="41"/>
      <c r="J4" s="16"/>
      <c r="L4" s="34"/>
      <c r="M4" s="35"/>
      <c r="N4" s="41"/>
      <c r="O4" s="16"/>
      <c r="Q4" s="34"/>
      <c r="R4" s="35"/>
      <c r="S4" s="41"/>
      <c r="T4" s="16"/>
      <c r="V4" s="17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6"/>
    </row>
    <row r="5" spans="2:33" x14ac:dyDescent="0.2">
      <c r="B5" s="17"/>
      <c r="C5" s="14"/>
      <c r="D5" s="14"/>
      <c r="E5" s="16"/>
      <c r="G5" s="17"/>
      <c r="H5" s="14"/>
      <c r="I5" s="14"/>
      <c r="J5" s="16"/>
      <c r="L5" s="17"/>
      <c r="M5" s="14"/>
      <c r="N5" s="14"/>
      <c r="O5" s="16"/>
      <c r="Q5" s="17"/>
      <c r="R5" s="14"/>
      <c r="S5" s="14"/>
      <c r="T5" s="16"/>
      <c r="V5" s="47"/>
      <c r="W5" s="37"/>
      <c r="X5" s="37" t="s">
        <v>32</v>
      </c>
      <c r="Y5" s="37" t="s">
        <v>33</v>
      </c>
      <c r="Z5" s="37" t="s">
        <v>34</v>
      </c>
      <c r="AA5" s="37"/>
      <c r="AB5" s="37"/>
      <c r="AC5" s="37"/>
      <c r="AD5" s="37"/>
      <c r="AE5" s="37"/>
      <c r="AF5" s="37"/>
      <c r="AG5" s="38"/>
    </row>
    <row r="6" spans="2:33" x14ac:dyDescent="0.2">
      <c r="B6" s="17"/>
      <c r="C6" s="14" t="s">
        <v>8</v>
      </c>
      <c r="D6" s="45">
        <v>2796</v>
      </c>
      <c r="E6" s="16"/>
      <c r="G6" s="17"/>
      <c r="H6" s="14" t="s">
        <v>8</v>
      </c>
      <c r="I6" s="45">
        <v>0</v>
      </c>
      <c r="J6" s="16"/>
      <c r="L6" s="17"/>
      <c r="M6" s="14" t="s">
        <v>8</v>
      </c>
      <c r="N6" s="45">
        <f>I6</f>
        <v>0</v>
      </c>
      <c r="O6" s="16"/>
      <c r="Q6" s="17"/>
      <c r="R6" s="14" t="s">
        <v>8</v>
      </c>
      <c r="S6" s="45">
        <v>0</v>
      </c>
      <c r="T6" s="16"/>
      <c r="V6" s="17"/>
      <c r="W6" s="14" t="s">
        <v>8</v>
      </c>
      <c r="X6" s="45">
        <v>450.3</v>
      </c>
      <c r="Y6" s="45">
        <v>354.93630068093609</v>
      </c>
      <c r="Z6" s="45">
        <v>635.83798560866444</v>
      </c>
      <c r="AA6" s="45"/>
      <c r="AB6" s="45"/>
      <c r="AC6" s="45"/>
      <c r="AD6" s="45"/>
      <c r="AE6" s="45"/>
      <c r="AF6" s="45"/>
      <c r="AG6" s="16"/>
    </row>
    <row r="7" spans="2:33" x14ac:dyDescent="0.2">
      <c r="B7" s="17"/>
      <c r="C7" s="14" t="s">
        <v>9</v>
      </c>
      <c r="D7" s="45">
        <v>2547</v>
      </c>
      <c r="E7" s="16"/>
      <c r="G7" s="17"/>
      <c r="H7" s="14" t="s">
        <v>9</v>
      </c>
      <c r="I7" s="45">
        <v>0</v>
      </c>
      <c r="J7" s="16"/>
      <c r="L7" s="17"/>
      <c r="M7" s="14" t="s">
        <v>9</v>
      </c>
      <c r="N7" s="45">
        <f t="shared" ref="N7:N29" si="0">I7</f>
        <v>0</v>
      </c>
      <c r="O7" s="16"/>
      <c r="Q7" s="17"/>
      <c r="R7" s="14" t="s">
        <v>9</v>
      </c>
      <c r="S7" s="45">
        <v>0</v>
      </c>
      <c r="T7" s="16"/>
      <c r="V7" s="17"/>
      <c r="W7" s="14" t="s">
        <v>9</v>
      </c>
      <c r="X7" s="45">
        <v>450.6</v>
      </c>
      <c r="Y7" s="45">
        <v>345.07170709668952</v>
      </c>
      <c r="Z7" s="45">
        <v>621.48139108038822</v>
      </c>
      <c r="AA7" s="45"/>
      <c r="AB7" s="45"/>
      <c r="AC7" s="45"/>
      <c r="AD7" s="45"/>
      <c r="AE7" s="45"/>
      <c r="AF7" s="45"/>
      <c r="AG7" s="16"/>
    </row>
    <row r="8" spans="2:33" x14ac:dyDescent="0.2">
      <c r="B8" s="17"/>
      <c r="C8" s="14" t="s">
        <v>10</v>
      </c>
      <c r="D8" s="45">
        <v>2427</v>
      </c>
      <c r="E8" s="16"/>
      <c r="G8" s="17"/>
      <c r="H8" s="14" t="s">
        <v>10</v>
      </c>
      <c r="I8" s="45">
        <v>0</v>
      </c>
      <c r="J8" s="16"/>
      <c r="L8" s="17"/>
      <c r="M8" s="14" t="s">
        <v>10</v>
      </c>
      <c r="N8" s="45">
        <f t="shared" si="0"/>
        <v>0</v>
      </c>
      <c r="O8" s="16"/>
      <c r="Q8" s="17"/>
      <c r="R8" s="14" t="s">
        <v>10</v>
      </c>
      <c r="S8" s="45">
        <v>0</v>
      </c>
      <c r="T8" s="16"/>
      <c r="V8" s="17"/>
      <c r="W8" s="14" t="s">
        <v>10</v>
      </c>
      <c r="X8" s="45">
        <v>475.2</v>
      </c>
      <c r="Y8" s="45">
        <v>370.66136517119861</v>
      </c>
      <c r="Z8" s="45">
        <v>629.17603970544519</v>
      </c>
      <c r="AA8" s="45"/>
      <c r="AB8" s="45"/>
      <c r="AC8" s="45"/>
      <c r="AD8" s="45"/>
      <c r="AE8" s="45"/>
      <c r="AF8" s="45"/>
      <c r="AG8" s="16"/>
    </row>
    <row r="9" spans="2:33" x14ac:dyDescent="0.2">
      <c r="B9" s="17"/>
      <c r="C9" s="14" t="s">
        <v>11</v>
      </c>
      <c r="D9" s="45">
        <v>2363</v>
      </c>
      <c r="E9" s="16"/>
      <c r="G9" s="17"/>
      <c r="H9" s="14" t="s">
        <v>11</v>
      </c>
      <c r="I9" s="45">
        <v>0</v>
      </c>
      <c r="J9" s="16"/>
      <c r="L9" s="17"/>
      <c r="M9" s="14" t="s">
        <v>11</v>
      </c>
      <c r="N9" s="45">
        <f t="shared" si="0"/>
        <v>0</v>
      </c>
      <c r="O9" s="16"/>
      <c r="Q9" s="17"/>
      <c r="R9" s="14" t="s">
        <v>11</v>
      </c>
      <c r="S9" s="45">
        <v>0</v>
      </c>
      <c r="T9" s="16"/>
      <c r="V9" s="17"/>
      <c r="W9" s="14" t="s">
        <v>11</v>
      </c>
      <c r="X9" s="45">
        <v>465.1</v>
      </c>
      <c r="Y9" s="45">
        <v>383.80759400392697</v>
      </c>
      <c r="Z9" s="45">
        <v>626.10903726452057</v>
      </c>
      <c r="AA9" s="45"/>
      <c r="AB9" s="45"/>
      <c r="AC9" s="45"/>
      <c r="AD9" s="45"/>
      <c r="AE9" s="45"/>
      <c r="AF9" s="45"/>
      <c r="AG9" s="16"/>
    </row>
    <row r="10" spans="2:33" x14ac:dyDescent="0.2">
      <c r="B10" s="17"/>
      <c r="C10" s="14" t="s">
        <v>12</v>
      </c>
      <c r="D10" s="45">
        <v>2352</v>
      </c>
      <c r="E10" s="16"/>
      <c r="G10" s="17"/>
      <c r="H10" s="14" t="s">
        <v>12</v>
      </c>
      <c r="I10" s="45">
        <v>0</v>
      </c>
      <c r="J10" s="16"/>
      <c r="L10" s="17"/>
      <c r="M10" s="14" t="s">
        <v>12</v>
      </c>
      <c r="N10" s="45">
        <f t="shared" si="0"/>
        <v>0</v>
      </c>
      <c r="O10" s="16"/>
      <c r="Q10" s="17"/>
      <c r="R10" s="14" t="s">
        <v>12</v>
      </c>
      <c r="S10" s="45">
        <v>0</v>
      </c>
      <c r="T10" s="16"/>
      <c r="V10" s="17"/>
      <c r="W10" s="14" t="s">
        <v>12</v>
      </c>
      <c r="X10" s="45">
        <v>477.2</v>
      </c>
      <c r="Y10" s="45">
        <v>429.15094193949773</v>
      </c>
      <c r="Z10" s="45">
        <v>649.36574065273965</v>
      </c>
      <c r="AA10" s="45"/>
      <c r="AB10" s="45"/>
      <c r="AC10" s="45"/>
      <c r="AD10" s="45"/>
      <c r="AE10" s="45"/>
      <c r="AF10" s="45"/>
      <c r="AG10" s="16"/>
    </row>
    <row r="11" spans="2:33" x14ac:dyDescent="0.2">
      <c r="B11" s="17"/>
      <c r="C11" s="14" t="s">
        <v>13</v>
      </c>
      <c r="D11" s="45">
        <v>2373</v>
      </c>
      <c r="E11" s="16"/>
      <c r="G11" s="17"/>
      <c r="H11" s="14" t="s">
        <v>13</v>
      </c>
      <c r="I11" s="45">
        <v>0</v>
      </c>
      <c r="J11" s="16"/>
      <c r="L11" s="17"/>
      <c r="M11" s="14" t="s">
        <v>13</v>
      </c>
      <c r="N11" s="45">
        <f t="shared" si="0"/>
        <v>0</v>
      </c>
      <c r="O11" s="16"/>
      <c r="Q11" s="17"/>
      <c r="R11" s="14" t="s">
        <v>13</v>
      </c>
      <c r="S11" s="45">
        <v>0</v>
      </c>
      <c r="T11" s="16"/>
      <c r="V11" s="17"/>
      <c r="W11" s="14" t="s">
        <v>13</v>
      </c>
      <c r="X11" s="45">
        <v>458.8</v>
      </c>
      <c r="Y11" s="45">
        <v>430.15660072036985</v>
      </c>
      <c r="Z11" s="45">
        <v>606.92664859472609</v>
      </c>
      <c r="AA11" s="45"/>
      <c r="AB11" s="45"/>
      <c r="AC11" s="45"/>
      <c r="AD11" s="45"/>
      <c r="AE11" s="45"/>
      <c r="AF11" s="45"/>
      <c r="AG11" s="16"/>
    </row>
    <row r="12" spans="2:33" x14ac:dyDescent="0.2">
      <c r="B12" s="17"/>
      <c r="C12" s="14" t="s">
        <v>14</v>
      </c>
      <c r="D12" s="45">
        <v>2662</v>
      </c>
      <c r="E12" s="16"/>
      <c r="G12" s="17"/>
      <c r="H12" s="14" t="s">
        <v>14</v>
      </c>
      <c r="I12" s="45">
        <v>0</v>
      </c>
      <c r="J12" s="16"/>
      <c r="L12" s="17"/>
      <c r="M12" s="14" t="s">
        <v>14</v>
      </c>
      <c r="N12" s="45">
        <f t="shared" si="0"/>
        <v>0</v>
      </c>
      <c r="O12" s="16"/>
      <c r="Q12" s="17"/>
      <c r="R12" s="14" t="s">
        <v>14</v>
      </c>
      <c r="S12" s="45">
        <v>0</v>
      </c>
      <c r="T12" s="16"/>
      <c r="V12" s="17"/>
      <c r="W12" s="14" t="s">
        <v>14</v>
      </c>
      <c r="X12" s="45">
        <v>452.2</v>
      </c>
      <c r="Y12" s="45">
        <v>419.74698939484358</v>
      </c>
      <c r="Z12" s="45">
        <v>593.03337461618719</v>
      </c>
      <c r="AA12" s="45"/>
      <c r="AB12" s="45"/>
      <c r="AC12" s="45"/>
      <c r="AD12" s="45"/>
      <c r="AE12" s="45"/>
      <c r="AF12" s="45"/>
      <c r="AG12" s="16"/>
    </row>
    <row r="13" spans="2:33" x14ac:dyDescent="0.2">
      <c r="B13" s="17"/>
      <c r="C13" s="14" t="s">
        <v>15</v>
      </c>
      <c r="D13" s="45">
        <v>3165</v>
      </c>
      <c r="E13" s="16"/>
      <c r="G13" s="17"/>
      <c r="H13" s="14" t="s">
        <v>15</v>
      </c>
      <c r="I13" s="45">
        <v>0</v>
      </c>
      <c r="J13" s="16"/>
      <c r="L13" s="17"/>
      <c r="M13" s="14" t="s">
        <v>15</v>
      </c>
      <c r="N13" s="45">
        <f t="shared" si="0"/>
        <v>0</v>
      </c>
      <c r="O13" s="16"/>
      <c r="Q13" s="17"/>
      <c r="R13" s="14" t="s">
        <v>15</v>
      </c>
      <c r="S13" s="45">
        <v>0</v>
      </c>
      <c r="T13" s="16"/>
      <c r="V13" s="17"/>
      <c r="W13" s="14" t="s">
        <v>15</v>
      </c>
      <c r="X13" s="45">
        <v>431.2</v>
      </c>
      <c r="Y13" s="45">
        <v>384.67739517059357</v>
      </c>
      <c r="Z13" s="45">
        <v>582.79559169095887</v>
      </c>
      <c r="AA13" s="45"/>
      <c r="AB13" s="45"/>
      <c r="AC13" s="45"/>
      <c r="AD13" s="45"/>
      <c r="AE13" s="45"/>
      <c r="AF13" s="45"/>
      <c r="AG13" s="16"/>
    </row>
    <row r="14" spans="2:33" x14ac:dyDescent="0.2">
      <c r="B14" s="17"/>
      <c r="C14" s="14" t="s">
        <v>16</v>
      </c>
      <c r="D14" s="45">
        <v>3511</v>
      </c>
      <c r="E14" s="16"/>
      <c r="G14" s="17"/>
      <c r="H14" s="14" t="s">
        <v>16</v>
      </c>
      <c r="I14" s="45">
        <v>0</v>
      </c>
      <c r="J14" s="16"/>
      <c r="L14" s="17"/>
      <c r="M14" s="14" t="s">
        <v>16</v>
      </c>
      <c r="N14" s="45">
        <f t="shared" si="0"/>
        <v>0</v>
      </c>
      <c r="O14" s="16"/>
      <c r="Q14" s="17"/>
      <c r="R14" s="14" t="s">
        <v>16</v>
      </c>
      <c r="S14" s="45">
        <v>0</v>
      </c>
      <c r="T14" s="16"/>
      <c r="V14" s="17"/>
      <c r="W14" s="14" t="s">
        <v>16</v>
      </c>
      <c r="X14" s="45">
        <v>459.7</v>
      </c>
      <c r="Y14" s="45">
        <v>424.82005182503423</v>
      </c>
      <c r="Z14" s="45">
        <v>637.29928294277397</v>
      </c>
      <c r="AA14" s="45"/>
      <c r="AB14" s="45"/>
      <c r="AC14" s="45"/>
      <c r="AD14" s="45"/>
      <c r="AE14" s="45"/>
      <c r="AF14" s="45"/>
      <c r="AG14" s="16"/>
    </row>
    <row r="15" spans="2:33" x14ac:dyDescent="0.2">
      <c r="B15" s="17"/>
      <c r="C15" s="14" t="s">
        <v>17</v>
      </c>
      <c r="D15" s="45">
        <v>3539</v>
      </c>
      <c r="E15" s="16"/>
      <c r="G15" s="17"/>
      <c r="H15" s="14" t="s">
        <v>17</v>
      </c>
      <c r="I15" s="45">
        <v>0</v>
      </c>
      <c r="J15" s="16"/>
      <c r="L15" s="17"/>
      <c r="M15" s="14" t="s">
        <v>17</v>
      </c>
      <c r="N15" s="45">
        <f t="shared" si="0"/>
        <v>0</v>
      </c>
      <c r="O15" s="16"/>
      <c r="Q15" s="17"/>
      <c r="R15" s="14" t="s">
        <v>17</v>
      </c>
      <c r="S15" s="45">
        <v>0</v>
      </c>
      <c r="T15" s="16"/>
      <c r="V15" s="17"/>
      <c r="W15" s="14" t="s">
        <v>17</v>
      </c>
      <c r="X15" s="45">
        <v>503</v>
      </c>
      <c r="Y15" s="45">
        <v>521.90425160764835</v>
      </c>
      <c r="Z15" s="45">
        <v>716.81311349155249</v>
      </c>
      <c r="AA15" s="45"/>
      <c r="AB15" s="45"/>
      <c r="AC15" s="45"/>
      <c r="AD15" s="45"/>
      <c r="AE15" s="45"/>
      <c r="AF15" s="45"/>
      <c r="AG15" s="16"/>
    </row>
    <row r="16" spans="2:33" x14ac:dyDescent="0.2">
      <c r="B16" s="17"/>
      <c r="C16" s="14" t="s">
        <v>18</v>
      </c>
      <c r="D16" s="45">
        <v>3570</v>
      </c>
      <c r="E16" s="16"/>
      <c r="G16" s="17"/>
      <c r="H16" s="14" t="s">
        <v>18</v>
      </c>
      <c r="I16" s="45">
        <v>0</v>
      </c>
      <c r="J16" s="16"/>
      <c r="L16" s="17"/>
      <c r="M16" s="14" t="s">
        <v>18</v>
      </c>
      <c r="N16" s="45">
        <f t="shared" si="0"/>
        <v>0</v>
      </c>
      <c r="O16" s="16"/>
      <c r="Q16" s="17"/>
      <c r="R16" s="14" t="s">
        <v>18</v>
      </c>
      <c r="S16" s="45">
        <v>0</v>
      </c>
      <c r="T16" s="16"/>
      <c r="V16" s="17"/>
      <c r="W16" s="14" t="s">
        <v>18</v>
      </c>
      <c r="X16" s="45">
        <v>489.5</v>
      </c>
      <c r="Y16" s="45">
        <v>603.29438211294519</v>
      </c>
      <c r="Z16" s="45">
        <v>752.24783192566201</v>
      </c>
      <c r="AA16" s="45"/>
      <c r="AB16" s="45"/>
      <c r="AC16" s="45"/>
      <c r="AD16" s="45"/>
      <c r="AE16" s="45"/>
      <c r="AF16" s="45"/>
      <c r="AG16" s="16"/>
    </row>
    <row r="17" spans="2:33" x14ac:dyDescent="0.2">
      <c r="B17" s="17"/>
      <c r="C17" s="14" t="s">
        <v>19</v>
      </c>
      <c r="D17" s="45">
        <v>3538</v>
      </c>
      <c r="E17" s="16"/>
      <c r="G17" s="17"/>
      <c r="H17" s="14" t="s">
        <v>19</v>
      </c>
      <c r="I17" s="45">
        <v>0</v>
      </c>
      <c r="J17" s="16"/>
      <c r="L17" s="17"/>
      <c r="M17" s="14" t="s">
        <v>19</v>
      </c>
      <c r="N17" s="45">
        <f t="shared" si="0"/>
        <v>0</v>
      </c>
      <c r="O17" s="16"/>
      <c r="Q17" s="17"/>
      <c r="R17" s="14" t="s">
        <v>19</v>
      </c>
      <c r="S17" s="45">
        <v>0</v>
      </c>
      <c r="T17" s="16"/>
      <c r="V17" s="17"/>
      <c r="W17" s="14" t="s">
        <v>19</v>
      </c>
      <c r="X17" s="45">
        <v>519</v>
      </c>
      <c r="Y17" s="45">
        <v>700.08034393561638</v>
      </c>
      <c r="Z17" s="45">
        <v>891.22355816438358</v>
      </c>
      <c r="AA17" s="45"/>
      <c r="AB17" s="45"/>
      <c r="AC17" s="45"/>
      <c r="AD17" s="45"/>
      <c r="AE17" s="45"/>
      <c r="AF17" s="45"/>
      <c r="AG17" s="16"/>
    </row>
    <row r="18" spans="2:33" x14ac:dyDescent="0.2">
      <c r="B18" s="17"/>
      <c r="C18" s="14" t="s">
        <v>20</v>
      </c>
      <c r="D18" s="45">
        <v>3479</v>
      </c>
      <c r="E18" s="16"/>
      <c r="G18" s="17"/>
      <c r="H18" s="14" t="s">
        <v>20</v>
      </c>
      <c r="I18" s="45">
        <v>0</v>
      </c>
      <c r="J18" s="16"/>
      <c r="L18" s="17"/>
      <c r="M18" s="14" t="s">
        <v>20</v>
      </c>
      <c r="N18" s="45">
        <f t="shared" si="0"/>
        <v>0</v>
      </c>
      <c r="O18" s="16"/>
      <c r="Q18" s="17"/>
      <c r="R18" s="14" t="s">
        <v>20</v>
      </c>
      <c r="S18" s="45">
        <v>0</v>
      </c>
      <c r="T18" s="16"/>
      <c r="V18" s="17"/>
      <c r="W18" s="14" t="s">
        <v>20</v>
      </c>
      <c r="X18" s="45">
        <v>543.79999999999995</v>
      </c>
      <c r="Y18" s="45">
        <v>719.61247635829909</v>
      </c>
      <c r="Z18" s="45">
        <v>1003.5301370043379</v>
      </c>
      <c r="AA18" s="45"/>
      <c r="AB18" s="45"/>
      <c r="AC18" s="45"/>
      <c r="AD18" s="45"/>
      <c r="AE18" s="45"/>
      <c r="AF18" s="45"/>
      <c r="AG18" s="16"/>
    </row>
    <row r="19" spans="2:33" x14ac:dyDescent="0.2">
      <c r="B19" s="17"/>
      <c r="C19" s="14" t="s">
        <v>21</v>
      </c>
      <c r="D19" s="45">
        <v>3395</v>
      </c>
      <c r="E19" s="16"/>
      <c r="G19" s="17"/>
      <c r="H19" s="14" t="s">
        <v>21</v>
      </c>
      <c r="I19" s="45">
        <v>0</v>
      </c>
      <c r="J19" s="16"/>
      <c r="L19" s="17"/>
      <c r="M19" s="14" t="s">
        <v>21</v>
      </c>
      <c r="N19" s="45">
        <f t="shared" si="0"/>
        <v>0</v>
      </c>
      <c r="O19" s="16"/>
      <c r="Q19" s="17"/>
      <c r="R19" s="14" t="s">
        <v>21</v>
      </c>
      <c r="S19" s="45">
        <v>0</v>
      </c>
      <c r="T19" s="16"/>
      <c r="V19" s="17"/>
      <c r="W19" s="14" t="s">
        <v>21</v>
      </c>
      <c r="X19" s="45">
        <v>567.9</v>
      </c>
      <c r="Y19" s="45">
        <v>696.20942207242001</v>
      </c>
      <c r="Z19" s="45">
        <v>1063.5635605627854</v>
      </c>
      <c r="AA19" s="45"/>
      <c r="AB19" s="45"/>
      <c r="AC19" s="45"/>
      <c r="AD19" s="45"/>
      <c r="AE19" s="45"/>
      <c r="AF19" s="45"/>
      <c r="AG19" s="16"/>
    </row>
    <row r="20" spans="2:33" x14ac:dyDescent="0.2">
      <c r="B20" s="17"/>
      <c r="C20" s="14" t="s">
        <v>22</v>
      </c>
      <c r="D20" s="45">
        <v>3192</v>
      </c>
      <c r="E20" s="16"/>
      <c r="G20" s="17"/>
      <c r="H20" s="14" t="s">
        <v>22</v>
      </c>
      <c r="I20" s="45">
        <v>0</v>
      </c>
      <c r="J20" s="16"/>
      <c r="L20" s="17"/>
      <c r="M20" s="14" t="s">
        <v>22</v>
      </c>
      <c r="N20" s="45">
        <f t="shared" si="0"/>
        <v>0</v>
      </c>
      <c r="O20" s="16"/>
      <c r="Q20" s="17"/>
      <c r="R20" s="14" t="s">
        <v>22</v>
      </c>
      <c r="S20" s="45">
        <v>0</v>
      </c>
      <c r="T20" s="16"/>
      <c r="V20" s="17"/>
      <c r="W20" s="14" t="s">
        <v>22</v>
      </c>
      <c r="X20" s="45">
        <v>588.9</v>
      </c>
      <c r="Y20" s="45">
        <v>674.70976883835613</v>
      </c>
      <c r="Z20" s="45">
        <v>1069.0626217174658</v>
      </c>
      <c r="AA20" s="45"/>
      <c r="AB20" s="45"/>
      <c r="AC20" s="45"/>
      <c r="AD20" s="45"/>
      <c r="AE20" s="45"/>
      <c r="AF20" s="45"/>
      <c r="AG20" s="16"/>
    </row>
    <row r="21" spans="2:33" x14ac:dyDescent="0.2">
      <c r="B21" s="17"/>
      <c r="C21" s="14" t="s">
        <v>23</v>
      </c>
      <c r="D21" s="45">
        <v>3163</v>
      </c>
      <c r="E21" s="16"/>
      <c r="G21" s="17"/>
      <c r="H21" s="14" t="s">
        <v>23</v>
      </c>
      <c r="I21" s="45">
        <v>0</v>
      </c>
      <c r="J21" s="16"/>
      <c r="L21" s="17"/>
      <c r="M21" s="14" t="s">
        <v>23</v>
      </c>
      <c r="N21" s="45">
        <f t="shared" si="0"/>
        <v>0</v>
      </c>
      <c r="O21" s="16"/>
      <c r="Q21" s="17"/>
      <c r="R21" s="14" t="s">
        <v>23</v>
      </c>
      <c r="S21" s="45">
        <v>0</v>
      </c>
      <c r="T21" s="16"/>
      <c r="V21" s="17"/>
      <c r="W21" s="14" t="s">
        <v>23</v>
      </c>
      <c r="X21" s="45">
        <v>599.5</v>
      </c>
      <c r="Y21" s="45">
        <v>682.26254312401829</v>
      </c>
      <c r="Z21" s="45">
        <v>1078.4432044493151</v>
      </c>
      <c r="AA21" s="45"/>
      <c r="AB21" s="45"/>
      <c r="AC21" s="45"/>
      <c r="AD21" s="45"/>
      <c r="AE21" s="45"/>
      <c r="AF21" s="45"/>
      <c r="AG21" s="16"/>
    </row>
    <row r="22" spans="2:33" x14ac:dyDescent="0.2">
      <c r="B22" s="17"/>
      <c r="C22" s="14" t="s">
        <v>24</v>
      </c>
      <c r="D22" s="45">
        <v>3237</v>
      </c>
      <c r="E22" s="16"/>
      <c r="G22" s="17"/>
      <c r="H22" s="14" t="s">
        <v>24</v>
      </c>
      <c r="I22" s="45">
        <v>0</v>
      </c>
      <c r="J22" s="16"/>
      <c r="L22" s="17"/>
      <c r="M22" s="14" t="s">
        <v>24</v>
      </c>
      <c r="N22" s="45">
        <f t="shared" si="0"/>
        <v>0</v>
      </c>
      <c r="O22" s="16"/>
      <c r="Q22" s="17"/>
      <c r="R22" s="14" t="s">
        <v>24</v>
      </c>
      <c r="S22" s="45">
        <v>0</v>
      </c>
      <c r="T22" s="16"/>
      <c r="V22" s="17"/>
      <c r="W22" s="14" t="s">
        <v>24</v>
      </c>
      <c r="X22" s="45">
        <v>619.1</v>
      </c>
      <c r="Y22" s="45">
        <v>696.59399504624434</v>
      </c>
      <c r="Z22" s="45">
        <v>1073.7773811663242</v>
      </c>
      <c r="AA22" s="45"/>
      <c r="AB22" s="45"/>
      <c r="AC22" s="45"/>
      <c r="AD22" s="45"/>
      <c r="AE22" s="45"/>
      <c r="AF22" s="45"/>
      <c r="AG22" s="16"/>
    </row>
    <row r="23" spans="2:33" x14ac:dyDescent="0.2">
      <c r="B23" s="17"/>
      <c r="C23" s="14" t="s">
        <v>25</v>
      </c>
      <c r="D23" s="45">
        <v>3386</v>
      </c>
      <c r="E23" s="16"/>
      <c r="G23" s="17"/>
      <c r="H23" s="14" t="s">
        <v>25</v>
      </c>
      <c r="I23" s="45">
        <v>0</v>
      </c>
      <c r="J23" s="16"/>
      <c r="L23" s="17"/>
      <c r="M23" s="14" t="s">
        <v>25</v>
      </c>
      <c r="N23" s="45">
        <f t="shared" si="0"/>
        <v>0</v>
      </c>
      <c r="O23" s="16"/>
      <c r="Q23" s="17"/>
      <c r="R23" s="14" t="s">
        <v>25</v>
      </c>
      <c r="S23" s="45">
        <v>0</v>
      </c>
      <c r="T23" s="16"/>
      <c r="V23" s="17"/>
      <c r="W23" s="14" t="s">
        <v>25</v>
      </c>
      <c r="X23" s="45">
        <v>619</v>
      </c>
      <c r="Y23" s="45">
        <v>671.87182871273967</v>
      </c>
      <c r="Z23" s="45">
        <v>1005.937158180137</v>
      </c>
      <c r="AA23" s="45"/>
      <c r="AB23" s="45"/>
      <c r="AC23" s="45"/>
      <c r="AD23" s="45"/>
      <c r="AE23" s="45"/>
      <c r="AF23" s="45"/>
      <c r="AG23" s="16"/>
    </row>
    <row r="24" spans="2:33" x14ac:dyDescent="0.2">
      <c r="B24" s="17"/>
      <c r="C24" s="14" t="s">
        <v>26</v>
      </c>
      <c r="D24" s="45">
        <v>3779</v>
      </c>
      <c r="E24" s="16"/>
      <c r="G24" s="17"/>
      <c r="H24" s="14" t="s">
        <v>26</v>
      </c>
      <c r="I24" s="45">
        <v>0</v>
      </c>
      <c r="J24" s="16"/>
      <c r="L24" s="17"/>
      <c r="M24" s="14" t="s">
        <v>26</v>
      </c>
      <c r="N24" s="45">
        <f t="shared" si="0"/>
        <v>0</v>
      </c>
      <c r="O24" s="16"/>
      <c r="Q24" s="17"/>
      <c r="R24" s="14" t="s">
        <v>26</v>
      </c>
      <c r="S24" s="45">
        <v>0</v>
      </c>
      <c r="T24" s="16"/>
      <c r="V24" s="17"/>
      <c r="W24" s="14" t="s">
        <v>26</v>
      </c>
      <c r="X24" s="45">
        <v>699.7</v>
      </c>
      <c r="Y24" s="45">
        <v>755.56061543676947</v>
      </c>
      <c r="Z24" s="45">
        <v>971.83210215511417</v>
      </c>
      <c r="AA24" s="45"/>
      <c r="AB24" s="45"/>
      <c r="AC24" s="45"/>
      <c r="AD24" s="45"/>
      <c r="AE24" s="45"/>
      <c r="AF24" s="45"/>
      <c r="AG24" s="16"/>
    </row>
    <row r="25" spans="2:33" x14ac:dyDescent="0.2">
      <c r="B25" s="17"/>
      <c r="C25" s="14" t="s">
        <v>27</v>
      </c>
      <c r="D25" s="45">
        <v>3766</v>
      </c>
      <c r="E25" s="16"/>
      <c r="G25" s="17"/>
      <c r="H25" s="14" t="s">
        <v>27</v>
      </c>
      <c r="I25" s="45">
        <v>0</v>
      </c>
      <c r="J25" s="16"/>
      <c r="L25" s="17"/>
      <c r="M25" s="14" t="s">
        <v>27</v>
      </c>
      <c r="N25" s="45">
        <f t="shared" si="0"/>
        <v>0</v>
      </c>
      <c r="O25" s="16"/>
      <c r="Q25" s="17"/>
      <c r="R25" s="14" t="s">
        <v>27</v>
      </c>
      <c r="S25" s="45">
        <v>0</v>
      </c>
      <c r="T25" s="16"/>
      <c r="V25" s="17"/>
      <c r="W25" s="14" t="s">
        <v>27</v>
      </c>
      <c r="X25" s="45">
        <v>763.5</v>
      </c>
      <c r="Y25" s="45">
        <v>872.93428582785384</v>
      </c>
      <c r="Z25" s="45">
        <v>934.63285901369863</v>
      </c>
      <c r="AA25" s="45"/>
      <c r="AB25" s="45"/>
      <c r="AC25" s="45"/>
      <c r="AD25" s="45"/>
      <c r="AE25" s="45"/>
      <c r="AF25" s="45"/>
      <c r="AG25" s="16"/>
    </row>
    <row r="26" spans="2:33" x14ac:dyDescent="0.2">
      <c r="B26" s="17"/>
      <c r="C26" s="14" t="s">
        <v>28</v>
      </c>
      <c r="D26" s="45">
        <v>3710</v>
      </c>
      <c r="E26" s="16"/>
      <c r="G26" s="17"/>
      <c r="H26" s="14" t="s">
        <v>28</v>
      </c>
      <c r="I26" s="45">
        <v>0</v>
      </c>
      <c r="J26" s="16"/>
      <c r="L26" s="17"/>
      <c r="M26" s="14" t="s">
        <v>28</v>
      </c>
      <c r="N26" s="45">
        <f t="shared" si="0"/>
        <v>0</v>
      </c>
      <c r="O26" s="16"/>
      <c r="Q26" s="17"/>
      <c r="R26" s="14" t="s">
        <v>28</v>
      </c>
      <c r="S26" s="45">
        <v>0</v>
      </c>
      <c r="T26" s="16"/>
      <c r="V26" s="17"/>
      <c r="W26" s="14" t="s">
        <v>28</v>
      </c>
      <c r="X26" s="45">
        <v>768.3</v>
      </c>
      <c r="Y26" s="45">
        <v>934.46447132020535</v>
      </c>
      <c r="Z26" s="45">
        <v>923.887640059315</v>
      </c>
      <c r="AA26" s="45"/>
      <c r="AB26" s="45"/>
      <c r="AC26" s="45"/>
      <c r="AD26" s="45"/>
      <c r="AE26" s="45"/>
      <c r="AF26" s="45"/>
      <c r="AG26" s="16"/>
    </row>
    <row r="27" spans="2:33" x14ac:dyDescent="0.2">
      <c r="B27" s="17"/>
      <c r="C27" s="14" t="s">
        <v>29</v>
      </c>
      <c r="D27" s="45">
        <v>3597</v>
      </c>
      <c r="E27" s="16"/>
      <c r="G27" s="17"/>
      <c r="H27" s="14" t="s">
        <v>29</v>
      </c>
      <c r="I27" s="45">
        <v>0</v>
      </c>
      <c r="J27" s="16"/>
      <c r="L27" s="17"/>
      <c r="M27" s="14" t="s">
        <v>29</v>
      </c>
      <c r="N27" s="45">
        <f t="shared" si="0"/>
        <v>0</v>
      </c>
      <c r="O27" s="16"/>
      <c r="Q27" s="17"/>
      <c r="R27" s="14" t="s">
        <v>29</v>
      </c>
      <c r="S27" s="45">
        <v>0</v>
      </c>
      <c r="T27" s="16"/>
      <c r="V27" s="17"/>
      <c r="W27" s="14" t="s">
        <v>29</v>
      </c>
      <c r="X27" s="45">
        <v>793.8</v>
      </c>
      <c r="Y27" s="45">
        <v>949.98154440815063</v>
      </c>
      <c r="Z27" s="45">
        <v>954.74871022331047</v>
      </c>
      <c r="AA27" s="45"/>
      <c r="AB27" s="45"/>
      <c r="AC27" s="45"/>
      <c r="AD27" s="45"/>
      <c r="AE27" s="45"/>
      <c r="AF27" s="45"/>
      <c r="AG27" s="16"/>
    </row>
    <row r="28" spans="2:33" x14ac:dyDescent="0.2">
      <c r="B28" s="17"/>
      <c r="C28" s="14" t="s">
        <v>30</v>
      </c>
      <c r="D28" s="45">
        <v>3373</v>
      </c>
      <c r="E28" s="16"/>
      <c r="G28" s="17"/>
      <c r="H28" s="14" t="s">
        <v>30</v>
      </c>
      <c r="I28" s="45">
        <v>0</v>
      </c>
      <c r="J28" s="16"/>
      <c r="L28" s="17"/>
      <c r="M28" s="14" t="s">
        <v>30</v>
      </c>
      <c r="N28" s="45">
        <f t="shared" si="0"/>
        <v>0</v>
      </c>
      <c r="O28" s="16"/>
      <c r="Q28" s="17"/>
      <c r="R28" s="14" t="s">
        <v>30</v>
      </c>
      <c r="S28" s="45">
        <v>0</v>
      </c>
      <c r="T28" s="16"/>
      <c r="V28" s="17"/>
      <c r="W28" s="14" t="s">
        <v>30</v>
      </c>
      <c r="X28" s="45">
        <v>818.5</v>
      </c>
      <c r="Y28" s="45">
        <v>908.71804906727175</v>
      </c>
      <c r="Z28" s="45">
        <v>963.27120490563925</v>
      </c>
      <c r="AA28" s="45"/>
      <c r="AB28" s="45"/>
      <c r="AC28" s="45"/>
      <c r="AD28" s="45"/>
      <c r="AE28" s="45"/>
      <c r="AF28" s="45"/>
      <c r="AG28" s="16"/>
    </row>
    <row r="29" spans="2:33" x14ac:dyDescent="0.2">
      <c r="B29" s="17"/>
      <c r="C29" s="14" t="s">
        <v>31</v>
      </c>
      <c r="D29" s="45">
        <v>3214</v>
      </c>
      <c r="E29" s="16"/>
      <c r="G29" s="17"/>
      <c r="H29" s="14" t="s">
        <v>31</v>
      </c>
      <c r="I29" s="45">
        <v>0</v>
      </c>
      <c r="J29" s="16"/>
      <c r="L29" s="17"/>
      <c r="M29" s="14" t="s">
        <v>31</v>
      </c>
      <c r="N29" s="45">
        <f t="shared" si="0"/>
        <v>0</v>
      </c>
      <c r="O29" s="16"/>
      <c r="Q29" s="17"/>
      <c r="R29" s="14" t="s">
        <v>31</v>
      </c>
      <c r="S29" s="45">
        <v>0</v>
      </c>
      <c r="T29" s="16"/>
      <c r="V29" s="17"/>
      <c r="W29" s="14" t="s">
        <v>31</v>
      </c>
      <c r="X29" s="45">
        <v>791.3</v>
      </c>
      <c r="Y29" s="45">
        <v>816.56859067013693</v>
      </c>
      <c r="Z29" s="45">
        <v>878.47819722328768</v>
      </c>
      <c r="AA29" s="45"/>
      <c r="AB29" s="45"/>
      <c r="AC29" s="45"/>
      <c r="AD29" s="45"/>
      <c r="AE29" s="45"/>
      <c r="AF29" s="45"/>
      <c r="AG29" s="16"/>
    </row>
    <row r="30" spans="2:33" x14ac:dyDescent="0.2">
      <c r="B30" s="17"/>
      <c r="C30" s="14"/>
      <c r="D30" s="14"/>
      <c r="E30" s="16"/>
      <c r="G30" s="17"/>
      <c r="H30" s="14"/>
      <c r="I30" s="14"/>
      <c r="J30" s="16"/>
      <c r="L30" s="17"/>
      <c r="M30" s="14"/>
      <c r="N30" s="14"/>
      <c r="O30" s="16"/>
      <c r="Q30" s="17"/>
      <c r="R30" s="14"/>
      <c r="S30" s="14"/>
      <c r="T30" s="16"/>
      <c r="V30" s="17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6"/>
    </row>
    <row r="31" spans="2:33" x14ac:dyDescent="0.2">
      <c r="B31" s="34" t="s">
        <v>107</v>
      </c>
      <c r="C31" s="14"/>
      <c r="D31" s="45">
        <f>MAX(D6:D29)</f>
        <v>3779</v>
      </c>
      <c r="E31" s="16"/>
      <c r="G31" s="34" t="s">
        <v>107</v>
      </c>
      <c r="H31" s="14"/>
      <c r="I31" s="45">
        <f>MAX(I6:I29)</f>
        <v>0</v>
      </c>
      <c r="J31" s="16"/>
      <c r="L31" s="34" t="s">
        <v>107</v>
      </c>
      <c r="M31" s="14"/>
      <c r="N31" s="45">
        <f>MAX(N6:N29)</f>
        <v>0</v>
      </c>
      <c r="O31" s="16"/>
      <c r="Q31" s="34" t="s">
        <v>107</v>
      </c>
      <c r="R31" s="14"/>
      <c r="S31" s="45">
        <f>MAX(S6:S29)</f>
        <v>0</v>
      </c>
      <c r="T31" s="16"/>
      <c r="V31" s="34" t="s">
        <v>107</v>
      </c>
      <c r="W31" s="14"/>
      <c r="X31" s="45">
        <f t="shared" ref="X31:Z31" si="1">MAX(X6:X29)</f>
        <v>818.5</v>
      </c>
      <c r="Y31" s="45">
        <f t="shared" si="1"/>
        <v>949.98154440815063</v>
      </c>
      <c r="Z31" s="45">
        <f t="shared" si="1"/>
        <v>1078.4432044493151</v>
      </c>
      <c r="AA31" s="14"/>
      <c r="AB31" s="14"/>
      <c r="AC31" s="14"/>
      <c r="AD31" s="14"/>
      <c r="AE31" s="14"/>
      <c r="AF31" s="14"/>
      <c r="AG31" s="16"/>
    </row>
    <row r="32" spans="2:33" x14ac:dyDescent="0.2">
      <c r="B32" s="34" t="s">
        <v>108</v>
      </c>
      <c r="C32" s="14"/>
      <c r="D32" s="45">
        <f>MIN(D6:D29)</f>
        <v>2352</v>
      </c>
      <c r="E32" s="16"/>
      <c r="G32" s="34" t="s">
        <v>108</v>
      </c>
      <c r="H32" s="14"/>
      <c r="I32" s="45">
        <f>MIN(I6:I29)</f>
        <v>0</v>
      </c>
      <c r="J32" s="16"/>
      <c r="L32" s="34" t="s">
        <v>108</v>
      </c>
      <c r="M32" s="14"/>
      <c r="N32" s="45">
        <f>MIN(N6:N29)</f>
        <v>0</v>
      </c>
      <c r="O32" s="16"/>
      <c r="Q32" s="34" t="s">
        <v>108</v>
      </c>
      <c r="R32" s="14"/>
      <c r="S32" s="45">
        <f>MIN(S6:S29)</f>
        <v>0</v>
      </c>
      <c r="T32" s="16"/>
      <c r="V32" s="34" t="s">
        <v>108</v>
      </c>
      <c r="W32" s="14"/>
      <c r="X32" s="45">
        <f t="shared" ref="X32:Z32" si="2">MIN(X6:X29)</f>
        <v>431.2</v>
      </c>
      <c r="Y32" s="45">
        <f t="shared" si="2"/>
        <v>345.07170709668952</v>
      </c>
      <c r="Z32" s="45">
        <f t="shared" si="2"/>
        <v>582.79559169095887</v>
      </c>
      <c r="AA32" s="14"/>
      <c r="AB32" s="14"/>
      <c r="AC32" s="14"/>
      <c r="AD32" s="14"/>
      <c r="AE32" s="14"/>
      <c r="AF32" s="14"/>
      <c r="AG32" s="16"/>
    </row>
    <row r="33" spans="2:33" x14ac:dyDescent="0.2">
      <c r="B33" s="34" t="s">
        <v>109</v>
      </c>
      <c r="C33" s="14"/>
      <c r="D33" s="45">
        <f>SUM(D6:D29)</f>
        <v>76134</v>
      </c>
      <c r="E33" s="16"/>
      <c r="G33" s="34" t="s">
        <v>109</v>
      </c>
      <c r="H33" s="14"/>
      <c r="I33" s="45">
        <f>SUM(I6:I29)</f>
        <v>0</v>
      </c>
      <c r="J33" s="16"/>
      <c r="L33" s="34" t="s">
        <v>109</v>
      </c>
      <c r="M33" s="14"/>
      <c r="N33" s="45">
        <f>SUM(N6:N29)</f>
        <v>0</v>
      </c>
      <c r="O33" s="16"/>
      <c r="Q33" s="34" t="s">
        <v>109</v>
      </c>
      <c r="R33" s="14"/>
      <c r="S33" s="45">
        <f>SUM(S6:S29)</f>
        <v>0</v>
      </c>
      <c r="T33" s="16"/>
      <c r="V33" s="34" t="s">
        <v>109</v>
      </c>
      <c r="W33" s="14"/>
      <c r="X33" s="45">
        <f t="shared" ref="X33:Z33" si="3">SUM(X6:X29)</f>
        <v>13805.099999999999</v>
      </c>
      <c r="Y33" s="45">
        <f t="shared" si="3"/>
        <v>14747.795514541765</v>
      </c>
      <c r="Z33" s="45">
        <f t="shared" si="3"/>
        <v>19863.474372398734</v>
      </c>
      <c r="AA33" s="14"/>
      <c r="AB33" s="14"/>
      <c r="AC33" s="14"/>
      <c r="AD33" s="14"/>
      <c r="AE33" s="14"/>
      <c r="AF33" s="14"/>
      <c r="AG33" s="16"/>
    </row>
    <row r="34" spans="2:33" ht="13.5" thickBot="1" x14ac:dyDescent="0.25">
      <c r="B34" s="23"/>
      <c r="C34" s="24"/>
      <c r="D34" s="24"/>
      <c r="E34" s="26"/>
      <c r="G34" s="23"/>
      <c r="H34" s="24"/>
      <c r="I34" s="24"/>
      <c r="J34" s="26"/>
      <c r="L34" s="23"/>
      <c r="M34" s="24"/>
      <c r="N34" s="24"/>
      <c r="O34" s="26"/>
      <c r="Q34" s="23"/>
      <c r="R34" s="24"/>
      <c r="S34" s="24"/>
      <c r="T34" s="26"/>
      <c r="V34" s="23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6"/>
    </row>
  </sheetData>
  <customSheetViews>
    <customSheetView guid="{162D0EED-4A71-4EB6-8FDF-A42498BFDBC9}" showRuler="0">
      <selection activeCell="D6" sqref="D6"/>
      <pageMargins left="0.75" right="0.75" top="1" bottom="1" header="0" footer="0"/>
      <headerFooter alignWithMargins="0"/>
    </customSheetView>
  </customSheetViews>
  <phoneticPr fontId="0" type="noConversion"/>
  <pageMargins left="0.75" right="0.75" top="1" bottom="1" header="0" footer="0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>
    <tabColor indexed="57"/>
  </sheetPr>
  <dimension ref="B1:S35"/>
  <sheetViews>
    <sheetView showGridLines="0" zoomScaleNormal="100" workbookViewId="0">
      <selection activeCell="Q6" sqref="Q6"/>
    </sheetView>
  </sheetViews>
  <sheetFormatPr baseColWidth="10" defaultColWidth="11.42578125" defaultRowHeight="12.75" x14ac:dyDescent="0.2"/>
  <cols>
    <col min="1" max="2" width="3.7109375" style="27" customWidth="1"/>
    <col min="3" max="3" width="24.42578125" style="27" bestFit="1" customWidth="1"/>
    <col min="4" max="4" width="8" style="27" bestFit="1" customWidth="1"/>
    <col min="5" max="5" width="7.7109375" style="27" bestFit="1" customWidth="1"/>
    <col min="6" max="6" width="9" style="27" bestFit="1" customWidth="1"/>
    <col min="7" max="7" width="8.28515625" style="27" bestFit="1" customWidth="1"/>
    <col min="8" max="8" width="9.85546875" style="27" bestFit="1" customWidth="1"/>
    <col min="9" max="9" width="10.28515625" style="27" bestFit="1" customWidth="1"/>
    <col min="10" max="10" width="11.28515625" style="27" bestFit="1" customWidth="1"/>
    <col min="11" max="11" width="14.140625" style="27" bestFit="1" customWidth="1"/>
    <col min="12" max="12" width="10" style="27" bestFit="1" customWidth="1"/>
    <col min="13" max="13" width="9.7109375" style="27" bestFit="1" customWidth="1"/>
    <col min="14" max="14" width="12.28515625" style="27" bestFit="1" customWidth="1"/>
    <col min="15" max="15" width="11.28515625" style="27" bestFit="1" customWidth="1"/>
    <col min="16" max="16" width="10.28515625" style="27" bestFit="1" customWidth="1"/>
    <col min="17" max="17" width="12.28515625" style="27" bestFit="1" customWidth="1"/>
    <col min="18" max="18" width="6.42578125" style="27" bestFit="1" customWidth="1"/>
    <col min="19" max="20" width="3.7109375" style="27" customWidth="1"/>
    <col min="21" max="16384" width="11.42578125" style="27"/>
  </cols>
  <sheetData>
    <row r="1" spans="2:19" ht="13.5" thickBot="1" x14ac:dyDescent="0.25"/>
    <row r="2" spans="2:19" x14ac:dyDescent="0.2"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2"/>
    </row>
    <row r="3" spans="2:19" x14ac:dyDescent="0.2">
      <c r="B3" s="34" t="s">
        <v>37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16"/>
    </row>
    <row r="4" spans="2:19" x14ac:dyDescent="0.2">
      <c r="B4" s="17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6"/>
    </row>
    <row r="5" spans="2:19" s="39" customFormat="1" x14ac:dyDescent="0.2">
      <c r="B5" s="40" t="s">
        <v>40</v>
      </c>
      <c r="C5" s="37"/>
      <c r="D5" s="41" t="s">
        <v>6</v>
      </c>
      <c r="E5" s="41" t="s">
        <v>6</v>
      </c>
      <c r="F5" s="41" t="s">
        <v>6</v>
      </c>
      <c r="G5" s="41" t="s">
        <v>47</v>
      </c>
      <c r="H5" s="41" t="s">
        <v>47</v>
      </c>
      <c r="I5" s="41" t="s">
        <v>118</v>
      </c>
      <c r="J5" s="41" t="s">
        <v>51</v>
      </c>
      <c r="K5" s="41" t="s">
        <v>50</v>
      </c>
      <c r="L5" s="41" t="s">
        <v>116</v>
      </c>
      <c r="M5" s="41" t="s">
        <v>102</v>
      </c>
      <c r="N5" s="41" t="s">
        <v>102</v>
      </c>
      <c r="O5" s="41" t="s">
        <v>97</v>
      </c>
      <c r="P5" s="41" t="s">
        <v>52</v>
      </c>
      <c r="Q5" s="41" t="s">
        <v>52</v>
      </c>
      <c r="R5" s="41"/>
      <c r="S5" s="38"/>
    </row>
    <row r="6" spans="2:19" s="39" customFormat="1" x14ac:dyDescent="0.2">
      <c r="B6" s="36"/>
      <c r="C6" s="37"/>
      <c r="D6" s="37" t="s">
        <v>65</v>
      </c>
      <c r="E6" s="37" t="s">
        <v>66</v>
      </c>
      <c r="F6" s="37" t="s">
        <v>67</v>
      </c>
      <c r="G6" s="37" t="s">
        <v>46</v>
      </c>
      <c r="H6" s="37" t="s">
        <v>112</v>
      </c>
      <c r="I6" s="37" t="s">
        <v>49</v>
      </c>
      <c r="J6" s="37" t="s">
        <v>45</v>
      </c>
      <c r="K6" s="37" t="s">
        <v>113</v>
      </c>
      <c r="L6" s="37" t="s">
        <v>61</v>
      </c>
      <c r="M6" s="37" t="s">
        <v>110</v>
      </c>
      <c r="N6" s="37" t="s">
        <v>111</v>
      </c>
      <c r="O6" s="37" t="s">
        <v>96</v>
      </c>
      <c r="P6" s="37" t="s">
        <v>114</v>
      </c>
      <c r="Q6" s="37" t="s">
        <v>115</v>
      </c>
      <c r="R6" s="37" t="s">
        <v>57</v>
      </c>
      <c r="S6" s="38"/>
    </row>
    <row r="7" spans="2:19" x14ac:dyDescent="0.2">
      <c r="B7" s="17"/>
      <c r="C7" s="22" t="s">
        <v>42</v>
      </c>
      <c r="D7" s="42">
        <v>300</v>
      </c>
      <c r="E7" s="42">
        <v>300</v>
      </c>
      <c r="F7" s="42">
        <v>300</v>
      </c>
      <c r="G7" s="42">
        <v>300</v>
      </c>
      <c r="H7" s="42">
        <v>300</v>
      </c>
      <c r="I7" s="44">
        <v>1</v>
      </c>
      <c r="J7" s="45">
        <v>15</v>
      </c>
      <c r="K7" s="45">
        <v>0</v>
      </c>
      <c r="L7" s="45">
        <v>0</v>
      </c>
      <c r="M7" s="45">
        <v>1</v>
      </c>
      <c r="N7" s="45">
        <v>1</v>
      </c>
      <c r="O7" s="45">
        <v>0</v>
      </c>
      <c r="P7" s="45">
        <v>0</v>
      </c>
      <c r="Q7" s="45">
        <v>0</v>
      </c>
      <c r="R7" s="44">
        <f t="shared" ref="R7:R19" si="0">I7*J7+I7*K7/D7</f>
        <v>15</v>
      </c>
      <c r="S7" s="16"/>
    </row>
    <row r="8" spans="2:19" x14ac:dyDescent="0.2">
      <c r="B8" s="17"/>
      <c r="C8" s="22" t="s">
        <v>76</v>
      </c>
      <c r="D8" s="42">
        <v>588</v>
      </c>
      <c r="E8" s="42">
        <f>D8*0.4</f>
        <v>235.20000000000002</v>
      </c>
      <c r="F8" s="42">
        <v>250</v>
      </c>
      <c r="G8" s="42">
        <v>350</v>
      </c>
      <c r="H8" s="42">
        <v>350</v>
      </c>
      <c r="I8" s="44">
        <v>0.02</v>
      </c>
      <c r="J8" s="45">
        <v>2400</v>
      </c>
      <c r="K8" s="45">
        <v>50000</v>
      </c>
      <c r="L8" s="45">
        <v>6</v>
      </c>
      <c r="M8" s="45">
        <v>1</v>
      </c>
      <c r="N8" s="45">
        <v>1</v>
      </c>
      <c r="O8" s="42">
        <v>0.9</v>
      </c>
      <c r="P8" s="45">
        <v>2000000</v>
      </c>
      <c r="Q8" s="45">
        <v>0</v>
      </c>
      <c r="R8" s="44">
        <f t="shared" si="0"/>
        <v>49.700680272108841</v>
      </c>
      <c r="S8" s="16"/>
    </row>
    <row r="9" spans="2:19" x14ac:dyDescent="0.2">
      <c r="B9" s="17"/>
      <c r="C9" s="22" t="s">
        <v>55</v>
      </c>
      <c r="D9" s="42">
        <v>203.1</v>
      </c>
      <c r="E9" s="42">
        <f>D9*0.4</f>
        <v>81.240000000000009</v>
      </c>
      <c r="F9" s="42">
        <v>203.1</v>
      </c>
      <c r="G9" s="42">
        <v>120</v>
      </c>
      <c r="H9" s="42">
        <v>120</v>
      </c>
      <c r="I9" s="44">
        <v>0.02</v>
      </c>
      <c r="J9" s="45">
        <v>2300</v>
      </c>
      <c r="K9" s="45">
        <v>50000</v>
      </c>
      <c r="L9" s="45">
        <v>6</v>
      </c>
      <c r="M9" s="45">
        <v>1</v>
      </c>
      <c r="N9" s="45">
        <v>1</v>
      </c>
      <c r="O9" s="42">
        <v>0.9</v>
      </c>
      <c r="P9" s="45">
        <v>2000000</v>
      </c>
      <c r="Q9" s="45">
        <v>0</v>
      </c>
      <c r="R9" s="44">
        <f t="shared" si="0"/>
        <v>50.923682914820283</v>
      </c>
      <c r="S9" s="16"/>
    </row>
    <row r="10" spans="2:19" x14ac:dyDescent="0.2">
      <c r="B10" s="17"/>
      <c r="C10" s="22" t="s">
        <v>78</v>
      </c>
      <c r="D10" s="42">
        <v>150.4</v>
      </c>
      <c r="E10" s="42">
        <f>D10*0.4</f>
        <v>60.160000000000004</v>
      </c>
      <c r="F10" s="42">
        <v>0</v>
      </c>
      <c r="G10" s="42">
        <v>120</v>
      </c>
      <c r="H10" s="42">
        <v>120</v>
      </c>
      <c r="I10" s="44">
        <v>0.02</v>
      </c>
      <c r="J10" s="45">
        <v>2300</v>
      </c>
      <c r="K10" s="45">
        <v>50000</v>
      </c>
      <c r="L10" s="45">
        <v>6</v>
      </c>
      <c r="M10" s="45">
        <v>1</v>
      </c>
      <c r="N10" s="45">
        <v>1</v>
      </c>
      <c r="O10" s="42">
        <v>0.9</v>
      </c>
      <c r="P10" s="45">
        <v>2000000</v>
      </c>
      <c r="Q10" s="45">
        <v>0</v>
      </c>
      <c r="R10" s="44">
        <f t="shared" si="0"/>
        <v>52.648936170212764</v>
      </c>
      <c r="S10" s="16"/>
    </row>
    <row r="11" spans="2:19" x14ac:dyDescent="0.2">
      <c r="B11" s="17"/>
      <c r="C11" s="22" t="s">
        <v>77</v>
      </c>
      <c r="D11" s="42">
        <v>194.4</v>
      </c>
      <c r="E11" s="42">
        <f>D11*0.4</f>
        <v>77.760000000000005</v>
      </c>
      <c r="F11" s="42">
        <v>0</v>
      </c>
      <c r="G11" s="42">
        <v>120</v>
      </c>
      <c r="H11" s="42">
        <v>120</v>
      </c>
      <c r="I11" s="44">
        <v>0.02</v>
      </c>
      <c r="J11" s="45">
        <v>2200</v>
      </c>
      <c r="K11" s="45">
        <v>50000</v>
      </c>
      <c r="L11" s="45">
        <v>6</v>
      </c>
      <c r="M11" s="45">
        <v>1</v>
      </c>
      <c r="N11" s="45">
        <v>1</v>
      </c>
      <c r="O11" s="42">
        <v>0.9</v>
      </c>
      <c r="P11" s="45">
        <v>2000000</v>
      </c>
      <c r="Q11" s="45">
        <v>0</v>
      </c>
      <c r="R11" s="44">
        <f t="shared" si="0"/>
        <v>49.144032921810698</v>
      </c>
      <c r="S11" s="16"/>
    </row>
    <row r="12" spans="2:19" x14ac:dyDescent="0.2">
      <c r="B12" s="17"/>
      <c r="C12" s="22" t="s">
        <v>43</v>
      </c>
      <c r="D12" s="42">
        <v>500</v>
      </c>
      <c r="E12" s="42">
        <f>D12*0.2</f>
        <v>100</v>
      </c>
      <c r="F12" s="42">
        <v>500</v>
      </c>
      <c r="G12" s="42">
        <f>D12</f>
        <v>500</v>
      </c>
      <c r="H12" s="42">
        <f>D12</f>
        <v>500</v>
      </c>
      <c r="I12" s="44">
        <v>0.03</v>
      </c>
      <c r="J12" s="45">
        <v>800</v>
      </c>
      <c r="K12" s="45">
        <v>300000</v>
      </c>
      <c r="L12" s="45">
        <v>6</v>
      </c>
      <c r="M12" s="45">
        <v>1</v>
      </c>
      <c r="N12" s="45">
        <v>1</v>
      </c>
      <c r="O12" s="42">
        <v>0.3</v>
      </c>
      <c r="P12" s="45">
        <v>1000000</v>
      </c>
      <c r="Q12" s="45">
        <v>0</v>
      </c>
      <c r="R12" s="44">
        <f t="shared" si="0"/>
        <v>42</v>
      </c>
      <c r="S12" s="16"/>
    </row>
    <row r="13" spans="2:19" x14ac:dyDescent="0.2">
      <c r="B13" s="17"/>
      <c r="C13" s="22" t="s">
        <v>44</v>
      </c>
      <c r="D13" s="42">
        <v>500</v>
      </c>
      <c r="E13" s="42">
        <f>D13*0.2</f>
        <v>100</v>
      </c>
      <c r="F13" s="42">
        <v>500</v>
      </c>
      <c r="G13" s="42">
        <f t="shared" ref="G13:G19" si="1">D13</f>
        <v>500</v>
      </c>
      <c r="H13" s="42">
        <f t="shared" ref="H13:H19" si="2">D13</f>
        <v>500</v>
      </c>
      <c r="I13" s="44">
        <v>0.03</v>
      </c>
      <c r="J13" s="45">
        <v>900</v>
      </c>
      <c r="K13" s="45">
        <v>300000</v>
      </c>
      <c r="L13" s="45">
        <v>4</v>
      </c>
      <c r="M13" s="45">
        <v>1</v>
      </c>
      <c r="N13" s="45">
        <v>1</v>
      </c>
      <c r="O13" s="42">
        <v>0.3</v>
      </c>
      <c r="P13" s="45">
        <v>1000000</v>
      </c>
      <c r="Q13" s="45">
        <v>0</v>
      </c>
      <c r="R13" s="44">
        <f t="shared" si="0"/>
        <v>45</v>
      </c>
      <c r="S13" s="16"/>
    </row>
    <row r="14" spans="2:19" x14ac:dyDescent="0.2">
      <c r="B14" s="17"/>
      <c r="C14" s="22" t="s">
        <v>53</v>
      </c>
      <c r="D14" s="42">
        <v>500</v>
      </c>
      <c r="E14" s="42">
        <f>D14*0.2</f>
        <v>100</v>
      </c>
      <c r="F14" s="42">
        <f t="shared" ref="F14" si="3">E14</f>
        <v>100</v>
      </c>
      <c r="G14" s="42">
        <f t="shared" si="1"/>
        <v>500</v>
      </c>
      <c r="H14" s="42">
        <f t="shared" si="2"/>
        <v>500</v>
      </c>
      <c r="I14" s="44">
        <v>0.03</v>
      </c>
      <c r="J14" s="45">
        <v>1000</v>
      </c>
      <c r="K14" s="45">
        <v>300000</v>
      </c>
      <c r="L14" s="45">
        <v>4</v>
      </c>
      <c r="M14" s="45">
        <v>1</v>
      </c>
      <c r="N14" s="45">
        <v>1</v>
      </c>
      <c r="O14" s="42">
        <v>0.3</v>
      </c>
      <c r="P14" s="45">
        <v>1000000</v>
      </c>
      <c r="Q14" s="45">
        <v>0</v>
      </c>
      <c r="R14" s="44">
        <f t="shared" si="0"/>
        <v>48</v>
      </c>
      <c r="S14" s="16"/>
    </row>
    <row r="15" spans="2:19" x14ac:dyDescent="0.2">
      <c r="B15" s="17"/>
      <c r="C15" s="22" t="s">
        <v>54</v>
      </c>
      <c r="D15" s="42">
        <v>667.5</v>
      </c>
      <c r="E15" s="42">
        <f>D15*0.2</f>
        <v>133.5</v>
      </c>
      <c r="F15" s="42">
        <v>150</v>
      </c>
      <c r="G15" s="42">
        <f t="shared" si="1"/>
        <v>667.5</v>
      </c>
      <c r="H15" s="42">
        <f t="shared" si="2"/>
        <v>667.5</v>
      </c>
      <c r="I15" s="44">
        <v>0.03</v>
      </c>
      <c r="J15" s="45">
        <v>800</v>
      </c>
      <c r="K15" s="45">
        <v>300000</v>
      </c>
      <c r="L15" s="45">
        <v>4</v>
      </c>
      <c r="M15" s="45">
        <v>1</v>
      </c>
      <c r="N15" s="45">
        <v>1</v>
      </c>
      <c r="O15" s="42">
        <v>0.3</v>
      </c>
      <c r="P15" s="45">
        <v>1000000</v>
      </c>
      <c r="Q15" s="45">
        <v>0</v>
      </c>
      <c r="R15" s="44">
        <f t="shared" si="0"/>
        <v>37.483146067415731</v>
      </c>
      <c r="S15" s="16"/>
    </row>
    <row r="16" spans="2:19" x14ac:dyDescent="0.2">
      <c r="B16" s="17"/>
      <c r="C16" s="22" t="s">
        <v>58</v>
      </c>
      <c r="D16" s="42">
        <v>400</v>
      </c>
      <c r="E16" s="42">
        <v>100</v>
      </c>
      <c r="F16" s="42">
        <v>200</v>
      </c>
      <c r="G16" s="42">
        <f t="shared" si="1"/>
        <v>400</v>
      </c>
      <c r="H16" s="42">
        <f t="shared" si="2"/>
        <v>400</v>
      </c>
      <c r="I16" s="44">
        <v>0.03</v>
      </c>
      <c r="J16" s="45">
        <v>2000</v>
      </c>
      <c r="K16" s="45">
        <v>100000</v>
      </c>
      <c r="L16" s="45">
        <v>4</v>
      </c>
      <c r="M16" s="45">
        <v>1</v>
      </c>
      <c r="N16" s="45">
        <v>1</v>
      </c>
      <c r="O16" s="42">
        <v>0.3</v>
      </c>
      <c r="P16" s="45">
        <v>0</v>
      </c>
      <c r="Q16" s="45">
        <v>0</v>
      </c>
      <c r="R16" s="44">
        <f t="shared" si="0"/>
        <v>67.5</v>
      </c>
      <c r="S16" s="46"/>
    </row>
    <row r="17" spans="2:19" x14ac:dyDescent="0.2">
      <c r="B17" s="17"/>
      <c r="C17" s="22" t="s">
        <v>59</v>
      </c>
      <c r="D17" s="42">
        <v>400</v>
      </c>
      <c r="E17" s="42">
        <v>100</v>
      </c>
      <c r="F17" s="42">
        <v>0</v>
      </c>
      <c r="G17" s="42">
        <f t="shared" si="1"/>
        <v>400</v>
      </c>
      <c r="H17" s="42">
        <f t="shared" si="2"/>
        <v>400</v>
      </c>
      <c r="I17" s="44">
        <v>0.03</v>
      </c>
      <c r="J17" s="45">
        <v>2100</v>
      </c>
      <c r="K17" s="45">
        <v>100000</v>
      </c>
      <c r="L17" s="45">
        <v>4</v>
      </c>
      <c r="M17" s="45">
        <v>1</v>
      </c>
      <c r="N17" s="45">
        <v>1</v>
      </c>
      <c r="O17" s="42">
        <v>0.3</v>
      </c>
      <c r="P17" s="45">
        <v>0</v>
      </c>
      <c r="Q17" s="45">
        <v>0</v>
      </c>
      <c r="R17" s="44">
        <f t="shared" si="0"/>
        <v>70.5</v>
      </c>
      <c r="S17" s="46"/>
    </row>
    <row r="18" spans="2:19" x14ac:dyDescent="0.2">
      <c r="B18" s="17"/>
      <c r="C18" s="22" t="s">
        <v>60</v>
      </c>
      <c r="D18" s="42">
        <v>400</v>
      </c>
      <c r="E18" s="42">
        <v>100</v>
      </c>
      <c r="F18" s="42">
        <v>0</v>
      </c>
      <c r="G18" s="42">
        <f t="shared" si="1"/>
        <v>400</v>
      </c>
      <c r="H18" s="42">
        <f t="shared" si="2"/>
        <v>400</v>
      </c>
      <c r="I18" s="44">
        <v>0.03</v>
      </c>
      <c r="J18" s="45">
        <v>2200</v>
      </c>
      <c r="K18" s="45">
        <v>100000</v>
      </c>
      <c r="L18" s="45">
        <v>4</v>
      </c>
      <c r="M18" s="45">
        <v>1</v>
      </c>
      <c r="N18" s="45">
        <v>1</v>
      </c>
      <c r="O18" s="42">
        <v>0.3</v>
      </c>
      <c r="P18" s="45">
        <v>0</v>
      </c>
      <c r="Q18" s="45">
        <v>0</v>
      </c>
      <c r="R18" s="44">
        <f t="shared" si="0"/>
        <v>73.5</v>
      </c>
      <c r="S18" s="46"/>
    </row>
    <row r="19" spans="2:19" x14ac:dyDescent="0.2">
      <c r="B19" s="17"/>
      <c r="C19" s="22" t="s">
        <v>56</v>
      </c>
      <c r="D19" s="42">
        <v>441.8</v>
      </c>
      <c r="E19" s="42">
        <v>100</v>
      </c>
      <c r="F19" s="42">
        <v>0</v>
      </c>
      <c r="G19" s="42">
        <f t="shared" si="1"/>
        <v>441.8</v>
      </c>
      <c r="H19" s="42">
        <f t="shared" si="2"/>
        <v>441.8</v>
      </c>
      <c r="I19" s="44">
        <v>0.06</v>
      </c>
      <c r="J19" s="45">
        <v>2000</v>
      </c>
      <c r="K19" s="45">
        <v>300000</v>
      </c>
      <c r="L19" s="45">
        <v>3</v>
      </c>
      <c r="M19" s="45">
        <v>1</v>
      </c>
      <c r="N19" s="45">
        <v>1</v>
      </c>
      <c r="O19" s="42">
        <v>0.7</v>
      </c>
      <c r="P19" s="45">
        <v>1000000</v>
      </c>
      <c r="Q19" s="45">
        <v>0</v>
      </c>
      <c r="R19" s="44">
        <f t="shared" si="0"/>
        <v>160.74241738343142</v>
      </c>
      <c r="S19" s="16"/>
    </row>
    <row r="20" spans="2:19" x14ac:dyDescent="0.2">
      <c r="B20" s="17"/>
      <c r="C20" s="22"/>
      <c r="D20" s="42"/>
      <c r="E20" s="42"/>
      <c r="F20" s="42"/>
      <c r="G20" s="43"/>
      <c r="H20" s="43"/>
      <c r="I20" s="44"/>
      <c r="J20" s="45"/>
      <c r="K20" s="45"/>
      <c r="L20" s="45"/>
      <c r="M20" s="45"/>
      <c r="N20" s="45"/>
      <c r="O20" s="45"/>
      <c r="P20" s="45"/>
      <c r="Q20" s="45"/>
      <c r="R20" s="44"/>
      <c r="S20" s="16"/>
    </row>
    <row r="21" spans="2:19" x14ac:dyDescent="0.2">
      <c r="B21" s="17"/>
      <c r="C21" s="43"/>
      <c r="D21" s="43"/>
      <c r="E21" s="43"/>
      <c r="F21" s="42"/>
      <c r="G21" s="43"/>
      <c r="H21" s="43"/>
      <c r="I21" s="44"/>
      <c r="J21" s="45"/>
      <c r="K21" s="45"/>
      <c r="L21" s="45"/>
      <c r="M21" s="45"/>
      <c r="N21" s="45"/>
      <c r="O21" s="45"/>
      <c r="P21" s="45"/>
      <c r="Q21" s="45"/>
      <c r="R21" s="44"/>
      <c r="S21" s="16"/>
    </row>
    <row r="22" spans="2:19" ht="13.5" thickBot="1" x14ac:dyDescent="0.25">
      <c r="B22" s="23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6"/>
    </row>
    <row r="23" spans="2:19" ht="13.5" thickBot="1" x14ac:dyDescent="0.25"/>
    <row r="24" spans="2:19" x14ac:dyDescent="0.2">
      <c r="B24" s="9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2"/>
    </row>
    <row r="25" spans="2:19" x14ac:dyDescent="0.2">
      <c r="B25" s="34" t="s">
        <v>79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16"/>
    </row>
    <row r="26" spans="2:19" x14ac:dyDescent="0.2">
      <c r="B26" s="17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6"/>
    </row>
    <row r="27" spans="2:19" s="39" customFormat="1" x14ac:dyDescent="0.2">
      <c r="B27" s="36"/>
      <c r="C27" s="37"/>
      <c r="D27" s="37" t="s">
        <v>65</v>
      </c>
      <c r="E27" s="37" t="s">
        <v>66</v>
      </c>
      <c r="F27" s="37" t="s">
        <v>80</v>
      </c>
      <c r="G27" s="37" t="s">
        <v>81</v>
      </c>
      <c r="H27" s="37" t="s">
        <v>82</v>
      </c>
      <c r="I27" s="37" t="s">
        <v>89</v>
      </c>
      <c r="J27" s="37" t="s">
        <v>90</v>
      </c>
      <c r="K27" s="37" t="s">
        <v>91</v>
      </c>
      <c r="L27" s="37"/>
      <c r="M27" s="37"/>
      <c r="N27" s="37"/>
      <c r="O27" s="37"/>
      <c r="P27" s="37"/>
      <c r="Q27" s="37"/>
      <c r="R27" s="37"/>
      <c r="S27" s="38"/>
    </row>
    <row r="28" spans="2:19" s="39" customFormat="1" ht="15" x14ac:dyDescent="0.2">
      <c r="B28" s="40" t="s">
        <v>40</v>
      </c>
      <c r="C28" s="37"/>
      <c r="D28" s="41" t="s">
        <v>6</v>
      </c>
      <c r="E28" s="41" t="s">
        <v>6</v>
      </c>
      <c r="F28" s="41" t="s">
        <v>83</v>
      </c>
      <c r="G28" s="41" t="s">
        <v>36</v>
      </c>
      <c r="H28" s="41" t="s">
        <v>6</v>
      </c>
      <c r="I28" s="41" t="s">
        <v>92</v>
      </c>
      <c r="J28" s="41" t="s">
        <v>92</v>
      </c>
      <c r="K28" s="41" t="s">
        <v>92</v>
      </c>
      <c r="L28" s="41"/>
      <c r="M28" s="41"/>
      <c r="N28" s="41"/>
      <c r="O28" s="41"/>
      <c r="P28" s="41"/>
      <c r="Q28" s="41"/>
      <c r="R28" s="41"/>
      <c r="S28" s="38"/>
    </row>
    <row r="29" spans="2:19" x14ac:dyDescent="0.2">
      <c r="B29" s="40" t="s">
        <v>40</v>
      </c>
      <c r="C29" s="22" t="s">
        <v>84</v>
      </c>
      <c r="D29" s="42">
        <v>100</v>
      </c>
      <c r="E29" s="42"/>
      <c r="F29" s="42"/>
      <c r="G29" s="44"/>
      <c r="H29" s="42"/>
      <c r="I29" s="44"/>
      <c r="J29" s="44"/>
      <c r="K29" s="44"/>
      <c r="L29" s="44"/>
      <c r="M29" s="42"/>
      <c r="N29" s="42"/>
      <c r="O29" s="42"/>
      <c r="P29" s="42"/>
      <c r="Q29" s="42"/>
      <c r="R29" s="44"/>
      <c r="S29" s="16"/>
    </row>
    <row r="30" spans="2:19" x14ac:dyDescent="0.2">
      <c r="B30" s="40" t="s">
        <v>40</v>
      </c>
      <c r="C30" s="22" t="s">
        <v>85</v>
      </c>
      <c r="D30" s="42">
        <v>100</v>
      </c>
      <c r="E30" s="42"/>
      <c r="F30" s="44">
        <v>0.3</v>
      </c>
      <c r="G30" s="44"/>
      <c r="H30" s="42"/>
      <c r="I30" s="42">
        <v>600</v>
      </c>
      <c r="J30" s="42">
        <v>200</v>
      </c>
      <c r="K30" s="42">
        <v>400</v>
      </c>
      <c r="L30" s="42"/>
      <c r="M30" s="42"/>
      <c r="N30" s="42"/>
      <c r="O30" s="42"/>
      <c r="P30" s="42"/>
      <c r="Q30" s="42"/>
      <c r="R30" s="44"/>
      <c r="S30" s="16"/>
    </row>
    <row r="31" spans="2:19" x14ac:dyDescent="0.2">
      <c r="B31" s="40" t="s">
        <v>40</v>
      </c>
      <c r="C31" s="22" t="s">
        <v>86</v>
      </c>
      <c r="D31" s="42">
        <v>100</v>
      </c>
      <c r="E31" s="42"/>
      <c r="F31" s="44">
        <v>0.3</v>
      </c>
      <c r="G31" s="44"/>
      <c r="H31" s="42"/>
      <c r="I31" s="42">
        <v>600</v>
      </c>
      <c r="J31" s="42">
        <v>200</v>
      </c>
      <c r="K31" s="42">
        <v>400</v>
      </c>
      <c r="L31" s="42"/>
      <c r="M31" s="45"/>
      <c r="N31" s="45"/>
      <c r="O31" s="45"/>
      <c r="P31" s="45"/>
      <c r="Q31" s="45"/>
      <c r="R31" s="44"/>
      <c r="S31" s="16"/>
    </row>
    <row r="32" spans="2:19" x14ac:dyDescent="0.2">
      <c r="B32" s="40" t="s">
        <v>40</v>
      </c>
      <c r="C32" s="22" t="s">
        <v>87</v>
      </c>
      <c r="D32" s="42">
        <v>100</v>
      </c>
      <c r="E32" s="42"/>
      <c r="F32" s="44">
        <v>0.3</v>
      </c>
      <c r="G32" s="44"/>
      <c r="H32" s="42"/>
      <c r="I32" s="42">
        <v>600</v>
      </c>
      <c r="J32" s="42">
        <v>200</v>
      </c>
      <c r="K32" s="42">
        <v>400</v>
      </c>
      <c r="L32" s="42"/>
      <c r="M32" s="45"/>
      <c r="N32" s="45"/>
      <c r="O32" s="45"/>
      <c r="P32" s="45"/>
      <c r="Q32" s="45"/>
      <c r="R32" s="44"/>
      <c r="S32" s="16"/>
    </row>
    <row r="33" spans="2:19" x14ac:dyDescent="0.2">
      <c r="B33" s="40" t="s">
        <v>40</v>
      </c>
      <c r="C33" s="22" t="s">
        <v>88</v>
      </c>
      <c r="D33" s="42">
        <v>100</v>
      </c>
      <c r="E33" s="42"/>
      <c r="F33" s="42"/>
      <c r="G33" s="44">
        <v>0.7</v>
      </c>
      <c r="H33" s="42">
        <v>100</v>
      </c>
      <c r="I33" s="42">
        <v>600</v>
      </c>
      <c r="J33" s="42">
        <v>200</v>
      </c>
      <c r="K33" s="42">
        <v>400</v>
      </c>
      <c r="L33" s="42"/>
      <c r="M33" s="45"/>
      <c r="N33" s="45"/>
      <c r="O33" s="45"/>
      <c r="P33" s="45"/>
      <c r="Q33" s="45"/>
      <c r="R33" s="44"/>
      <c r="S33" s="16"/>
    </row>
    <row r="34" spans="2:19" x14ac:dyDescent="0.2">
      <c r="B34" s="17"/>
      <c r="C34" s="43"/>
      <c r="D34" s="43"/>
      <c r="E34" s="43"/>
      <c r="F34" s="44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4"/>
      <c r="S34" s="16"/>
    </row>
    <row r="35" spans="2:19" ht="13.5" thickBot="1" x14ac:dyDescent="0.25">
      <c r="B35" s="23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6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>
    <tabColor indexed="57"/>
  </sheetPr>
  <dimension ref="A1:AB10"/>
  <sheetViews>
    <sheetView showGridLines="0" zoomScaleNormal="100" workbookViewId="0"/>
  </sheetViews>
  <sheetFormatPr baseColWidth="10" defaultColWidth="11.42578125" defaultRowHeight="12.75" x14ac:dyDescent="0.2"/>
  <cols>
    <col min="1" max="2" width="3.7109375" style="54" customWidth="1"/>
    <col min="3" max="3" width="18.7109375" style="54" bestFit="1" customWidth="1"/>
    <col min="4" max="27" width="4" style="54" bestFit="1" customWidth="1"/>
    <col min="28" max="28" width="3.7109375" style="54" customWidth="1"/>
    <col min="29" max="16384" width="11.42578125" style="54"/>
  </cols>
  <sheetData>
    <row r="1" spans="1:28" ht="13.5" thickBot="1" x14ac:dyDescent="0.25">
      <c r="A1" s="54" t="s">
        <v>93</v>
      </c>
    </row>
    <row r="2" spans="1:28" x14ac:dyDescent="0.2"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8"/>
    </row>
    <row r="3" spans="1:28" x14ac:dyDescent="0.2">
      <c r="B3" s="59" t="s">
        <v>95</v>
      </c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1"/>
    </row>
    <row r="4" spans="1:28" x14ac:dyDescent="0.2">
      <c r="B4" s="62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1"/>
    </row>
    <row r="5" spans="1:28" s="55" customFormat="1" x14ac:dyDescent="0.2">
      <c r="B5" s="65"/>
      <c r="C5" s="64"/>
      <c r="D5" s="64" t="s">
        <v>8</v>
      </c>
      <c r="E5" s="64" t="s">
        <v>9</v>
      </c>
      <c r="F5" s="64" t="s">
        <v>10</v>
      </c>
      <c r="G5" s="64" t="s">
        <v>11</v>
      </c>
      <c r="H5" s="64" t="s">
        <v>12</v>
      </c>
      <c r="I5" s="64" t="s">
        <v>13</v>
      </c>
      <c r="J5" s="64" t="s">
        <v>14</v>
      </c>
      <c r="K5" s="64" t="s">
        <v>15</v>
      </c>
      <c r="L5" s="64" t="s">
        <v>16</v>
      </c>
      <c r="M5" s="64" t="s">
        <v>17</v>
      </c>
      <c r="N5" s="64" t="s">
        <v>18</v>
      </c>
      <c r="O5" s="64" t="s">
        <v>19</v>
      </c>
      <c r="P5" s="64" t="s">
        <v>20</v>
      </c>
      <c r="Q5" s="64" t="s">
        <v>21</v>
      </c>
      <c r="R5" s="64" t="s">
        <v>22</v>
      </c>
      <c r="S5" s="64" t="s">
        <v>23</v>
      </c>
      <c r="T5" s="64" t="s">
        <v>24</v>
      </c>
      <c r="U5" s="64" t="s">
        <v>25</v>
      </c>
      <c r="V5" s="64" t="s">
        <v>26</v>
      </c>
      <c r="W5" s="64" t="s">
        <v>27</v>
      </c>
      <c r="X5" s="64" t="s">
        <v>28</v>
      </c>
      <c r="Y5" s="64" t="s">
        <v>29</v>
      </c>
      <c r="Z5" s="64" t="s">
        <v>30</v>
      </c>
      <c r="AA5" s="64" t="s">
        <v>31</v>
      </c>
      <c r="AB5" s="66"/>
    </row>
    <row r="6" spans="1:28" x14ac:dyDescent="0.2">
      <c r="B6" s="62"/>
      <c r="C6" s="22" t="s">
        <v>84</v>
      </c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1"/>
    </row>
    <row r="7" spans="1:28" x14ac:dyDescent="0.2">
      <c r="B7" s="62"/>
      <c r="C7" s="22" t="s">
        <v>85</v>
      </c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1"/>
    </row>
    <row r="8" spans="1:28" x14ac:dyDescent="0.2">
      <c r="B8" s="62"/>
      <c r="C8" s="22" t="s">
        <v>86</v>
      </c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1"/>
    </row>
    <row r="9" spans="1:28" x14ac:dyDescent="0.2">
      <c r="B9" s="62"/>
      <c r="C9" s="22" t="s">
        <v>87</v>
      </c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1"/>
    </row>
    <row r="10" spans="1:28" ht="13.5" thickBot="1" x14ac:dyDescent="0.25">
      <c r="B10" s="68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70"/>
    </row>
  </sheetData>
  <pageMargins left="0.75" right="0.75" top="1" bottom="1" header="0" footer="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>
    <tabColor indexed="47"/>
  </sheetPr>
  <dimension ref="A1:Y14"/>
  <sheetViews>
    <sheetView showRowColHeaders="0" zoomScale="130" zoomScaleNormal="130"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baseColWidth="10" defaultColWidth="11.42578125" defaultRowHeight="12.75" x14ac:dyDescent="0.2"/>
  <cols>
    <col min="1" max="1" width="24.42578125" style="32" bestFit="1" customWidth="1"/>
    <col min="2" max="25" width="4" style="7" bestFit="1" customWidth="1"/>
    <col min="26" max="16384" width="11.42578125" style="7"/>
  </cols>
  <sheetData>
    <row r="1" spans="1:25" s="30" customFormat="1" x14ac:dyDescent="0.2">
      <c r="A1" s="32" t="s">
        <v>105</v>
      </c>
      <c r="B1" s="33" t="s">
        <v>8</v>
      </c>
      <c r="C1" s="33" t="s">
        <v>9</v>
      </c>
      <c r="D1" s="33" t="s">
        <v>10</v>
      </c>
      <c r="E1" s="33" t="s">
        <v>11</v>
      </c>
      <c r="F1" s="30" t="s">
        <v>12</v>
      </c>
      <c r="G1" s="30" t="s">
        <v>13</v>
      </c>
      <c r="H1" s="30" t="s">
        <v>14</v>
      </c>
      <c r="I1" s="30" t="s">
        <v>15</v>
      </c>
      <c r="J1" s="30" t="s">
        <v>16</v>
      </c>
      <c r="K1" s="30" t="s">
        <v>17</v>
      </c>
      <c r="L1" s="30" t="s">
        <v>18</v>
      </c>
      <c r="M1" s="30" t="s">
        <v>19</v>
      </c>
      <c r="N1" s="30" t="s">
        <v>20</v>
      </c>
      <c r="O1" s="30" t="s">
        <v>21</v>
      </c>
      <c r="P1" s="30" t="s">
        <v>22</v>
      </c>
      <c r="Q1" s="30" t="s">
        <v>23</v>
      </c>
      <c r="R1" s="30" t="s">
        <v>24</v>
      </c>
      <c r="S1" s="30" t="s">
        <v>25</v>
      </c>
      <c r="T1" s="30" t="s">
        <v>26</v>
      </c>
      <c r="U1" s="30" t="s">
        <v>27</v>
      </c>
      <c r="V1" s="30" t="s">
        <v>28</v>
      </c>
      <c r="W1" s="30" t="s">
        <v>29</v>
      </c>
      <c r="X1" s="30" t="s">
        <v>30</v>
      </c>
      <c r="Y1" s="30" t="s">
        <v>31</v>
      </c>
    </row>
    <row r="2" spans="1:25" x14ac:dyDescent="0.2">
      <c r="A2" s="28" t="s">
        <v>42</v>
      </c>
      <c r="B2" s="31">
        <v>1</v>
      </c>
      <c r="C2" s="31">
        <v>1</v>
      </c>
      <c r="D2" s="31">
        <v>1</v>
      </c>
      <c r="E2" s="31">
        <v>1</v>
      </c>
      <c r="F2" s="7">
        <v>1</v>
      </c>
      <c r="G2" s="7">
        <v>1</v>
      </c>
      <c r="H2" s="7">
        <v>1</v>
      </c>
      <c r="I2" s="7">
        <v>1</v>
      </c>
      <c r="J2" s="7">
        <v>1</v>
      </c>
      <c r="K2" s="7">
        <v>1</v>
      </c>
      <c r="L2" s="7">
        <v>1</v>
      </c>
      <c r="M2" s="7">
        <v>1</v>
      </c>
      <c r="N2" s="7">
        <v>1</v>
      </c>
      <c r="O2" s="7">
        <v>1</v>
      </c>
      <c r="P2" s="7">
        <v>1</v>
      </c>
      <c r="Q2" s="7">
        <v>1</v>
      </c>
      <c r="R2" s="7">
        <v>1</v>
      </c>
      <c r="S2" s="7">
        <v>1</v>
      </c>
      <c r="T2" s="7">
        <v>1</v>
      </c>
      <c r="U2" s="7">
        <v>1</v>
      </c>
      <c r="V2" s="7">
        <v>1</v>
      </c>
      <c r="W2" s="7">
        <v>1</v>
      </c>
      <c r="X2" s="7">
        <v>1</v>
      </c>
      <c r="Y2" s="7">
        <v>1</v>
      </c>
    </row>
    <row r="3" spans="1:25" x14ac:dyDescent="0.2">
      <c r="A3" s="28" t="s">
        <v>76</v>
      </c>
      <c r="B3" s="31">
        <v>1</v>
      </c>
      <c r="C3" s="31">
        <v>1</v>
      </c>
      <c r="D3" s="31">
        <v>1</v>
      </c>
      <c r="E3" s="31">
        <v>1</v>
      </c>
      <c r="F3" s="7">
        <v>1</v>
      </c>
      <c r="G3" s="7">
        <v>1</v>
      </c>
      <c r="H3" s="7">
        <v>1</v>
      </c>
      <c r="I3" s="7">
        <v>1</v>
      </c>
      <c r="J3" s="7">
        <v>1</v>
      </c>
      <c r="K3" s="7">
        <v>1</v>
      </c>
      <c r="L3" s="7">
        <v>1</v>
      </c>
      <c r="M3" s="7">
        <v>1</v>
      </c>
      <c r="N3" s="7">
        <v>1</v>
      </c>
      <c r="O3" s="7">
        <v>1</v>
      </c>
      <c r="P3" s="7">
        <v>1</v>
      </c>
      <c r="Q3" s="7">
        <v>1</v>
      </c>
      <c r="R3" s="7">
        <v>1</v>
      </c>
      <c r="S3" s="7">
        <v>1</v>
      </c>
      <c r="T3" s="7">
        <v>1</v>
      </c>
      <c r="U3" s="7">
        <v>1</v>
      </c>
      <c r="V3" s="7">
        <v>1</v>
      </c>
      <c r="W3" s="7">
        <v>1</v>
      </c>
      <c r="X3" s="7">
        <v>1</v>
      </c>
      <c r="Y3" s="7">
        <v>1</v>
      </c>
    </row>
    <row r="4" spans="1:25" x14ac:dyDescent="0.2">
      <c r="A4" s="28" t="s">
        <v>55</v>
      </c>
      <c r="B4" s="31">
        <v>1</v>
      </c>
      <c r="C4" s="31">
        <v>1</v>
      </c>
      <c r="D4" s="31">
        <v>1</v>
      </c>
      <c r="E4" s="31">
        <v>1</v>
      </c>
      <c r="F4" s="7">
        <v>1</v>
      </c>
      <c r="G4" s="7">
        <v>1</v>
      </c>
      <c r="H4" s="7">
        <v>1</v>
      </c>
      <c r="I4" s="7">
        <v>1</v>
      </c>
      <c r="J4" s="7">
        <v>1</v>
      </c>
      <c r="K4" s="7">
        <v>1</v>
      </c>
      <c r="L4" s="7">
        <v>1</v>
      </c>
      <c r="M4" s="7">
        <v>1</v>
      </c>
      <c r="N4" s="7">
        <v>1</v>
      </c>
      <c r="O4" s="7">
        <v>1</v>
      </c>
      <c r="P4" s="7">
        <v>1</v>
      </c>
      <c r="Q4" s="7">
        <v>1</v>
      </c>
      <c r="R4" s="7">
        <v>1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</row>
    <row r="5" spans="1:25" x14ac:dyDescent="0.2">
      <c r="A5" s="28" t="s">
        <v>78</v>
      </c>
      <c r="B5" s="31">
        <v>0</v>
      </c>
      <c r="C5" s="31">
        <v>0</v>
      </c>
      <c r="D5" s="31">
        <v>0</v>
      </c>
      <c r="E5" s="31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v>0</v>
      </c>
      <c r="W5" s="7">
        <v>0</v>
      </c>
      <c r="X5" s="7">
        <v>0</v>
      </c>
      <c r="Y5" s="7">
        <v>0</v>
      </c>
    </row>
    <row r="6" spans="1:25" x14ac:dyDescent="0.2">
      <c r="A6" s="28" t="s">
        <v>77</v>
      </c>
      <c r="B6" s="31">
        <v>0</v>
      </c>
      <c r="C6" s="31">
        <v>0</v>
      </c>
      <c r="D6" s="31">
        <v>0</v>
      </c>
      <c r="E6" s="31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0</v>
      </c>
      <c r="U6" s="7">
        <v>0</v>
      </c>
      <c r="V6" s="7">
        <v>0</v>
      </c>
      <c r="W6" s="7">
        <v>0</v>
      </c>
      <c r="X6" s="7">
        <v>0</v>
      </c>
      <c r="Y6" s="7">
        <v>0</v>
      </c>
    </row>
    <row r="7" spans="1:25" x14ac:dyDescent="0.2">
      <c r="A7" s="28" t="s">
        <v>43</v>
      </c>
      <c r="B7" s="31">
        <v>1</v>
      </c>
      <c r="C7" s="31">
        <v>1</v>
      </c>
      <c r="D7" s="31">
        <v>1</v>
      </c>
      <c r="E7" s="31">
        <v>1</v>
      </c>
      <c r="F7" s="7">
        <v>1</v>
      </c>
      <c r="G7" s="7">
        <v>1</v>
      </c>
      <c r="H7" s="7">
        <v>1</v>
      </c>
      <c r="I7" s="7">
        <v>1</v>
      </c>
      <c r="J7" s="7">
        <v>1</v>
      </c>
      <c r="K7" s="7">
        <v>1</v>
      </c>
      <c r="L7" s="7">
        <v>1</v>
      </c>
      <c r="M7" s="7">
        <v>1</v>
      </c>
      <c r="N7" s="7">
        <v>1</v>
      </c>
      <c r="O7" s="7">
        <v>1</v>
      </c>
      <c r="P7" s="7">
        <v>1</v>
      </c>
      <c r="Q7" s="7">
        <v>1</v>
      </c>
      <c r="R7" s="7">
        <v>1</v>
      </c>
      <c r="S7" s="7">
        <v>1</v>
      </c>
      <c r="T7" s="7">
        <v>1</v>
      </c>
      <c r="U7" s="7">
        <v>1</v>
      </c>
      <c r="V7" s="7">
        <v>1</v>
      </c>
      <c r="W7" s="7">
        <v>1</v>
      </c>
      <c r="X7" s="7">
        <v>1</v>
      </c>
      <c r="Y7" s="7">
        <v>1</v>
      </c>
    </row>
    <row r="8" spans="1:25" x14ac:dyDescent="0.2">
      <c r="A8" s="28" t="s">
        <v>44</v>
      </c>
      <c r="B8" s="31">
        <v>1</v>
      </c>
      <c r="C8" s="31">
        <v>1</v>
      </c>
      <c r="D8" s="31">
        <v>1</v>
      </c>
      <c r="E8" s="31">
        <v>1</v>
      </c>
      <c r="F8" s="7">
        <v>1</v>
      </c>
      <c r="G8" s="7">
        <v>1</v>
      </c>
      <c r="H8" s="7">
        <v>1</v>
      </c>
      <c r="I8" s="7">
        <v>1</v>
      </c>
      <c r="J8" s="7">
        <v>1</v>
      </c>
      <c r="K8" s="7">
        <v>1</v>
      </c>
      <c r="L8" s="7">
        <v>1</v>
      </c>
      <c r="M8" s="7">
        <v>1</v>
      </c>
      <c r="N8" s="7">
        <v>1</v>
      </c>
      <c r="O8" s="7">
        <v>1</v>
      </c>
      <c r="P8" s="7">
        <v>1</v>
      </c>
      <c r="Q8" s="7">
        <v>1</v>
      </c>
      <c r="R8" s="7">
        <v>1</v>
      </c>
      <c r="S8" s="7">
        <v>1</v>
      </c>
      <c r="T8" s="7">
        <v>1</v>
      </c>
      <c r="U8" s="7">
        <v>1</v>
      </c>
      <c r="V8" s="7">
        <v>1</v>
      </c>
      <c r="W8" s="7">
        <v>1</v>
      </c>
      <c r="X8" s="7">
        <v>1</v>
      </c>
      <c r="Y8" s="7">
        <v>1</v>
      </c>
    </row>
    <row r="9" spans="1:25" x14ac:dyDescent="0.2">
      <c r="A9" s="28" t="s">
        <v>53</v>
      </c>
      <c r="B9" s="31">
        <v>0</v>
      </c>
      <c r="C9" s="31">
        <v>0</v>
      </c>
      <c r="D9" s="31">
        <v>0</v>
      </c>
      <c r="E9" s="31">
        <v>0</v>
      </c>
      <c r="F9" s="7">
        <v>0</v>
      </c>
      <c r="G9" s="7">
        <v>0</v>
      </c>
      <c r="H9" s="7">
        <v>0</v>
      </c>
      <c r="I9" s="7">
        <v>1</v>
      </c>
      <c r="J9" s="7">
        <v>1</v>
      </c>
      <c r="K9" s="7">
        <v>1</v>
      </c>
      <c r="L9" s="7">
        <v>1</v>
      </c>
      <c r="M9" s="7">
        <v>1</v>
      </c>
      <c r="N9" s="7">
        <v>1</v>
      </c>
      <c r="O9" s="7">
        <v>1</v>
      </c>
      <c r="P9" s="7">
        <v>1</v>
      </c>
      <c r="Q9" s="7">
        <v>1</v>
      </c>
      <c r="R9" s="7">
        <v>1</v>
      </c>
      <c r="S9" s="7">
        <v>1</v>
      </c>
      <c r="T9" s="7">
        <v>1</v>
      </c>
      <c r="U9" s="7">
        <v>1</v>
      </c>
      <c r="V9" s="7">
        <v>1</v>
      </c>
      <c r="W9" s="7">
        <v>1</v>
      </c>
      <c r="X9" s="7">
        <v>1</v>
      </c>
      <c r="Y9" s="7">
        <v>0</v>
      </c>
    </row>
    <row r="10" spans="1:25" x14ac:dyDescent="0.2">
      <c r="A10" s="28" t="s">
        <v>54</v>
      </c>
      <c r="B10" s="31">
        <v>1</v>
      </c>
      <c r="C10" s="31">
        <v>1</v>
      </c>
      <c r="D10" s="31">
        <v>1</v>
      </c>
      <c r="E10" s="31">
        <v>1</v>
      </c>
      <c r="F10" s="7">
        <v>1</v>
      </c>
      <c r="G10" s="7">
        <v>1</v>
      </c>
      <c r="H10" s="7">
        <v>1</v>
      </c>
      <c r="I10" s="7">
        <v>1</v>
      </c>
      <c r="J10" s="7">
        <v>1</v>
      </c>
      <c r="K10" s="7">
        <v>1</v>
      </c>
      <c r="L10" s="7">
        <v>1</v>
      </c>
      <c r="M10" s="7">
        <v>1</v>
      </c>
      <c r="N10" s="7">
        <v>1</v>
      </c>
      <c r="O10" s="7">
        <v>1</v>
      </c>
      <c r="P10" s="7">
        <v>1</v>
      </c>
      <c r="Q10" s="7">
        <v>1</v>
      </c>
      <c r="R10" s="7">
        <v>1</v>
      </c>
      <c r="S10" s="7">
        <v>1</v>
      </c>
      <c r="T10" s="7">
        <v>1</v>
      </c>
      <c r="U10" s="7">
        <v>1</v>
      </c>
      <c r="V10" s="7">
        <v>1</v>
      </c>
      <c r="W10" s="7">
        <v>1</v>
      </c>
      <c r="X10" s="7">
        <v>1</v>
      </c>
      <c r="Y10" s="7">
        <v>1</v>
      </c>
    </row>
    <row r="11" spans="1:25" x14ac:dyDescent="0.2">
      <c r="A11" s="28" t="s">
        <v>58</v>
      </c>
      <c r="B11" s="31">
        <v>1</v>
      </c>
      <c r="C11" s="31">
        <v>0</v>
      </c>
      <c r="D11" s="31">
        <v>0</v>
      </c>
      <c r="E11" s="31">
        <v>0</v>
      </c>
      <c r="F11" s="7">
        <v>0</v>
      </c>
      <c r="G11" s="7">
        <v>0</v>
      </c>
      <c r="H11" s="7">
        <v>0</v>
      </c>
      <c r="I11" s="7">
        <v>0</v>
      </c>
      <c r="J11" s="7">
        <v>1</v>
      </c>
      <c r="K11" s="7">
        <v>1</v>
      </c>
      <c r="L11" s="7">
        <v>1</v>
      </c>
      <c r="M11" s="7">
        <v>1</v>
      </c>
      <c r="N11" s="7">
        <v>1</v>
      </c>
      <c r="O11" s="7">
        <v>1</v>
      </c>
      <c r="P11" s="7">
        <v>0</v>
      </c>
      <c r="Q11" s="7">
        <v>0</v>
      </c>
      <c r="R11" s="7">
        <v>0</v>
      </c>
      <c r="S11" s="7">
        <v>1</v>
      </c>
      <c r="T11" s="7">
        <v>1</v>
      </c>
      <c r="U11" s="7">
        <v>1</v>
      </c>
      <c r="V11" s="7">
        <v>1</v>
      </c>
      <c r="W11" s="7">
        <v>1</v>
      </c>
      <c r="X11" s="7">
        <v>1</v>
      </c>
      <c r="Y11" s="7">
        <v>1</v>
      </c>
    </row>
    <row r="12" spans="1:25" x14ac:dyDescent="0.2">
      <c r="A12" s="28" t="s">
        <v>59</v>
      </c>
      <c r="B12" s="31">
        <v>0</v>
      </c>
      <c r="C12" s="31">
        <v>0</v>
      </c>
      <c r="D12" s="31">
        <v>0</v>
      </c>
      <c r="E12" s="31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1</v>
      </c>
      <c r="U12" s="7">
        <v>1</v>
      </c>
      <c r="V12" s="7">
        <v>1</v>
      </c>
      <c r="W12" s="7">
        <v>1</v>
      </c>
      <c r="X12" s="7">
        <v>0</v>
      </c>
      <c r="Y12" s="7">
        <v>1</v>
      </c>
    </row>
    <row r="13" spans="1:25" x14ac:dyDescent="0.2">
      <c r="A13" s="28" t="s">
        <v>60</v>
      </c>
      <c r="B13" s="31">
        <v>0</v>
      </c>
      <c r="C13" s="31">
        <v>0</v>
      </c>
      <c r="D13" s="31">
        <v>0</v>
      </c>
      <c r="E13" s="31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v>0</v>
      </c>
      <c r="W13" s="7">
        <v>0</v>
      </c>
      <c r="X13" s="7">
        <v>0</v>
      </c>
      <c r="Y13" s="7">
        <v>0</v>
      </c>
    </row>
    <row r="14" spans="1:25" x14ac:dyDescent="0.2">
      <c r="A14" s="28" t="s">
        <v>56</v>
      </c>
      <c r="B14" s="31">
        <v>0</v>
      </c>
      <c r="C14" s="31">
        <v>0</v>
      </c>
      <c r="D14" s="31">
        <v>0</v>
      </c>
      <c r="E14" s="31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  <c r="R14" s="7">
        <v>0</v>
      </c>
      <c r="S14" s="7">
        <v>0</v>
      </c>
      <c r="T14" s="7">
        <v>0</v>
      </c>
      <c r="U14" s="7">
        <v>0</v>
      </c>
      <c r="V14" s="7">
        <v>0</v>
      </c>
      <c r="W14" s="7">
        <v>0</v>
      </c>
      <c r="X14" s="7">
        <v>0</v>
      </c>
      <c r="Y14" s="7">
        <v>0</v>
      </c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conditionalFormatting sqref="B2:Y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" footer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4">
    <tabColor indexed="47"/>
  </sheetPr>
  <dimension ref="A1:Z55"/>
  <sheetViews>
    <sheetView showRowColHeaders="0" workbookViewId="0">
      <pane xSplit="2" ySplit="1" topLeftCell="C2" activePane="bottomRight" state="frozen"/>
      <selection pane="topRight"/>
      <selection pane="bottomLeft"/>
      <selection pane="bottomRight" activeCell="C2" sqref="C2"/>
    </sheetView>
  </sheetViews>
  <sheetFormatPr baseColWidth="10" defaultColWidth="11.42578125" defaultRowHeight="12.75" x14ac:dyDescent="0.2"/>
  <cols>
    <col min="1" max="1" width="4.5703125" style="32" bestFit="1" customWidth="1"/>
    <col min="2" max="2" width="24.42578125" style="32" bestFit="1" customWidth="1"/>
    <col min="3" max="26" width="4" style="7" bestFit="1" customWidth="1"/>
    <col min="27" max="16384" width="11.42578125" style="7"/>
  </cols>
  <sheetData>
    <row r="1" spans="1:26" s="30" customFormat="1" x14ac:dyDescent="0.2">
      <c r="A1" s="28" t="s">
        <v>106</v>
      </c>
      <c r="B1" s="28" t="s">
        <v>105</v>
      </c>
      <c r="C1" s="33" t="s">
        <v>8</v>
      </c>
      <c r="D1" s="33" t="s">
        <v>9</v>
      </c>
      <c r="E1" s="33" t="s">
        <v>10</v>
      </c>
      <c r="F1" s="30" t="s">
        <v>11</v>
      </c>
      <c r="G1" s="30" t="s">
        <v>12</v>
      </c>
      <c r="H1" s="30" t="s">
        <v>13</v>
      </c>
      <c r="I1" s="30" t="s">
        <v>14</v>
      </c>
      <c r="J1" s="30" t="s">
        <v>15</v>
      </c>
      <c r="K1" s="30" t="s">
        <v>16</v>
      </c>
      <c r="L1" s="30" t="s">
        <v>17</v>
      </c>
      <c r="M1" s="30" t="s">
        <v>18</v>
      </c>
      <c r="N1" s="30" t="s">
        <v>19</v>
      </c>
      <c r="O1" s="30" t="s">
        <v>20</v>
      </c>
      <c r="P1" s="30" t="s">
        <v>21</v>
      </c>
      <c r="Q1" s="30" t="s">
        <v>22</v>
      </c>
      <c r="R1" s="30" t="s">
        <v>23</v>
      </c>
      <c r="S1" s="30" t="s">
        <v>24</v>
      </c>
      <c r="T1" s="30" t="s">
        <v>25</v>
      </c>
      <c r="U1" s="30" t="s">
        <v>26</v>
      </c>
      <c r="V1" s="30" t="s">
        <v>27</v>
      </c>
      <c r="W1" s="30" t="s">
        <v>28</v>
      </c>
      <c r="X1" s="30" t="s">
        <v>29</v>
      </c>
      <c r="Y1" s="30" t="s">
        <v>30</v>
      </c>
      <c r="Z1" s="30" t="s">
        <v>31</v>
      </c>
    </row>
    <row r="2" spans="1:26" x14ac:dyDescent="0.2">
      <c r="A2" s="28" t="s">
        <v>32</v>
      </c>
      <c r="B2" s="28" t="s">
        <v>42</v>
      </c>
      <c r="C2" s="31">
        <v>300</v>
      </c>
      <c r="D2" s="31">
        <v>300</v>
      </c>
      <c r="E2" s="31">
        <v>300</v>
      </c>
      <c r="F2" s="31">
        <v>300</v>
      </c>
      <c r="G2" s="31">
        <v>300</v>
      </c>
      <c r="H2" s="31">
        <v>300</v>
      </c>
      <c r="I2" s="31">
        <v>300</v>
      </c>
      <c r="J2" s="31">
        <v>300</v>
      </c>
      <c r="K2" s="31">
        <v>300</v>
      </c>
      <c r="L2" s="31">
        <v>300</v>
      </c>
      <c r="M2" s="31">
        <v>300</v>
      </c>
      <c r="N2" s="31">
        <v>300</v>
      </c>
      <c r="O2" s="31">
        <v>300</v>
      </c>
      <c r="P2" s="31">
        <v>300</v>
      </c>
      <c r="Q2" s="31">
        <v>300</v>
      </c>
      <c r="R2" s="31">
        <v>300</v>
      </c>
      <c r="S2" s="31">
        <v>300</v>
      </c>
      <c r="T2" s="31">
        <v>300</v>
      </c>
      <c r="U2" s="31">
        <v>300</v>
      </c>
      <c r="V2" s="31">
        <v>300</v>
      </c>
      <c r="W2" s="31">
        <v>300</v>
      </c>
      <c r="X2" s="31">
        <v>300</v>
      </c>
      <c r="Y2" s="31">
        <v>300</v>
      </c>
      <c r="Z2" s="31">
        <v>300</v>
      </c>
    </row>
    <row r="3" spans="1:26" x14ac:dyDescent="0.2">
      <c r="A3" s="28" t="s">
        <v>32</v>
      </c>
      <c r="B3" s="28" t="s">
        <v>76</v>
      </c>
      <c r="C3" s="31">
        <v>235.2</v>
      </c>
      <c r="D3" s="31">
        <v>235.2</v>
      </c>
      <c r="E3" s="31">
        <v>235.2</v>
      </c>
      <c r="F3" s="31">
        <v>235.2</v>
      </c>
      <c r="G3" s="31">
        <v>235.2</v>
      </c>
      <c r="H3" s="31">
        <v>235.2</v>
      </c>
      <c r="I3" s="31">
        <v>235.2</v>
      </c>
      <c r="J3" s="31">
        <v>235.2</v>
      </c>
      <c r="K3" s="31">
        <v>282.56000000000103</v>
      </c>
      <c r="L3" s="31">
        <v>265.40000000000094</v>
      </c>
      <c r="M3" s="31">
        <v>309.90000000001208</v>
      </c>
      <c r="N3" s="31">
        <v>248.40000000000069</v>
      </c>
      <c r="O3" s="31">
        <v>235.2</v>
      </c>
      <c r="P3" s="31">
        <v>235.2</v>
      </c>
      <c r="Q3" s="31">
        <v>235.2</v>
      </c>
      <c r="R3" s="31">
        <v>235.2</v>
      </c>
      <c r="S3" s="31">
        <v>235.2</v>
      </c>
      <c r="T3" s="31">
        <v>235.2</v>
      </c>
      <c r="U3" s="31">
        <v>411.80000000000047</v>
      </c>
      <c r="V3" s="31">
        <v>335.00000000000017</v>
      </c>
      <c r="W3" s="31">
        <v>274.2</v>
      </c>
      <c r="X3" s="31">
        <v>235.2</v>
      </c>
      <c r="Y3" s="31">
        <v>235.2</v>
      </c>
      <c r="Z3" s="31">
        <v>255.20000000000087</v>
      </c>
    </row>
    <row r="4" spans="1:26" x14ac:dyDescent="0.2">
      <c r="A4" s="28" t="s">
        <v>32</v>
      </c>
      <c r="B4" s="28" t="s">
        <v>55</v>
      </c>
      <c r="C4" s="31">
        <v>83.100000000000009</v>
      </c>
      <c r="D4" s="31">
        <v>81.239999999999327</v>
      </c>
      <c r="E4" s="31">
        <v>81.239999999999327</v>
      </c>
      <c r="F4" s="31">
        <v>81.239999999999327</v>
      </c>
      <c r="G4" s="31">
        <v>81.239999999999327</v>
      </c>
      <c r="H4" s="31">
        <v>81.239999999999327</v>
      </c>
      <c r="I4" s="31">
        <v>81.239999999999327</v>
      </c>
      <c r="J4" s="31">
        <v>81.239999999999327</v>
      </c>
      <c r="K4" s="31">
        <v>201.2399999999993</v>
      </c>
      <c r="L4" s="31">
        <v>203.1</v>
      </c>
      <c r="M4" s="31">
        <v>203.1</v>
      </c>
      <c r="N4" s="31">
        <v>203.1</v>
      </c>
      <c r="O4" s="31">
        <v>132.49999999999997</v>
      </c>
      <c r="P4" s="31">
        <v>81.239999999999327</v>
      </c>
      <c r="Q4" s="31">
        <v>81.239999999999327</v>
      </c>
      <c r="R4" s="31">
        <v>81.239999999999327</v>
      </c>
      <c r="S4" s="31">
        <v>81.239999999999327</v>
      </c>
      <c r="T4" s="31">
        <v>0</v>
      </c>
      <c r="U4" s="31">
        <v>0</v>
      </c>
      <c r="V4" s="31">
        <v>0</v>
      </c>
      <c r="W4" s="31">
        <v>0</v>
      </c>
      <c r="X4" s="31">
        <v>0</v>
      </c>
      <c r="Y4" s="31">
        <v>0</v>
      </c>
      <c r="Z4" s="31">
        <v>0</v>
      </c>
    </row>
    <row r="5" spans="1:26" x14ac:dyDescent="0.2">
      <c r="A5" s="28" t="s">
        <v>32</v>
      </c>
      <c r="B5" s="28" t="s">
        <v>78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31">
        <v>0</v>
      </c>
      <c r="J5" s="31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31">
        <v>0</v>
      </c>
      <c r="R5" s="31">
        <v>0</v>
      </c>
      <c r="S5" s="31">
        <v>0</v>
      </c>
      <c r="T5" s="31">
        <v>0</v>
      </c>
      <c r="U5" s="31">
        <v>0</v>
      </c>
      <c r="V5" s="31">
        <v>0</v>
      </c>
      <c r="W5" s="31">
        <v>0</v>
      </c>
      <c r="X5" s="31">
        <v>0</v>
      </c>
      <c r="Y5" s="31">
        <v>0</v>
      </c>
      <c r="Z5" s="31">
        <v>0</v>
      </c>
    </row>
    <row r="6" spans="1:26" x14ac:dyDescent="0.2">
      <c r="A6" s="28" t="s">
        <v>32</v>
      </c>
      <c r="B6" s="28" t="s">
        <v>77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31">
        <v>0</v>
      </c>
      <c r="J6" s="31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31">
        <v>0</v>
      </c>
      <c r="R6" s="31">
        <v>0</v>
      </c>
      <c r="S6" s="31">
        <v>0</v>
      </c>
      <c r="T6" s="31">
        <v>0</v>
      </c>
      <c r="U6" s="31">
        <v>0</v>
      </c>
      <c r="V6" s="31">
        <v>0</v>
      </c>
      <c r="W6" s="31">
        <v>0</v>
      </c>
      <c r="X6" s="31">
        <v>0</v>
      </c>
      <c r="Y6" s="31">
        <v>0</v>
      </c>
      <c r="Z6" s="31">
        <v>0</v>
      </c>
    </row>
    <row r="7" spans="1:26" x14ac:dyDescent="0.2">
      <c r="A7" s="28" t="s">
        <v>32</v>
      </c>
      <c r="B7" s="28" t="s">
        <v>43</v>
      </c>
      <c r="C7" s="31">
        <v>500</v>
      </c>
      <c r="D7" s="31">
        <v>500</v>
      </c>
      <c r="E7" s="31">
        <v>500</v>
      </c>
      <c r="F7" s="31">
        <v>500</v>
      </c>
      <c r="G7" s="31">
        <v>490.86000000000075</v>
      </c>
      <c r="H7" s="31">
        <v>500</v>
      </c>
      <c r="I7" s="31">
        <v>500</v>
      </c>
      <c r="J7" s="31">
        <v>500</v>
      </c>
      <c r="K7" s="31">
        <v>500</v>
      </c>
      <c r="L7" s="31">
        <v>500</v>
      </c>
      <c r="M7" s="31">
        <v>500</v>
      </c>
      <c r="N7" s="31">
        <v>500</v>
      </c>
      <c r="O7" s="31">
        <v>500</v>
      </c>
      <c r="P7" s="31">
        <v>500</v>
      </c>
      <c r="Q7" s="31">
        <v>500</v>
      </c>
      <c r="R7" s="31">
        <v>500</v>
      </c>
      <c r="S7" s="31">
        <v>500</v>
      </c>
      <c r="T7" s="31">
        <v>500</v>
      </c>
      <c r="U7" s="31">
        <v>500</v>
      </c>
      <c r="V7" s="31">
        <v>500</v>
      </c>
      <c r="W7" s="31">
        <v>500</v>
      </c>
      <c r="X7" s="31">
        <v>500</v>
      </c>
      <c r="Y7" s="31">
        <v>500</v>
      </c>
      <c r="Z7" s="31">
        <v>500</v>
      </c>
    </row>
    <row r="8" spans="1:26" x14ac:dyDescent="0.2">
      <c r="A8" s="28" t="s">
        <v>32</v>
      </c>
      <c r="B8" s="28" t="s">
        <v>44</v>
      </c>
      <c r="C8" s="31">
        <v>459.90000000000077</v>
      </c>
      <c r="D8" s="31">
        <v>312.46000000000095</v>
      </c>
      <c r="E8" s="31">
        <v>167.86000000000092</v>
      </c>
      <c r="F8" s="31">
        <v>113.96000000000086</v>
      </c>
      <c r="G8" s="31">
        <v>100</v>
      </c>
      <c r="H8" s="31">
        <v>130.26000000000107</v>
      </c>
      <c r="I8" s="31">
        <v>425.86000000000092</v>
      </c>
      <c r="J8" s="31">
        <v>500</v>
      </c>
      <c r="K8" s="31">
        <v>500</v>
      </c>
      <c r="L8" s="31">
        <v>500</v>
      </c>
      <c r="M8" s="31">
        <v>500</v>
      </c>
      <c r="N8" s="31">
        <v>500</v>
      </c>
      <c r="O8" s="31">
        <v>500</v>
      </c>
      <c r="P8" s="31">
        <v>500</v>
      </c>
      <c r="Q8" s="31">
        <v>500</v>
      </c>
      <c r="R8" s="31">
        <v>500</v>
      </c>
      <c r="S8" s="31">
        <v>500</v>
      </c>
      <c r="T8" s="31">
        <v>500</v>
      </c>
      <c r="U8" s="31">
        <v>500</v>
      </c>
      <c r="V8" s="31">
        <v>500</v>
      </c>
      <c r="W8" s="31">
        <v>500</v>
      </c>
      <c r="X8" s="31">
        <v>500</v>
      </c>
      <c r="Y8" s="31">
        <v>500</v>
      </c>
      <c r="Z8" s="31">
        <v>500</v>
      </c>
    </row>
    <row r="9" spans="1:26" x14ac:dyDescent="0.2">
      <c r="A9" s="28" t="s">
        <v>32</v>
      </c>
      <c r="B9" s="28" t="s">
        <v>53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31">
        <v>0</v>
      </c>
      <c r="J9" s="31">
        <v>449.86000000000092</v>
      </c>
      <c r="K9" s="31">
        <v>500</v>
      </c>
      <c r="L9" s="31">
        <v>500</v>
      </c>
      <c r="M9" s="31">
        <v>500</v>
      </c>
      <c r="N9" s="31">
        <v>500</v>
      </c>
      <c r="O9" s="31">
        <v>500</v>
      </c>
      <c r="P9" s="31">
        <v>443.15999999999866</v>
      </c>
      <c r="Q9" s="31">
        <v>319.16000000000111</v>
      </c>
      <c r="R9" s="31">
        <v>279.56000000000114</v>
      </c>
      <c r="S9" s="31">
        <v>333.96000000000106</v>
      </c>
      <c r="T9" s="31">
        <v>464.30000000000069</v>
      </c>
      <c r="U9" s="31">
        <v>500</v>
      </c>
      <c r="V9" s="31">
        <v>500</v>
      </c>
      <c r="W9" s="31">
        <v>500</v>
      </c>
      <c r="X9" s="31">
        <v>400.50000000000017</v>
      </c>
      <c r="Y9" s="31">
        <v>251.80000000000047</v>
      </c>
      <c r="Z9" s="31">
        <v>0</v>
      </c>
    </row>
    <row r="10" spans="1:26" x14ac:dyDescent="0.2">
      <c r="A10" s="28" t="s">
        <v>32</v>
      </c>
      <c r="B10" s="28" t="s">
        <v>54</v>
      </c>
      <c r="C10" s="31">
        <v>667.5</v>
      </c>
      <c r="D10" s="31">
        <v>667.5</v>
      </c>
      <c r="E10" s="31">
        <v>667.5</v>
      </c>
      <c r="F10" s="31">
        <v>667.5</v>
      </c>
      <c r="G10" s="31">
        <v>667.5</v>
      </c>
      <c r="H10" s="31">
        <v>667.5</v>
      </c>
      <c r="I10" s="31">
        <v>667.5</v>
      </c>
      <c r="J10" s="31">
        <v>667.5</v>
      </c>
      <c r="K10" s="31">
        <v>667.5</v>
      </c>
      <c r="L10" s="31">
        <v>667.5</v>
      </c>
      <c r="M10" s="31">
        <v>667.5</v>
      </c>
      <c r="N10" s="31">
        <v>667.5</v>
      </c>
      <c r="O10" s="31">
        <v>667.5</v>
      </c>
      <c r="P10" s="31">
        <v>667.5</v>
      </c>
      <c r="Q10" s="31">
        <v>667.5</v>
      </c>
      <c r="R10" s="31">
        <v>667.5</v>
      </c>
      <c r="S10" s="31">
        <v>667.5</v>
      </c>
      <c r="T10" s="31">
        <v>667.5</v>
      </c>
      <c r="U10" s="31">
        <v>667.5</v>
      </c>
      <c r="V10" s="31">
        <v>667.5</v>
      </c>
      <c r="W10" s="31">
        <v>667.5</v>
      </c>
      <c r="X10" s="31">
        <v>667.5</v>
      </c>
      <c r="Y10" s="31">
        <v>667.5</v>
      </c>
      <c r="Z10" s="31">
        <v>667.5</v>
      </c>
    </row>
    <row r="11" spans="1:26" x14ac:dyDescent="0.2">
      <c r="A11" s="28" t="s">
        <v>32</v>
      </c>
      <c r="B11" s="28" t="s">
        <v>58</v>
      </c>
      <c r="C11" s="31">
        <v>99.999999999999744</v>
      </c>
      <c r="D11" s="31">
        <v>0</v>
      </c>
      <c r="E11" s="31">
        <v>0</v>
      </c>
      <c r="F11" s="31">
        <v>0</v>
      </c>
      <c r="G11" s="31">
        <v>0</v>
      </c>
      <c r="H11" s="31">
        <v>0</v>
      </c>
      <c r="I11" s="31">
        <v>0</v>
      </c>
      <c r="J11" s="31">
        <v>0</v>
      </c>
      <c r="K11" s="31">
        <v>100</v>
      </c>
      <c r="L11" s="31">
        <v>100</v>
      </c>
      <c r="M11" s="31">
        <v>99.999999999988987</v>
      </c>
      <c r="N11" s="31">
        <v>100.00000000000041</v>
      </c>
      <c r="O11" s="31">
        <v>100.00000000000038</v>
      </c>
      <c r="P11" s="31">
        <v>100.0000000000023</v>
      </c>
      <c r="Q11" s="31">
        <v>0</v>
      </c>
      <c r="R11" s="31">
        <v>0</v>
      </c>
      <c r="S11" s="31">
        <v>0</v>
      </c>
      <c r="T11" s="31">
        <v>99.999999999999673</v>
      </c>
      <c r="U11" s="31">
        <v>100</v>
      </c>
      <c r="V11" s="31">
        <v>100</v>
      </c>
      <c r="W11" s="31">
        <v>100</v>
      </c>
      <c r="X11" s="31">
        <v>100</v>
      </c>
      <c r="Y11" s="31">
        <v>100</v>
      </c>
      <c r="Z11" s="31">
        <v>99.999999999999616</v>
      </c>
    </row>
    <row r="12" spans="1:26" x14ac:dyDescent="0.2">
      <c r="A12" s="28" t="s">
        <v>32</v>
      </c>
      <c r="B12" s="28" t="s">
        <v>59</v>
      </c>
      <c r="C12" s="31">
        <v>0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31">
        <v>0</v>
      </c>
      <c r="J12" s="31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99.999999999999588</v>
      </c>
      <c r="V12" s="31">
        <v>100</v>
      </c>
      <c r="W12" s="31">
        <v>100.00000000000018</v>
      </c>
      <c r="X12" s="31">
        <v>100.00000000000009</v>
      </c>
      <c r="Y12" s="31">
        <v>0</v>
      </c>
      <c r="Z12" s="31">
        <v>99.999999999999616</v>
      </c>
    </row>
    <row r="13" spans="1:26" x14ac:dyDescent="0.2">
      <c r="A13" s="28" t="s">
        <v>32</v>
      </c>
      <c r="B13" s="28" t="s">
        <v>60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31">
        <v>0</v>
      </c>
      <c r="J13" s="31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V13" s="31">
        <v>0</v>
      </c>
      <c r="W13" s="31">
        <v>0</v>
      </c>
      <c r="X13" s="31">
        <v>0</v>
      </c>
      <c r="Y13" s="31">
        <v>0</v>
      </c>
      <c r="Z13" s="31">
        <v>0</v>
      </c>
    </row>
    <row r="14" spans="1:26" x14ac:dyDescent="0.2">
      <c r="A14" s="28" t="s">
        <v>32</v>
      </c>
      <c r="B14" s="28" t="s">
        <v>56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0</v>
      </c>
      <c r="I14" s="31">
        <v>0</v>
      </c>
      <c r="J14" s="31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31">
        <v>0</v>
      </c>
      <c r="R14" s="31">
        <v>0</v>
      </c>
      <c r="S14" s="31">
        <v>0</v>
      </c>
      <c r="T14" s="31">
        <v>0</v>
      </c>
      <c r="U14" s="31">
        <v>0</v>
      </c>
      <c r="V14" s="31">
        <v>0</v>
      </c>
      <c r="W14" s="31">
        <v>0</v>
      </c>
      <c r="X14" s="31">
        <v>0</v>
      </c>
      <c r="Y14" s="31">
        <v>0</v>
      </c>
      <c r="Z14" s="31">
        <v>0</v>
      </c>
    </row>
    <row r="15" spans="1:26" x14ac:dyDescent="0.2">
      <c r="A15" s="28" t="s">
        <v>32</v>
      </c>
      <c r="B15" s="28" t="s">
        <v>84</v>
      </c>
      <c r="C15" s="31">
        <v>0</v>
      </c>
      <c r="D15" s="31">
        <v>0</v>
      </c>
      <c r="E15" s="31">
        <v>0</v>
      </c>
      <c r="F15" s="31">
        <v>0</v>
      </c>
      <c r="G15" s="31">
        <v>0</v>
      </c>
      <c r="H15" s="31">
        <v>0</v>
      </c>
      <c r="I15" s="31">
        <v>0</v>
      </c>
      <c r="J15" s="31">
        <v>0</v>
      </c>
      <c r="K15" s="31">
        <v>0</v>
      </c>
      <c r="L15" s="31">
        <v>0</v>
      </c>
      <c r="M15" s="31">
        <v>0</v>
      </c>
      <c r="N15" s="31">
        <v>0</v>
      </c>
      <c r="O15" s="31">
        <v>0</v>
      </c>
      <c r="P15" s="31">
        <v>0</v>
      </c>
      <c r="Q15" s="31">
        <v>0</v>
      </c>
      <c r="R15" s="31">
        <v>0</v>
      </c>
      <c r="S15" s="31">
        <v>0</v>
      </c>
      <c r="T15" s="31">
        <v>0</v>
      </c>
      <c r="U15" s="31">
        <v>0</v>
      </c>
      <c r="V15" s="31">
        <v>0</v>
      </c>
      <c r="W15" s="31">
        <v>0</v>
      </c>
      <c r="X15" s="31">
        <v>0</v>
      </c>
      <c r="Y15" s="31">
        <v>0</v>
      </c>
      <c r="Z15" s="31">
        <v>0</v>
      </c>
    </row>
    <row r="16" spans="1:26" x14ac:dyDescent="0.2">
      <c r="A16" s="28" t="s">
        <v>32</v>
      </c>
      <c r="B16" s="28" t="s">
        <v>85</v>
      </c>
      <c r="C16" s="31">
        <v>0</v>
      </c>
      <c r="D16" s="31">
        <v>0</v>
      </c>
      <c r="E16" s="31">
        <v>0</v>
      </c>
      <c r="F16" s="31">
        <v>0</v>
      </c>
      <c r="G16" s="31">
        <v>0</v>
      </c>
      <c r="H16" s="31">
        <v>0</v>
      </c>
      <c r="I16" s="31">
        <v>0</v>
      </c>
      <c r="J16" s="31">
        <v>0</v>
      </c>
      <c r="K16" s="31">
        <v>0</v>
      </c>
      <c r="L16" s="31">
        <v>0</v>
      </c>
      <c r="M16" s="31">
        <v>0</v>
      </c>
      <c r="N16" s="31">
        <v>0</v>
      </c>
      <c r="O16" s="31">
        <v>0</v>
      </c>
      <c r="P16" s="31">
        <v>0</v>
      </c>
      <c r="Q16" s="31">
        <v>0</v>
      </c>
      <c r="R16" s="31">
        <v>0</v>
      </c>
      <c r="S16" s="31">
        <v>0</v>
      </c>
      <c r="T16" s="31">
        <v>0</v>
      </c>
      <c r="U16" s="31">
        <v>0</v>
      </c>
      <c r="V16" s="31">
        <v>0</v>
      </c>
      <c r="W16" s="31">
        <v>0</v>
      </c>
      <c r="X16" s="31">
        <v>0</v>
      </c>
      <c r="Y16" s="31">
        <v>0</v>
      </c>
      <c r="Z16" s="31">
        <v>0</v>
      </c>
    </row>
    <row r="17" spans="1:26" x14ac:dyDescent="0.2">
      <c r="A17" s="28" t="s">
        <v>32</v>
      </c>
      <c r="B17" s="28" t="s">
        <v>86</v>
      </c>
      <c r="C17" s="31">
        <v>0</v>
      </c>
      <c r="D17" s="31">
        <v>0</v>
      </c>
      <c r="E17" s="31">
        <v>0</v>
      </c>
      <c r="F17" s="31">
        <v>0</v>
      </c>
      <c r="G17" s="31">
        <v>0</v>
      </c>
      <c r="H17" s="31">
        <v>0</v>
      </c>
      <c r="I17" s="31">
        <v>0</v>
      </c>
      <c r="J17" s="31">
        <v>0</v>
      </c>
      <c r="K17" s="31">
        <v>0</v>
      </c>
      <c r="L17" s="31">
        <v>0</v>
      </c>
      <c r="M17" s="31">
        <v>0</v>
      </c>
      <c r="N17" s="31">
        <v>0</v>
      </c>
      <c r="O17" s="31">
        <v>0</v>
      </c>
      <c r="P17" s="31">
        <v>0</v>
      </c>
      <c r="Q17" s="31">
        <v>0</v>
      </c>
      <c r="R17" s="31">
        <v>0</v>
      </c>
      <c r="S17" s="31">
        <v>0</v>
      </c>
      <c r="T17" s="31">
        <v>0</v>
      </c>
      <c r="U17" s="31">
        <v>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</row>
    <row r="18" spans="1:26" x14ac:dyDescent="0.2">
      <c r="A18" s="28" t="s">
        <v>32</v>
      </c>
      <c r="B18" s="28" t="s">
        <v>87</v>
      </c>
      <c r="C18" s="31">
        <v>0</v>
      </c>
      <c r="D18" s="31">
        <v>0</v>
      </c>
      <c r="E18" s="31">
        <v>0</v>
      </c>
      <c r="F18" s="31">
        <v>0</v>
      </c>
      <c r="G18" s="31">
        <v>0</v>
      </c>
      <c r="H18" s="31">
        <v>0</v>
      </c>
      <c r="I18" s="31">
        <v>0</v>
      </c>
      <c r="J18" s="31">
        <v>0</v>
      </c>
      <c r="K18" s="31">
        <v>0</v>
      </c>
      <c r="L18" s="31">
        <v>0</v>
      </c>
      <c r="M18" s="31">
        <v>0</v>
      </c>
      <c r="N18" s="31">
        <v>0</v>
      </c>
      <c r="O18" s="31">
        <v>0</v>
      </c>
      <c r="P18" s="31">
        <v>0</v>
      </c>
      <c r="Q18" s="31">
        <v>0</v>
      </c>
      <c r="R18" s="31">
        <v>0</v>
      </c>
      <c r="S18" s="31">
        <v>0</v>
      </c>
      <c r="T18" s="31">
        <v>0</v>
      </c>
      <c r="U18" s="31">
        <v>0</v>
      </c>
      <c r="V18" s="31">
        <v>0</v>
      </c>
      <c r="W18" s="31">
        <v>0</v>
      </c>
      <c r="X18" s="31">
        <v>0</v>
      </c>
      <c r="Y18" s="31">
        <v>0</v>
      </c>
      <c r="Z18" s="31">
        <v>0</v>
      </c>
    </row>
    <row r="19" spans="1:26" x14ac:dyDescent="0.2">
      <c r="A19" s="28" t="s">
        <v>32</v>
      </c>
      <c r="B19" s="28" t="s">
        <v>88</v>
      </c>
      <c r="C19" s="31">
        <v>0</v>
      </c>
      <c r="D19" s="31">
        <v>0</v>
      </c>
      <c r="E19" s="31">
        <v>0</v>
      </c>
      <c r="F19" s="31">
        <v>0</v>
      </c>
      <c r="G19" s="31">
        <v>0</v>
      </c>
      <c r="H19" s="31">
        <v>0</v>
      </c>
      <c r="I19" s="31">
        <v>0</v>
      </c>
      <c r="J19" s="31">
        <v>0</v>
      </c>
      <c r="K19" s="31">
        <v>0</v>
      </c>
      <c r="L19" s="31">
        <v>0</v>
      </c>
      <c r="M19" s="31">
        <v>0</v>
      </c>
      <c r="N19" s="31">
        <v>0</v>
      </c>
      <c r="O19" s="31">
        <v>0</v>
      </c>
      <c r="P19" s="31">
        <v>0</v>
      </c>
      <c r="Q19" s="31">
        <v>0</v>
      </c>
      <c r="R19" s="31">
        <v>0</v>
      </c>
      <c r="S19" s="31">
        <v>0</v>
      </c>
      <c r="T19" s="31">
        <v>0</v>
      </c>
      <c r="U19" s="31">
        <v>0</v>
      </c>
      <c r="V19" s="31">
        <v>0</v>
      </c>
      <c r="W19" s="31">
        <v>0</v>
      </c>
      <c r="X19" s="31">
        <v>0</v>
      </c>
      <c r="Y19" s="31">
        <v>0</v>
      </c>
      <c r="Z19" s="31">
        <v>0</v>
      </c>
    </row>
    <row r="20" spans="1:26" x14ac:dyDescent="0.2">
      <c r="A20" s="28" t="s">
        <v>33</v>
      </c>
      <c r="B20" s="28" t="s">
        <v>42</v>
      </c>
      <c r="C20" s="31">
        <v>300</v>
      </c>
      <c r="D20" s="31">
        <v>300</v>
      </c>
      <c r="E20" s="31">
        <v>300</v>
      </c>
      <c r="F20" s="31">
        <v>300</v>
      </c>
      <c r="G20" s="31">
        <v>300</v>
      </c>
      <c r="H20" s="31">
        <v>300</v>
      </c>
      <c r="I20" s="31">
        <v>300</v>
      </c>
      <c r="J20" s="31">
        <v>300</v>
      </c>
      <c r="K20" s="31">
        <v>300</v>
      </c>
      <c r="L20" s="31">
        <v>300</v>
      </c>
      <c r="M20" s="31">
        <v>300</v>
      </c>
      <c r="N20" s="31">
        <v>300</v>
      </c>
      <c r="O20" s="31">
        <v>300</v>
      </c>
      <c r="P20" s="31">
        <v>300</v>
      </c>
      <c r="Q20" s="31">
        <v>300</v>
      </c>
      <c r="R20" s="31">
        <v>300</v>
      </c>
      <c r="S20" s="31">
        <v>300</v>
      </c>
      <c r="T20" s="31">
        <v>300</v>
      </c>
      <c r="U20" s="31">
        <v>300</v>
      </c>
      <c r="V20" s="31">
        <v>300</v>
      </c>
      <c r="W20" s="31">
        <v>300</v>
      </c>
      <c r="X20" s="31">
        <v>300</v>
      </c>
      <c r="Y20" s="31">
        <v>300</v>
      </c>
      <c r="Z20" s="31">
        <v>300</v>
      </c>
    </row>
    <row r="21" spans="1:26" x14ac:dyDescent="0.2">
      <c r="A21" s="28" t="s">
        <v>33</v>
      </c>
      <c r="B21" s="28" t="s">
        <v>76</v>
      </c>
      <c r="C21" s="31">
        <v>235.2</v>
      </c>
      <c r="D21" s="31">
        <v>235.2</v>
      </c>
      <c r="E21" s="31">
        <v>235.2</v>
      </c>
      <c r="F21" s="31">
        <v>235.2</v>
      </c>
      <c r="G21" s="31">
        <v>235.2</v>
      </c>
      <c r="H21" s="31">
        <v>235.2</v>
      </c>
      <c r="I21" s="31">
        <v>235.2</v>
      </c>
      <c r="J21" s="31">
        <v>235.2</v>
      </c>
      <c r="K21" s="31">
        <v>317.43994817496701</v>
      </c>
      <c r="L21" s="31">
        <v>246.49574839235302</v>
      </c>
      <c r="M21" s="31">
        <v>235.2</v>
      </c>
      <c r="N21" s="31">
        <v>235.2</v>
      </c>
      <c r="O21" s="31">
        <v>235.2</v>
      </c>
      <c r="P21" s="31">
        <v>235.2</v>
      </c>
      <c r="Q21" s="31">
        <v>235.2</v>
      </c>
      <c r="R21" s="31">
        <v>235.2</v>
      </c>
      <c r="S21" s="31">
        <v>235.2</v>
      </c>
      <c r="T21" s="31">
        <v>235.2</v>
      </c>
      <c r="U21" s="31">
        <v>355.93938456323156</v>
      </c>
      <c r="V21" s="31">
        <v>235.2</v>
      </c>
      <c r="W21" s="31">
        <v>235.2</v>
      </c>
      <c r="X21" s="31">
        <v>235.2</v>
      </c>
      <c r="Y21" s="31">
        <v>235.2</v>
      </c>
      <c r="Z21" s="31">
        <v>235.2</v>
      </c>
    </row>
    <row r="22" spans="1:26" x14ac:dyDescent="0.2">
      <c r="A22" s="28" t="s">
        <v>33</v>
      </c>
      <c r="B22" s="28" t="s">
        <v>55</v>
      </c>
      <c r="C22" s="31">
        <v>138.36369931906475</v>
      </c>
      <c r="D22" s="31">
        <v>81.239999999999327</v>
      </c>
      <c r="E22" s="31">
        <v>81.239999999999327</v>
      </c>
      <c r="F22" s="31">
        <v>81.239999999999327</v>
      </c>
      <c r="G22" s="31">
        <v>81.239999999999327</v>
      </c>
      <c r="H22" s="31">
        <v>81.239999999999327</v>
      </c>
      <c r="I22" s="31">
        <v>81.239999999999327</v>
      </c>
      <c r="J22" s="31">
        <v>81.239999999999327</v>
      </c>
      <c r="K22" s="31">
        <v>201.2399999999993</v>
      </c>
      <c r="L22" s="31">
        <v>203.1</v>
      </c>
      <c r="M22" s="31">
        <v>164.00561788706656</v>
      </c>
      <c r="N22" s="31">
        <v>81.239999999999327</v>
      </c>
      <c r="O22" s="31">
        <v>81.239999999999327</v>
      </c>
      <c r="P22" s="31">
        <v>81.239999999999327</v>
      </c>
      <c r="Q22" s="31">
        <v>81.239999999999327</v>
      </c>
      <c r="R22" s="31">
        <v>81.239999999999327</v>
      </c>
      <c r="S22" s="31">
        <v>81.239999999999327</v>
      </c>
      <c r="T22" s="31">
        <v>0</v>
      </c>
      <c r="U22" s="31">
        <v>0</v>
      </c>
      <c r="V22" s="31">
        <v>0</v>
      </c>
      <c r="W22" s="31">
        <v>0</v>
      </c>
      <c r="X22" s="31">
        <v>0</v>
      </c>
      <c r="Y22" s="31">
        <v>0</v>
      </c>
      <c r="Z22" s="31">
        <v>0</v>
      </c>
    </row>
    <row r="23" spans="1:26" x14ac:dyDescent="0.2">
      <c r="A23" s="28" t="s">
        <v>33</v>
      </c>
      <c r="B23" s="28" t="s">
        <v>78</v>
      </c>
      <c r="C23" s="31">
        <v>0</v>
      </c>
      <c r="D23" s="31">
        <v>0</v>
      </c>
      <c r="E23" s="31">
        <v>0</v>
      </c>
      <c r="F23" s="31">
        <v>0</v>
      </c>
      <c r="G23" s="31">
        <v>0</v>
      </c>
      <c r="H23" s="31">
        <v>0</v>
      </c>
      <c r="I23" s="31">
        <v>0</v>
      </c>
      <c r="J23" s="31">
        <v>0</v>
      </c>
      <c r="K23" s="31">
        <v>0</v>
      </c>
      <c r="L23" s="31">
        <v>0</v>
      </c>
      <c r="M23" s="31">
        <v>0</v>
      </c>
      <c r="N23" s="31">
        <v>0</v>
      </c>
      <c r="O23" s="31">
        <v>0</v>
      </c>
      <c r="P23" s="31">
        <v>0</v>
      </c>
      <c r="Q23" s="31">
        <v>0</v>
      </c>
      <c r="R23" s="31">
        <v>0</v>
      </c>
      <c r="S23" s="31">
        <v>0</v>
      </c>
      <c r="T23" s="31">
        <v>0</v>
      </c>
      <c r="U23" s="31">
        <v>0</v>
      </c>
      <c r="V23" s="31">
        <v>0</v>
      </c>
      <c r="W23" s="31">
        <v>0</v>
      </c>
      <c r="X23" s="31">
        <v>0</v>
      </c>
      <c r="Y23" s="31">
        <v>0</v>
      </c>
      <c r="Z23" s="31">
        <v>0</v>
      </c>
    </row>
    <row r="24" spans="1:26" x14ac:dyDescent="0.2">
      <c r="A24" s="28" t="s">
        <v>33</v>
      </c>
      <c r="B24" s="28" t="s">
        <v>77</v>
      </c>
      <c r="C24" s="31">
        <v>0</v>
      </c>
      <c r="D24" s="31">
        <v>0</v>
      </c>
      <c r="E24" s="31">
        <v>0</v>
      </c>
      <c r="F24" s="31">
        <v>0</v>
      </c>
      <c r="G24" s="31">
        <v>0</v>
      </c>
      <c r="H24" s="31">
        <v>0</v>
      </c>
      <c r="I24" s="31">
        <v>0</v>
      </c>
      <c r="J24" s="31">
        <v>0</v>
      </c>
      <c r="K24" s="31">
        <v>0</v>
      </c>
      <c r="L24" s="31">
        <v>0</v>
      </c>
      <c r="M24" s="31">
        <v>0</v>
      </c>
      <c r="N24" s="31">
        <v>0</v>
      </c>
      <c r="O24" s="31">
        <v>0</v>
      </c>
      <c r="P24" s="31">
        <v>0</v>
      </c>
      <c r="Q24" s="31">
        <v>0</v>
      </c>
      <c r="R24" s="31">
        <v>0</v>
      </c>
      <c r="S24" s="31">
        <v>0</v>
      </c>
      <c r="T24" s="31">
        <v>0</v>
      </c>
      <c r="U24" s="31">
        <v>0</v>
      </c>
      <c r="V24" s="31">
        <v>0</v>
      </c>
      <c r="W24" s="31">
        <v>0</v>
      </c>
      <c r="X24" s="31">
        <v>0</v>
      </c>
      <c r="Y24" s="31">
        <v>0</v>
      </c>
      <c r="Z24" s="31">
        <v>0</v>
      </c>
    </row>
    <row r="25" spans="1:26" x14ac:dyDescent="0.2">
      <c r="A25" s="28" t="s">
        <v>33</v>
      </c>
      <c r="B25" s="28" t="s">
        <v>43</v>
      </c>
      <c r="C25" s="31">
        <v>500</v>
      </c>
      <c r="D25" s="31">
        <v>500</v>
      </c>
      <c r="E25" s="31">
        <v>500</v>
      </c>
      <c r="F25" s="31">
        <v>500</v>
      </c>
      <c r="G25" s="31">
        <v>500</v>
      </c>
      <c r="H25" s="31">
        <v>500</v>
      </c>
      <c r="I25" s="31">
        <v>500</v>
      </c>
      <c r="J25" s="31">
        <v>500</v>
      </c>
      <c r="K25" s="31">
        <v>500</v>
      </c>
      <c r="L25" s="31">
        <v>500</v>
      </c>
      <c r="M25" s="31">
        <v>500</v>
      </c>
      <c r="N25" s="31">
        <v>500</v>
      </c>
      <c r="O25" s="31">
        <v>500</v>
      </c>
      <c r="P25" s="31">
        <v>500</v>
      </c>
      <c r="Q25" s="31">
        <v>500</v>
      </c>
      <c r="R25" s="31">
        <v>500</v>
      </c>
      <c r="S25" s="31">
        <v>500</v>
      </c>
      <c r="T25" s="31">
        <v>500</v>
      </c>
      <c r="U25" s="31">
        <v>500</v>
      </c>
      <c r="V25" s="31">
        <v>500</v>
      </c>
      <c r="W25" s="31">
        <v>500</v>
      </c>
      <c r="X25" s="31">
        <v>500</v>
      </c>
      <c r="Y25" s="31">
        <v>500</v>
      </c>
      <c r="Z25" s="31">
        <v>500</v>
      </c>
    </row>
    <row r="26" spans="1:26" x14ac:dyDescent="0.2">
      <c r="A26" s="32" t="s">
        <v>33</v>
      </c>
      <c r="B26" s="32" t="s">
        <v>44</v>
      </c>
      <c r="C26" s="31">
        <v>500</v>
      </c>
      <c r="D26" s="31">
        <v>417.98829290331105</v>
      </c>
      <c r="E26" s="31">
        <v>272.39863482880202</v>
      </c>
      <c r="F26" s="31">
        <v>195.25240599607383</v>
      </c>
      <c r="G26" s="31">
        <v>138.90905806050273</v>
      </c>
      <c r="H26" s="31">
        <v>158.90339927963106</v>
      </c>
      <c r="I26" s="31">
        <v>458.31301060515682</v>
      </c>
      <c r="J26" s="31">
        <v>500</v>
      </c>
      <c r="K26" s="31">
        <v>500</v>
      </c>
      <c r="L26" s="31">
        <v>500</v>
      </c>
      <c r="M26" s="31">
        <v>500</v>
      </c>
      <c r="N26" s="31">
        <v>500</v>
      </c>
      <c r="O26" s="31">
        <v>500</v>
      </c>
      <c r="P26" s="31">
        <v>500</v>
      </c>
      <c r="Q26" s="31">
        <v>500</v>
      </c>
      <c r="R26" s="31">
        <v>500</v>
      </c>
      <c r="S26" s="31">
        <v>500</v>
      </c>
      <c r="T26" s="31">
        <v>500</v>
      </c>
      <c r="U26" s="31">
        <v>500</v>
      </c>
      <c r="V26" s="31">
        <v>500</v>
      </c>
      <c r="W26" s="31">
        <v>500</v>
      </c>
      <c r="X26" s="31">
        <v>500</v>
      </c>
      <c r="Y26" s="31">
        <v>500</v>
      </c>
      <c r="Z26" s="31">
        <v>494.73140932986382</v>
      </c>
    </row>
    <row r="27" spans="1:26" x14ac:dyDescent="0.2">
      <c r="A27" s="32" t="s">
        <v>33</v>
      </c>
      <c r="B27" s="32" t="s">
        <v>53</v>
      </c>
      <c r="C27" s="31">
        <v>0</v>
      </c>
      <c r="D27" s="31">
        <v>0</v>
      </c>
      <c r="E27" s="31">
        <v>0</v>
      </c>
      <c r="F27" s="31">
        <v>0</v>
      </c>
      <c r="G27" s="31">
        <v>0</v>
      </c>
      <c r="H27" s="31">
        <v>0</v>
      </c>
      <c r="I27" s="31">
        <v>0</v>
      </c>
      <c r="J27" s="31">
        <v>496.382604829407</v>
      </c>
      <c r="K27" s="31">
        <v>500</v>
      </c>
      <c r="L27" s="31">
        <v>500</v>
      </c>
      <c r="M27" s="31">
        <v>500</v>
      </c>
      <c r="N27" s="31">
        <v>453.97965606438476</v>
      </c>
      <c r="O27" s="31">
        <v>375.44752364170165</v>
      </c>
      <c r="P27" s="31">
        <v>314.85057792757863</v>
      </c>
      <c r="Q27" s="31">
        <v>233.35023116164507</v>
      </c>
      <c r="R27" s="31">
        <v>196.79745687598313</v>
      </c>
      <c r="S27" s="31">
        <v>256.46600495375702</v>
      </c>
      <c r="T27" s="31">
        <v>411.42817128726074</v>
      </c>
      <c r="U27" s="31">
        <v>500</v>
      </c>
      <c r="V27" s="31">
        <v>490.36571417214634</v>
      </c>
      <c r="W27" s="31">
        <v>372.83552867979495</v>
      </c>
      <c r="X27" s="31">
        <v>244.31845559184913</v>
      </c>
      <c r="Y27" s="31">
        <v>161.5819509327284</v>
      </c>
      <c r="Z27" s="31">
        <v>0</v>
      </c>
    </row>
    <row r="28" spans="1:26" x14ac:dyDescent="0.2">
      <c r="A28" s="32" t="s">
        <v>33</v>
      </c>
      <c r="B28" s="32" t="s">
        <v>54</v>
      </c>
      <c r="C28" s="31">
        <v>667.5</v>
      </c>
      <c r="D28" s="31">
        <v>667.5</v>
      </c>
      <c r="E28" s="31">
        <v>667.5</v>
      </c>
      <c r="F28" s="31">
        <v>667.5</v>
      </c>
      <c r="G28" s="31">
        <v>667.5</v>
      </c>
      <c r="H28" s="31">
        <v>667.5</v>
      </c>
      <c r="I28" s="31">
        <v>667.5</v>
      </c>
      <c r="J28" s="31">
        <v>667.5</v>
      </c>
      <c r="K28" s="31">
        <v>667.5</v>
      </c>
      <c r="L28" s="31">
        <v>667.5</v>
      </c>
      <c r="M28" s="31">
        <v>667.5</v>
      </c>
      <c r="N28" s="31">
        <v>667.5</v>
      </c>
      <c r="O28" s="31">
        <v>667.5</v>
      </c>
      <c r="P28" s="31">
        <v>667.5</v>
      </c>
      <c r="Q28" s="31">
        <v>667.5</v>
      </c>
      <c r="R28" s="31">
        <v>667.5</v>
      </c>
      <c r="S28" s="31">
        <v>667.5</v>
      </c>
      <c r="T28" s="31">
        <v>667.5</v>
      </c>
      <c r="U28" s="31">
        <v>667.5</v>
      </c>
      <c r="V28" s="31">
        <v>667.5</v>
      </c>
      <c r="W28" s="31">
        <v>667.5</v>
      </c>
      <c r="X28" s="31">
        <v>667.5</v>
      </c>
      <c r="Y28" s="31">
        <v>667.5</v>
      </c>
      <c r="Z28" s="31">
        <v>667.5</v>
      </c>
    </row>
    <row r="29" spans="1:26" x14ac:dyDescent="0.2">
      <c r="A29" s="32" t="s">
        <v>33</v>
      </c>
      <c r="B29" s="32" t="s">
        <v>58</v>
      </c>
      <c r="C29" s="31">
        <v>99.999999999999744</v>
      </c>
      <c r="D29" s="31">
        <v>0</v>
      </c>
      <c r="E29" s="31">
        <v>0</v>
      </c>
      <c r="F29" s="31">
        <v>0</v>
      </c>
      <c r="G29" s="31">
        <v>0</v>
      </c>
      <c r="H29" s="31">
        <v>0</v>
      </c>
      <c r="I29" s="31">
        <v>0</v>
      </c>
      <c r="J29" s="31">
        <v>0</v>
      </c>
      <c r="K29" s="31">
        <v>100</v>
      </c>
      <c r="L29" s="31">
        <v>100</v>
      </c>
      <c r="M29" s="31">
        <v>99.999999999988987</v>
      </c>
      <c r="N29" s="31">
        <v>100.00000000000041</v>
      </c>
      <c r="O29" s="31">
        <v>100.00000000000038</v>
      </c>
      <c r="P29" s="31">
        <v>100.0000000000023</v>
      </c>
      <c r="Q29" s="31">
        <v>0</v>
      </c>
      <c r="R29" s="31">
        <v>0</v>
      </c>
      <c r="S29" s="31">
        <v>0</v>
      </c>
      <c r="T29" s="31">
        <v>99.999999999999673</v>
      </c>
      <c r="U29" s="31">
        <v>100</v>
      </c>
      <c r="V29" s="31">
        <v>100</v>
      </c>
      <c r="W29" s="31">
        <v>100</v>
      </c>
      <c r="X29" s="31">
        <v>100</v>
      </c>
      <c r="Y29" s="31">
        <v>100</v>
      </c>
      <c r="Z29" s="31">
        <v>99.999999999999616</v>
      </c>
    </row>
    <row r="30" spans="1:26" x14ac:dyDescent="0.2">
      <c r="A30" s="32" t="s">
        <v>33</v>
      </c>
      <c r="B30" s="32" t="s">
        <v>59</v>
      </c>
      <c r="C30" s="31">
        <v>0</v>
      </c>
      <c r="D30" s="31">
        <v>0</v>
      </c>
      <c r="E30" s="31">
        <v>0</v>
      </c>
      <c r="F30" s="31">
        <v>0</v>
      </c>
      <c r="G30" s="31">
        <v>0</v>
      </c>
      <c r="H30" s="31">
        <v>0</v>
      </c>
      <c r="I30" s="31">
        <v>0</v>
      </c>
      <c r="J30" s="31">
        <v>0</v>
      </c>
      <c r="K30" s="31">
        <v>0</v>
      </c>
      <c r="L30" s="31">
        <v>0</v>
      </c>
      <c r="M30" s="31">
        <v>0</v>
      </c>
      <c r="N30" s="31">
        <v>0</v>
      </c>
      <c r="O30" s="31">
        <v>0</v>
      </c>
      <c r="P30" s="31">
        <v>0</v>
      </c>
      <c r="Q30" s="31">
        <v>0</v>
      </c>
      <c r="R30" s="31">
        <v>0</v>
      </c>
      <c r="S30" s="31">
        <v>0</v>
      </c>
      <c r="T30" s="31">
        <v>0</v>
      </c>
      <c r="U30" s="31">
        <v>99.999999999999588</v>
      </c>
      <c r="V30" s="31">
        <v>100</v>
      </c>
      <c r="W30" s="31">
        <v>100.00000000000018</v>
      </c>
      <c r="X30" s="31">
        <v>100.00000000000009</v>
      </c>
      <c r="Y30" s="31">
        <v>0</v>
      </c>
      <c r="Z30" s="31">
        <v>99.999999999999616</v>
      </c>
    </row>
    <row r="31" spans="1:26" x14ac:dyDescent="0.2">
      <c r="A31" s="32" t="s">
        <v>33</v>
      </c>
      <c r="B31" s="32" t="s">
        <v>60</v>
      </c>
      <c r="C31" s="31">
        <v>0</v>
      </c>
      <c r="D31" s="31">
        <v>0</v>
      </c>
      <c r="E31" s="31">
        <v>0</v>
      </c>
      <c r="F31" s="31">
        <v>0</v>
      </c>
      <c r="G31" s="31">
        <v>0</v>
      </c>
      <c r="H31" s="31">
        <v>0</v>
      </c>
      <c r="I31" s="31">
        <v>0</v>
      </c>
      <c r="J31" s="31">
        <v>0</v>
      </c>
      <c r="K31" s="31">
        <v>0</v>
      </c>
      <c r="L31" s="31">
        <v>0</v>
      </c>
      <c r="M31" s="31">
        <v>0</v>
      </c>
      <c r="N31" s="31">
        <v>0</v>
      </c>
      <c r="O31" s="31">
        <v>0</v>
      </c>
      <c r="P31" s="31">
        <v>0</v>
      </c>
      <c r="Q31" s="31">
        <v>0</v>
      </c>
      <c r="R31" s="31">
        <v>0</v>
      </c>
      <c r="S31" s="31">
        <v>0</v>
      </c>
      <c r="T31" s="31">
        <v>0</v>
      </c>
      <c r="U31" s="31">
        <v>0</v>
      </c>
      <c r="V31" s="31">
        <v>0</v>
      </c>
      <c r="W31" s="31">
        <v>0</v>
      </c>
      <c r="X31" s="31">
        <v>0</v>
      </c>
      <c r="Y31" s="31">
        <v>0</v>
      </c>
      <c r="Z31" s="31">
        <v>0</v>
      </c>
    </row>
    <row r="32" spans="1:26" x14ac:dyDescent="0.2">
      <c r="A32" s="32" t="s">
        <v>33</v>
      </c>
      <c r="B32" s="32" t="s">
        <v>56</v>
      </c>
      <c r="C32" s="31">
        <v>0</v>
      </c>
      <c r="D32" s="31">
        <v>0</v>
      </c>
      <c r="E32" s="31">
        <v>0</v>
      </c>
      <c r="F32" s="31">
        <v>0</v>
      </c>
      <c r="G32" s="31">
        <v>0</v>
      </c>
      <c r="H32" s="31">
        <v>0</v>
      </c>
      <c r="I32" s="31">
        <v>0</v>
      </c>
      <c r="J32" s="31">
        <v>0</v>
      </c>
      <c r="K32" s="31">
        <v>0</v>
      </c>
      <c r="L32" s="31">
        <v>0</v>
      </c>
      <c r="M32" s="31">
        <v>0</v>
      </c>
      <c r="N32" s="31">
        <v>0</v>
      </c>
      <c r="O32" s="31">
        <v>0</v>
      </c>
      <c r="P32" s="31">
        <v>0</v>
      </c>
      <c r="Q32" s="31">
        <v>0</v>
      </c>
      <c r="R32" s="31">
        <v>0</v>
      </c>
      <c r="S32" s="31">
        <v>0</v>
      </c>
      <c r="T32" s="31">
        <v>0</v>
      </c>
      <c r="U32" s="31">
        <v>0</v>
      </c>
      <c r="V32" s="31">
        <v>0</v>
      </c>
      <c r="W32" s="31">
        <v>0</v>
      </c>
      <c r="X32" s="31">
        <v>0</v>
      </c>
      <c r="Y32" s="31">
        <v>0</v>
      </c>
      <c r="Z32" s="31">
        <v>0</v>
      </c>
    </row>
    <row r="33" spans="1:26" x14ac:dyDescent="0.2">
      <c r="A33" s="32" t="s">
        <v>33</v>
      </c>
      <c r="B33" s="32" t="s">
        <v>84</v>
      </c>
      <c r="C33" s="31">
        <v>0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31">
        <v>0</v>
      </c>
      <c r="J33" s="31">
        <v>0</v>
      </c>
      <c r="K33" s="31">
        <v>0</v>
      </c>
      <c r="L33" s="31">
        <v>0</v>
      </c>
      <c r="M33" s="31">
        <v>0</v>
      </c>
      <c r="N33" s="31">
        <v>0</v>
      </c>
      <c r="O33" s="31">
        <v>0</v>
      </c>
      <c r="P33" s="31">
        <v>0</v>
      </c>
      <c r="Q33" s="31">
        <v>0</v>
      </c>
      <c r="R33" s="31">
        <v>0</v>
      </c>
      <c r="S33" s="31">
        <v>0</v>
      </c>
      <c r="T33" s="31">
        <v>0</v>
      </c>
      <c r="U33" s="31">
        <v>0</v>
      </c>
      <c r="V33" s="31">
        <v>0</v>
      </c>
      <c r="W33" s="31">
        <v>0</v>
      </c>
      <c r="X33" s="31">
        <v>0</v>
      </c>
      <c r="Y33" s="31">
        <v>0</v>
      </c>
      <c r="Z33" s="31">
        <v>0</v>
      </c>
    </row>
    <row r="34" spans="1:26" x14ac:dyDescent="0.2">
      <c r="A34" s="32" t="s">
        <v>33</v>
      </c>
      <c r="B34" s="32" t="s">
        <v>85</v>
      </c>
      <c r="C34" s="31">
        <v>0</v>
      </c>
      <c r="D34" s="31">
        <v>0</v>
      </c>
      <c r="E34" s="31">
        <v>0</v>
      </c>
      <c r="F34" s="31">
        <v>0</v>
      </c>
      <c r="G34" s="31">
        <v>0</v>
      </c>
      <c r="H34" s="31">
        <v>0</v>
      </c>
      <c r="I34" s="31">
        <v>0</v>
      </c>
      <c r="J34" s="31">
        <v>0</v>
      </c>
      <c r="K34" s="31">
        <v>0</v>
      </c>
      <c r="L34" s="31">
        <v>0</v>
      </c>
      <c r="M34" s="31">
        <v>0</v>
      </c>
      <c r="N34" s="31">
        <v>0</v>
      </c>
      <c r="O34" s="31">
        <v>0</v>
      </c>
      <c r="P34" s="31">
        <v>0</v>
      </c>
      <c r="Q34" s="31">
        <v>0</v>
      </c>
      <c r="R34" s="31">
        <v>0</v>
      </c>
      <c r="S34" s="31">
        <v>0</v>
      </c>
      <c r="T34" s="31">
        <v>0</v>
      </c>
      <c r="U34" s="31">
        <v>0</v>
      </c>
      <c r="V34" s="31">
        <v>0</v>
      </c>
      <c r="W34" s="31">
        <v>0</v>
      </c>
      <c r="X34" s="31">
        <v>0</v>
      </c>
      <c r="Y34" s="31">
        <v>0</v>
      </c>
      <c r="Z34" s="31">
        <v>0</v>
      </c>
    </row>
    <row r="35" spans="1:26" x14ac:dyDescent="0.2">
      <c r="A35" s="32" t="s">
        <v>33</v>
      </c>
      <c r="B35" s="32" t="s">
        <v>86</v>
      </c>
      <c r="C35" s="31">
        <v>0</v>
      </c>
      <c r="D35" s="31">
        <v>0</v>
      </c>
      <c r="E35" s="31">
        <v>0</v>
      </c>
      <c r="F35" s="31">
        <v>0</v>
      </c>
      <c r="G35" s="31">
        <v>0</v>
      </c>
      <c r="H35" s="31">
        <v>0</v>
      </c>
      <c r="I35" s="31">
        <v>0</v>
      </c>
      <c r="J35" s="31">
        <v>0</v>
      </c>
      <c r="K35" s="31">
        <v>0</v>
      </c>
      <c r="L35" s="31">
        <v>0</v>
      </c>
      <c r="M35" s="31">
        <v>0</v>
      </c>
      <c r="N35" s="31">
        <v>0</v>
      </c>
      <c r="O35" s="31">
        <v>0</v>
      </c>
      <c r="P35" s="31">
        <v>0</v>
      </c>
      <c r="Q35" s="31">
        <v>0</v>
      </c>
      <c r="R35" s="31">
        <v>0</v>
      </c>
      <c r="S35" s="31">
        <v>0</v>
      </c>
      <c r="T35" s="31">
        <v>0</v>
      </c>
      <c r="U35" s="31">
        <v>0</v>
      </c>
      <c r="V35" s="31">
        <v>0</v>
      </c>
      <c r="W35" s="31">
        <v>0</v>
      </c>
      <c r="X35" s="31">
        <v>0</v>
      </c>
      <c r="Y35" s="31">
        <v>0</v>
      </c>
      <c r="Z35" s="31">
        <v>0</v>
      </c>
    </row>
    <row r="36" spans="1:26" x14ac:dyDescent="0.2">
      <c r="A36" s="32" t="s">
        <v>33</v>
      </c>
      <c r="B36" s="32" t="s">
        <v>87</v>
      </c>
      <c r="C36" s="31">
        <v>0</v>
      </c>
      <c r="D36" s="31">
        <v>0</v>
      </c>
      <c r="E36" s="31">
        <v>0</v>
      </c>
      <c r="F36" s="31">
        <v>0</v>
      </c>
      <c r="G36" s="31">
        <v>0</v>
      </c>
      <c r="H36" s="31">
        <v>0</v>
      </c>
      <c r="I36" s="31">
        <v>0</v>
      </c>
      <c r="J36" s="31">
        <v>0</v>
      </c>
      <c r="K36" s="31">
        <v>0</v>
      </c>
      <c r="L36" s="31">
        <v>0</v>
      </c>
      <c r="M36" s="31">
        <v>0</v>
      </c>
      <c r="N36" s="31">
        <v>0</v>
      </c>
      <c r="O36" s="31">
        <v>0</v>
      </c>
      <c r="P36" s="31">
        <v>0</v>
      </c>
      <c r="Q36" s="31">
        <v>0</v>
      </c>
      <c r="R36" s="31">
        <v>0</v>
      </c>
      <c r="S36" s="31">
        <v>0</v>
      </c>
      <c r="T36" s="31">
        <v>0</v>
      </c>
      <c r="U36" s="31">
        <v>0</v>
      </c>
      <c r="V36" s="31">
        <v>0</v>
      </c>
      <c r="W36" s="31">
        <v>0</v>
      </c>
      <c r="X36" s="31">
        <v>0</v>
      </c>
      <c r="Y36" s="31">
        <v>0</v>
      </c>
      <c r="Z36" s="31">
        <v>0</v>
      </c>
    </row>
    <row r="37" spans="1:26" x14ac:dyDescent="0.2">
      <c r="A37" s="32" t="s">
        <v>33</v>
      </c>
      <c r="B37" s="32" t="s">
        <v>88</v>
      </c>
      <c r="C37" s="31">
        <v>0</v>
      </c>
      <c r="D37" s="31">
        <v>0</v>
      </c>
      <c r="E37" s="31">
        <v>0</v>
      </c>
      <c r="F37" s="31">
        <v>0</v>
      </c>
      <c r="G37" s="31">
        <v>0</v>
      </c>
      <c r="H37" s="31">
        <v>0</v>
      </c>
      <c r="I37" s="31">
        <v>0</v>
      </c>
      <c r="J37" s="31">
        <v>0</v>
      </c>
      <c r="K37" s="31">
        <v>0</v>
      </c>
      <c r="L37" s="31">
        <v>0</v>
      </c>
      <c r="M37" s="31">
        <v>0</v>
      </c>
      <c r="N37" s="31">
        <v>0</v>
      </c>
      <c r="O37" s="31">
        <v>0</v>
      </c>
      <c r="P37" s="31">
        <v>0</v>
      </c>
      <c r="Q37" s="31">
        <v>0</v>
      </c>
      <c r="R37" s="31">
        <v>0</v>
      </c>
      <c r="S37" s="31">
        <v>0</v>
      </c>
      <c r="T37" s="31">
        <v>0</v>
      </c>
      <c r="U37" s="31">
        <v>0</v>
      </c>
      <c r="V37" s="31">
        <v>0</v>
      </c>
      <c r="W37" s="31">
        <v>0</v>
      </c>
      <c r="X37" s="31">
        <v>0</v>
      </c>
      <c r="Y37" s="31">
        <v>0</v>
      </c>
      <c r="Z37" s="31">
        <v>0</v>
      </c>
    </row>
    <row r="38" spans="1:26" x14ac:dyDescent="0.2">
      <c r="A38" s="32" t="s">
        <v>34</v>
      </c>
      <c r="B38" s="32" t="s">
        <v>42</v>
      </c>
      <c r="C38" s="31">
        <v>300</v>
      </c>
      <c r="D38" s="31">
        <v>300</v>
      </c>
      <c r="E38" s="31">
        <v>300</v>
      </c>
      <c r="F38" s="31">
        <v>300</v>
      </c>
      <c r="G38" s="31">
        <v>300</v>
      </c>
      <c r="H38" s="31">
        <v>300</v>
      </c>
      <c r="I38" s="31">
        <v>300</v>
      </c>
      <c r="J38" s="31">
        <v>300</v>
      </c>
      <c r="K38" s="31">
        <v>300</v>
      </c>
      <c r="L38" s="31">
        <v>300</v>
      </c>
      <c r="M38" s="31">
        <v>300</v>
      </c>
      <c r="N38" s="31">
        <v>300</v>
      </c>
      <c r="O38" s="31">
        <v>300</v>
      </c>
      <c r="P38" s="31">
        <v>300</v>
      </c>
      <c r="Q38" s="31">
        <v>300</v>
      </c>
      <c r="R38" s="31">
        <v>300</v>
      </c>
      <c r="S38" s="31">
        <v>300</v>
      </c>
      <c r="T38" s="31">
        <v>300</v>
      </c>
      <c r="U38" s="31">
        <v>300</v>
      </c>
      <c r="V38" s="31">
        <v>300</v>
      </c>
      <c r="W38" s="31">
        <v>300</v>
      </c>
      <c r="X38" s="31">
        <v>300</v>
      </c>
      <c r="Y38" s="31">
        <v>300</v>
      </c>
      <c r="Z38" s="31">
        <v>300</v>
      </c>
    </row>
    <row r="39" spans="1:26" x14ac:dyDescent="0.2">
      <c r="A39" s="32" t="s">
        <v>34</v>
      </c>
      <c r="B39" s="32" t="s">
        <v>76</v>
      </c>
      <c r="C39" s="31">
        <v>235.2</v>
      </c>
      <c r="D39" s="31">
        <v>235.2</v>
      </c>
      <c r="E39" s="31">
        <v>235.2</v>
      </c>
      <c r="F39" s="31">
        <v>235.2</v>
      </c>
      <c r="G39" s="31">
        <v>235.2</v>
      </c>
      <c r="H39" s="31">
        <v>235.2</v>
      </c>
      <c r="I39" s="31">
        <v>235.2</v>
      </c>
      <c r="J39" s="31">
        <v>235.2</v>
      </c>
      <c r="K39" s="31">
        <v>235.2</v>
      </c>
      <c r="L39" s="31">
        <v>235.2</v>
      </c>
      <c r="M39" s="31">
        <v>235.2</v>
      </c>
      <c r="N39" s="31">
        <v>235.2</v>
      </c>
      <c r="O39" s="31">
        <v>235.2</v>
      </c>
      <c r="P39" s="31">
        <v>235.2</v>
      </c>
      <c r="Q39" s="31">
        <v>235.2</v>
      </c>
      <c r="R39" s="31">
        <v>235.2</v>
      </c>
      <c r="S39" s="31">
        <v>235.2</v>
      </c>
      <c r="T39" s="31">
        <v>235.2</v>
      </c>
      <c r="U39" s="31">
        <v>235.2</v>
      </c>
      <c r="V39" s="31">
        <v>235.2</v>
      </c>
      <c r="W39" s="31">
        <v>235.2</v>
      </c>
      <c r="X39" s="31">
        <v>235.2</v>
      </c>
      <c r="Y39" s="31">
        <v>235.2</v>
      </c>
      <c r="Z39" s="31">
        <v>235.2</v>
      </c>
    </row>
    <row r="40" spans="1:26" x14ac:dyDescent="0.2">
      <c r="A40" s="32" t="s">
        <v>34</v>
      </c>
      <c r="B40" s="32" t="s">
        <v>55</v>
      </c>
      <c r="C40" s="31">
        <v>83.100000000000009</v>
      </c>
      <c r="D40" s="31">
        <v>81.239999999999327</v>
      </c>
      <c r="E40" s="31">
        <v>81.239999999999327</v>
      </c>
      <c r="F40" s="31">
        <v>81.239999999999327</v>
      </c>
      <c r="G40" s="31">
        <v>81.239999999999327</v>
      </c>
      <c r="H40" s="31">
        <v>81.239999999999327</v>
      </c>
      <c r="I40" s="31">
        <v>81.239999999999327</v>
      </c>
      <c r="J40" s="31">
        <v>81.239999999999327</v>
      </c>
      <c r="K40" s="31">
        <v>81.239999999999327</v>
      </c>
      <c r="L40" s="31">
        <v>81.239999999999327</v>
      </c>
      <c r="M40" s="31">
        <v>81.239999999999327</v>
      </c>
      <c r="N40" s="31">
        <v>81.239999999999327</v>
      </c>
      <c r="O40" s="31">
        <v>81.239999999999327</v>
      </c>
      <c r="P40" s="31">
        <v>81.239999999999327</v>
      </c>
      <c r="Q40" s="31">
        <v>81.239999999999327</v>
      </c>
      <c r="R40" s="31">
        <v>81.239999999999327</v>
      </c>
      <c r="S40" s="31">
        <v>81.239999999999327</v>
      </c>
      <c r="T40" s="31">
        <v>0</v>
      </c>
      <c r="U40" s="31">
        <v>0</v>
      </c>
      <c r="V40" s="31">
        <v>0</v>
      </c>
      <c r="W40" s="31">
        <v>0</v>
      </c>
      <c r="X40" s="31">
        <v>0</v>
      </c>
      <c r="Y40" s="31">
        <v>0</v>
      </c>
      <c r="Z40" s="31">
        <v>0</v>
      </c>
    </row>
    <row r="41" spans="1:26" x14ac:dyDescent="0.2">
      <c r="A41" s="32" t="s">
        <v>34</v>
      </c>
      <c r="B41" s="32" t="s">
        <v>78</v>
      </c>
      <c r="C41" s="31">
        <v>0</v>
      </c>
      <c r="D41" s="31">
        <v>0</v>
      </c>
      <c r="E41" s="31">
        <v>0</v>
      </c>
      <c r="F41" s="31">
        <v>0</v>
      </c>
      <c r="G41" s="31">
        <v>0</v>
      </c>
      <c r="H41" s="31">
        <v>0</v>
      </c>
      <c r="I41" s="31">
        <v>0</v>
      </c>
      <c r="J41" s="31">
        <v>0</v>
      </c>
      <c r="K41" s="31">
        <v>0</v>
      </c>
      <c r="L41" s="31">
        <v>0</v>
      </c>
      <c r="M41" s="31">
        <v>0</v>
      </c>
      <c r="N41" s="31">
        <v>0</v>
      </c>
      <c r="O41" s="31">
        <v>0</v>
      </c>
      <c r="P41" s="31">
        <v>0</v>
      </c>
      <c r="Q41" s="31">
        <v>0</v>
      </c>
      <c r="R41" s="31">
        <v>0</v>
      </c>
      <c r="S41" s="31">
        <v>0</v>
      </c>
      <c r="T41" s="31">
        <v>0</v>
      </c>
      <c r="U41" s="31">
        <v>0</v>
      </c>
      <c r="V41" s="31">
        <v>0</v>
      </c>
      <c r="W41" s="31">
        <v>0</v>
      </c>
      <c r="X41" s="31">
        <v>0</v>
      </c>
      <c r="Y41" s="31">
        <v>0</v>
      </c>
      <c r="Z41" s="31">
        <v>0</v>
      </c>
    </row>
    <row r="42" spans="1:26" x14ac:dyDescent="0.2">
      <c r="A42" s="32" t="s">
        <v>34</v>
      </c>
      <c r="B42" s="32" t="s">
        <v>77</v>
      </c>
      <c r="C42" s="31">
        <v>0</v>
      </c>
      <c r="D42" s="31">
        <v>0</v>
      </c>
      <c r="E42" s="31">
        <v>0</v>
      </c>
      <c r="F42" s="31">
        <v>0</v>
      </c>
      <c r="G42" s="31">
        <v>0</v>
      </c>
      <c r="H42" s="31">
        <v>0</v>
      </c>
      <c r="I42" s="31">
        <v>0</v>
      </c>
      <c r="J42" s="31">
        <v>0</v>
      </c>
      <c r="K42" s="31">
        <v>0</v>
      </c>
      <c r="L42" s="31">
        <v>0</v>
      </c>
      <c r="M42" s="31">
        <v>0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0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</row>
    <row r="43" spans="1:26" x14ac:dyDescent="0.2">
      <c r="A43" s="32" t="s">
        <v>34</v>
      </c>
      <c r="B43" s="32" t="s">
        <v>43</v>
      </c>
      <c r="C43" s="31">
        <v>500</v>
      </c>
      <c r="D43" s="31">
        <v>500</v>
      </c>
      <c r="E43" s="31">
        <v>413.883960294556</v>
      </c>
      <c r="F43" s="31">
        <v>352.95096273547989</v>
      </c>
      <c r="G43" s="31">
        <v>318.69425934726081</v>
      </c>
      <c r="H43" s="31">
        <v>382.13335140527516</v>
      </c>
      <c r="I43" s="31">
        <v>500</v>
      </c>
      <c r="J43" s="31">
        <v>500</v>
      </c>
      <c r="K43" s="31">
        <v>500</v>
      </c>
      <c r="L43" s="31">
        <v>500</v>
      </c>
      <c r="M43" s="31">
        <v>500</v>
      </c>
      <c r="N43" s="31">
        <v>500</v>
      </c>
      <c r="O43" s="31">
        <v>500</v>
      </c>
      <c r="P43" s="31">
        <v>500</v>
      </c>
      <c r="Q43" s="31">
        <v>500</v>
      </c>
      <c r="R43" s="31">
        <v>500</v>
      </c>
      <c r="S43" s="31">
        <v>500</v>
      </c>
      <c r="T43" s="31">
        <v>500</v>
      </c>
      <c r="U43" s="31">
        <v>500</v>
      </c>
      <c r="V43" s="31">
        <v>500</v>
      </c>
      <c r="W43" s="31">
        <v>500</v>
      </c>
      <c r="X43" s="31">
        <v>500</v>
      </c>
      <c r="Y43" s="31">
        <v>500</v>
      </c>
      <c r="Z43" s="31">
        <v>500</v>
      </c>
    </row>
    <row r="44" spans="1:26" x14ac:dyDescent="0.2">
      <c r="A44" s="32" t="s">
        <v>34</v>
      </c>
      <c r="B44" s="32" t="s">
        <v>44</v>
      </c>
      <c r="C44" s="31">
        <v>274.36201439133669</v>
      </c>
      <c r="D44" s="31">
        <v>141.57860891961303</v>
      </c>
      <c r="E44" s="31">
        <v>100</v>
      </c>
      <c r="F44" s="31">
        <v>100</v>
      </c>
      <c r="G44" s="31">
        <v>100</v>
      </c>
      <c r="H44" s="31">
        <v>100</v>
      </c>
      <c r="I44" s="31">
        <v>285.02662538381384</v>
      </c>
      <c r="J44" s="31">
        <v>500</v>
      </c>
      <c r="K44" s="31">
        <v>500</v>
      </c>
      <c r="L44" s="31">
        <v>500</v>
      </c>
      <c r="M44" s="31">
        <v>500</v>
      </c>
      <c r="N44" s="31">
        <v>500</v>
      </c>
      <c r="O44" s="31">
        <v>491.52986299566027</v>
      </c>
      <c r="P44" s="31">
        <v>347.49643943720821</v>
      </c>
      <c r="Q44" s="31">
        <v>238.99737828253072</v>
      </c>
      <c r="R44" s="31">
        <v>200.61679555068054</v>
      </c>
      <c r="S44" s="31">
        <v>279.28261883368054</v>
      </c>
      <c r="T44" s="31">
        <v>477.36284181986031</v>
      </c>
      <c r="U44" s="31">
        <v>500</v>
      </c>
      <c r="V44" s="31">
        <v>500</v>
      </c>
      <c r="W44" s="31">
        <v>500</v>
      </c>
      <c r="X44" s="31">
        <v>500</v>
      </c>
      <c r="Y44" s="31">
        <v>500</v>
      </c>
      <c r="Z44" s="31">
        <v>432.8218027767129</v>
      </c>
    </row>
    <row r="45" spans="1:26" x14ac:dyDescent="0.2">
      <c r="A45" s="32" t="s">
        <v>34</v>
      </c>
      <c r="B45" s="32" t="s">
        <v>53</v>
      </c>
      <c r="C45" s="31">
        <v>0</v>
      </c>
      <c r="D45" s="31">
        <v>0</v>
      </c>
      <c r="E45" s="31">
        <v>0</v>
      </c>
      <c r="F45" s="31">
        <v>0</v>
      </c>
      <c r="G45" s="31">
        <v>0</v>
      </c>
      <c r="H45" s="31">
        <v>0</v>
      </c>
      <c r="I45" s="31">
        <v>0</v>
      </c>
      <c r="J45" s="31">
        <v>298.26440830904198</v>
      </c>
      <c r="K45" s="31">
        <v>489.76071705722711</v>
      </c>
      <c r="L45" s="31">
        <v>438.24688650844899</v>
      </c>
      <c r="M45" s="31">
        <v>433.81216807435021</v>
      </c>
      <c r="N45" s="31">
        <v>262.83644183561671</v>
      </c>
      <c r="O45" s="31">
        <v>100.00000000000043</v>
      </c>
      <c r="P45" s="31">
        <v>100.00000000000043</v>
      </c>
      <c r="Q45" s="31">
        <v>100.00000000000043</v>
      </c>
      <c r="R45" s="31">
        <v>100.00000000000043</v>
      </c>
      <c r="S45" s="31">
        <v>100.00000000000043</v>
      </c>
      <c r="T45" s="31">
        <v>100.00000000000043</v>
      </c>
      <c r="U45" s="31">
        <v>404.46789784488669</v>
      </c>
      <c r="V45" s="31">
        <v>428.66714098630132</v>
      </c>
      <c r="W45" s="31">
        <v>383.41235994068501</v>
      </c>
      <c r="X45" s="31">
        <v>239.55128977669014</v>
      </c>
      <c r="Y45" s="31">
        <v>107.02879509436144</v>
      </c>
      <c r="Z45" s="31">
        <v>0</v>
      </c>
    </row>
    <row r="46" spans="1:26" x14ac:dyDescent="0.2">
      <c r="A46" s="32" t="s">
        <v>34</v>
      </c>
      <c r="B46" s="32" t="s">
        <v>54</v>
      </c>
      <c r="C46" s="31">
        <v>667.5</v>
      </c>
      <c r="D46" s="31">
        <v>667.5</v>
      </c>
      <c r="E46" s="31">
        <v>667.5</v>
      </c>
      <c r="F46" s="31">
        <v>667.5</v>
      </c>
      <c r="G46" s="31">
        <v>667.5</v>
      </c>
      <c r="H46" s="31">
        <v>667.5</v>
      </c>
      <c r="I46" s="31">
        <v>667.5</v>
      </c>
      <c r="J46" s="31">
        <v>667.5</v>
      </c>
      <c r="K46" s="31">
        <v>667.5</v>
      </c>
      <c r="L46" s="31">
        <v>667.5</v>
      </c>
      <c r="M46" s="31">
        <v>667.5</v>
      </c>
      <c r="N46" s="31">
        <v>667.5</v>
      </c>
      <c r="O46" s="31">
        <v>667.5</v>
      </c>
      <c r="P46" s="31">
        <v>667.5</v>
      </c>
      <c r="Q46" s="31">
        <v>667.5</v>
      </c>
      <c r="R46" s="31">
        <v>667.5</v>
      </c>
      <c r="S46" s="31">
        <v>667.5</v>
      </c>
      <c r="T46" s="31">
        <v>667.5</v>
      </c>
      <c r="U46" s="31">
        <v>667.5</v>
      </c>
      <c r="V46" s="31">
        <v>667.5</v>
      </c>
      <c r="W46" s="31">
        <v>667.5</v>
      </c>
      <c r="X46" s="31">
        <v>667.5</v>
      </c>
      <c r="Y46" s="31">
        <v>667.5</v>
      </c>
      <c r="Z46" s="31">
        <v>667.5</v>
      </c>
    </row>
    <row r="47" spans="1:26" x14ac:dyDescent="0.2">
      <c r="A47" s="32" t="s">
        <v>34</v>
      </c>
      <c r="B47" s="32" t="s">
        <v>58</v>
      </c>
      <c r="C47" s="31">
        <v>99.999999999999744</v>
      </c>
      <c r="D47" s="31">
        <v>0</v>
      </c>
      <c r="E47" s="31">
        <v>0</v>
      </c>
      <c r="F47" s="31">
        <v>0</v>
      </c>
      <c r="G47" s="31">
        <v>0</v>
      </c>
      <c r="H47" s="31">
        <v>0</v>
      </c>
      <c r="I47" s="31">
        <v>0</v>
      </c>
      <c r="J47" s="31">
        <v>0</v>
      </c>
      <c r="K47" s="31">
        <v>100</v>
      </c>
      <c r="L47" s="31">
        <v>100</v>
      </c>
      <c r="M47" s="31">
        <v>99.999999999988987</v>
      </c>
      <c r="N47" s="31">
        <v>100.00000000000041</v>
      </c>
      <c r="O47" s="31">
        <v>100.00000000000038</v>
      </c>
      <c r="P47" s="31">
        <v>100.0000000000023</v>
      </c>
      <c r="Q47" s="31">
        <v>0</v>
      </c>
      <c r="R47" s="31">
        <v>0</v>
      </c>
      <c r="S47" s="31">
        <v>0</v>
      </c>
      <c r="T47" s="31">
        <v>99.999999999999673</v>
      </c>
      <c r="U47" s="31">
        <v>100</v>
      </c>
      <c r="V47" s="31">
        <v>100</v>
      </c>
      <c r="W47" s="31">
        <v>100</v>
      </c>
      <c r="X47" s="31">
        <v>100</v>
      </c>
      <c r="Y47" s="31">
        <v>100</v>
      </c>
      <c r="Z47" s="31">
        <v>99.999999999999616</v>
      </c>
    </row>
    <row r="48" spans="1:26" x14ac:dyDescent="0.2">
      <c r="A48" s="32" t="s">
        <v>34</v>
      </c>
      <c r="B48" s="32" t="s">
        <v>59</v>
      </c>
      <c r="C48" s="31">
        <v>0</v>
      </c>
      <c r="D48" s="31">
        <v>0</v>
      </c>
      <c r="E48" s="31">
        <v>0</v>
      </c>
      <c r="F48" s="31">
        <v>0</v>
      </c>
      <c r="G48" s="31">
        <v>0</v>
      </c>
      <c r="H48" s="31">
        <v>0</v>
      </c>
      <c r="I48" s="31">
        <v>0</v>
      </c>
      <c r="J48" s="31">
        <v>0</v>
      </c>
      <c r="K48" s="31">
        <v>0</v>
      </c>
      <c r="L48" s="31">
        <v>0</v>
      </c>
      <c r="M48" s="31">
        <v>0</v>
      </c>
      <c r="N48" s="31">
        <v>0</v>
      </c>
      <c r="O48" s="31">
        <v>0</v>
      </c>
      <c r="P48" s="31">
        <v>0</v>
      </c>
      <c r="Q48" s="31">
        <v>0</v>
      </c>
      <c r="R48" s="31">
        <v>0</v>
      </c>
      <c r="S48" s="31">
        <v>0</v>
      </c>
      <c r="T48" s="31">
        <v>0</v>
      </c>
      <c r="U48" s="31">
        <v>99.999999999999588</v>
      </c>
      <c r="V48" s="31">
        <v>100</v>
      </c>
      <c r="W48" s="31">
        <v>100.00000000000018</v>
      </c>
      <c r="X48" s="31">
        <v>100.00000000000009</v>
      </c>
      <c r="Y48" s="31">
        <v>0</v>
      </c>
      <c r="Z48" s="31">
        <v>99.999999999999616</v>
      </c>
    </row>
    <row r="49" spans="1:26" x14ac:dyDescent="0.2">
      <c r="A49" s="32" t="s">
        <v>34</v>
      </c>
      <c r="B49" s="32" t="s">
        <v>60</v>
      </c>
      <c r="C49" s="31">
        <v>0</v>
      </c>
      <c r="D49" s="31">
        <v>0</v>
      </c>
      <c r="E49" s="31">
        <v>0</v>
      </c>
      <c r="F49" s="31">
        <v>0</v>
      </c>
      <c r="G49" s="31">
        <v>0</v>
      </c>
      <c r="H49" s="31">
        <v>0</v>
      </c>
      <c r="I49" s="31">
        <v>0</v>
      </c>
      <c r="J49" s="31">
        <v>0</v>
      </c>
      <c r="K49" s="31">
        <v>0</v>
      </c>
      <c r="L49" s="31">
        <v>0</v>
      </c>
      <c r="M49" s="31">
        <v>0</v>
      </c>
      <c r="N49" s="31">
        <v>0</v>
      </c>
      <c r="O49" s="31">
        <v>0</v>
      </c>
      <c r="P49" s="31">
        <v>0</v>
      </c>
      <c r="Q49" s="31">
        <v>0</v>
      </c>
      <c r="R49" s="31">
        <v>0</v>
      </c>
      <c r="S49" s="31">
        <v>0</v>
      </c>
      <c r="T49" s="31">
        <v>0</v>
      </c>
      <c r="U49" s="31">
        <v>0</v>
      </c>
      <c r="V49" s="31">
        <v>0</v>
      </c>
      <c r="W49" s="31">
        <v>0</v>
      </c>
      <c r="X49" s="31">
        <v>0</v>
      </c>
      <c r="Y49" s="31">
        <v>0</v>
      </c>
      <c r="Z49" s="31">
        <v>0</v>
      </c>
    </row>
    <row r="50" spans="1:26" x14ac:dyDescent="0.2">
      <c r="A50" s="32" t="s">
        <v>34</v>
      </c>
      <c r="B50" s="32" t="s">
        <v>56</v>
      </c>
      <c r="C50" s="31">
        <v>0</v>
      </c>
      <c r="D50" s="31">
        <v>0</v>
      </c>
      <c r="E50" s="31">
        <v>0</v>
      </c>
      <c r="F50" s="31">
        <v>0</v>
      </c>
      <c r="G50" s="31">
        <v>0</v>
      </c>
      <c r="H50" s="31">
        <v>0</v>
      </c>
      <c r="I50" s="31">
        <v>0</v>
      </c>
      <c r="J50" s="31">
        <v>0</v>
      </c>
      <c r="K50" s="31">
        <v>0</v>
      </c>
      <c r="L50" s="31">
        <v>0</v>
      </c>
      <c r="M50" s="31">
        <v>0</v>
      </c>
      <c r="N50" s="31">
        <v>0</v>
      </c>
      <c r="O50" s="31">
        <v>0</v>
      </c>
      <c r="P50" s="31">
        <v>0</v>
      </c>
      <c r="Q50" s="31">
        <v>0</v>
      </c>
      <c r="R50" s="31">
        <v>0</v>
      </c>
      <c r="S50" s="31">
        <v>0</v>
      </c>
      <c r="T50" s="31">
        <v>0</v>
      </c>
      <c r="U50" s="31">
        <v>0</v>
      </c>
      <c r="V50" s="31">
        <v>0</v>
      </c>
      <c r="W50" s="31">
        <v>0</v>
      </c>
      <c r="X50" s="31">
        <v>0</v>
      </c>
      <c r="Y50" s="31">
        <v>0</v>
      </c>
      <c r="Z50" s="31">
        <v>0</v>
      </c>
    </row>
    <row r="51" spans="1:26" x14ac:dyDescent="0.2">
      <c r="A51" s="32" t="s">
        <v>34</v>
      </c>
      <c r="B51" s="32" t="s">
        <v>84</v>
      </c>
      <c r="C51" s="31">
        <v>0</v>
      </c>
      <c r="D51" s="31">
        <v>0</v>
      </c>
      <c r="E51" s="31">
        <v>0</v>
      </c>
      <c r="F51" s="31">
        <v>0</v>
      </c>
      <c r="G51" s="31">
        <v>0</v>
      </c>
      <c r="H51" s="31">
        <v>0</v>
      </c>
      <c r="I51" s="31">
        <v>0</v>
      </c>
      <c r="J51" s="31">
        <v>0</v>
      </c>
      <c r="K51" s="31">
        <v>0</v>
      </c>
      <c r="L51" s="31">
        <v>0</v>
      </c>
      <c r="M51" s="31">
        <v>0</v>
      </c>
      <c r="N51" s="31">
        <v>0</v>
      </c>
      <c r="O51" s="31">
        <v>0</v>
      </c>
      <c r="P51" s="31">
        <v>0</v>
      </c>
      <c r="Q51" s="31">
        <v>0</v>
      </c>
      <c r="R51" s="31">
        <v>0</v>
      </c>
      <c r="S51" s="31">
        <v>0</v>
      </c>
      <c r="T51" s="31">
        <v>0</v>
      </c>
      <c r="U51" s="31">
        <v>0</v>
      </c>
      <c r="V51" s="31">
        <v>0</v>
      </c>
      <c r="W51" s="31">
        <v>0</v>
      </c>
      <c r="X51" s="31">
        <v>0</v>
      </c>
      <c r="Y51" s="31">
        <v>0</v>
      </c>
      <c r="Z51" s="31">
        <v>0</v>
      </c>
    </row>
    <row r="52" spans="1:26" x14ac:dyDescent="0.2">
      <c r="A52" s="32" t="s">
        <v>34</v>
      </c>
      <c r="B52" s="32" t="s">
        <v>85</v>
      </c>
      <c r="C52" s="31">
        <v>0</v>
      </c>
      <c r="D52" s="31">
        <v>0</v>
      </c>
      <c r="E52" s="31">
        <v>0</v>
      </c>
      <c r="F52" s="31">
        <v>0</v>
      </c>
      <c r="G52" s="31">
        <v>0</v>
      </c>
      <c r="H52" s="31">
        <v>0</v>
      </c>
      <c r="I52" s="31">
        <v>0</v>
      </c>
      <c r="J52" s="31">
        <v>0</v>
      </c>
      <c r="K52" s="31">
        <v>0</v>
      </c>
      <c r="L52" s="31">
        <v>0</v>
      </c>
      <c r="M52" s="31">
        <v>0</v>
      </c>
      <c r="N52" s="31">
        <v>0</v>
      </c>
      <c r="O52" s="31">
        <v>0</v>
      </c>
      <c r="P52" s="31">
        <v>0</v>
      </c>
      <c r="Q52" s="31">
        <v>0</v>
      </c>
      <c r="R52" s="31">
        <v>0</v>
      </c>
      <c r="S52" s="31">
        <v>0</v>
      </c>
      <c r="T52" s="31">
        <v>0</v>
      </c>
      <c r="U52" s="31">
        <v>0</v>
      </c>
      <c r="V52" s="31">
        <v>0</v>
      </c>
      <c r="W52" s="31">
        <v>0</v>
      </c>
      <c r="X52" s="31">
        <v>0</v>
      </c>
      <c r="Y52" s="31">
        <v>0</v>
      </c>
      <c r="Z52" s="31">
        <v>0</v>
      </c>
    </row>
    <row r="53" spans="1:26" x14ac:dyDescent="0.2">
      <c r="A53" s="32" t="s">
        <v>34</v>
      </c>
      <c r="B53" s="32" t="s">
        <v>86</v>
      </c>
      <c r="C53" s="31">
        <v>0</v>
      </c>
      <c r="D53" s="31">
        <v>0</v>
      </c>
      <c r="E53" s="31">
        <v>0</v>
      </c>
      <c r="F53" s="31">
        <v>0</v>
      </c>
      <c r="G53" s="31">
        <v>0</v>
      </c>
      <c r="H53" s="31">
        <v>0</v>
      </c>
      <c r="I53" s="31">
        <v>0</v>
      </c>
      <c r="J53" s="31">
        <v>0</v>
      </c>
      <c r="K53" s="31">
        <v>0</v>
      </c>
      <c r="L53" s="31">
        <v>0</v>
      </c>
      <c r="M53" s="31">
        <v>0</v>
      </c>
      <c r="N53" s="31">
        <v>0</v>
      </c>
      <c r="O53" s="31">
        <v>0</v>
      </c>
      <c r="P53" s="31">
        <v>0</v>
      </c>
      <c r="Q53" s="31">
        <v>0</v>
      </c>
      <c r="R53" s="31">
        <v>0</v>
      </c>
      <c r="S53" s="31">
        <v>0</v>
      </c>
      <c r="T53" s="31">
        <v>0</v>
      </c>
      <c r="U53" s="31">
        <v>0</v>
      </c>
      <c r="V53" s="31">
        <v>0</v>
      </c>
      <c r="W53" s="31">
        <v>0</v>
      </c>
      <c r="X53" s="31">
        <v>0</v>
      </c>
      <c r="Y53" s="31">
        <v>0</v>
      </c>
      <c r="Z53" s="31">
        <v>0</v>
      </c>
    </row>
    <row r="54" spans="1:26" x14ac:dyDescent="0.2">
      <c r="A54" s="32" t="s">
        <v>34</v>
      </c>
      <c r="B54" s="32" t="s">
        <v>87</v>
      </c>
      <c r="C54" s="31">
        <v>0</v>
      </c>
      <c r="D54" s="31">
        <v>0</v>
      </c>
      <c r="E54" s="31">
        <v>0</v>
      </c>
      <c r="F54" s="31">
        <v>0</v>
      </c>
      <c r="G54" s="31">
        <v>0</v>
      </c>
      <c r="H54" s="31">
        <v>0</v>
      </c>
      <c r="I54" s="31">
        <v>0</v>
      </c>
      <c r="J54" s="31">
        <v>0</v>
      </c>
      <c r="K54" s="31">
        <v>0</v>
      </c>
      <c r="L54" s="31">
        <v>0</v>
      </c>
      <c r="M54" s="31">
        <v>0</v>
      </c>
      <c r="N54" s="31">
        <v>0</v>
      </c>
      <c r="O54" s="31">
        <v>0</v>
      </c>
      <c r="P54" s="31">
        <v>0</v>
      </c>
      <c r="Q54" s="31">
        <v>0</v>
      </c>
      <c r="R54" s="31">
        <v>0</v>
      </c>
      <c r="S54" s="31">
        <v>0</v>
      </c>
      <c r="T54" s="31">
        <v>0</v>
      </c>
      <c r="U54" s="31">
        <v>0</v>
      </c>
      <c r="V54" s="31">
        <v>0</v>
      </c>
      <c r="W54" s="31">
        <v>0</v>
      </c>
      <c r="X54" s="31">
        <v>0</v>
      </c>
      <c r="Y54" s="31">
        <v>0</v>
      </c>
      <c r="Z54" s="31">
        <v>0</v>
      </c>
    </row>
    <row r="55" spans="1:26" x14ac:dyDescent="0.2">
      <c r="A55" s="32" t="s">
        <v>34</v>
      </c>
      <c r="B55" s="32" t="s">
        <v>88</v>
      </c>
      <c r="C55" s="31">
        <v>0</v>
      </c>
      <c r="D55" s="31">
        <v>0</v>
      </c>
      <c r="E55" s="31">
        <v>0</v>
      </c>
      <c r="F55" s="31">
        <v>0</v>
      </c>
      <c r="G55" s="31">
        <v>0</v>
      </c>
      <c r="H55" s="31">
        <v>0</v>
      </c>
      <c r="I55" s="31">
        <v>0</v>
      </c>
      <c r="J55" s="31">
        <v>0</v>
      </c>
      <c r="K55" s="31">
        <v>0</v>
      </c>
      <c r="L55" s="31">
        <v>0</v>
      </c>
      <c r="M55" s="31">
        <v>0</v>
      </c>
      <c r="N55" s="31">
        <v>0</v>
      </c>
      <c r="O55" s="31">
        <v>0</v>
      </c>
      <c r="P55" s="31">
        <v>0</v>
      </c>
      <c r="Q55" s="31">
        <v>0</v>
      </c>
      <c r="R55" s="31">
        <v>0</v>
      </c>
      <c r="S55" s="31">
        <v>0</v>
      </c>
      <c r="T55" s="31">
        <v>0</v>
      </c>
      <c r="U55" s="31">
        <v>0</v>
      </c>
      <c r="V55" s="31">
        <v>0</v>
      </c>
      <c r="W55" s="31">
        <v>0</v>
      </c>
      <c r="X55" s="31">
        <v>0</v>
      </c>
      <c r="Y55" s="31">
        <v>0</v>
      </c>
      <c r="Z55" s="31">
        <v>0</v>
      </c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conditionalFormatting sqref="C2:Z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" footer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7">
    <tabColor indexed="47"/>
  </sheetPr>
  <dimension ref="A1:Y4"/>
  <sheetViews>
    <sheetView showRowColHeaders="0"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baseColWidth="10" defaultColWidth="11.42578125" defaultRowHeight="12.75" x14ac:dyDescent="0.2"/>
  <cols>
    <col min="1" max="1" width="4.5703125" style="32" bestFit="1" customWidth="1"/>
    <col min="2" max="13" width="4" style="7" bestFit="1" customWidth="1"/>
    <col min="14" max="19" width="5" style="7" bestFit="1" customWidth="1"/>
    <col min="20" max="25" width="4" style="7" bestFit="1" customWidth="1"/>
    <col min="26" max="16384" width="11.42578125" style="7"/>
  </cols>
  <sheetData>
    <row r="1" spans="1:25" s="30" customFormat="1" x14ac:dyDescent="0.2">
      <c r="A1" s="28" t="s">
        <v>106</v>
      </c>
      <c r="B1" s="33" t="s">
        <v>8</v>
      </c>
      <c r="C1" s="33" t="s">
        <v>9</v>
      </c>
      <c r="D1" s="33" t="s">
        <v>10</v>
      </c>
      <c r="E1" s="30" t="s">
        <v>11</v>
      </c>
      <c r="F1" s="30" t="s">
        <v>12</v>
      </c>
      <c r="G1" s="30" t="s">
        <v>13</v>
      </c>
      <c r="H1" s="30" t="s">
        <v>14</v>
      </c>
      <c r="I1" s="30" t="s">
        <v>15</v>
      </c>
      <c r="J1" s="30" t="s">
        <v>16</v>
      </c>
      <c r="K1" s="30" t="s">
        <v>17</v>
      </c>
      <c r="L1" s="30" t="s">
        <v>18</v>
      </c>
      <c r="M1" s="30" t="s">
        <v>19</v>
      </c>
      <c r="N1" s="30" t="s">
        <v>20</v>
      </c>
      <c r="O1" s="30" t="s">
        <v>21</v>
      </c>
      <c r="P1" s="30" t="s">
        <v>22</v>
      </c>
      <c r="Q1" s="30" t="s">
        <v>23</v>
      </c>
      <c r="R1" s="30" t="s">
        <v>24</v>
      </c>
      <c r="S1" s="30" t="s">
        <v>25</v>
      </c>
      <c r="T1" s="30" t="s">
        <v>26</v>
      </c>
      <c r="U1" s="30" t="s">
        <v>27</v>
      </c>
      <c r="V1" s="30" t="s">
        <v>28</v>
      </c>
      <c r="W1" s="30" t="s">
        <v>29</v>
      </c>
      <c r="X1" s="30" t="s">
        <v>30</v>
      </c>
      <c r="Y1" s="30" t="s">
        <v>31</v>
      </c>
    </row>
    <row r="2" spans="1:25" x14ac:dyDescent="0.2">
      <c r="A2" s="28" t="s">
        <v>32</v>
      </c>
      <c r="B2" s="31">
        <v>450.3</v>
      </c>
      <c r="C2" s="31">
        <v>450.60000000000008</v>
      </c>
      <c r="D2" s="31">
        <v>475.2</v>
      </c>
      <c r="E2" s="31">
        <v>465.1</v>
      </c>
      <c r="F2" s="31">
        <v>477.2</v>
      </c>
      <c r="G2" s="31">
        <v>458.80000000000007</v>
      </c>
      <c r="H2" s="31">
        <v>452.2</v>
      </c>
      <c r="I2" s="31">
        <v>431.2</v>
      </c>
      <c r="J2" s="31">
        <v>459.7</v>
      </c>
      <c r="K2" s="31">
        <v>503</v>
      </c>
      <c r="L2" s="31">
        <v>489.5</v>
      </c>
      <c r="M2" s="31">
        <v>519</v>
      </c>
      <c r="N2" s="31">
        <v>543.79999999999995</v>
      </c>
      <c r="O2" s="31">
        <v>567.9</v>
      </c>
      <c r="P2" s="31">
        <v>588.9</v>
      </c>
      <c r="Q2" s="31">
        <v>599.5</v>
      </c>
      <c r="R2" s="31">
        <v>619.1</v>
      </c>
      <c r="S2" s="31">
        <v>619</v>
      </c>
      <c r="T2" s="31">
        <v>699.7</v>
      </c>
      <c r="U2" s="31">
        <v>763.50000000000011</v>
      </c>
      <c r="V2" s="31">
        <v>768.3</v>
      </c>
      <c r="W2" s="31">
        <v>793.8</v>
      </c>
      <c r="X2" s="31">
        <v>818.5</v>
      </c>
      <c r="Y2" s="31">
        <v>791.3</v>
      </c>
    </row>
    <row r="3" spans="1:25" x14ac:dyDescent="0.2">
      <c r="A3" s="28" t="s">
        <v>33</v>
      </c>
      <c r="B3" s="31">
        <v>354.93630068093597</v>
      </c>
      <c r="C3" s="31">
        <v>345.07170709668998</v>
      </c>
      <c r="D3" s="31">
        <v>370.66136517119901</v>
      </c>
      <c r="E3" s="31">
        <v>383.80759400392708</v>
      </c>
      <c r="F3" s="31">
        <v>429.15094193949807</v>
      </c>
      <c r="G3" s="31">
        <v>430.15660072037002</v>
      </c>
      <c r="H3" s="31">
        <v>419.74698939484398</v>
      </c>
      <c r="I3" s="31">
        <v>384.67739517059402</v>
      </c>
      <c r="J3" s="31">
        <v>424.820051825034</v>
      </c>
      <c r="K3" s="31">
        <v>521.90425160764801</v>
      </c>
      <c r="L3" s="31">
        <v>603.29438211294496</v>
      </c>
      <c r="M3" s="31">
        <v>700.08034393561604</v>
      </c>
      <c r="N3" s="31">
        <v>719.61247635829898</v>
      </c>
      <c r="O3" s="31">
        <v>696.20942207242001</v>
      </c>
      <c r="P3" s="31">
        <v>674.70976883835601</v>
      </c>
      <c r="Q3" s="31">
        <v>682.26254312401807</v>
      </c>
      <c r="R3" s="31">
        <v>696.593995046244</v>
      </c>
      <c r="S3" s="31">
        <v>671.87182871274001</v>
      </c>
      <c r="T3" s="31">
        <v>755.56061543676901</v>
      </c>
      <c r="U3" s="31">
        <v>872.93428582785396</v>
      </c>
      <c r="V3" s="31">
        <v>934.46447132020501</v>
      </c>
      <c r="W3" s="31">
        <v>949.98154440815097</v>
      </c>
      <c r="X3" s="31">
        <v>908.71804906727209</v>
      </c>
      <c r="Y3" s="31">
        <v>816.56859067013704</v>
      </c>
    </row>
    <row r="4" spans="1:25" x14ac:dyDescent="0.2">
      <c r="A4" s="28" t="s">
        <v>34</v>
      </c>
      <c r="B4" s="31">
        <v>635.83798560866398</v>
      </c>
      <c r="C4" s="31">
        <v>621.48139108038799</v>
      </c>
      <c r="D4" s="31">
        <v>629.17603970544496</v>
      </c>
      <c r="E4" s="31">
        <v>626.10903726452102</v>
      </c>
      <c r="F4" s="31">
        <v>649.36574065273999</v>
      </c>
      <c r="G4" s="31">
        <v>606.92664859472598</v>
      </c>
      <c r="H4" s="31">
        <v>593.03337461618696</v>
      </c>
      <c r="I4" s="31">
        <v>582.79559169095899</v>
      </c>
      <c r="J4" s="31">
        <v>637.29928294277397</v>
      </c>
      <c r="K4" s="31">
        <v>716.81311349155203</v>
      </c>
      <c r="L4" s="31">
        <v>752.24783192566201</v>
      </c>
      <c r="M4" s="31">
        <v>891.22355816438403</v>
      </c>
      <c r="N4" s="31">
        <v>1003.5301370043398</v>
      </c>
      <c r="O4" s="31">
        <v>1063.5635605627899</v>
      </c>
      <c r="P4" s="31">
        <v>1069.0626217174699</v>
      </c>
      <c r="Q4" s="31">
        <v>1078.4432044493201</v>
      </c>
      <c r="R4" s="31">
        <v>1073.7773811663201</v>
      </c>
      <c r="S4" s="31">
        <v>1005.9371581801399</v>
      </c>
      <c r="T4" s="31">
        <v>971.83210215511394</v>
      </c>
      <c r="U4" s="31">
        <v>934.63285901369898</v>
      </c>
      <c r="V4" s="31">
        <v>923.887640059315</v>
      </c>
      <c r="W4" s="31">
        <v>954.74871022331001</v>
      </c>
      <c r="X4" s="31">
        <v>963.27120490563902</v>
      </c>
      <c r="Y4" s="31">
        <v>878.47819722328802</v>
      </c>
    </row>
  </sheetData>
  <pageMargins left="0.75" right="0.75" top="1" bottom="1" header="0" footer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>
    <tabColor indexed="47"/>
  </sheetPr>
  <dimension ref="A1:Y4"/>
  <sheetViews>
    <sheetView showRowColHeaders="0"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baseColWidth="10" defaultColWidth="11.42578125" defaultRowHeight="12.75" x14ac:dyDescent="0.2"/>
  <cols>
    <col min="1" max="1" width="4.5703125" style="32" bestFit="1" customWidth="1"/>
    <col min="2" max="25" width="4.42578125" style="7" bestFit="1" customWidth="1"/>
    <col min="26" max="16384" width="11.42578125" style="7"/>
  </cols>
  <sheetData>
    <row r="1" spans="1:25" s="30" customFormat="1" x14ac:dyDescent="0.2">
      <c r="A1" s="28" t="s">
        <v>106</v>
      </c>
      <c r="B1" s="29" t="s">
        <v>8</v>
      </c>
      <c r="C1" s="30" t="s">
        <v>9</v>
      </c>
      <c r="D1" s="30" t="s">
        <v>10</v>
      </c>
      <c r="E1" s="30" t="s">
        <v>11</v>
      </c>
      <c r="F1" s="30" t="s">
        <v>12</v>
      </c>
      <c r="G1" s="30" t="s">
        <v>13</v>
      </c>
      <c r="H1" s="30" t="s">
        <v>14</v>
      </c>
      <c r="I1" s="30" t="s">
        <v>15</v>
      </c>
      <c r="J1" s="30" t="s">
        <v>16</v>
      </c>
      <c r="K1" s="30" t="s">
        <v>17</v>
      </c>
      <c r="L1" s="30" t="s">
        <v>18</v>
      </c>
      <c r="M1" s="30" t="s">
        <v>19</v>
      </c>
      <c r="N1" s="30" t="s">
        <v>20</v>
      </c>
      <c r="O1" s="30" t="s">
        <v>21</v>
      </c>
      <c r="P1" s="30" t="s">
        <v>22</v>
      </c>
      <c r="Q1" s="30" t="s">
        <v>23</v>
      </c>
      <c r="R1" s="30" t="s">
        <v>24</v>
      </c>
      <c r="S1" s="30" t="s">
        <v>25</v>
      </c>
      <c r="T1" s="30" t="s">
        <v>26</v>
      </c>
      <c r="U1" s="30" t="s">
        <v>27</v>
      </c>
      <c r="V1" s="30" t="s">
        <v>28</v>
      </c>
      <c r="W1" s="30" t="s">
        <v>29</v>
      </c>
      <c r="X1" s="30" t="s">
        <v>30</v>
      </c>
      <c r="Y1" s="30" t="s">
        <v>31</v>
      </c>
    </row>
    <row r="2" spans="1:25" x14ac:dyDescent="0.2">
      <c r="A2" s="28" t="s">
        <v>32</v>
      </c>
      <c r="B2" s="71">
        <v>32.5</v>
      </c>
      <c r="C2" s="71">
        <v>32.5</v>
      </c>
      <c r="D2" s="71">
        <v>32.5</v>
      </c>
      <c r="E2" s="71">
        <v>32.5</v>
      </c>
      <c r="F2" s="71">
        <v>31.5</v>
      </c>
      <c r="G2" s="71">
        <v>32.5</v>
      </c>
      <c r="H2" s="71">
        <v>32.5</v>
      </c>
      <c r="I2" s="71">
        <v>35.500000000000007</v>
      </c>
      <c r="J2" s="71">
        <v>58.500000000000007</v>
      </c>
      <c r="K2" s="71">
        <v>58.500000000000007</v>
      </c>
      <c r="L2" s="71">
        <v>58.500000000000007</v>
      </c>
      <c r="M2" s="71">
        <v>58.500000000000007</v>
      </c>
      <c r="N2" s="71">
        <v>56.5</v>
      </c>
      <c r="O2" s="71">
        <v>35.500000000000007</v>
      </c>
      <c r="P2" s="71">
        <v>35.500000000000007</v>
      </c>
      <c r="Q2" s="71">
        <v>35.500000000000007</v>
      </c>
      <c r="R2" s="71">
        <v>35.500000000000007</v>
      </c>
      <c r="S2" s="71">
        <v>35.500000000000007</v>
      </c>
      <c r="T2" s="71">
        <v>58.500000000000007</v>
      </c>
      <c r="U2" s="71">
        <v>58.500000000000007</v>
      </c>
      <c r="V2" s="71">
        <v>58.500000000000007</v>
      </c>
      <c r="W2" s="71">
        <v>35.500000000000007</v>
      </c>
      <c r="X2" s="71">
        <v>35.500000000000007</v>
      </c>
      <c r="Y2" s="71">
        <v>58.500000000000007</v>
      </c>
    </row>
    <row r="3" spans="1:25" x14ac:dyDescent="0.2">
      <c r="A3" s="28" t="s">
        <v>33</v>
      </c>
      <c r="B3" s="71">
        <v>56.500000000000007</v>
      </c>
      <c r="C3" s="71">
        <v>32.5</v>
      </c>
      <c r="D3" s="71">
        <v>32.5</v>
      </c>
      <c r="E3" s="71">
        <v>32.5</v>
      </c>
      <c r="F3" s="71">
        <v>32.5</v>
      </c>
      <c r="G3" s="71">
        <v>32.5</v>
      </c>
      <c r="H3" s="71">
        <v>32.5</v>
      </c>
      <c r="I3" s="71">
        <v>35.500000000000007</v>
      </c>
      <c r="J3" s="71">
        <v>58.5</v>
      </c>
      <c r="K3" s="71">
        <v>58.5</v>
      </c>
      <c r="L3" s="71">
        <v>56.500000000000007</v>
      </c>
      <c r="M3" s="71">
        <v>35.500000000000007</v>
      </c>
      <c r="N3" s="71">
        <v>35.500000000000007</v>
      </c>
      <c r="O3" s="71">
        <v>35.500000000000007</v>
      </c>
      <c r="P3" s="71">
        <v>35.500000000000007</v>
      </c>
      <c r="Q3" s="71">
        <v>35.500000000000007</v>
      </c>
      <c r="R3" s="71">
        <v>35.500000000000007</v>
      </c>
      <c r="S3" s="71">
        <v>35.500000000000007</v>
      </c>
      <c r="T3" s="71">
        <v>58.5</v>
      </c>
      <c r="U3" s="71">
        <v>35.500000000000007</v>
      </c>
      <c r="V3" s="71">
        <v>35.500000000000007</v>
      </c>
      <c r="W3" s="71">
        <v>35.500000000000007</v>
      </c>
      <c r="X3" s="71">
        <v>35.500000000000007</v>
      </c>
      <c r="Y3" s="71">
        <v>32.5</v>
      </c>
    </row>
    <row r="4" spans="1:25" x14ac:dyDescent="0.2">
      <c r="A4" s="28" t="s">
        <v>34</v>
      </c>
      <c r="B4" s="71">
        <v>32.5</v>
      </c>
      <c r="C4" s="71">
        <v>32.5</v>
      </c>
      <c r="D4" s="71">
        <v>31.499999999999996</v>
      </c>
      <c r="E4" s="71">
        <v>31.499999999999996</v>
      </c>
      <c r="F4" s="71">
        <v>31.499999999999996</v>
      </c>
      <c r="G4" s="71">
        <v>31.499999999999996</v>
      </c>
      <c r="H4" s="71">
        <v>32.5</v>
      </c>
      <c r="I4" s="71">
        <v>35.5</v>
      </c>
      <c r="J4" s="71">
        <v>35.5</v>
      </c>
      <c r="K4" s="71">
        <v>35.5</v>
      </c>
      <c r="L4" s="71">
        <v>35.5</v>
      </c>
      <c r="M4" s="71">
        <v>35.5</v>
      </c>
      <c r="N4" s="71">
        <v>32.5</v>
      </c>
      <c r="O4" s="71">
        <v>32.5</v>
      </c>
      <c r="P4" s="71">
        <v>32.5</v>
      </c>
      <c r="Q4" s="71">
        <v>32.5</v>
      </c>
      <c r="R4" s="71">
        <v>32.5</v>
      </c>
      <c r="S4" s="71">
        <v>32.5</v>
      </c>
      <c r="T4" s="71">
        <v>35.5</v>
      </c>
      <c r="U4" s="71">
        <v>35.5</v>
      </c>
      <c r="V4" s="71">
        <v>35.5</v>
      </c>
      <c r="W4" s="71">
        <v>35.5</v>
      </c>
      <c r="X4" s="71">
        <v>35.5</v>
      </c>
      <c r="Y4" s="71">
        <v>32.5</v>
      </c>
    </row>
  </sheetData>
  <phoneticPr fontId="1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10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Menu</vt:lpstr>
      <vt:lpstr>Indices</vt:lpstr>
      <vt:lpstr>Parameters</vt:lpstr>
      <vt:lpstr>DemandReserveIG</vt:lpstr>
      <vt:lpstr>Generation</vt:lpstr>
      <vt:lpstr>Inflows</vt:lpstr>
      <vt:lpstr>UC</vt:lpstr>
      <vt:lpstr>Output</vt:lpstr>
      <vt:lpstr>IG</vt:lpstr>
      <vt:lpstr>SRMC</vt:lpstr>
      <vt:lpstr>GrUC</vt:lpstr>
      <vt:lpstr>GrOutput</vt:lpstr>
      <vt:lpstr>GrIG</vt:lpstr>
      <vt:lpstr>GrSRMC</vt:lpstr>
      <vt:lpstr>demand</vt:lpstr>
      <vt:lpstr>hydrogen</vt:lpstr>
      <vt:lpstr>IGgen</vt:lpstr>
      <vt:lpstr>indices</vt:lpstr>
      <vt:lpstr>inflows</vt:lpstr>
      <vt:lpstr>oprres</vt:lpstr>
      <vt:lpstr>oprresdw</vt:lpstr>
      <vt:lpstr>oprresup</vt:lpstr>
      <vt:lpstr>param</vt:lpstr>
      <vt:lpstr>thermalgen</vt:lpstr>
    </vt:vector>
  </TitlesOfParts>
  <Company>IIT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Ramos</dc:creator>
  <cp:lastModifiedBy>Andrés Ramos Galán</cp:lastModifiedBy>
  <dcterms:created xsi:type="dcterms:W3CDTF">2008-11-06T19:34:38Z</dcterms:created>
  <dcterms:modified xsi:type="dcterms:W3CDTF">2022-02-04T15:07:07Z</dcterms:modified>
</cp:coreProperties>
</file>