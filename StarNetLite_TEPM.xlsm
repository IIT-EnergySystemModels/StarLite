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0.xml" ContentType="application/vnd.openxmlformats-officedocument.spreadsheetml.worksheet+xml"/>
  <Override PartName="/xl/chartsheets/sheet2.xml" ContentType="application/vnd.openxmlformats-officedocument.spreadsheetml.chartsheet+xml"/>
  <Override PartName="/xl/worksheets/sheet11.xml" ContentType="application/vnd.openxmlformats-officedocument.spreadsheetml.worksheet+xml"/>
  <Override PartName="/xl/chartsheets/sheet3.xml" ContentType="application/vnd.openxmlformats-officedocument.spreadsheetml.chartsheet+xml"/>
  <Override PartName="/xl/worksheets/sheet12.xml" ContentType="application/vnd.openxmlformats-officedocument.spreadsheetml.worksheet+xml"/>
  <Override PartName="/xl/chartsheets/sheet4.xml" ContentType="application/vnd.openxmlformats-officedocument.spreadsheetml.chartsheet+xml"/>
  <Override PartName="/xl/worksheets/sheet13.xml" ContentType="application/vnd.openxmlformats-officedocument.spreadsheetml.worksheet+xml"/>
  <Override PartName="/xl/chartsheets/sheet5.xml" ContentType="application/vnd.openxmlformats-officedocument.spreadsheetml.chart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chartsheets/sheet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amos\Documents\"/>
    </mc:Choice>
  </mc:AlternateContent>
  <xr:revisionPtr revIDLastSave="0" documentId="13_ncr:1_{DB363914-18C8-422F-9EB8-0CFE88E79252}" xr6:coauthVersionLast="47" xr6:coauthVersionMax="47" xr10:uidLastSave="{00000000-0000-0000-0000-000000000000}"/>
  <bookViews>
    <workbookView xWindow="-108" yWindow="-108" windowWidth="23256" windowHeight="12456" tabRatio="692" xr2:uid="{00000000-000D-0000-FFFF-FFFF00000000}"/>
  </bookViews>
  <sheets>
    <sheet name="Menu" sheetId="1" r:id="rId1"/>
    <sheet name="Indices" sheetId="2" r:id="rId2"/>
    <sheet name="Parameters" sheetId="3" r:id="rId3"/>
    <sheet name="DemandDuration" sheetId="4" r:id="rId4"/>
    <sheet name="Generation" sheetId="22" r:id="rId5"/>
    <sheet name="Inflows" sheetId="13" r:id="rId6"/>
    <sheet name="Network" sheetId="7" r:id="rId7"/>
    <sheet name="InstalCapT" sheetId="20" r:id="rId8"/>
    <sheet name="UC" sheetId="9" r:id="rId9"/>
    <sheet name="GrUC" sheetId="27" r:id="rId10"/>
    <sheet name="Output" sheetId="8" r:id="rId11"/>
    <sheet name="GrOutput" sheetId="25" r:id="rId12"/>
    <sheet name="Energy" sheetId="14" r:id="rId13"/>
    <sheet name="GrEnergy" sheetId="26" r:id="rId14"/>
    <sheet name="WtrReserve" sheetId="17" r:id="rId15"/>
    <sheet name="GrWtrReserve" sheetId="28" r:id="rId16"/>
    <sheet name="WtrValue" sheetId="21" r:id="rId17"/>
    <sheet name="GrWtrValue" sheetId="29" r:id="rId18"/>
    <sheet name="Flow" sheetId="23" r:id="rId19"/>
    <sheet name="Angle" sheetId="24" r:id="rId20"/>
    <sheet name="LRMC" sheetId="10" r:id="rId21"/>
    <sheet name="GrLRMC" sheetId="31" r:id="rId22"/>
  </sheets>
  <functionGroups builtInGroupCount="19"/>
  <definedNames>
    <definedName name="_xlnm._FilterDatabase" localSheetId="12" hidden="1">Energy!$A$1:$BW$273</definedName>
    <definedName name="_xlnm._FilterDatabase" localSheetId="20" hidden="1">LRMC!$A$1:$BW$138</definedName>
    <definedName name="_xlnm._FilterDatabase" localSheetId="10" hidden="1">Output!$A$1:$BW$273</definedName>
    <definedName name="_xlnm._FilterDatabase" localSheetId="8" hidden="1">UC!$A$1:$AA$197</definedName>
    <definedName name="_xlnm._FilterDatabase" localSheetId="14" hidden="1">WtrReserve!$A$1:$O$46</definedName>
    <definedName name="_xlnm._FilterDatabase" localSheetId="16" hidden="1">WtrValue!$A$1:$O$46</definedName>
    <definedName name="demand">DemandDuration!$B$2:$L$46</definedName>
    <definedName name="duration">DemandDuration!$B$93:$L$109</definedName>
    <definedName name="hydrogen" localSheetId="4">Generation!$B$23:$O$34</definedName>
    <definedName name="hydrogen">Generation!$B$23:$O$34</definedName>
    <definedName name="indices">Indices!$B$2:$J$107</definedName>
    <definedName name="inflows">Inflows!$B$2:$R$25</definedName>
    <definedName name="network">Network!$B$2:$K$27</definedName>
    <definedName name="oprres">DemandDuration!$B$48:$L$91</definedName>
    <definedName name="param">Parameters!$B$2:$H$33</definedName>
    <definedName name="reservoir" localSheetId="4">Generation!$B$36:$O$46</definedName>
    <definedName name="reservoir">Generation!$B$36:$O$46</definedName>
    <definedName name="thermalgen" localSheetId="4">Generation!$B$2:$O$21</definedName>
    <definedName name="thermalgen">Generation!$B$2:$O$21</definedName>
    <definedName name="tree">Inflows!$B$27:$L$35</definedName>
  </definedNames>
  <calcPr calcId="191029"/>
  <customWorkbookViews>
    <customWorkbookView name="Andres Ramos - Vista personalizada" guid="{162D0EED-4A71-4EB6-8FDF-A42498BFDBC9}" autoUpdate="1" mergeInterval="5" onlySync="1" personalView="1" maximized="1" windowWidth="1112" windowHeight="624" tabRatio="506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5" i="4" l="1"/>
  <c r="J45" i="4"/>
  <c r="I45" i="4"/>
  <c r="H45" i="4"/>
  <c r="G45" i="4"/>
  <c r="F45" i="4"/>
  <c r="K44" i="4"/>
  <c r="J44" i="4"/>
  <c r="I44" i="4"/>
  <c r="H44" i="4"/>
  <c r="G44" i="4"/>
  <c r="F44" i="4"/>
  <c r="K43" i="4"/>
  <c r="J43" i="4"/>
  <c r="I43" i="4"/>
  <c r="H43" i="4"/>
  <c r="G43" i="4"/>
  <c r="F43" i="4"/>
  <c r="I63" i="4" l="1"/>
  <c r="F63" i="4"/>
  <c r="I62" i="4"/>
  <c r="F62" i="4"/>
  <c r="I61" i="4"/>
  <c r="F61" i="4"/>
  <c r="I60" i="4"/>
  <c r="F60" i="4"/>
  <c r="I59" i="4"/>
  <c r="F59" i="4"/>
  <c r="I58" i="4"/>
  <c r="F58" i="4"/>
  <c r="I57" i="4"/>
  <c r="F57" i="4"/>
  <c r="I56" i="4"/>
  <c r="F56" i="4"/>
  <c r="I55" i="4"/>
  <c r="F55" i="4"/>
  <c r="I54" i="4"/>
  <c r="F54" i="4"/>
  <c r="I53" i="4"/>
  <c r="F53" i="4"/>
  <c r="I52" i="4"/>
  <c r="F52" i="4"/>
  <c r="I75" i="4"/>
  <c r="F75" i="4"/>
  <c r="I74" i="4"/>
  <c r="F74" i="4"/>
  <c r="I73" i="4"/>
  <c r="F73" i="4"/>
  <c r="I72" i="4"/>
  <c r="F72" i="4"/>
  <c r="I71" i="4"/>
  <c r="F71" i="4"/>
  <c r="I70" i="4"/>
  <c r="F70" i="4"/>
  <c r="I69" i="4"/>
  <c r="F69" i="4"/>
  <c r="I68" i="4"/>
  <c r="F68" i="4"/>
  <c r="I67" i="4"/>
  <c r="F67" i="4"/>
  <c r="I66" i="4"/>
  <c r="F66" i="4"/>
  <c r="I65" i="4"/>
  <c r="F65" i="4"/>
  <c r="I64" i="4"/>
  <c r="F64" i="4"/>
  <c r="N7" i="22"/>
  <c r="E8" i="22"/>
  <c r="N8" i="22"/>
  <c r="E9" i="22"/>
  <c r="N9" i="22"/>
  <c r="E10" i="22"/>
  <c r="N10" i="22"/>
  <c r="E11" i="22"/>
  <c r="N11" i="22"/>
  <c r="E12" i="22"/>
  <c r="N12" i="22"/>
  <c r="E13" i="22"/>
  <c r="N13" i="22"/>
  <c r="E14" i="22"/>
  <c r="N14" i="22"/>
  <c r="E15" i="22"/>
  <c r="N15" i="22"/>
  <c r="N16" i="22"/>
  <c r="N17" i="22"/>
  <c r="N18" i="22"/>
  <c r="N19" i="22"/>
  <c r="G7" i="13"/>
  <c r="H7" i="13"/>
  <c r="I7" i="13"/>
  <c r="J7" i="13"/>
  <c r="K7" i="13"/>
  <c r="L7" i="13"/>
  <c r="M7" i="13"/>
  <c r="N7" i="13"/>
  <c r="O7" i="13"/>
  <c r="P7" i="13"/>
  <c r="Q7" i="13"/>
  <c r="G8" i="13"/>
  <c r="H8" i="13"/>
  <c r="I8" i="13"/>
  <c r="J8" i="13"/>
  <c r="K8" i="13"/>
  <c r="L8" i="13"/>
  <c r="L9" i="13" s="1"/>
  <c r="M8" i="13"/>
  <c r="N8" i="13"/>
  <c r="O8" i="13"/>
  <c r="P8" i="13"/>
  <c r="Q8" i="13"/>
  <c r="F9" i="13"/>
  <c r="G12" i="13"/>
  <c r="H12" i="13"/>
  <c r="I12" i="13"/>
  <c r="J12" i="13"/>
  <c r="K12" i="13"/>
  <c r="L12" i="13"/>
  <c r="M12" i="13"/>
  <c r="N12" i="13"/>
  <c r="O12" i="13"/>
  <c r="P12" i="13"/>
  <c r="Q12" i="13"/>
  <c r="G13" i="13"/>
  <c r="H13" i="13"/>
  <c r="I13" i="13"/>
  <c r="J13" i="13"/>
  <c r="K13" i="13"/>
  <c r="L13" i="13"/>
  <c r="M13" i="13"/>
  <c r="N13" i="13"/>
  <c r="O13" i="13"/>
  <c r="P13" i="13"/>
  <c r="Q13" i="13"/>
  <c r="F14" i="13"/>
  <c r="G17" i="13"/>
  <c r="H17" i="13"/>
  <c r="I17" i="13"/>
  <c r="J17" i="13"/>
  <c r="K17" i="13"/>
  <c r="L17" i="13"/>
  <c r="M17" i="13"/>
  <c r="N17" i="13"/>
  <c r="O17" i="13"/>
  <c r="P17" i="13"/>
  <c r="Q17" i="13"/>
  <c r="G18" i="13"/>
  <c r="H18" i="13"/>
  <c r="I18" i="13"/>
  <c r="J18" i="13"/>
  <c r="K18" i="13"/>
  <c r="L18" i="13"/>
  <c r="M18" i="13"/>
  <c r="N18" i="13"/>
  <c r="O18" i="13"/>
  <c r="P18" i="13"/>
  <c r="Q18" i="13"/>
  <c r="F19" i="13"/>
  <c r="G22" i="13"/>
  <c r="H22" i="13"/>
  <c r="I22" i="13"/>
  <c r="J22" i="13"/>
  <c r="K22" i="13"/>
  <c r="L22" i="13"/>
  <c r="M22" i="13"/>
  <c r="N22" i="13"/>
  <c r="O22" i="13"/>
  <c r="P22" i="13"/>
  <c r="Q22" i="13"/>
  <c r="G23" i="13"/>
  <c r="H23" i="13"/>
  <c r="I23" i="13"/>
  <c r="J23" i="13"/>
  <c r="K23" i="13"/>
  <c r="L23" i="13"/>
  <c r="M23" i="13"/>
  <c r="N23" i="13"/>
  <c r="O23" i="13"/>
  <c r="P23" i="13"/>
  <c r="Q23" i="13"/>
  <c r="F24" i="13"/>
  <c r="F76" i="4"/>
  <c r="I76" i="4"/>
  <c r="F77" i="4"/>
  <c r="I77" i="4"/>
  <c r="F78" i="4"/>
  <c r="I78" i="4"/>
  <c r="F79" i="4"/>
  <c r="I79" i="4"/>
  <c r="F80" i="4"/>
  <c r="I80" i="4"/>
  <c r="F81" i="4"/>
  <c r="I81" i="4"/>
  <c r="F82" i="4"/>
  <c r="I82" i="4"/>
  <c r="F83" i="4"/>
  <c r="I83" i="4"/>
  <c r="F84" i="4"/>
  <c r="I84" i="4"/>
  <c r="F85" i="4"/>
  <c r="I85" i="4"/>
  <c r="F86" i="4"/>
  <c r="I86" i="4"/>
  <c r="F87" i="4"/>
  <c r="I87" i="4"/>
  <c r="H24" i="13" l="1"/>
  <c r="H9" i="13"/>
  <c r="P24" i="13"/>
  <c r="G19" i="13"/>
  <c r="J9" i="13"/>
  <c r="G14" i="13"/>
  <c r="O24" i="13"/>
  <c r="K9" i="13"/>
  <c r="H14" i="13"/>
  <c r="I90" i="4"/>
  <c r="I89" i="4"/>
  <c r="K14" i="13"/>
  <c r="F90" i="4"/>
  <c r="F89" i="4"/>
  <c r="I19" i="13"/>
  <c r="I14" i="13"/>
  <c r="O9" i="13"/>
  <c r="P19" i="13"/>
  <c r="L19" i="13"/>
  <c r="P14" i="13"/>
  <c r="Q24" i="13"/>
  <c r="I24" i="13"/>
  <c r="M24" i="13"/>
  <c r="Q19" i="13"/>
  <c r="J14" i="13"/>
  <c r="M9" i="13"/>
  <c r="I9" i="13"/>
  <c r="P9" i="13"/>
  <c r="O14" i="13"/>
  <c r="L24" i="13"/>
  <c r="G24" i="13"/>
  <c r="H19" i="13"/>
  <c r="M14" i="13"/>
  <c r="G9" i="13"/>
  <c r="O19" i="13"/>
  <c r="K19" i="13"/>
  <c r="L14" i="13"/>
  <c r="J24" i="13"/>
  <c r="N19" i="13"/>
  <c r="J19" i="13"/>
  <c r="Q14" i="13"/>
  <c r="N14" i="13"/>
  <c r="N24" i="13"/>
  <c r="M19" i="13"/>
  <c r="N9" i="13"/>
  <c r="K24" i="13"/>
  <c r="Q9" i="13"/>
</calcChain>
</file>

<file path=xl/sharedStrings.xml><?xml version="1.0" encoding="utf-8"?>
<sst xmlns="http://schemas.openxmlformats.org/spreadsheetml/2006/main" count="5980" uniqueCount="183">
  <si>
    <t>s</t>
  </si>
  <si>
    <t>thermal units</t>
  </si>
  <si>
    <t>scenarios</t>
  </si>
  <si>
    <t>/</t>
  </si>
  <si>
    <t>=</t>
  </si>
  <si>
    <t>;</t>
  </si>
  <si>
    <t>* parameters</t>
  </si>
  <si>
    <t>[MW]</t>
  </si>
  <si>
    <t>sc01</t>
  </si>
  <si>
    <t>sc02</t>
  </si>
  <si>
    <t>sc03</t>
  </si>
  <si>
    <t>[p.u.]</t>
  </si>
  <si>
    <t>* thermal generation</t>
  </si>
  <si>
    <t>Andrés Ramos</t>
  </si>
  <si>
    <t>* indices</t>
  </si>
  <si>
    <t>*</t>
  </si>
  <si>
    <t>SlopeVarCost</t>
  </si>
  <si>
    <t>p</t>
  </si>
  <si>
    <t>FuelCost</t>
  </si>
  <si>
    <t>Aux</t>
  </si>
  <si>
    <t>periods</t>
  </si>
  <si>
    <t>p01</t>
  </si>
  <si>
    <t>p12</t>
  </si>
  <si>
    <t>subperiods</t>
  </si>
  <si>
    <t>n</t>
  </si>
  <si>
    <t>load levels</t>
  </si>
  <si>
    <t>n01</t>
  </si>
  <si>
    <t>RunOfRiver</t>
  </si>
  <si>
    <t>PumpedStorageHydro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</si>
  <si>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</si>
  <si>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</si>
  <si>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</si>
  <si>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</si>
  <si>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</si>
  <si>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</si>
  <si>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</si>
  <si>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</si>
  <si>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</si>
  <si>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p11</t>
  </si>
  <si>
    <t>WeekEnd</t>
  </si>
  <si>
    <t>WeekEnd.n01</t>
  </si>
  <si>
    <t>WeekEnd.n02</t>
  </si>
  <si>
    <t>OMVarCost</t>
  </si>
  <si>
    <t>* hydro generation</t>
  </si>
  <si>
    <t>MaxReserve</t>
  </si>
  <si>
    <t>MinReserve</t>
  </si>
  <si>
    <t>IniReserve</t>
  </si>
  <si>
    <t>Efficiency</t>
  </si>
  <si>
    <t>.</t>
  </si>
  <si>
    <t>Ancestor</t>
  </si>
  <si>
    <t>FirstPeriod</t>
  </si>
  <si>
    <t>Prob</t>
  </si>
  <si>
    <t>* scenario tree</t>
  </si>
  <si>
    <t>,</t>
  </si>
  <si>
    <t>g</t>
  </si>
  <si>
    <t>sc</t>
  </si>
  <si>
    <t>n02</t>
  </si>
  <si>
    <t>n03</t>
  </si>
  <si>
    <t xml:space="preserve"> </t>
  </si>
  <si>
    <t>hydro plants</t>
  </si>
  <si>
    <t>Nuclear</t>
  </si>
  <si>
    <t>BrownLignite</t>
  </si>
  <si>
    <t>CCGT_1</t>
  </si>
  <si>
    <t>CCGT_2</t>
  </si>
  <si>
    <t>CCGT_3</t>
  </si>
  <si>
    <t>CCGT_4</t>
  </si>
  <si>
    <t>OCGT_1</t>
  </si>
  <si>
    <t>OCGT_2</t>
  </si>
  <si>
    <t>OCGT_3</t>
  </si>
  <si>
    <t>FuelOilGas</t>
  </si>
  <si>
    <t>reservoirs</t>
  </si>
  <si>
    <t>r</t>
  </si>
  <si>
    <t>rur(r,r)</t>
  </si>
  <si>
    <t>* reservoir</t>
  </si>
  <si>
    <t>ProdFunct</t>
  </si>
  <si>
    <t>reservoir upstream of hydro plant</t>
  </si>
  <si>
    <t>ruh(r,g)</t>
  </si>
  <si>
    <t>MaxProd</t>
  </si>
  <si>
    <t>MinProd</t>
  </si>
  <si>
    <t>hydro plant upstream of reservoir</t>
  </si>
  <si>
    <t>hur(g,r)</t>
  </si>
  <si>
    <t>WeekEnd.n03</t>
  </si>
  <si>
    <t>reservoir 1 upstream of reservoir 2</t>
  </si>
  <si>
    <t>hpr(g,r)</t>
  </si>
  <si>
    <t>pumped hydro plant upstream of reservoir</t>
  </si>
  <si>
    <t>rph(r,g)</t>
  </si>
  <si>
    <t>reservoir upstream of pumped hydro plant</t>
  </si>
  <si>
    <t>y</t>
  </si>
  <si>
    <t>years</t>
  </si>
  <si>
    <t>yr01</t>
  </si>
  <si>
    <t>EFOR</t>
  </si>
  <si>
    <t>FixedCost</t>
  </si>
  <si>
    <t>FxChargeRate</t>
  </si>
  <si>
    <t>[Mcal/MWh]</t>
  </si>
  <si>
    <t>[Mcal/h]</t>
  </si>
  <si>
    <t>[Mcal]</t>
  </si>
  <si>
    <t>pENSCost</t>
  </si>
  <si>
    <t>pPNSCost</t>
  </si>
  <si>
    <t>* cost of energy non served</t>
  </si>
  <si>
    <t>* cost of power non served</t>
  </si>
  <si>
    <t>yr05</t>
  </si>
  <si>
    <t>MaxCons</t>
  </si>
  <si>
    <t>yr02</t>
  </si>
  <si>
    <t>yr03</t>
  </si>
  <si>
    <t>yr04</t>
  </si>
  <si>
    <r>
      <t>StarNet Lite</t>
    </r>
    <r>
      <rPr>
        <i/>
        <sz val="18"/>
        <rFont val="Palatino Linotype"/>
        <family val="1"/>
      </rPr>
      <t xml:space="preserve"> Long Term Transmission Expansion Planning Model</t>
    </r>
  </si>
  <si>
    <t>nd</t>
  </si>
  <si>
    <t>nodes</t>
  </si>
  <si>
    <t>Node_1</t>
  </si>
  <si>
    <t>Node_2</t>
  </si>
  <si>
    <t>Node_3</t>
  </si>
  <si>
    <t>Node_4</t>
  </si>
  <si>
    <t>Node_5</t>
  </si>
  <si>
    <t>location of thermal units at nodes</t>
  </si>
  <si>
    <t>location of hydro plants at nodes</t>
  </si>
  <si>
    <t>Node_6</t>
  </si>
  <si>
    <t>Node_7</t>
  </si>
  <si>
    <t>Node_8</t>
  </si>
  <si>
    <t>Node_9</t>
  </si>
  <si>
    <t>pDemIncr</t>
  </si>
  <si>
    <t>* demand share for each node</t>
  </si>
  <si>
    <t>pDemShare</t>
  </si>
  <si>
    <t>X</t>
  </si>
  <si>
    <t>gnd(g,nd)</t>
  </si>
  <si>
    <t>("yr01")</t>
  </si>
  <si>
    <t>("yr02")</t>
  </si>
  <si>
    <t>("yr03")</t>
  </si>
  <si>
    <t>("yr04")</t>
  </si>
  <si>
    <t>("yr05")</t>
  </si>
  <si>
    <t>("Node_1")</t>
  </si>
  <si>
    <t>("Node_2")</t>
  </si>
  <si>
    <t>("Node_3")</t>
  </si>
  <si>
    <t>("Node_4")</t>
  </si>
  <si>
    <t>("Node_5")</t>
  </si>
  <si>
    <t>("Node_6")</t>
  </si>
  <si>
    <t>("Node_7")</t>
  </si>
  <si>
    <t>("Node_8")</t>
  </si>
  <si>
    <t>("Node_9")</t>
  </si>
  <si>
    <t>pSbase</t>
  </si>
  <si>
    <t>* base power</t>
  </si>
  <si>
    <t>* must add up to 1</t>
  </si>
  <si>
    <t>[M€]</t>
  </si>
  <si>
    <t>* existing transmission network</t>
  </si>
  <si>
    <t>* new transmission network</t>
  </si>
  <si>
    <t>StorageHydro1_Basin1</t>
  </si>
  <si>
    <t>StorageHydro2_Basin1</t>
  </si>
  <si>
    <t>StorageHydro3_Basin1</t>
  </si>
  <si>
    <t>Reservoir1_Basin1</t>
  </si>
  <si>
    <t>Reservoir2_Basin1</t>
  </si>
  <si>
    <t>Reservoir3_Basin1</t>
  </si>
  <si>
    <t>DomesticCoal_Anthracite</t>
  </si>
  <si>
    <t>ImportedCoal_Bituminous</t>
  </si>
  <si>
    <t>ImportedCoal_SubBituminous</t>
  </si>
  <si>
    <t>WeekDay.n01</t>
  </si>
  <si>
    <t>WeekDay.n02</t>
  </si>
  <si>
    <t>WeekDay.n03</t>
  </si>
  <si>
    <t>WeekDay</t>
  </si>
  <si>
    <t>TTC</t>
  </si>
  <si>
    <r>
      <t>* demand</t>
    </r>
    <r>
      <rPr>
        <sz val="10"/>
        <color indexed="48"/>
        <rFont val="Calibri"/>
        <family val="2"/>
        <scheme val="minor"/>
      </rPr>
      <t xml:space="preserve"> [MW]</t>
    </r>
  </si>
  <si>
    <r>
      <t>* operating reserve</t>
    </r>
    <r>
      <rPr>
        <sz val="10"/>
        <color indexed="48"/>
        <rFont val="Calibri"/>
        <family val="2"/>
        <scheme val="minor"/>
      </rPr>
      <t xml:space="preserve"> [MW]</t>
    </r>
  </si>
  <si>
    <r>
      <t>* duration</t>
    </r>
    <r>
      <rPr>
        <sz val="10"/>
        <color indexed="48"/>
        <rFont val="Calibri"/>
        <family val="2"/>
        <scheme val="minor"/>
      </rPr>
      <t xml:space="preserve"> [h]</t>
    </r>
  </si>
  <si>
    <r>
      <t>[kWh/m</t>
    </r>
    <r>
      <rPr>
        <vertAlign val="superscript"/>
        <sz val="10"/>
        <color indexed="48"/>
        <rFont val="Calibri"/>
        <family val="2"/>
        <scheme val="minor"/>
      </rPr>
      <t>3</t>
    </r>
    <r>
      <rPr>
        <sz val="10"/>
        <color indexed="48"/>
        <rFont val="Calibri"/>
        <family val="2"/>
        <scheme val="minor"/>
      </rPr>
      <t>]</t>
    </r>
  </si>
  <si>
    <r>
      <t>[hm</t>
    </r>
    <r>
      <rPr>
        <vertAlign val="superscript"/>
        <sz val="10"/>
        <color indexed="48"/>
        <rFont val="Calibri"/>
        <family val="2"/>
        <scheme val="minor"/>
      </rPr>
      <t>3</t>
    </r>
    <r>
      <rPr>
        <sz val="10"/>
        <color indexed="48"/>
        <rFont val="Calibri"/>
        <family val="2"/>
        <scheme val="minor"/>
      </rPr>
      <t>]</t>
    </r>
  </si>
  <si>
    <r>
      <t xml:space="preserve">* natural hydro inflows </t>
    </r>
    <r>
      <rPr>
        <sz val="10"/>
        <color indexed="48"/>
        <rFont val="Calibri"/>
        <family val="2"/>
        <scheme val="minor"/>
      </rPr>
      <t>[m</t>
    </r>
    <r>
      <rPr>
        <vertAlign val="superscript"/>
        <sz val="10"/>
        <color indexed="48"/>
        <rFont val="Calibri"/>
        <family val="2"/>
        <scheme val="minor"/>
      </rPr>
      <t>3</t>
    </r>
    <r>
      <rPr>
        <sz val="10"/>
        <color indexed="48"/>
        <rFont val="Calibri"/>
        <family val="2"/>
        <scheme val="minor"/>
      </rPr>
      <t>/s]</t>
    </r>
  </si>
  <si>
    <t>andres.ramos@comillas.edu</t>
  </si>
  <si>
    <t>Year</t>
  </si>
  <si>
    <t>Scen</t>
  </si>
  <si>
    <t>Unit</t>
  </si>
  <si>
    <t>Reservoir</t>
  </si>
  <si>
    <t>Node</t>
  </si>
  <si>
    <t>https://www.iit.comillas.edu/aramos/</t>
  </si>
  <si>
    <t>* Max</t>
  </si>
  <si>
    <t>* Min</t>
  </si>
  <si>
    <t>* Energy</t>
  </si>
  <si>
    <t>[MW/h]</t>
  </si>
  <si>
    <t>RampUp</t>
  </si>
  <si>
    <t>InterceptVarCost</t>
  </si>
  <si>
    <t>StartUpCost</t>
  </si>
  <si>
    <t>RampDown</t>
  </si>
  <si>
    <t>* yearly demand increase</t>
  </si>
  <si>
    <t>[EUR/MWh]</t>
  </si>
  <si>
    <t>[EUR/MW]</t>
  </si>
  <si>
    <t>[EUR/Mcal]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</si>
</sst>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6" x14ac:knownFonts="1">
    <font>
      <sz val="10"/>
      <name val="Arial"/>
    </font>
    <font>
      <sz val="8"/>
      <name val="Arial"/>
      <family val="2"/>
    </font>
    <font>
      <i/>
      <sz val="18"/>
      <name val="Palatino Linotype"/>
      <family val="1"/>
    </font>
    <font>
      <u/>
      <sz val="10"/>
      <color indexed="12"/>
      <name val="Arial"/>
      <family val="2"/>
    </font>
    <font>
      <u/>
      <sz val="14"/>
      <color indexed="12"/>
      <name val="Courier New"/>
      <family val="3"/>
    </font>
    <font>
      <b/>
      <i/>
      <sz val="18"/>
      <name val="Palatino Linotype"/>
      <family val="1"/>
    </font>
    <font>
      <b/>
      <i/>
      <sz val="20"/>
      <name val="Palatino Linotype"/>
      <family val="1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0"/>
      <color indexed="48"/>
      <name val="Calibri"/>
      <family val="2"/>
      <scheme val="minor"/>
    </font>
    <font>
      <b/>
      <sz val="10"/>
      <color indexed="48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indexed="57"/>
      <name val="Calibri"/>
      <family val="2"/>
      <scheme val="minor"/>
    </font>
    <font>
      <vertAlign val="superscript"/>
      <sz val="10"/>
      <color indexed="48"/>
      <name val="Calibri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58">
    <xf numFmtId="0" fontId="0" fillId="0" borderId="0" xfId="0"/>
    <xf numFmtId="0" fontId="0" fillId="0" borderId="0" xfId="0" applyAlignment="1">
      <alignment horizontal="center"/>
    </xf>
    <xf numFmtId="0" fontId="4" fillId="0" borderId="0" xfId="1" applyFont="1" applyAlignment="1" applyProtection="1">
      <alignment horizontal="center"/>
    </xf>
    <xf numFmtId="0" fontId="5" fillId="0" borderId="0" xfId="0" applyFont="1" applyAlignment="1">
      <alignment horizontal="center"/>
    </xf>
    <xf numFmtId="0" fontId="0" fillId="4" borderId="0" xfId="0" applyFill="1"/>
    <xf numFmtId="0" fontId="6" fillId="4" borderId="0" xfId="0" applyFont="1" applyFill="1" applyAlignment="1">
      <alignment horizontal="center"/>
    </xf>
    <xf numFmtId="0" fontId="7" fillId="0" borderId="0" xfId="0" applyFont="1"/>
    <xf numFmtId="0" fontId="7" fillId="2" borderId="0" xfId="0" quotePrefix="1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7" fillId="2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7" fillId="0" borderId="1" xfId="0" applyFont="1" applyBorder="1"/>
    <xf numFmtId="0" fontId="7" fillId="0" borderId="2" xfId="0" applyFont="1" applyBorder="1"/>
    <xf numFmtId="0" fontId="8" fillId="0" borderId="2" xfId="0" applyFont="1" applyBorder="1" applyAlignment="1">
      <alignment horizontal="center"/>
    </xf>
    <xf numFmtId="0" fontId="7" fillId="0" borderId="3" xfId="0" applyFont="1" applyBorder="1"/>
    <xf numFmtId="0" fontId="9" fillId="0" borderId="4" xfId="0" applyFont="1" applyBorder="1"/>
    <xf numFmtId="0" fontId="7" fillId="0" borderId="5" xfId="0" applyFont="1" applyBorder="1"/>
    <xf numFmtId="0" fontId="7" fillId="0" borderId="4" xfId="0" applyFont="1" applyBorder="1"/>
    <xf numFmtId="0" fontId="10" fillId="0" borderId="0" xfId="0" applyFont="1"/>
    <xf numFmtId="0" fontId="7" fillId="0" borderId="0" xfId="0" quotePrefix="1" applyFont="1"/>
    <xf numFmtId="0" fontId="7" fillId="3" borderId="0" xfId="0" applyFont="1" applyFill="1" applyAlignment="1">
      <alignment horizontal="center"/>
    </xf>
    <xf numFmtId="0" fontId="8" fillId="0" borderId="0" xfId="0" quotePrefix="1" applyFont="1" applyAlignment="1">
      <alignment horizontal="center"/>
    </xf>
    <xf numFmtId="0" fontId="7" fillId="3" borderId="0" xfId="0" applyFont="1" applyFill="1" applyAlignment="1">
      <alignment horizontal="left"/>
    </xf>
    <xf numFmtId="0" fontId="10" fillId="0" borderId="4" xfId="0" applyFont="1" applyBorder="1"/>
    <xf numFmtId="0" fontId="7" fillId="0" borderId="6" xfId="0" applyFont="1" applyBorder="1"/>
    <xf numFmtId="0" fontId="7" fillId="0" borderId="7" xfId="0" applyFont="1" applyBorder="1"/>
    <xf numFmtId="0" fontId="8" fillId="0" borderId="7" xfId="0" applyFont="1" applyBorder="1" applyAlignment="1">
      <alignment horizontal="center"/>
    </xf>
    <xf numFmtId="0" fontId="7" fillId="0" borderId="8" xfId="0" applyFont="1" applyBorder="1"/>
    <xf numFmtId="0" fontId="11" fillId="0" borderId="4" xfId="0" applyFont="1" applyBorder="1"/>
    <xf numFmtId="0" fontId="11" fillId="0" borderId="0" xfId="0" applyFont="1"/>
    <xf numFmtId="0" fontId="12" fillId="0" borderId="4" xfId="0" applyFont="1" applyBorder="1"/>
    <xf numFmtId="0" fontId="12" fillId="0" borderId="0" xfId="0" applyFont="1"/>
    <xf numFmtId="0" fontId="12" fillId="0" borderId="0" xfId="0" applyFont="1" applyAlignment="1">
      <alignment horizontal="center"/>
    </xf>
    <xf numFmtId="0" fontId="13" fillId="3" borderId="0" xfId="0" quotePrefix="1" applyFont="1" applyFill="1"/>
    <xf numFmtId="0" fontId="13" fillId="3" borderId="0" xfId="0" applyFont="1" applyFill="1" applyAlignment="1">
      <alignment horizontal="center"/>
    </xf>
    <xf numFmtId="0" fontId="13" fillId="3" borderId="0" xfId="0" quotePrefix="1" applyFont="1" applyFill="1" applyAlignment="1">
      <alignment horizontal="center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" fontId="7" fillId="3" borderId="0" xfId="0" applyNumberFormat="1" applyFont="1" applyFill="1"/>
    <xf numFmtId="0" fontId="7" fillId="0" borderId="2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7" fillId="0" borderId="4" xfId="0" applyFont="1" applyBorder="1" applyAlignment="1">
      <alignment horizontal="left"/>
    </xf>
    <xf numFmtId="0" fontId="7" fillId="0" borderId="5" xfId="0" applyFont="1" applyBorder="1" applyAlignment="1">
      <alignment horizontal="center"/>
    </xf>
    <xf numFmtId="1" fontId="7" fillId="3" borderId="0" xfId="0" applyNumberFormat="1" applyFont="1" applyFill="1" applyAlignment="1">
      <alignment horizontal="right"/>
    </xf>
    <xf numFmtId="165" fontId="7" fillId="3" borderId="0" xfId="0" applyNumberFormat="1" applyFont="1" applyFill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/>
    <xf numFmtId="0" fontId="7" fillId="0" borderId="7" xfId="0" applyFont="1" applyBorder="1" applyAlignment="1">
      <alignment horizontal="center"/>
    </xf>
    <xf numFmtId="0" fontId="10" fillId="0" borderId="4" xfId="0" applyFont="1" applyBorder="1" applyAlignment="1">
      <alignment horizontal="left"/>
    </xf>
    <xf numFmtId="2" fontId="7" fillId="3" borderId="0" xfId="0" applyNumberFormat="1" applyFont="1" applyFill="1"/>
    <xf numFmtId="0" fontId="7" fillId="0" borderId="5" xfId="0" quotePrefix="1" applyFont="1" applyBorder="1"/>
    <xf numFmtId="1" fontId="7" fillId="2" borderId="0" xfId="0" applyNumberFormat="1" applyFont="1" applyFill="1" applyAlignment="1">
      <alignment horizontal="center"/>
    </xf>
    <xf numFmtId="1" fontId="7" fillId="0" borderId="0" xfId="0" applyNumberFormat="1" applyFont="1"/>
    <xf numFmtId="0" fontId="7" fillId="2" borderId="0" xfId="0" quotePrefix="1" applyFont="1" applyFill="1" applyAlignment="1">
      <alignment horizontal="center"/>
    </xf>
    <xf numFmtId="164" fontId="7" fillId="0" borderId="0" xfId="0" applyNumberFormat="1" applyFont="1"/>
    <xf numFmtId="0" fontId="7" fillId="2" borderId="0" xfId="0" applyFont="1" applyFill="1"/>
    <xf numFmtId="165" fontId="7" fillId="3" borderId="0" xfId="0" applyNumberFormat="1" applyFont="1" applyFill="1"/>
    <xf numFmtId="165" fontId="7" fillId="0" borderId="0" xfId="0" applyNumberFormat="1" applyFont="1"/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1.xml"/><Relationship Id="rId18" Type="http://schemas.openxmlformats.org/officeDocument/2006/relationships/chartsheet" Target="chartsheets/sheet5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16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openxmlformats.org/officeDocument/2006/relationships/worksheet" Target="worksheets/sheet13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4.xml"/><Relationship Id="rId20" Type="http://schemas.openxmlformats.org/officeDocument/2006/relationships/worksheet" Target="worksheets/sheet1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2.xml"/><Relationship Id="rId23" Type="http://schemas.openxmlformats.org/officeDocument/2006/relationships/theme" Target="theme/theme1.xml"/><Relationship Id="rId10" Type="http://schemas.openxmlformats.org/officeDocument/2006/relationships/chartsheet" Target="chartsheets/sheet1.xml"/><Relationship Id="rId19" Type="http://schemas.openxmlformats.org/officeDocument/2006/relationships/worksheet" Target="worksheets/sheet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3.xml"/><Relationship Id="rId22" Type="http://schemas.openxmlformats.org/officeDocument/2006/relationships/chartsheet" Target="chartsheets/sheet6.xml"/><Relationship Id="rId27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783191721012402"/>
          <c:y val="8.7542375389229155E-2"/>
          <c:w val="0.6537227158593687"/>
          <c:h val="0.680136916485547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DemandDuration!$F$5</c:f>
              <c:strCache>
                <c:ptCount val="1"/>
                <c:pt idx="0">
                  <c:v>WeekDay.n01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DemandDuration!$E$6:$E$17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DemandDuration!$F$6:$F$17</c:f>
              <c:numCache>
                <c:formatCode>0</c:formatCode>
                <c:ptCount val="12"/>
                <c:pt idx="0">
                  <c:v>4414.7</c:v>
                </c:pt>
                <c:pt idx="1">
                  <c:v>4153.6000000000004</c:v>
                </c:pt>
                <c:pt idx="2">
                  <c:v>4028.6</c:v>
                </c:pt>
                <c:pt idx="3">
                  <c:v>3752</c:v>
                </c:pt>
                <c:pt idx="4">
                  <c:v>3746.3</c:v>
                </c:pt>
                <c:pt idx="5">
                  <c:v>4103</c:v>
                </c:pt>
                <c:pt idx="6">
                  <c:v>4184.5</c:v>
                </c:pt>
                <c:pt idx="7">
                  <c:v>3778.1</c:v>
                </c:pt>
                <c:pt idx="8">
                  <c:v>4009.2</c:v>
                </c:pt>
                <c:pt idx="9">
                  <c:v>3887</c:v>
                </c:pt>
                <c:pt idx="10">
                  <c:v>4255.5</c:v>
                </c:pt>
                <c:pt idx="11">
                  <c:v>4453.8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69-49EC-B0EC-A1AECE6271EF}"/>
            </c:ext>
          </c:extLst>
        </c:ser>
        <c:ser>
          <c:idx val="1"/>
          <c:order val="1"/>
          <c:tx>
            <c:strRef>
              <c:f>DemandDuration!$G$5</c:f>
              <c:strCache>
                <c:ptCount val="1"/>
                <c:pt idx="0">
                  <c:v>WeekDay.n02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DemandDuration!$E$6:$E$17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DemandDuration!$G$6:$G$17</c:f>
              <c:numCache>
                <c:formatCode>0</c:formatCode>
                <c:ptCount val="12"/>
                <c:pt idx="0">
                  <c:v>3983.2</c:v>
                </c:pt>
                <c:pt idx="1">
                  <c:v>3816.9</c:v>
                </c:pt>
                <c:pt idx="2">
                  <c:v>3702.5</c:v>
                </c:pt>
                <c:pt idx="3">
                  <c:v>3447.6</c:v>
                </c:pt>
                <c:pt idx="4">
                  <c:v>3442.8</c:v>
                </c:pt>
                <c:pt idx="5">
                  <c:v>3728.5</c:v>
                </c:pt>
                <c:pt idx="6">
                  <c:v>3818.9</c:v>
                </c:pt>
                <c:pt idx="7">
                  <c:v>3492.5</c:v>
                </c:pt>
                <c:pt idx="8">
                  <c:v>3706.2</c:v>
                </c:pt>
                <c:pt idx="9">
                  <c:v>3557.1</c:v>
                </c:pt>
                <c:pt idx="10">
                  <c:v>3844.8</c:v>
                </c:pt>
                <c:pt idx="11">
                  <c:v>4005.3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69-49EC-B0EC-A1AECE6271EF}"/>
            </c:ext>
          </c:extLst>
        </c:ser>
        <c:ser>
          <c:idx val="2"/>
          <c:order val="2"/>
          <c:tx>
            <c:strRef>
              <c:f>DemandDuration!$H$5</c:f>
              <c:strCache>
                <c:ptCount val="1"/>
                <c:pt idx="0">
                  <c:v>WeekDay.n03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DemandDuration!$E$6:$E$17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DemandDuration!$H$6:$H$17</c:f>
              <c:numCache>
                <c:formatCode>0</c:formatCode>
                <c:ptCount val="12"/>
                <c:pt idx="0">
                  <c:v>2987.7</c:v>
                </c:pt>
                <c:pt idx="1">
                  <c:v>2885.7</c:v>
                </c:pt>
                <c:pt idx="2">
                  <c:v>2822.8</c:v>
                </c:pt>
                <c:pt idx="3">
                  <c:v>2622.3</c:v>
                </c:pt>
                <c:pt idx="4">
                  <c:v>2602.4</c:v>
                </c:pt>
                <c:pt idx="5">
                  <c:v>2776.6</c:v>
                </c:pt>
                <c:pt idx="6">
                  <c:v>2889.7</c:v>
                </c:pt>
                <c:pt idx="7">
                  <c:v>2666.5</c:v>
                </c:pt>
                <c:pt idx="8">
                  <c:v>2797.3</c:v>
                </c:pt>
                <c:pt idx="9">
                  <c:v>2645.2</c:v>
                </c:pt>
                <c:pt idx="10">
                  <c:v>2888.6</c:v>
                </c:pt>
                <c:pt idx="11">
                  <c:v>3013.4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69-49EC-B0EC-A1AECE6271EF}"/>
            </c:ext>
          </c:extLst>
        </c:ser>
        <c:ser>
          <c:idx val="3"/>
          <c:order val="3"/>
          <c:tx>
            <c:strRef>
              <c:f>DemandDuration!$I$5</c:f>
              <c:strCache>
                <c:ptCount val="1"/>
                <c:pt idx="0">
                  <c:v>WeekEnd.n01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DemandDuration!$E$6:$E$17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DemandDuration!$I$6:$I$17</c:f>
              <c:numCache>
                <c:formatCode>0</c:formatCode>
                <c:ptCount val="12"/>
                <c:pt idx="0">
                  <c:v>3697.3</c:v>
                </c:pt>
                <c:pt idx="1">
                  <c:v>3561.3</c:v>
                </c:pt>
                <c:pt idx="2">
                  <c:v>3442</c:v>
                </c:pt>
                <c:pt idx="3">
                  <c:v>3241.9</c:v>
                </c:pt>
                <c:pt idx="4">
                  <c:v>3108.9</c:v>
                </c:pt>
                <c:pt idx="5">
                  <c:v>3300.8</c:v>
                </c:pt>
                <c:pt idx="6">
                  <c:v>3412.9</c:v>
                </c:pt>
                <c:pt idx="7">
                  <c:v>3237.8</c:v>
                </c:pt>
                <c:pt idx="8">
                  <c:v>3256.3</c:v>
                </c:pt>
                <c:pt idx="9">
                  <c:v>3242</c:v>
                </c:pt>
                <c:pt idx="10">
                  <c:v>3503.2</c:v>
                </c:pt>
                <c:pt idx="11">
                  <c:v>3660.3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69-49EC-B0EC-A1AECE6271EF}"/>
            </c:ext>
          </c:extLst>
        </c:ser>
        <c:ser>
          <c:idx val="5"/>
          <c:order val="4"/>
          <c:tx>
            <c:strRef>
              <c:f>DemandDuration!$J$5</c:f>
              <c:strCache>
                <c:ptCount val="1"/>
                <c:pt idx="0">
                  <c:v>WeekEnd.n02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DemandDuration!$J$6:$J$17</c:f>
              <c:numCache>
                <c:formatCode>0</c:formatCode>
                <c:ptCount val="12"/>
                <c:pt idx="0">
                  <c:v>3189.9</c:v>
                </c:pt>
                <c:pt idx="1">
                  <c:v>3188</c:v>
                </c:pt>
                <c:pt idx="2">
                  <c:v>3041.1</c:v>
                </c:pt>
                <c:pt idx="3">
                  <c:v>2850.5</c:v>
                </c:pt>
                <c:pt idx="4">
                  <c:v>2768</c:v>
                </c:pt>
                <c:pt idx="5">
                  <c:v>2984.3</c:v>
                </c:pt>
                <c:pt idx="6">
                  <c:v>3097.1</c:v>
                </c:pt>
                <c:pt idx="7">
                  <c:v>2909.2</c:v>
                </c:pt>
                <c:pt idx="8">
                  <c:v>2909.4</c:v>
                </c:pt>
                <c:pt idx="9">
                  <c:v>2844</c:v>
                </c:pt>
                <c:pt idx="10">
                  <c:v>3116.1</c:v>
                </c:pt>
                <c:pt idx="11">
                  <c:v>3210.7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69-49EC-B0EC-A1AECE6271EF}"/>
            </c:ext>
          </c:extLst>
        </c:ser>
        <c:ser>
          <c:idx val="4"/>
          <c:order val="5"/>
          <c:tx>
            <c:strRef>
              <c:f>DemandDuration!$K$5</c:f>
              <c:strCache>
                <c:ptCount val="1"/>
                <c:pt idx="0">
                  <c:v>WeekEnd.n03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DemandDuration!$E$6:$E$17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DemandDuration!$K$6:$K$17</c:f>
              <c:numCache>
                <c:formatCode>0</c:formatCode>
                <c:ptCount val="12"/>
                <c:pt idx="0">
                  <c:v>2619.4</c:v>
                </c:pt>
                <c:pt idx="1">
                  <c:v>2644.2</c:v>
                </c:pt>
                <c:pt idx="2">
                  <c:v>2572</c:v>
                </c:pt>
                <c:pt idx="3">
                  <c:v>2435.8000000000002</c:v>
                </c:pt>
                <c:pt idx="4">
                  <c:v>2385.3000000000002</c:v>
                </c:pt>
                <c:pt idx="5">
                  <c:v>2512.4</c:v>
                </c:pt>
                <c:pt idx="6">
                  <c:v>2599.3000000000002</c:v>
                </c:pt>
                <c:pt idx="7">
                  <c:v>2448</c:v>
                </c:pt>
                <c:pt idx="8">
                  <c:v>2488.1999999999998</c:v>
                </c:pt>
                <c:pt idx="9">
                  <c:v>2443.4</c:v>
                </c:pt>
                <c:pt idx="10">
                  <c:v>2586.1999999999998</c:v>
                </c:pt>
                <c:pt idx="11">
                  <c:v>2619.3000000000002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69-49EC-B0EC-A1AECE627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3382672"/>
        <c:axId val="1233165792"/>
      </c:barChart>
      <c:catAx>
        <c:axId val="1403382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Month</a:t>
                </a:r>
              </a:p>
            </c:rich>
          </c:tx>
          <c:layout>
            <c:manualLayout>
              <c:xMode val="edge"/>
              <c:yMode val="edge"/>
              <c:x val="0.42071265363674198"/>
              <c:y val="0.872056591216696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233165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33165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Demand [MW]</a:t>
                </a:r>
              </a:p>
            </c:rich>
          </c:tx>
          <c:layout>
            <c:manualLayout>
              <c:xMode val="edge"/>
              <c:yMode val="edge"/>
              <c:x val="2.5889967637540531E-2"/>
              <c:y val="0.272728387584031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0338267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993539399808034"/>
          <c:y val="0.2154890040454352"/>
          <c:w val="0.18770260513552345"/>
          <c:h val="0.42761095034061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0144" r="0.75000000000000144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UC!$A$3:$C$3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Nuclear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UC!$D$3:$AA$3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 formatCode="General">
                  <c:v>1</c:v>
                </c:pt>
                <c:pt idx="4" formatCode="General">
                  <c:v>1</c:v>
                </c:pt>
                <c:pt idx="5" formatCode="General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1</c:v>
                </c:pt>
                <c:pt idx="15" formatCode="General">
                  <c:v>1</c:v>
                </c:pt>
                <c:pt idx="16" formatCode="General">
                  <c:v>1</c:v>
                </c:pt>
                <c:pt idx="17" formatCode="General">
                  <c:v>1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A0-4B49-9FF7-A5727B069C73}"/>
            </c:ext>
          </c:extLst>
        </c:ser>
        <c:ser>
          <c:idx val="1"/>
          <c:order val="1"/>
          <c:tx>
            <c:strRef>
              <c:f>UC!$A$4:$C$4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UC!$D$4:$AA$4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 formatCode="General">
                  <c:v>1</c:v>
                </c:pt>
                <c:pt idx="4" formatCode="General">
                  <c:v>1</c:v>
                </c:pt>
                <c:pt idx="5" formatCode="General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1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1</c:v>
                </c:pt>
                <c:pt idx="19" formatCode="General">
                  <c:v>0</c:v>
                </c:pt>
                <c:pt idx="20" formatCode="General">
                  <c:v>1</c:v>
                </c:pt>
                <c:pt idx="21" formatCode="General">
                  <c:v>0</c:v>
                </c:pt>
                <c:pt idx="22" formatCode="General">
                  <c:v>1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A0-4B49-9FF7-A5727B069C73}"/>
            </c:ext>
          </c:extLst>
        </c:ser>
        <c:ser>
          <c:idx val="2"/>
          <c:order val="2"/>
          <c:tx>
            <c:strRef>
              <c:f>UC!$A$5:$C$5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UC!$D$5:$AA$5</c:f>
              <c:numCache>
                <c:formatCode>0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1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A0-4B49-9FF7-A5727B069C73}"/>
            </c:ext>
          </c:extLst>
        </c:ser>
        <c:ser>
          <c:idx val="3"/>
          <c:order val="3"/>
          <c:tx>
            <c:strRef>
              <c:f>UC!$A$6:$C$6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UC!$D$6:$AA$6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1</c:v>
                </c:pt>
                <c:pt idx="17" formatCode="General">
                  <c:v>0</c:v>
                </c:pt>
                <c:pt idx="18" formatCode="General">
                  <c:v>1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1</c:v>
                </c:pt>
                <c:pt idx="2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A0-4B49-9FF7-A5727B069C73}"/>
            </c:ext>
          </c:extLst>
        </c:ser>
        <c:ser>
          <c:idx val="4"/>
          <c:order val="4"/>
          <c:tx>
            <c:strRef>
              <c:f>UC!$A$7:$C$7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UC!$D$7:$AA$7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0</c:v>
                </c:pt>
                <c:pt idx="10" formatCode="General">
                  <c:v>1</c:v>
                </c:pt>
                <c:pt idx="11" formatCode="General">
                  <c:v>0</c:v>
                </c:pt>
                <c:pt idx="12" formatCode="General">
                  <c:v>1</c:v>
                </c:pt>
                <c:pt idx="13" formatCode="General">
                  <c:v>0</c:v>
                </c:pt>
                <c:pt idx="14" formatCode="General">
                  <c:v>1</c:v>
                </c:pt>
                <c:pt idx="15" formatCode="General">
                  <c:v>1</c:v>
                </c:pt>
                <c:pt idx="16" formatCode="General">
                  <c:v>1</c:v>
                </c:pt>
                <c:pt idx="17" formatCode="General">
                  <c:v>1</c:v>
                </c:pt>
                <c:pt idx="18" formatCode="General">
                  <c:v>1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1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2A0-4B49-9FF7-A5727B069C73}"/>
            </c:ext>
          </c:extLst>
        </c:ser>
        <c:ser>
          <c:idx val="5"/>
          <c:order val="5"/>
          <c:tx>
            <c:strRef>
              <c:f>UC!$A$8:$C$8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CCGT_1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UC!$D$8:$AA$8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 formatCode="General">
                  <c:v>1</c:v>
                </c:pt>
                <c:pt idx="4" formatCode="General">
                  <c:v>1</c:v>
                </c:pt>
                <c:pt idx="5" formatCode="General">
                  <c:v>1</c:v>
                </c:pt>
                <c:pt idx="6" formatCode="General">
                  <c:v>1</c:v>
                </c:pt>
                <c:pt idx="7" formatCode="General">
                  <c:v>0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1</c:v>
                </c:pt>
                <c:pt idx="15" formatCode="General">
                  <c:v>1</c:v>
                </c:pt>
                <c:pt idx="16" formatCode="General">
                  <c:v>1</c:v>
                </c:pt>
                <c:pt idx="17" formatCode="General">
                  <c:v>1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A0-4B49-9FF7-A5727B069C73}"/>
            </c:ext>
          </c:extLst>
        </c:ser>
        <c:ser>
          <c:idx val="6"/>
          <c:order val="6"/>
          <c:tx>
            <c:strRef>
              <c:f>UC!$A$9:$C$9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CCGT_2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UC!$D$9:$AA$9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 formatCode="General">
                  <c:v>1</c:v>
                </c:pt>
                <c:pt idx="4" formatCode="General">
                  <c:v>1</c:v>
                </c:pt>
                <c:pt idx="5" formatCode="General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0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1</c:v>
                </c:pt>
                <c:pt idx="15" formatCode="General">
                  <c:v>1</c:v>
                </c:pt>
                <c:pt idx="16" formatCode="General">
                  <c:v>1</c:v>
                </c:pt>
                <c:pt idx="17" formatCode="General">
                  <c:v>1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2A0-4B49-9FF7-A5727B069C73}"/>
            </c:ext>
          </c:extLst>
        </c:ser>
        <c:ser>
          <c:idx val="7"/>
          <c:order val="7"/>
          <c:tx>
            <c:strRef>
              <c:f>UC!$A$10:$C$10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CCGT_3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UC!$D$10:$AA$10</c:f>
              <c:numCache>
                <c:formatCode>0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 formatCode="General">
                  <c:v>0</c:v>
                </c:pt>
                <c:pt idx="4" formatCode="General">
                  <c:v>1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1</c:v>
                </c:pt>
                <c:pt idx="11" formatCode="General">
                  <c:v>0</c:v>
                </c:pt>
                <c:pt idx="12" formatCode="General">
                  <c:v>1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1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1</c:v>
                </c:pt>
                <c:pt idx="21" formatCode="General">
                  <c:v>0</c:v>
                </c:pt>
                <c:pt idx="22" formatCode="General">
                  <c:v>1</c:v>
                </c:pt>
                <c:pt idx="2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2A0-4B49-9FF7-A5727B069C73}"/>
            </c:ext>
          </c:extLst>
        </c:ser>
        <c:ser>
          <c:idx val="8"/>
          <c:order val="8"/>
          <c:tx>
            <c:strRef>
              <c:f>UC!$A$11:$C$11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CCGT_4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UC!$D$11:$AA$11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 formatCode="General">
                  <c:v>1</c:v>
                </c:pt>
                <c:pt idx="4" formatCode="General">
                  <c:v>1</c:v>
                </c:pt>
                <c:pt idx="5" formatCode="General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1</c:v>
                </c:pt>
                <c:pt idx="15" formatCode="General">
                  <c:v>1</c:v>
                </c:pt>
                <c:pt idx="16" formatCode="General">
                  <c:v>1</c:v>
                </c:pt>
                <c:pt idx="17" formatCode="General">
                  <c:v>1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2A0-4B49-9FF7-A5727B069C73}"/>
            </c:ext>
          </c:extLst>
        </c:ser>
        <c:ser>
          <c:idx val="9"/>
          <c:order val="9"/>
          <c:tx>
            <c:strRef>
              <c:f>UC!$A$12:$C$12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OCGT_1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UC!$D$12:$AA$12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1</c:v>
                </c:pt>
                <c:pt idx="22" formatCode="General">
                  <c:v>0</c:v>
                </c:pt>
                <c:pt idx="2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2A0-4B49-9FF7-A5727B069C73}"/>
            </c:ext>
          </c:extLst>
        </c:ser>
        <c:ser>
          <c:idx val="10"/>
          <c:order val="10"/>
          <c:tx>
            <c:strRef>
              <c:f>UC!$A$13:$C$13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OCGT_2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UC!$D$13:$AA$13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2A0-4B49-9FF7-A5727B069C73}"/>
            </c:ext>
          </c:extLst>
        </c:ser>
        <c:ser>
          <c:idx val="11"/>
          <c:order val="11"/>
          <c:tx>
            <c:strRef>
              <c:f>UC!$A$14:$C$14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OCGT_3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UC!$D$14:$AA$14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2A0-4B49-9FF7-A5727B069C73}"/>
            </c:ext>
          </c:extLst>
        </c:ser>
        <c:ser>
          <c:idx val="12"/>
          <c:order val="12"/>
          <c:tx>
            <c:strRef>
              <c:f>UC!$A$15:$C$15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FuelOilGas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UC!$D$15:$AA$15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2A0-4B49-9FF7-A5727B069C73}"/>
            </c:ext>
          </c:extLst>
        </c:ser>
        <c:ser>
          <c:idx val="13"/>
          <c:order val="13"/>
          <c:tx>
            <c:strRef>
              <c:f>UC!$A$16:$C$16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Nuclear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UC!$D$16:$AA$16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 formatCode="General">
                  <c:v>1</c:v>
                </c:pt>
                <c:pt idx="4" formatCode="General">
                  <c:v>1</c:v>
                </c:pt>
                <c:pt idx="5" formatCode="General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1</c:v>
                </c:pt>
                <c:pt idx="15" formatCode="General">
                  <c:v>1</c:v>
                </c:pt>
                <c:pt idx="16" formatCode="General">
                  <c:v>1</c:v>
                </c:pt>
                <c:pt idx="17" formatCode="General">
                  <c:v>1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2A0-4B49-9FF7-A5727B069C73}"/>
            </c:ext>
          </c:extLst>
        </c:ser>
        <c:ser>
          <c:idx val="14"/>
          <c:order val="14"/>
          <c:tx>
            <c:strRef>
              <c:f>UC!$A$17:$C$17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UC!$D$17:$AA$17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 formatCode="General">
                  <c:v>1</c:v>
                </c:pt>
                <c:pt idx="4" formatCode="General">
                  <c:v>1</c:v>
                </c:pt>
                <c:pt idx="5" formatCode="General">
                  <c:v>0</c:v>
                </c:pt>
                <c:pt idx="6" formatCode="General">
                  <c:v>1</c:v>
                </c:pt>
                <c:pt idx="7" formatCode="General">
                  <c:v>0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0</c:v>
                </c:pt>
                <c:pt idx="14" formatCode="General">
                  <c:v>1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2A0-4B49-9FF7-A5727B069C73}"/>
            </c:ext>
          </c:extLst>
        </c:ser>
        <c:ser>
          <c:idx val="15"/>
          <c:order val="15"/>
          <c:tx>
            <c:strRef>
              <c:f>UC!$A$18:$C$18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UC!$D$18:$AA$18</c:f>
              <c:numCache>
                <c:formatCode>0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1</c:v>
                </c:pt>
                <c:pt idx="19" formatCode="General">
                  <c:v>0</c:v>
                </c:pt>
                <c:pt idx="20" formatCode="General">
                  <c:v>1</c:v>
                </c:pt>
                <c:pt idx="21" formatCode="General">
                  <c:v>0</c:v>
                </c:pt>
                <c:pt idx="22" formatCode="General">
                  <c:v>1</c:v>
                </c:pt>
                <c:pt idx="2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2A0-4B49-9FF7-A5727B069C73}"/>
            </c:ext>
          </c:extLst>
        </c:ser>
        <c:ser>
          <c:idx val="16"/>
          <c:order val="16"/>
          <c:tx>
            <c:strRef>
              <c:f>UC!$A$19:$C$19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UC!$D$19:$AA$19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2A0-4B49-9FF7-A5727B069C73}"/>
            </c:ext>
          </c:extLst>
        </c:ser>
        <c:ser>
          <c:idx val="17"/>
          <c:order val="17"/>
          <c:tx>
            <c:strRef>
              <c:f>UC!$A$20:$C$20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UC!$D$20:$AA$20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2A0-4B49-9FF7-A5727B069C73}"/>
            </c:ext>
          </c:extLst>
        </c:ser>
        <c:ser>
          <c:idx val="18"/>
          <c:order val="18"/>
          <c:tx>
            <c:strRef>
              <c:f>UC!$A$21:$C$21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CCGT_1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UC!$D$21:$AA$21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2A0-4B49-9FF7-A5727B069C73}"/>
            </c:ext>
          </c:extLst>
        </c:ser>
        <c:ser>
          <c:idx val="19"/>
          <c:order val="19"/>
          <c:tx>
            <c:strRef>
              <c:f>UC!$A$22:$C$22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CCGT_2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UC!$D$22:$AA$22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2A0-4B49-9FF7-A5727B069C73}"/>
            </c:ext>
          </c:extLst>
        </c:ser>
        <c:ser>
          <c:idx val="20"/>
          <c:order val="20"/>
          <c:tx>
            <c:strRef>
              <c:f>UC!$A$23:$C$23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CCGT_3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UC!$D$23:$AA$23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2A0-4B49-9FF7-A5727B069C73}"/>
            </c:ext>
          </c:extLst>
        </c:ser>
        <c:ser>
          <c:idx val="21"/>
          <c:order val="21"/>
          <c:tx>
            <c:strRef>
              <c:f>UC!$A$24:$C$24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CCGT_4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UC!$D$24:$AA$24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2A0-4B49-9FF7-A5727B069C73}"/>
            </c:ext>
          </c:extLst>
        </c:ser>
        <c:ser>
          <c:idx val="22"/>
          <c:order val="22"/>
          <c:tx>
            <c:strRef>
              <c:f>UC!$A$25:$C$25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OCGT_1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UC!$D$25:$AA$25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2A0-4B49-9FF7-A5727B069C73}"/>
            </c:ext>
          </c:extLst>
        </c:ser>
        <c:ser>
          <c:idx val="23"/>
          <c:order val="23"/>
          <c:tx>
            <c:strRef>
              <c:f>UC!$A$26:$C$26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OCGT_2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UC!$D$26:$AA$26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2A0-4B49-9FF7-A5727B069C73}"/>
            </c:ext>
          </c:extLst>
        </c:ser>
        <c:ser>
          <c:idx val="24"/>
          <c:order val="24"/>
          <c:tx>
            <c:strRef>
              <c:f>UC!$A$27:$C$27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OCGT_3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UC!$D$27:$AA$27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2A0-4B49-9FF7-A5727B069C73}"/>
            </c:ext>
          </c:extLst>
        </c:ser>
        <c:ser>
          <c:idx val="25"/>
          <c:order val="25"/>
          <c:tx>
            <c:strRef>
              <c:f>UC!$A$28:$C$28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FuelOilGas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UC!$D$28:$AA$28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2A0-4B49-9FF7-A5727B069C73}"/>
            </c:ext>
          </c:extLst>
        </c:ser>
        <c:ser>
          <c:idx val="26"/>
          <c:order val="26"/>
          <c:tx>
            <c:strRef>
              <c:f>UC!$A$29:$C$29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Nuclear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UC!$D$29:$AA$29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2A0-4B49-9FF7-A5727B069C73}"/>
            </c:ext>
          </c:extLst>
        </c:ser>
        <c:ser>
          <c:idx val="27"/>
          <c:order val="27"/>
          <c:tx>
            <c:strRef>
              <c:f>UC!$A$30:$C$30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UC!$D$30:$AA$30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2A0-4B49-9FF7-A5727B069C73}"/>
            </c:ext>
          </c:extLst>
        </c:ser>
        <c:ser>
          <c:idx val="28"/>
          <c:order val="28"/>
          <c:tx>
            <c:strRef>
              <c:f>UC!$A$31:$C$31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UC!$D$31:$AA$31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2A0-4B49-9FF7-A5727B069C73}"/>
            </c:ext>
          </c:extLst>
        </c:ser>
        <c:ser>
          <c:idx val="29"/>
          <c:order val="29"/>
          <c:tx>
            <c:strRef>
              <c:f>UC!$A$32:$C$32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UC!$D$32:$AA$32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2A0-4B49-9FF7-A5727B069C73}"/>
            </c:ext>
          </c:extLst>
        </c:ser>
        <c:ser>
          <c:idx val="30"/>
          <c:order val="30"/>
          <c:tx>
            <c:strRef>
              <c:f>UC!$A$33:$C$33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UC!$D$33:$AA$33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2A0-4B49-9FF7-A5727B069C73}"/>
            </c:ext>
          </c:extLst>
        </c:ser>
        <c:ser>
          <c:idx val="31"/>
          <c:order val="31"/>
          <c:tx>
            <c:strRef>
              <c:f>UC!$A$34:$C$34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CCGT_1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UC!$D$34:$AA$34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2A0-4B49-9FF7-A5727B069C73}"/>
            </c:ext>
          </c:extLst>
        </c:ser>
        <c:ser>
          <c:idx val="32"/>
          <c:order val="32"/>
          <c:tx>
            <c:strRef>
              <c:f>UC!$A$35:$C$35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CCGT_2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UC!$D$35:$AA$35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2A0-4B49-9FF7-A5727B069C73}"/>
            </c:ext>
          </c:extLst>
        </c:ser>
        <c:ser>
          <c:idx val="33"/>
          <c:order val="33"/>
          <c:tx>
            <c:strRef>
              <c:f>UC!$A$36:$C$36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CCGT_3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UC!$D$36:$AA$36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A2A0-4B49-9FF7-A5727B069C73}"/>
            </c:ext>
          </c:extLst>
        </c:ser>
        <c:ser>
          <c:idx val="34"/>
          <c:order val="34"/>
          <c:tx>
            <c:strRef>
              <c:f>UC!$A$37:$C$37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CCGT_4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UC!$D$37:$AA$37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A2A0-4B49-9FF7-A5727B069C73}"/>
            </c:ext>
          </c:extLst>
        </c:ser>
        <c:ser>
          <c:idx val="35"/>
          <c:order val="35"/>
          <c:tx>
            <c:strRef>
              <c:f>UC!$A$38:$C$38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OCGT_1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UC!$D$38:$AA$38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A2A0-4B49-9FF7-A5727B069C73}"/>
            </c:ext>
          </c:extLst>
        </c:ser>
        <c:ser>
          <c:idx val="36"/>
          <c:order val="36"/>
          <c:tx>
            <c:strRef>
              <c:f>UC!$A$39:$C$39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OCGT_2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UC!$D$39:$AA$39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2A0-4B49-9FF7-A5727B069C73}"/>
            </c:ext>
          </c:extLst>
        </c:ser>
        <c:ser>
          <c:idx val="37"/>
          <c:order val="37"/>
          <c:tx>
            <c:strRef>
              <c:f>UC!$A$40:$C$40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OCGT_3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UC!$D$40:$AA$40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2A0-4B49-9FF7-A5727B069C73}"/>
            </c:ext>
          </c:extLst>
        </c:ser>
        <c:ser>
          <c:idx val="38"/>
          <c:order val="38"/>
          <c:tx>
            <c:strRef>
              <c:f>UC!$A$41:$C$41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FuelOilGas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UC!$D$41:$AA$41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A2A0-4B49-9FF7-A5727B069C73}"/>
            </c:ext>
          </c:extLst>
        </c:ser>
        <c:ser>
          <c:idx val="39"/>
          <c:order val="39"/>
          <c:tx>
            <c:strRef>
              <c:f>UC!$A$42:$C$42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Nuclear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UC!$D$42:$AA$42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A2A0-4B49-9FF7-A5727B069C73}"/>
            </c:ext>
          </c:extLst>
        </c:ser>
        <c:ser>
          <c:idx val="40"/>
          <c:order val="40"/>
          <c:tx>
            <c:strRef>
              <c:f>UC!$A$43:$C$43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UC!$D$43:$AA$43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A2A0-4B49-9FF7-A5727B069C73}"/>
            </c:ext>
          </c:extLst>
        </c:ser>
        <c:ser>
          <c:idx val="41"/>
          <c:order val="41"/>
          <c:tx>
            <c:strRef>
              <c:f>UC!$A$44:$C$44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UC!$D$44:$AA$44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2A0-4B49-9FF7-A5727B069C73}"/>
            </c:ext>
          </c:extLst>
        </c:ser>
        <c:ser>
          <c:idx val="42"/>
          <c:order val="42"/>
          <c:tx>
            <c:strRef>
              <c:f>UC!$A$45:$C$45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UC!$D$45:$AA$45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A2A0-4B49-9FF7-A5727B069C73}"/>
            </c:ext>
          </c:extLst>
        </c:ser>
        <c:ser>
          <c:idx val="43"/>
          <c:order val="43"/>
          <c:tx>
            <c:strRef>
              <c:f>UC!$A$46:$C$46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UC!$D$46:$AA$46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A2A0-4B49-9FF7-A5727B069C73}"/>
            </c:ext>
          </c:extLst>
        </c:ser>
        <c:ser>
          <c:idx val="44"/>
          <c:order val="44"/>
          <c:tx>
            <c:strRef>
              <c:f>UC!$A$47:$C$47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CCGT_1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UC!$D$47:$AA$47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2A0-4B49-9FF7-A5727B069C73}"/>
            </c:ext>
          </c:extLst>
        </c:ser>
        <c:ser>
          <c:idx val="45"/>
          <c:order val="45"/>
          <c:tx>
            <c:strRef>
              <c:f>UC!$A$48:$C$48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CCGT_2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UC!$D$48:$AA$48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A2A0-4B49-9FF7-A5727B069C73}"/>
            </c:ext>
          </c:extLst>
        </c:ser>
        <c:ser>
          <c:idx val="46"/>
          <c:order val="46"/>
          <c:tx>
            <c:strRef>
              <c:f>UC!$A$49:$C$49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CCGT_3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UC!$D$49:$AA$49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A2A0-4B49-9FF7-A5727B069C73}"/>
            </c:ext>
          </c:extLst>
        </c:ser>
        <c:ser>
          <c:idx val="47"/>
          <c:order val="47"/>
          <c:tx>
            <c:strRef>
              <c:f>UC!$A$50:$C$50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CCGT_4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UC!$D$50:$AA$50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A2A0-4B49-9FF7-A5727B069C73}"/>
            </c:ext>
          </c:extLst>
        </c:ser>
        <c:ser>
          <c:idx val="48"/>
          <c:order val="48"/>
          <c:tx>
            <c:strRef>
              <c:f>UC!$A$51:$C$51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OCGT_1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UC!$D$51:$AA$51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A2A0-4B49-9FF7-A5727B069C73}"/>
            </c:ext>
          </c:extLst>
        </c:ser>
        <c:ser>
          <c:idx val="49"/>
          <c:order val="49"/>
          <c:tx>
            <c:strRef>
              <c:f>UC!$A$52:$C$52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OCGT_2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UC!$D$52:$AA$52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A2A0-4B49-9FF7-A5727B069C73}"/>
            </c:ext>
          </c:extLst>
        </c:ser>
        <c:ser>
          <c:idx val="50"/>
          <c:order val="50"/>
          <c:tx>
            <c:strRef>
              <c:f>UC!$A$53:$C$53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OCGT_3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UC!$D$53:$AA$53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A2A0-4B49-9FF7-A5727B069C73}"/>
            </c:ext>
          </c:extLst>
        </c:ser>
        <c:ser>
          <c:idx val="51"/>
          <c:order val="51"/>
          <c:tx>
            <c:strRef>
              <c:f>UC!$A$54:$C$54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FuelOilGas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UC!$D$54:$AA$54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A2A0-4B49-9FF7-A5727B069C73}"/>
            </c:ext>
          </c:extLst>
        </c:ser>
        <c:ser>
          <c:idx val="52"/>
          <c:order val="52"/>
          <c:tx>
            <c:strRef>
              <c:f>UC!$A$55:$C$55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Nuclear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UC!$D$55:$AA$55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A2A0-4B49-9FF7-A5727B069C73}"/>
            </c:ext>
          </c:extLst>
        </c:ser>
        <c:ser>
          <c:idx val="53"/>
          <c:order val="53"/>
          <c:tx>
            <c:strRef>
              <c:f>UC!$A$56:$C$56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UC!$D$56:$AA$56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A2A0-4B49-9FF7-A5727B069C73}"/>
            </c:ext>
          </c:extLst>
        </c:ser>
        <c:ser>
          <c:idx val="54"/>
          <c:order val="54"/>
          <c:tx>
            <c:strRef>
              <c:f>UC!$A$57:$C$57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UC!$D$57:$AA$57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A2A0-4B49-9FF7-A5727B069C73}"/>
            </c:ext>
          </c:extLst>
        </c:ser>
        <c:ser>
          <c:idx val="55"/>
          <c:order val="55"/>
          <c:tx>
            <c:strRef>
              <c:f>UC!$A$58:$C$58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UC!$D$58:$AA$58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A2A0-4B49-9FF7-A5727B069C73}"/>
            </c:ext>
          </c:extLst>
        </c:ser>
        <c:ser>
          <c:idx val="56"/>
          <c:order val="56"/>
          <c:tx>
            <c:strRef>
              <c:f>UC!$A$59:$C$59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UC!$D$59:$AA$59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A2A0-4B49-9FF7-A5727B069C73}"/>
            </c:ext>
          </c:extLst>
        </c:ser>
        <c:ser>
          <c:idx val="57"/>
          <c:order val="57"/>
          <c:tx>
            <c:strRef>
              <c:f>UC!$A$60:$C$60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CCGT_1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UC!$D$60:$AA$60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2A0-4B49-9FF7-A5727B069C73}"/>
            </c:ext>
          </c:extLst>
        </c:ser>
        <c:ser>
          <c:idx val="58"/>
          <c:order val="58"/>
          <c:tx>
            <c:strRef>
              <c:f>UC!$A$61:$C$61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CCGT_2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UC!$D$61:$AA$61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A2A0-4B49-9FF7-A5727B069C73}"/>
            </c:ext>
          </c:extLst>
        </c:ser>
        <c:ser>
          <c:idx val="59"/>
          <c:order val="59"/>
          <c:tx>
            <c:strRef>
              <c:f>UC!$A$62:$C$62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CCGT_3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UC!$D$62:$AA$62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A2A0-4B49-9FF7-A5727B069C73}"/>
            </c:ext>
          </c:extLst>
        </c:ser>
        <c:ser>
          <c:idx val="60"/>
          <c:order val="60"/>
          <c:tx>
            <c:strRef>
              <c:f>UC!$A$63:$C$63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CCGT_4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UC!$D$63:$AA$63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A2A0-4B49-9FF7-A5727B069C73}"/>
            </c:ext>
          </c:extLst>
        </c:ser>
        <c:ser>
          <c:idx val="61"/>
          <c:order val="61"/>
          <c:tx>
            <c:strRef>
              <c:f>UC!$A$64:$C$64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OCGT_1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UC!$D$64:$AA$64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A2A0-4B49-9FF7-A5727B069C73}"/>
            </c:ext>
          </c:extLst>
        </c:ser>
        <c:ser>
          <c:idx val="62"/>
          <c:order val="62"/>
          <c:tx>
            <c:strRef>
              <c:f>UC!$A$65:$C$65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OCGT_2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UC!$D$65:$AA$65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A2A0-4B49-9FF7-A5727B069C73}"/>
            </c:ext>
          </c:extLst>
        </c:ser>
        <c:ser>
          <c:idx val="63"/>
          <c:order val="63"/>
          <c:tx>
            <c:strRef>
              <c:f>UC!$A$66:$C$66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OCGT_3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UC!$D$66:$AA$66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A2A0-4B49-9FF7-A5727B069C73}"/>
            </c:ext>
          </c:extLst>
        </c:ser>
        <c:ser>
          <c:idx val="64"/>
          <c:order val="64"/>
          <c:tx>
            <c:strRef>
              <c:f>UC!$A$67:$C$67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FuelOilGas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UC!$D$67:$AA$67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A2A0-4B49-9FF7-A5727B069C73}"/>
            </c:ext>
          </c:extLst>
        </c:ser>
        <c:ser>
          <c:idx val="65"/>
          <c:order val="65"/>
          <c:tx>
            <c:strRef>
              <c:f>UC!$A$68:$C$68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Nuclear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UC!$D$68:$AA$68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A2A0-4B49-9FF7-A5727B069C73}"/>
            </c:ext>
          </c:extLst>
        </c:ser>
        <c:ser>
          <c:idx val="66"/>
          <c:order val="66"/>
          <c:tx>
            <c:strRef>
              <c:f>UC!$A$69:$C$69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UC!$D$69:$AA$69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A2A0-4B49-9FF7-A5727B069C73}"/>
            </c:ext>
          </c:extLst>
        </c:ser>
        <c:ser>
          <c:idx val="67"/>
          <c:order val="67"/>
          <c:tx>
            <c:strRef>
              <c:f>UC!$A$70:$C$70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UC!$D$70:$AA$70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A2A0-4B49-9FF7-A5727B069C73}"/>
            </c:ext>
          </c:extLst>
        </c:ser>
        <c:ser>
          <c:idx val="68"/>
          <c:order val="68"/>
          <c:tx>
            <c:strRef>
              <c:f>UC!$A$71:$C$71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UC!$D$71:$AA$71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A2A0-4B49-9FF7-A5727B069C73}"/>
            </c:ext>
          </c:extLst>
        </c:ser>
        <c:ser>
          <c:idx val="69"/>
          <c:order val="69"/>
          <c:tx>
            <c:strRef>
              <c:f>UC!$A$72:$C$72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UC!$D$72:$AA$72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A2A0-4B49-9FF7-A5727B069C73}"/>
            </c:ext>
          </c:extLst>
        </c:ser>
        <c:ser>
          <c:idx val="70"/>
          <c:order val="70"/>
          <c:tx>
            <c:strRef>
              <c:f>UC!$A$73:$C$73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CCGT_1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UC!$D$73:$AA$73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A2A0-4B49-9FF7-A5727B069C73}"/>
            </c:ext>
          </c:extLst>
        </c:ser>
        <c:ser>
          <c:idx val="71"/>
          <c:order val="71"/>
          <c:tx>
            <c:strRef>
              <c:f>UC!$A$74:$C$74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CCGT_2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UC!$D$74:$AA$74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A2A0-4B49-9FF7-A5727B069C73}"/>
            </c:ext>
          </c:extLst>
        </c:ser>
        <c:ser>
          <c:idx val="72"/>
          <c:order val="72"/>
          <c:tx>
            <c:strRef>
              <c:f>UC!$A$75:$C$75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CCGT_3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UC!$D$75:$AA$75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A2A0-4B49-9FF7-A5727B069C73}"/>
            </c:ext>
          </c:extLst>
        </c:ser>
        <c:ser>
          <c:idx val="73"/>
          <c:order val="73"/>
          <c:tx>
            <c:strRef>
              <c:f>UC!$A$76:$C$76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CCGT_4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UC!$D$76:$AA$76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A2A0-4B49-9FF7-A5727B069C73}"/>
            </c:ext>
          </c:extLst>
        </c:ser>
        <c:ser>
          <c:idx val="74"/>
          <c:order val="74"/>
          <c:tx>
            <c:strRef>
              <c:f>UC!$A$77:$C$77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OCGT_1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UC!$D$77:$AA$77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A2A0-4B49-9FF7-A5727B069C73}"/>
            </c:ext>
          </c:extLst>
        </c:ser>
        <c:ser>
          <c:idx val="75"/>
          <c:order val="75"/>
          <c:tx>
            <c:strRef>
              <c:f>UC!$A$78:$C$78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OCGT_2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UC!$D$78:$AA$78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A2A0-4B49-9FF7-A5727B069C73}"/>
            </c:ext>
          </c:extLst>
        </c:ser>
        <c:ser>
          <c:idx val="76"/>
          <c:order val="76"/>
          <c:tx>
            <c:strRef>
              <c:f>UC!$A$79:$C$79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OCGT_3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UC!$D$79:$AA$79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A2A0-4B49-9FF7-A5727B069C73}"/>
            </c:ext>
          </c:extLst>
        </c:ser>
        <c:ser>
          <c:idx val="77"/>
          <c:order val="77"/>
          <c:tx>
            <c:strRef>
              <c:f>UC!$A$80:$C$80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FuelOilGas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UC!$D$80:$AA$80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A2A0-4B49-9FF7-A5727B069C73}"/>
            </c:ext>
          </c:extLst>
        </c:ser>
        <c:ser>
          <c:idx val="78"/>
          <c:order val="78"/>
          <c:tx>
            <c:strRef>
              <c:f>UC!$A$81:$C$81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Nuclear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UC!$D$81:$AA$81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A2A0-4B49-9FF7-A5727B069C73}"/>
            </c:ext>
          </c:extLst>
        </c:ser>
        <c:ser>
          <c:idx val="79"/>
          <c:order val="79"/>
          <c:tx>
            <c:strRef>
              <c:f>UC!$A$82:$C$82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UC!$D$82:$AA$82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A2A0-4B49-9FF7-A5727B069C73}"/>
            </c:ext>
          </c:extLst>
        </c:ser>
        <c:ser>
          <c:idx val="80"/>
          <c:order val="80"/>
          <c:tx>
            <c:strRef>
              <c:f>UC!$A$83:$C$83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UC!$D$83:$AA$83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A2A0-4B49-9FF7-A5727B069C73}"/>
            </c:ext>
          </c:extLst>
        </c:ser>
        <c:ser>
          <c:idx val="81"/>
          <c:order val="81"/>
          <c:tx>
            <c:strRef>
              <c:f>UC!$A$84:$C$84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UC!$D$84:$AA$84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A2A0-4B49-9FF7-A5727B069C73}"/>
            </c:ext>
          </c:extLst>
        </c:ser>
        <c:ser>
          <c:idx val="82"/>
          <c:order val="82"/>
          <c:tx>
            <c:strRef>
              <c:f>UC!$A$85:$C$85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UC!$D$85:$AA$85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A2A0-4B49-9FF7-A5727B069C73}"/>
            </c:ext>
          </c:extLst>
        </c:ser>
        <c:ser>
          <c:idx val="83"/>
          <c:order val="83"/>
          <c:tx>
            <c:strRef>
              <c:f>UC!$A$86:$C$86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CCGT_1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UC!$D$86:$AA$86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A2A0-4B49-9FF7-A5727B069C73}"/>
            </c:ext>
          </c:extLst>
        </c:ser>
        <c:ser>
          <c:idx val="84"/>
          <c:order val="84"/>
          <c:tx>
            <c:strRef>
              <c:f>UC!$A$87:$C$87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CCGT_2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UC!$D$87:$AA$87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A2A0-4B49-9FF7-A5727B069C73}"/>
            </c:ext>
          </c:extLst>
        </c:ser>
        <c:ser>
          <c:idx val="85"/>
          <c:order val="85"/>
          <c:tx>
            <c:strRef>
              <c:f>UC!$A$88:$C$88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CCGT_3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UC!$D$88:$AA$88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A2A0-4B49-9FF7-A5727B069C73}"/>
            </c:ext>
          </c:extLst>
        </c:ser>
        <c:ser>
          <c:idx val="86"/>
          <c:order val="86"/>
          <c:tx>
            <c:strRef>
              <c:f>UC!$A$89:$C$89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CCGT_4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UC!$D$89:$AA$89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A2A0-4B49-9FF7-A5727B069C73}"/>
            </c:ext>
          </c:extLst>
        </c:ser>
        <c:ser>
          <c:idx val="87"/>
          <c:order val="87"/>
          <c:tx>
            <c:strRef>
              <c:f>UC!$A$90:$C$90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OCGT_1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UC!$D$90:$AA$90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A2A0-4B49-9FF7-A5727B069C73}"/>
            </c:ext>
          </c:extLst>
        </c:ser>
        <c:ser>
          <c:idx val="88"/>
          <c:order val="88"/>
          <c:tx>
            <c:strRef>
              <c:f>UC!$A$91:$C$91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OCGT_2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UC!$D$91:$AA$91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A2A0-4B49-9FF7-A5727B069C73}"/>
            </c:ext>
          </c:extLst>
        </c:ser>
        <c:ser>
          <c:idx val="89"/>
          <c:order val="89"/>
          <c:tx>
            <c:strRef>
              <c:f>UC!$A$92:$C$92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OCGT_3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UC!$D$92:$AA$92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A2A0-4B49-9FF7-A5727B069C73}"/>
            </c:ext>
          </c:extLst>
        </c:ser>
        <c:ser>
          <c:idx val="90"/>
          <c:order val="90"/>
          <c:tx>
            <c:strRef>
              <c:f>UC!$A$93:$C$93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FuelOilGas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UC!$D$93:$AA$93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A2A0-4B49-9FF7-A5727B069C73}"/>
            </c:ext>
          </c:extLst>
        </c:ser>
        <c:ser>
          <c:idx val="91"/>
          <c:order val="91"/>
          <c:tx>
            <c:strRef>
              <c:f>UC!$A$94:$C$94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Nuclear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UC!$D$94:$AA$94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A2A0-4B49-9FF7-A5727B069C73}"/>
            </c:ext>
          </c:extLst>
        </c:ser>
        <c:ser>
          <c:idx val="92"/>
          <c:order val="92"/>
          <c:tx>
            <c:strRef>
              <c:f>UC!$A$95:$C$95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UC!$D$95:$AA$95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A2A0-4B49-9FF7-A5727B069C73}"/>
            </c:ext>
          </c:extLst>
        </c:ser>
        <c:ser>
          <c:idx val="93"/>
          <c:order val="93"/>
          <c:tx>
            <c:strRef>
              <c:f>UC!$A$96:$C$96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UC!$D$96:$AA$96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A2A0-4B49-9FF7-A5727B069C73}"/>
            </c:ext>
          </c:extLst>
        </c:ser>
        <c:ser>
          <c:idx val="94"/>
          <c:order val="94"/>
          <c:tx>
            <c:strRef>
              <c:f>UC!$A$97:$C$97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UC!$D$97:$AA$97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A2A0-4B49-9FF7-A5727B069C73}"/>
            </c:ext>
          </c:extLst>
        </c:ser>
        <c:ser>
          <c:idx val="95"/>
          <c:order val="95"/>
          <c:tx>
            <c:strRef>
              <c:f>UC!$A$98:$C$98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UC!$D$98:$AA$98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A2A0-4B49-9FF7-A5727B069C73}"/>
            </c:ext>
          </c:extLst>
        </c:ser>
        <c:ser>
          <c:idx val="96"/>
          <c:order val="96"/>
          <c:tx>
            <c:strRef>
              <c:f>UC!$A$99:$C$99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CCGT_1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UC!$D$99:$AA$99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A2A0-4B49-9FF7-A5727B069C73}"/>
            </c:ext>
          </c:extLst>
        </c:ser>
        <c:ser>
          <c:idx val="97"/>
          <c:order val="97"/>
          <c:tx>
            <c:strRef>
              <c:f>UC!$A$100:$C$100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CCGT_2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UC!$D$100:$AA$100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A2A0-4B49-9FF7-A5727B069C73}"/>
            </c:ext>
          </c:extLst>
        </c:ser>
        <c:ser>
          <c:idx val="98"/>
          <c:order val="98"/>
          <c:tx>
            <c:strRef>
              <c:f>UC!$A$101:$C$101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CCGT_3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UC!$D$101:$AA$101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A2A0-4B49-9FF7-A5727B069C73}"/>
            </c:ext>
          </c:extLst>
        </c:ser>
        <c:ser>
          <c:idx val="99"/>
          <c:order val="99"/>
          <c:tx>
            <c:strRef>
              <c:f>UC!$A$102:$C$102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CCGT_4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UC!$D$102:$AA$102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A2A0-4B49-9FF7-A5727B069C73}"/>
            </c:ext>
          </c:extLst>
        </c:ser>
        <c:ser>
          <c:idx val="100"/>
          <c:order val="100"/>
          <c:tx>
            <c:strRef>
              <c:f>UC!$A$103:$C$103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OCGT_1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UC!$D$103:$AA$103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A2A0-4B49-9FF7-A5727B069C73}"/>
            </c:ext>
          </c:extLst>
        </c:ser>
        <c:ser>
          <c:idx val="101"/>
          <c:order val="101"/>
          <c:tx>
            <c:strRef>
              <c:f>UC!$A$104:$C$104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OCGT_2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UC!$D$104:$AA$104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A2A0-4B49-9FF7-A5727B069C73}"/>
            </c:ext>
          </c:extLst>
        </c:ser>
        <c:ser>
          <c:idx val="102"/>
          <c:order val="102"/>
          <c:tx>
            <c:strRef>
              <c:f>UC!$A$105:$C$105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OCGT_3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UC!$D$105:$AA$105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6-A2A0-4B49-9FF7-A5727B069C73}"/>
            </c:ext>
          </c:extLst>
        </c:ser>
        <c:ser>
          <c:idx val="103"/>
          <c:order val="103"/>
          <c:tx>
            <c:strRef>
              <c:f>UC!$A$106:$C$106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FuelOilGas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UC!$D$106:$AA$106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A2A0-4B49-9FF7-A5727B069C73}"/>
            </c:ext>
          </c:extLst>
        </c:ser>
        <c:ser>
          <c:idx val="104"/>
          <c:order val="104"/>
          <c:tx>
            <c:strRef>
              <c:f>UC!$A$107:$C$107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Nuclear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UC!$D$107:$AA$107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8-A2A0-4B49-9FF7-A5727B069C73}"/>
            </c:ext>
          </c:extLst>
        </c:ser>
        <c:ser>
          <c:idx val="105"/>
          <c:order val="105"/>
          <c:tx>
            <c:strRef>
              <c:f>UC!$A$108:$C$108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UC!$D$108:$AA$108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9-A2A0-4B49-9FF7-A5727B069C73}"/>
            </c:ext>
          </c:extLst>
        </c:ser>
        <c:ser>
          <c:idx val="106"/>
          <c:order val="106"/>
          <c:tx>
            <c:strRef>
              <c:f>UC!$A$109:$C$109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UC!$D$109:$AA$109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A-A2A0-4B49-9FF7-A5727B069C73}"/>
            </c:ext>
          </c:extLst>
        </c:ser>
        <c:ser>
          <c:idx val="107"/>
          <c:order val="107"/>
          <c:tx>
            <c:strRef>
              <c:f>UC!$A$110:$C$110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UC!$D$110:$AA$110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B-A2A0-4B49-9FF7-A5727B069C73}"/>
            </c:ext>
          </c:extLst>
        </c:ser>
        <c:ser>
          <c:idx val="108"/>
          <c:order val="108"/>
          <c:tx>
            <c:strRef>
              <c:f>UC!$A$111:$C$111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UC!$D$111:$AA$111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C-A2A0-4B49-9FF7-A5727B069C73}"/>
            </c:ext>
          </c:extLst>
        </c:ser>
        <c:ser>
          <c:idx val="109"/>
          <c:order val="109"/>
          <c:tx>
            <c:strRef>
              <c:f>UC!$A$112:$C$112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CCGT_1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UC!$D$112:$AA$112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D-A2A0-4B49-9FF7-A5727B069C73}"/>
            </c:ext>
          </c:extLst>
        </c:ser>
        <c:ser>
          <c:idx val="110"/>
          <c:order val="110"/>
          <c:tx>
            <c:strRef>
              <c:f>UC!$A$113:$C$113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CCGT_2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UC!$D$113:$AA$113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A2A0-4B49-9FF7-A5727B069C73}"/>
            </c:ext>
          </c:extLst>
        </c:ser>
        <c:ser>
          <c:idx val="111"/>
          <c:order val="111"/>
          <c:tx>
            <c:strRef>
              <c:f>UC!$A$114:$C$114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CCGT_3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UC!$D$114:$AA$114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F-A2A0-4B49-9FF7-A5727B069C73}"/>
            </c:ext>
          </c:extLst>
        </c:ser>
        <c:ser>
          <c:idx val="112"/>
          <c:order val="112"/>
          <c:tx>
            <c:strRef>
              <c:f>UC!$A$115:$C$115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CCGT_4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UC!$D$115:$AA$115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A2A0-4B49-9FF7-A5727B069C73}"/>
            </c:ext>
          </c:extLst>
        </c:ser>
        <c:ser>
          <c:idx val="113"/>
          <c:order val="113"/>
          <c:tx>
            <c:strRef>
              <c:f>UC!$A$116:$C$116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OCGT_1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UC!$D$116:$AA$116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1-A2A0-4B49-9FF7-A5727B069C73}"/>
            </c:ext>
          </c:extLst>
        </c:ser>
        <c:ser>
          <c:idx val="114"/>
          <c:order val="114"/>
          <c:tx>
            <c:strRef>
              <c:f>UC!$A$117:$C$117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OCGT_2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UC!$D$117:$AA$117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2-A2A0-4B49-9FF7-A5727B069C73}"/>
            </c:ext>
          </c:extLst>
        </c:ser>
        <c:ser>
          <c:idx val="115"/>
          <c:order val="115"/>
          <c:tx>
            <c:strRef>
              <c:f>UC!$A$118:$C$118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OCGT_3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UC!$D$118:$AA$118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A2A0-4B49-9FF7-A5727B069C73}"/>
            </c:ext>
          </c:extLst>
        </c:ser>
        <c:ser>
          <c:idx val="116"/>
          <c:order val="116"/>
          <c:tx>
            <c:strRef>
              <c:f>UC!$A$119:$C$119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FuelOilGas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UC!$D$119:$AA$119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4-A2A0-4B49-9FF7-A5727B069C73}"/>
            </c:ext>
          </c:extLst>
        </c:ser>
        <c:ser>
          <c:idx val="117"/>
          <c:order val="117"/>
          <c:tx>
            <c:strRef>
              <c:f>UC!$A$120:$C$120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Nuclear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UC!$D$120:$AA$120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5-A2A0-4B49-9FF7-A5727B069C73}"/>
            </c:ext>
          </c:extLst>
        </c:ser>
        <c:ser>
          <c:idx val="118"/>
          <c:order val="118"/>
          <c:tx>
            <c:strRef>
              <c:f>UC!$A$121:$C$121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UC!$D$121:$AA$121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6-A2A0-4B49-9FF7-A5727B069C73}"/>
            </c:ext>
          </c:extLst>
        </c:ser>
        <c:ser>
          <c:idx val="119"/>
          <c:order val="119"/>
          <c:tx>
            <c:strRef>
              <c:f>UC!$A$122:$C$122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UC!$D$122:$AA$122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A2A0-4B49-9FF7-A5727B069C73}"/>
            </c:ext>
          </c:extLst>
        </c:ser>
        <c:ser>
          <c:idx val="120"/>
          <c:order val="120"/>
          <c:tx>
            <c:strRef>
              <c:f>UC!$A$123:$C$123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UC!$D$123:$AA$123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A2A0-4B49-9FF7-A5727B069C73}"/>
            </c:ext>
          </c:extLst>
        </c:ser>
        <c:ser>
          <c:idx val="121"/>
          <c:order val="121"/>
          <c:tx>
            <c:strRef>
              <c:f>UC!$A$124:$C$124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UC!$D$124:$AA$124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A2A0-4B49-9FF7-A5727B069C73}"/>
            </c:ext>
          </c:extLst>
        </c:ser>
        <c:ser>
          <c:idx val="122"/>
          <c:order val="122"/>
          <c:tx>
            <c:strRef>
              <c:f>UC!$A$125:$C$125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CCGT_1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UC!$D$125:$AA$125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A2A0-4B49-9FF7-A5727B069C73}"/>
            </c:ext>
          </c:extLst>
        </c:ser>
        <c:ser>
          <c:idx val="123"/>
          <c:order val="123"/>
          <c:tx>
            <c:strRef>
              <c:f>UC!$A$126:$C$126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CCGT_2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UC!$D$126:$AA$126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A2A0-4B49-9FF7-A5727B069C73}"/>
            </c:ext>
          </c:extLst>
        </c:ser>
        <c:ser>
          <c:idx val="124"/>
          <c:order val="124"/>
          <c:tx>
            <c:strRef>
              <c:f>UC!$A$127:$C$127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CCGT_3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UC!$D$127:$AA$127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A2A0-4B49-9FF7-A5727B069C73}"/>
            </c:ext>
          </c:extLst>
        </c:ser>
        <c:ser>
          <c:idx val="125"/>
          <c:order val="125"/>
          <c:tx>
            <c:strRef>
              <c:f>UC!$A$128:$C$128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CCGT_4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UC!$D$128:$AA$128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A2A0-4B49-9FF7-A5727B069C73}"/>
            </c:ext>
          </c:extLst>
        </c:ser>
        <c:ser>
          <c:idx val="126"/>
          <c:order val="126"/>
          <c:tx>
            <c:strRef>
              <c:f>UC!$A$129:$C$129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OCGT_1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UC!$D$129:$AA$129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A2A0-4B49-9FF7-A5727B069C73}"/>
            </c:ext>
          </c:extLst>
        </c:ser>
        <c:ser>
          <c:idx val="127"/>
          <c:order val="127"/>
          <c:tx>
            <c:strRef>
              <c:f>UC!$A$130:$C$130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OCGT_2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UC!$D$130:$AA$130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A2A0-4B49-9FF7-A5727B069C73}"/>
            </c:ext>
          </c:extLst>
        </c:ser>
        <c:ser>
          <c:idx val="128"/>
          <c:order val="128"/>
          <c:tx>
            <c:strRef>
              <c:f>UC!$A$131:$C$131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OCGT_3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UC!$D$131:$AA$131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A2A0-4B49-9FF7-A5727B069C73}"/>
            </c:ext>
          </c:extLst>
        </c:ser>
        <c:ser>
          <c:idx val="129"/>
          <c:order val="129"/>
          <c:tx>
            <c:strRef>
              <c:f>UC!$A$132:$C$132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FuelOilGas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UC!$D$132:$AA$132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A2A0-4B49-9FF7-A5727B069C73}"/>
            </c:ext>
          </c:extLst>
        </c:ser>
        <c:ser>
          <c:idx val="130"/>
          <c:order val="130"/>
          <c:tx>
            <c:strRef>
              <c:f>UC!$A$133:$C$133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Nuclear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UC!$D$133:$AA$133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A2A0-4B49-9FF7-A5727B069C73}"/>
            </c:ext>
          </c:extLst>
        </c:ser>
        <c:ser>
          <c:idx val="131"/>
          <c:order val="131"/>
          <c:tx>
            <c:strRef>
              <c:f>UC!$A$134:$C$134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UC!$D$134:$AA$134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A2A0-4B49-9FF7-A5727B069C73}"/>
            </c:ext>
          </c:extLst>
        </c:ser>
        <c:ser>
          <c:idx val="132"/>
          <c:order val="132"/>
          <c:tx>
            <c:strRef>
              <c:f>UC!$A$135:$C$135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UC!$D$135:$AA$135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A2A0-4B49-9FF7-A5727B069C73}"/>
            </c:ext>
          </c:extLst>
        </c:ser>
        <c:ser>
          <c:idx val="133"/>
          <c:order val="133"/>
          <c:tx>
            <c:strRef>
              <c:f>UC!$A$136:$C$136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UC!$D$136:$AA$136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A2A0-4B49-9FF7-A5727B069C73}"/>
            </c:ext>
          </c:extLst>
        </c:ser>
        <c:ser>
          <c:idx val="134"/>
          <c:order val="134"/>
          <c:tx>
            <c:strRef>
              <c:f>UC!$A$137:$C$137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UC!$D$137:$AA$137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A2A0-4B49-9FF7-A5727B069C73}"/>
            </c:ext>
          </c:extLst>
        </c:ser>
        <c:ser>
          <c:idx val="135"/>
          <c:order val="135"/>
          <c:tx>
            <c:strRef>
              <c:f>UC!$A$138:$C$138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CCGT_1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UC!$D$138:$AA$138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A2A0-4B49-9FF7-A5727B069C73}"/>
            </c:ext>
          </c:extLst>
        </c:ser>
        <c:ser>
          <c:idx val="136"/>
          <c:order val="136"/>
          <c:tx>
            <c:strRef>
              <c:f>UC!$A$139:$C$139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CCGT_2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UC!$D$139:$AA$139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8-A2A0-4B49-9FF7-A5727B069C73}"/>
            </c:ext>
          </c:extLst>
        </c:ser>
        <c:ser>
          <c:idx val="137"/>
          <c:order val="137"/>
          <c:tx>
            <c:strRef>
              <c:f>UC!$A$140:$C$140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CCGT_3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UC!$D$140:$AA$140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9-A2A0-4B49-9FF7-A5727B069C73}"/>
            </c:ext>
          </c:extLst>
        </c:ser>
        <c:ser>
          <c:idx val="138"/>
          <c:order val="138"/>
          <c:tx>
            <c:strRef>
              <c:f>UC!$A$141:$C$141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CCGT_4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UC!$D$141:$AA$141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A-A2A0-4B49-9FF7-A5727B069C73}"/>
            </c:ext>
          </c:extLst>
        </c:ser>
        <c:ser>
          <c:idx val="139"/>
          <c:order val="139"/>
          <c:tx>
            <c:strRef>
              <c:f>UC!$A$142:$C$142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OCGT_1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UC!$D$142:$AA$142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A2A0-4B49-9FF7-A5727B069C73}"/>
            </c:ext>
          </c:extLst>
        </c:ser>
        <c:ser>
          <c:idx val="140"/>
          <c:order val="140"/>
          <c:tx>
            <c:strRef>
              <c:f>UC!$A$143:$C$143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OCGT_2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UC!$D$143:$AA$143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C-A2A0-4B49-9FF7-A5727B069C73}"/>
            </c:ext>
          </c:extLst>
        </c:ser>
        <c:ser>
          <c:idx val="141"/>
          <c:order val="141"/>
          <c:tx>
            <c:strRef>
              <c:f>UC!$A$144:$C$144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OCGT_3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UC!$D$144:$AA$144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D-A2A0-4B49-9FF7-A5727B069C73}"/>
            </c:ext>
          </c:extLst>
        </c:ser>
        <c:ser>
          <c:idx val="142"/>
          <c:order val="142"/>
          <c:tx>
            <c:strRef>
              <c:f>UC!$A$145:$C$145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FuelOilGas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UC!$D$145:$AA$145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E-A2A0-4B49-9FF7-A5727B069C73}"/>
            </c:ext>
          </c:extLst>
        </c:ser>
        <c:ser>
          <c:idx val="143"/>
          <c:order val="143"/>
          <c:tx>
            <c:strRef>
              <c:f>UC!$A$146:$C$146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Nuclear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UC!$D$146:$AA$146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F-A2A0-4B49-9FF7-A5727B069C73}"/>
            </c:ext>
          </c:extLst>
        </c:ser>
        <c:ser>
          <c:idx val="144"/>
          <c:order val="144"/>
          <c:tx>
            <c:strRef>
              <c:f>UC!$A$147:$C$147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UC!$D$147:$AA$147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0-A2A0-4B49-9FF7-A5727B069C73}"/>
            </c:ext>
          </c:extLst>
        </c:ser>
        <c:ser>
          <c:idx val="145"/>
          <c:order val="145"/>
          <c:tx>
            <c:strRef>
              <c:f>UC!$A$148:$C$148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UC!$D$148:$AA$148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1-A2A0-4B49-9FF7-A5727B069C73}"/>
            </c:ext>
          </c:extLst>
        </c:ser>
        <c:ser>
          <c:idx val="146"/>
          <c:order val="146"/>
          <c:tx>
            <c:strRef>
              <c:f>UC!$A$149:$C$149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UC!$D$149:$AA$149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2-A2A0-4B49-9FF7-A5727B069C73}"/>
            </c:ext>
          </c:extLst>
        </c:ser>
        <c:ser>
          <c:idx val="147"/>
          <c:order val="147"/>
          <c:tx>
            <c:strRef>
              <c:f>UC!$A$150:$C$150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UC!$D$150:$AA$150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3-A2A0-4B49-9FF7-A5727B069C73}"/>
            </c:ext>
          </c:extLst>
        </c:ser>
        <c:ser>
          <c:idx val="148"/>
          <c:order val="148"/>
          <c:tx>
            <c:strRef>
              <c:f>UC!$A$151:$C$151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CCGT_1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UC!$D$151:$AA$151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4-A2A0-4B49-9FF7-A5727B069C73}"/>
            </c:ext>
          </c:extLst>
        </c:ser>
        <c:ser>
          <c:idx val="149"/>
          <c:order val="149"/>
          <c:tx>
            <c:strRef>
              <c:f>UC!$A$152:$C$152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CCGT_2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UC!$D$152:$AA$152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5-A2A0-4B49-9FF7-A5727B069C73}"/>
            </c:ext>
          </c:extLst>
        </c:ser>
        <c:ser>
          <c:idx val="150"/>
          <c:order val="150"/>
          <c:tx>
            <c:strRef>
              <c:f>UC!$A$153:$C$153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CCGT_3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UC!$D$153:$AA$153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6-A2A0-4B49-9FF7-A5727B069C73}"/>
            </c:ext>
          </c:extLst>
        </c:ser>
        <c:ser>
          <c:idx val="151"/>
          <c:order val="151"/>
          <c:tx>
            <c:strRef>
              <c:f>UC!$A$154:$C$154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CCGT_4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UC!$D$154:$AA$154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7-A2A0-4B49-9FF7-A5727B069C73}"/>
            </c:ext>
          </c:extLst>
        </c:ser>
        <c:ser>
          <c:idx val="152"/>
          <c:order val="152"/>
          <c:tx>
            <c:strRef>
              <c:f>UC!$A$155:$C$155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OCGT_1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UC!$D$155:$AA$155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8-A2A0-4B49-9FF7-A5727B069C73}"/>
            </c:ext>
          </c:extLst>
        </c:ser>
        <c:ser>
          <c:idx val="153"/>
          <c:order val="153"/>
          <c:tx>
            <c:strRef>
              <c:f>UC!$A$156:$C$156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OCGT_2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UC!$D$156:$AA$156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9-A2A0-4B49-9FF7-A5727B069C73}"/>
            </c:ext>
          </c:extLst>
        </c:ser>
        <c:ser>
          <c:idx val="154"/>
          <c:order val="154"/>
          <c:tx>
            <c:strRef>
              <c:f>UC!$A$157:$C$157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OCGT_3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UC!$D$157:$AA$157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A-A2A0-4B49-9FF7-A5727B069C73}"/>
            </c:ext>
          </c:extLst>
        </c:ser>
        <c:ser>
          <c:idx val="155"/>
          <c:order val="155"/>
          <c:tx>
            <c:strRef>
              <c:f>UC!$A$158:$C$158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FuelOilGas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UC!$D$158:$AA$158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B-A2A0-4B49-9FF7-A5727B069C73}"/>
            </c:ext>
          </c:extLst>
        </c:ser>
        <c:ser>
          <c:idx val="156"/>
          <c:order val="156"/>
          <c:tx>
            <c:strRef>
              <c:f>UC!$A$159:$C$159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Nuclear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UC!$D$159:$AA$159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C-A2A0-4B49-9FF7-A5727B069C73}"/>
            </c:ext>
          </c:extLst>
        </c:ser>
        <c:ser>
          <c:idx val="157"/>
          <c:order val="157"/>
          <c:tx>
            <c:strRef>
              <c:f>UC!$A$160:$C$160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UC!$D$160:$AA$160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D-A2A0-4B49-9FF7-A5727B069C73}"/>
            </c:ext>
          </c:extLst>
        </c:ser>
        <c:ser>
          <c:idx val="158"/>
          <c:order val="158"/>
          <c:tx>
            <c:strRef>
              <c:f>UC!$A$161:$C$161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UC!$D$161:$AA$161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E-A2A0-4B49-9FF7-A5727B069C73}"/>
            </c:ext>
          </c:extLst>
        </c:ser>
        <c:ser>
          <c:idx val="159"/>
          <c:order val="159"/>
          <c:tx>
            <c:strRef>
              <c:f>UC!$A$162:$C$162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UC!$D$162:$AA$162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F-A2A0-4B49-9FF7-A5727B069C73}"/>
            </c:ext>
          </c:extLst>
        </c:ser>
        <c:ser>
          <c:idx val="160"/>
          <c:order val="160"/>
          <c:tx>
            <c:strRef>
              <c:f>UC!$A$163:$C$163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UC!$D$163:$AA$163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0-A2A0-4B49-9FF7-A5727B069C73}"/>
            </c:ext>
          </c:extLst>
        </c:ser>
        <c:ser>
          <c:idx val="161"/>
          <c:order val="161"/>
          <c:tx>
            <c:strRef>
              <c:f>UC!$A$164:$C$164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CCGT_1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UC!$D$164:$AA$164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1-A2A0-4B49-9FF7-A5727B069C73}"/>
            </c:ext>
          </c:extLst>
        </c:ser>
        <c:ser>
          <c:idx val="162"/>
          <c:order val="162"/>
          <c:tx>
            <c:strRef>
              <c:f>UC!$A$165:$C$165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CCGT_2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UC!$D$165:$AA$165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2-A2A0-4B49-9FF7-A5727B069C73}"/>
            </c:ext>
          </c:extLst>
        </c:ser>
        <c:ser>
          <c:idx val="163"/>
          <c:order val="163"/>
          <c:tx>
            <c:strRef>
              <c:f>UC!$A$166:$C$166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CCGT_3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UC!$D$166:$AA$166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3-A2A0-4B49-9FF7-A5727B069C73}"/>
            </c:ext>
          </c:extLst>
        </c:ser>
        <c:ser>
          <c:idx val="164"/>
          <c:order val="164"/>
          <c:tx>
            <c:strRef>
              <c:f>UC!$A$167:$C$167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CCGT_4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UC!$D$167:$AA$167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4-A2A0-4B49-9FF7-A5727B069C73}"/>
            </c:ext>
          </c:extLst>
        </c:ser>
        <c:ser>
          <c:idx val="165"/>
          <c:order val="165"/>
          <c:tx>
            <c:strRef>
              <c:f>UC!$A$168:$C$168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OCGT_1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UC!$D$168:$AA$168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5-A2A0-4B49-9FF7-A5727B069C73}"/>
            </c:ext>
          </c:extLst>
        </c:ser>
        <c:ser>
          <c:idx val="166"/>
          <c:order val="166"/>
          <c:tx>
            <c:strRef>
              <c:f>UC!$A$169:$C$169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OCGT_2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UC!$D$169:$AA$169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6-A2A0-4B49-9FF7-A5727B069C73}"/>
            </c:ext>
          </c:extLst>
        </c:ser>
        <c:ser>
          <c:idx val="167"/>
          <c:order val="167"/>
          <c:tx>
            <c:strRef>
              <c:f>UC!$A$170:$C$170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OCGT_3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UC!$D$170:$AA$170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7-A2A0-4B49-9FF7-A5727B069C73}"/>
            </c:ext>
          </c:extLst>
        </c:ser>
        <c:ser>
          <c:idx val="168"/>
          <c:order val="168"/>
          <c:tx>
            <c:strRef>
              <c:f>UC!$A$171:$C$171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FuelOilGas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UC!$D$171:$AA$171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8-A2A0-4B49-9FF7-A5727B069C73}"/>
            </c:ext>
          </c:extLst>
        </c:ser>
        <c:ser>
          <c:idx val="169"/>
          <c:order val="169"/>
          <c:tx>
            <c:strRef>
              <c:f>UC!$A$172:$C$172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Nuclear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UC!$D$172:$AA$172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9-A2A0-4B49-9FF7-A5727B069C73}"/>
            </c:ext>
          </c:extLst>
        </c:ser>
        <c:ser>
          <c:idx val="170"/>
          <c:order val="170"/>
          <c:tx>
            <c:strRef>
              <c:f>UC!$A$173:$C$173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UC!$D$173:$AA$173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A-A2A0-4B49-9FF7-A5727B069C73}"/>
            </c:ext>
          </c:extLst>
        </c:ser>
        <c:ser>
          <c:idx val="171"/>
          <c:order val="171"/>
          <c:tx>
            <c:strRef>
              <c:f>UC!$A$174:$C$174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UC!$D$174:$AA$174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B-A2A0-4B49-9FF7-A5727B069C73}"/>
            </c:ext>
          </c:extLst>
        </c:ser>
        <c:ser>
          <c:idx val="172"/>
          <c:order val="172"/>
          <c:tx>
            <c:strRef>
              <c:f>UC!$A$175:$C$175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UC!$D$175:$AA$175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C-A2A0-4B49-9FF7-A5727B069C73}"/>
            </c:ext>
          </c:extLst>
        </c:ser>
        <c:ser>
          <c:idx val="173"/>
          <c:order val="173"/>
          <c:tx>
            <c:strRef>
              <c:f>UC!$A$176:$C$176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UC!$D$176:$AA$176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D-A2A0-4B49-9FF7-A5727B069C73}"/>
            </c:ext>
          </c:extLst>
        </c:ser>
        <c:ser>
          <c:idx val="174"/>
          <c:order val="174"/>
          <c:tx>
            <c:strRef>
              <c:f>UC!$A$177:$C$177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CCGT_1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UC!$D$177:$AA$177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E-A2A0-4B49-9FF7-A5727B069C73}"/>
            </c:ext>
          </c:extLst>
        </c:ser>
        <c:ser>
          <c:idx val="175"/>
          <c:order val="175"/>
          <c:tx>
            <c:strRef>
              <c:f>UC!$A$178:$C$178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CCGT_2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UC!$D$178:$AA$178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F-A2A0-4B49-9FF7-A5727B069C73}"/>
            </c:ext>
          </c:extLst>
        </c:ser>
        <c:ser>
          <c:idx val="176"/>
          <c:order val="176"/>
          <c:tx>
            <c:strRef>
              <c:f>UC!$A$179:$C$179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CCGT_3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UC!$D$179:$AA$179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0-A2A0-4B49-9FF7-A5727B069C73}"/>
            </c:ext>
          </c:extLst>
        </c:ser>
        <c:ser>
          <c:idx val="177"/>
          <c:order val="177"/>
          <c:tx>
            <c:strRef>
              <c:f>UC!$A$180:$C$180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CCGT_4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UC!$D$180:$AA$180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1-A2A0-4B49-9FF7-A5727B069C73}"/>
            </c:ext>
          </c:extLst>
        </c:ser>
        <c:ser>
          <c:idx val="178"/>
          <c:order val="178"/>
          <c:tx>
            <c:strRef>
              <c:f>UC!$A$181:$C$181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OCGT_1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UC!$D$181:$AA$181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2-A2A0-4B49-9FF7-A5727B069C73}"/>
            </c:ext>
          </c:extLst>
        </c:ser>
        <c:ser>
          <c:idx val="179"/>
          <c:order val="179"/>
          <c:tx>
            <c:strRef>
              <c:f>UC!$A$182:$C$182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OCGT_2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UC!$D$182:$AA$182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3-A2A0-4B49-9FF7-A5727B069C73}"/>
            </c:ext>
          </c:extLst>
        </c:ser>
        <c:ser>
          <c:idx val="180"/>
          <c:order val="180"/>
          <c:tx>
            <c:strRef>
              <c:f>UC!$A$183:$C$183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OCGT_3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UC!$D$183:$AA$183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4-A2A0-4B49-9FF7-A5727B069C73}"/>
            </c:ext>
          </c:extLst>
        </c:ser>
        <c:ser>
          <c:idx val="181"/>
          <c:order val="181"/>
          <c:tx>
            <c:strRef>
              <c:f>UC!$A$184:$C$184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FuelOilGas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UC!$D$184:$AA$184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5-A2A0-4B49-9FF7-A5727B069C73}"/>
            </c:ext>
          </c:extLst>
        </c:ser>
        <c:ser>
          <c:idx val="182"/>
          <c:order val="182"/>
          <c:tx>
            <c:strRef>
              <c:f>UC!$A$185:$C$185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Nuclear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UC!$D$185:$AA$185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6-A2A0-4B49-9FF7-A5727B069C73}"/>
            </c:ext>
          </c:extLst>
        </c:ser>
        <c:ser>
          <c:idx val="183"/>
          <c:order val="183"/>
          <c:tx>
            <c:strRef>
              <c:f>UC!$A$186:$C$186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UC!$D$186:$AA$186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7-A2A0-4B49-9FF7-A5727B069C73}"/>
            </c:ext>
          </c:extLst>
        </c:ser>
        <c:ser>
          <c:idx val="184"/>
          <c:order val="184"/>
          <c:tx>
            <c:strRef>
              <c:f>UC!$A$187:$C$187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UC!$D$187:$AA$187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8-A2A0-4B49-9FF7-A5727B069C73}"/>
            </c:ext>
          </c:extLst>
        </c:ser>
        <c:ser>
          <c:idx val="185"/>
          <c:order val="185"/>
          <c:tx>
            <c:strRef>
              <c:f>UC!$A$188:$C$188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UC!$D$188:$AA$188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9-A2A0-4B49-9FF7-A5727B069C73}"/>
            </c:ext>
          </c:extLst>
        </c:ser>
        <c:ser>
          <c:idx val="186"/>
          <c:order val="186"/>
          <c:tx>
            <c:strRef>
              <c:f>UC!$A$189:$C$189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UC!$D$189:$AA$189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A-A2A0-4B49-9FF7-A5727B069C73}"/>
            </c:ext>
          </c:extLst>
        </c:ser>
        <c:ser>
          <c:idx val="187"/>
          <c:order val="187"/>
          <c:tx>
            <c:strRef>
              <c:f>UC!$A$190:$C$190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CCGT_1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UC!$D$190:$AA$190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B-A2A0-4B49-9FF7-A5727B069C73}"/>
            </c:ext>
          </c:extLst>
        </c:ser>
        <c:ser>
          <c:idx val="188"/>
          <c:order val="188"/>
          <c:tx>
            <c:strRef>
              <c:f>UC!$A$191:$C$191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CCGT_2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UC!$D$191:$AA$191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C-A2A0-4B49-9FF7-A5727B069C73}"/>
            </c:ext>
          </c:extLst>
        </c:ser>
        <c:ser>
          <c:idx val="189"/>
          <c:order val="189"/>
          <c:tx>
            <c:strRef>
              <c:f>UC!$A$192:$C$192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CCGT_3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UC!$D$192:$AA$192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D-A2A0-4B49-9FF7-A5727B069C73}"/>
            </c:ext>
          </c:extLst>
        </c:ser>
        <c:ser>
          <c:idx val="190"/>
          <c:order val="190"/>
          <c:tx>
            <c:strRef>
              <c:f>UC!$A$193:$C$193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CCGT_4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UC!$D$193:$AA$193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E-A2A0-4B49-9FF7-A5727B069C73}"/>
            </c:ext>
          </c:extLst>
        </c:ser>
        <c:ser>
          <c:idx val="191"/>
          <c:order val="191"/>
          <c:tx>
            <c:strRef>
              <c:f>UC!$A$194:$C$194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OCGT_1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UC!$D$194:$AA$194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F-A2A0-4B49-9FF7-A5727B069C73}"/>
            </c:ext>
          </c:extLst>
        </c:ser>
        <c:ser>
          <c:idx val="192"/>
          <c:order val="192"/>
          <c:tx>
            <c:strRef>
              <c:f>UC!$A$195:$C$195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OCGT_2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UC!$D$195:$AA$195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0-A2A0-4B49-9FF7-A5727B069C73}"/>
            </c:ext>
          </c:extLst>
        </c:ser>
        <c:ser>
          <c:idx val="193"/>
          <c:order val="193"/>
          <c:tx>
            <c:strRef>
              <c:f>UC!$A$196:$C$196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OCGT_3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UC!$D$196:$AA$196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1-A2A0-4B49-9FF7-A5727B069C73}"/>
            </c:ext>
          </c:extLst>
        </c:ser>
        <c:ser>
          <c:idx val="194"/>
          <c:order val="194"/>
          <c:tx>
            <c:strRef>
              <c:f>UC!$A$197:$C$197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FuelOilGas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UC!$D$197:$AA$197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2-A2A0-4B49-9FF7-A5727B069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4456080"/>
        <c:axId val="394458992"/>
      </c:barChart>
      <c:catAx>
        <c:axId val="394456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94458992"/>
        <c:crosses val="autoZero"/>
        <c:auto val="1"/>
        <c:lblAlgn val="ctr"/>
        <c:lblOffset val="100"/>
        <c:noMultiLvlLbl val="0"/>
      </c:catAx>
      <c:valAx>
        <c:axId val="39445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Committed thermal units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9445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Output!$A$4:$C$4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Nuclear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Output!$D$4:$BW$4</c:f>
              <c:numCache>
                <c:formatCode>0</c:formatCode>
                <c:ptCount val="72"/>
                <c:pt idx="0">
                  <c:v>771.6</c:v>
                </c:pt>
                <c:pt idx="1">
                  <c:v>771.6</c:v>
                </c:pt>
                <c:pt idx="2">
                  <c:v>771.6</c:v>
                </c:pt>
                <c:pt idx="3">
                  <c:v>771.6</c:v>
                </c:pt>
                <c:pt idx="4">
                  <c:v>771.6</c:v>
                </c:pt>
                <c:pt idx="5">
                  <c:v>771.6</c:v>
                </c:pt>
                <c:pt idx="6">
                  <c:v>771.6</c:v>
                </c:pt>
                <c:pt idx="7">
                  <c:v>771.6</c:v>
                </c:pt>
                <c:pt idx="8">
                  <c:v>771.6</c:v>
                </c:pt>
                <c:pt idx="9">
                  <c:v>771.6</c:v>
                </c:pt>
                <c:pt idx="10">
                  <c:v>771.6</c:v>
                </c:pt>
                <c:pt idx="11">
                  <c:v>771.6</c:v>
                </c:pt>
                <c:pt idx="12">
                  <c:v>771.6</c:v>
                </c:pt>
                <c:pt idx="13">
                  <c:v>771.6</c:v>
                </c:pt>
                <c:pt idx="14">
                  <c:v>771.6</c:v>
                </c:pt>
                <c:pt idx="15">
                  <c:v>771.6</c:v>
                </c:pt>
                <c:pt idx="16">
                  <c:v>771.6</c:v>
                </c:pt>
                <c:pt idx="17">
                  <c:v>771.6</c:v>
                </c:pt>
                <c:pt idx="18">
                  <c:v>771.6</c:v>
                </c:pt>
                <c:pt idx="19">
                  <c:v>771.6</c:v>
                </c:pt>
                <c:pt idx="20">
                  <c:v>771.6</c:v>
                </c:pt>
                <c:pt idx="21">
                  <c:v>771.6</c:v>
                </c:pt>
                <c:pt idx="22">
                  <c:v>771.6</c:v>
                </c:pt>
                <c:pt idx="23">
                  <c:v>771.6</c:v>
                </c:pt>
                <c:pt idx="24">
                  <c:v>771.6</c:v>
                </c:pt>
                <c:pt idx="25">
                  <c:v>771.6</c:v>
                </c:pt>
                <c:pt idx="26">
                  <c:v>771.6</c:v>
                </c:pt>
                <c:pt idx="27">
                  <c:v>771.6</c:v>
                </c:pt>
                <c:pt idx="28">
                  <c:v>771.6</c:v>
                </c:pt>
                <c:pt idx="29">
                  <c:v>771.6</c:v>
                </c:pt>
                <c:pt idx="30">
                  <c:v>771.6</c:v>
                </c:pt>
                <c:pt idx="31">
                  <c:v>771.6</c:v>
                </c:pt>
                <c:pt idx="32">
                  <c:v>771.6</c:v>
                </c:pt>
                <c:pt idx="33">
                  <c:v>771.6</c:v>
                </c:pt>
                <c:pt idx="34">
                  <c:v>771.6</c:v>
                </c:pt>
                <c:pt idx="35">
                  <c:v>771.6</c:v>
                </c:pt>
                <c:pt idx="36">
                  <c:v>771.6</c:v>
                </c:pt>
                <c:pt idx="37">
                  <c:v>771.6</c:v>
                </c:pt>
                <c:pt idx="38">
                  <c:v>771.6</c:v>
                </c:pt>
                <c:pt idx="39">
                  <c:v>771.6</c:v>
                </c:pt>
                <c:pt idx="40">
                  <c:v>771.6</c:v>
                </c:pt>
                <c:pt idx="41">
                  <c:v>771.6</c:v>
                </c:pt>
                <c:pt idx="42">
                  <c:v>771.6</c:v>
                </c:pt>
                <c:pt idx="43">
                  <c:v>771.6</c:v>
                </c:pt>
                <c:pt idx="44">
                  <c:v>771.6</c:v>
                </c:pt>
                <c:pt idx="45">
                  <c:v>771.6</c:v>
                </c:pt>
                <c:pt idx="46">
                  <c:v>771.6</c:v>
                </c:pt>
                <c:pt idx="47">
                  <c:v>771.6</c:v>
                </c:pt>
                <c:pt idx="48">
                  <c:v>771.6</c:v>
                </c:pt>
                <c:pt idx="49">
                  <c:v>771.6</c:v>
                </c:pt>
                <c:pt idx="50">
                  <c:v>771.6</c:v>
                </c:pt>
                <c:pt idx="51">
                  <c:v>771.6</c:v>
                </c:pt>
                <c:pt idx="52">
                  <c:v>771.6</c:v>
                </c:pt>
                <c:pt idx="53">
                  <c:v>771.6</c:v>
                </c:pt>
                <c:pt idx="54">
                  <c:v>771.6</c:v>
                </c:pt>
                <c:pt idx="55">
                  <c:v>771.6</c:v>
                </c:pt>
                <c:pt idx="56">
                  <c:v>771.6</c:v>
                </c:pt>
                <c:pt idx="57">
                  <c:v>771.6</c:v>
                </c:pt>
                <c:pt idx="58">
                  <c:v>771.6</c:v>
                </c:pt>
                <c:pt idx="59">
                  <c:v>771.6</c:v>
                </c:pt>
                <c:pt idx="60">
                  <c:v>771.6</c:v>
                </c:pt>
                <c:pt idx="61">
                  <c:v>771.6</c:v>
                </c:pt>
                <c:pt idx="62">
                  <c:v>771.6</c:v>
                </c:pt>
                <c:pt idx="63">
                  <c:v>771.6</c:v>
                </c:pt>
                <c:pt idx="64">
                  <c:v>771.6</c:v>
                </c:pt>
                <c:pt idx="65">
                  <c:v>771.6</c:v>
                </c:pt>
                <c:pt idx="66">
                  <c:v>771.6</c:v>
                </c:pt>
                <c:pt idx="67">
                  <c:v>771.6</c:v>
                </c:pt>
                <c:pt idx="68">
                  <c:v>771.6</c:v>
                </c:pt>
                <c:pt idx="69">
                  <c:v>771.6</c:v>
                </c:pt>
                <c:pt idx="70">
                  <c:v>771.6</c:v>
                </c:pt>
                <c:pt idx="71">
                  <c:v>771.6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16-414F-8432-C34C48599EFF}"/>
            </c:ext>
          </c:extLst>
        </c:ser>
        <c:ser>
          <c:idx val="1"/>
          <c:order val="1"/>
          <c:tx>
            <c:strRef>
              <c:f>Output!$A$5:$C$5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Output!$D$5:$BW$5</c:f>
              <c:numCache>
                <c:formatCode>0</c:formatCode>
                <c:ptCount val="72"/>
                <c:pt idx="0">
                  <c:v>235.19999999999996</c:v>
                </c:pt>
                <c:pt idx="1">
                  <c:v>235.19999999999996</c:v>
                </c:pt>
                <c:pt idx="2">
                  <c:v>235.19999999999996</c:v>
                </c:pt>
                <c:pt idx="3">
                  <c:v>235.19999999999996</c:v>
                </c:pt>
                <c:pt idx="4">
                  <c:v>235.19999999999996</c:v>
                </c:pt>
                <c:pt idx="5">
                  <c:v>235.19999999999996</c:v>
                </c:pt>
                <c:pt idx="6">
                  <c:v>235.19999999999996</c:v>
                </c:pt>
                <c:pt idx="7">
                  <c:v>235.19999999999996</c:v>
                </c:pt>
                <c:pt idx="8">
                  <c:v>235.19999999999996</c:v>
                </c:pt>
                <c:pt idx="9">
                  <c:v>235.19999999999996</c:v>
                </c:pt>
                <c:pt idx="10">
                  <c:v>235.19999999999996</c:v>
                </c:pt>
                <c:pt idx="11">
                  <c:v>235.19999999999996</c:v>
                </c:pt>
                <c:pt idx="12">
                  <c:v>235.19999999999996</c:v>
                </c:pt>
                <c:pt idx="13">
                  <c:v>235.19999999999996</c:v>
                </c:pt>
                <c:pt idx="14">
                  <c:v>235.19999999999996</c:v>
                </c:pt>
                <c:pt idx="15">
                  <c:v>235.19999999999996</c:v>
                </c:pt>
                <c:pt idx="16">
                  <c:v>235.19999999999996</c:v>
                </c:pt>
                <c:pt idx="17">
                  <c:v>235.19999999999996</c:v>
                </c:pt>
                <c:pt idx="18">
                  <c:v>235.19999999999996</c:v>
                </c:pt>
                <c:pt idx="19">
                  <c:v>235.19999999999996</c:v>
                </c:pt>
                <c:pt idx="20">
                  <c:v>235.19999999999996</c:v>
                </c:pt>
                <c:pt idx="21">
                  <c:v>235.19999999999996</c:v>
                </c:pt>
                <c:pt idx="22">
                  <c:v>235.19999999999996</c:v>
                </c:pt>
                <c:pt idx="23">
                  <c:v>235.19999999999996</c:v>
                </c:pt>
                <c:pt idx="24">
                  <c:v>235.19999999999996</c:v>
                </c:pt>
                <c:pt idx="25">
                  <c:v>235.19999999999996</c:v>
                </c:pt>
                <c:pt idx="26">
                  <c:v>235.19999999999996</c:v>
                </c:pt>
                <c:pt idx="27">
                  <c:v>235.19999999999996</c:v>
                </c:pt>
                <c:pt idx="28">
                  <c:v>235.19999999999996</c:v>
                </c:pt>
                <c:pt idx="29">
                  <c:v>235.19999999999996</c:v>
                </c:pt>
                <c:pt idx="30">
                  <c:v>235.19999999999996</c:v>
                </c:pt>
                <c:pt idx="31">
                  <c:v>235.19999999999996</c:v>
                </c:pt>
                <c:pt idx="32">
                  <c:v>235.19999999999996</c:v>
                </c:pt>
                <c:pt idx="33">
                  <c:v>235.19999999999996</c:v>
                </c:pt>
                <c:pt idx="34">
                  <c:v>235.19999999999996</c:v>
                </c:pt>
                <c:pt idx="35">
                  <c:v>235.19999999999996</c:v>
                </c:pt>
                <c:pt idx="36">
                  <c:v>235.19999999999996</c:v>
                </c:pt>
                <c:pt idx="37">
                  <c:v>235.19999999999996</c:v>
                </c:pt>
                <c:pt idx="38">
                  <c:v>235.19999999999996</c:v>
                </c:pt>
                <c:pt idx="39">
                  <c:v>235.19999999999996</c:v>
                </c:pt>
                <c:pt idx="40">
                  <c:v>235.19999999999996</c:v>
                </c:pt>
                <c:pt idx="41">
                  <c:v>235.19999999999996</c:v>
                </c:pt>
                <c:pt idx="42">
                  <c:v>235.19999999999996</c:v>
                </c:pt>
                <c:pt idx="43">
                  <c:v>235.19999999999996</c:v>
                </c:pt>
                <c:pt idx="44">
                  <c:v>235.19999999999996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235.19999999999996</c:v>
                </c:pt>
                <c:pt idx="55">
                  <c:v>235.19999999999996</c:v>
                </c:pt>
                <c:pt idx="56">
                  <c:v>235.19999999999996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235.19999999999996</c:v>
                </c:pt>
                <c:pt idx="61">
                  <c:v>235.19999999999996</c:v>
                </c:pt>
                <c:pt idx="62">
                  <c:v>235.19999999999996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235.19999999999996</c:v>
                </c:pt>
                <c:pt idx="67">
                  <c:v>235.19999999999996</c:v>
                </c:pt>
                <c:pt idx="68">
                  <c:v>235.19999999999996</c:v>
                </c:pt>
                <c:pt idx="69">
                  <c:v>235.19999999999996</c:v>
                </c:pt>
                <c:pt idx="70">
                  <c:v>235.19999999999996</c:v>
                </c:pt>
                <c:pt idx="71">
                  <c:v>235.19999999999996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16-414F-8432-C34C48599EFF}"/>
            </c:ext>
          </c:extLst>
        </c:ser>
        <c:ser>
          <c:idx val="2"/>
          <c:order val="2"/>
          <c:tx>
            <c:strRef>
              <c:f>Output!$A$6:$C$6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Output!$D$6:$BW$6</c:f>
              <c:numCache>
                <c:formatCode>0</c:formatCode>
                <c:ptCount val="72"/>
                <c:pt idx="0">
                  <c:v>96.000000000000256</c:v>
                </c:pt>
                <c:pt idx="1">
                  <c:v>81.239999999999853</c:v>
                </c:pt>
                <c:pt idx="2">
                  <c:v>81.239999999999853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81.239999999999995</c:v>
                </c:pt>
                <c:pt idx="49">
                  <c:v>81.239999999999995</c:v>
                </c:pt>
                <c:pt idx="50">
                  <c:v>81.239999999999995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131.2000000000011</c:v>
                </c:pt>
                <c:pt idx="61">
                  <c:v>81.239999999999995</c:v>
                </c:pt>
                <c:pt idx="62">
                  <c:v>81.239999999999995</c:v>
                </c:pt>
                <c:pt idx="63">
                  <c:v>114.10000000000053</c:v>
                </c:pt>
                <c:pt idx="64">
                  <c:v>81.239999999999995</c:v>
                </c:pt>
                <c:pt idx="65">
                  <c:v>81.239999999999995</c:v>
                </c:pt>
                <c:pt idx="66">
                  <c:v>89.48100534759152</c:v>
                </c:pt>
                <c:pt idx="67">
                  <c:v>81.239999999999995</c:v>
                </c:pt>
                <c:pt idx="68">
                  <c:v>81.239999999999995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16-414F-8432-C34C48599EFF}"/>
            </c:ext>
          </c:extLst>
        </c:ser>
        <c:ser>
          <c:idx val="3"/>
          <c:order val="3"/>
          <c:tx>
            <c:strRef>
              <c:f>Output!$A$7:$C$7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Output!$D$7:$BW$7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60.159999999999989</c:v>
                </c:pt>
                <c:pt idx="49">
                  <c:v>60.159999999999989</c:v>
                </c:pt>
                <c:pt idx="50">
                  <c:v>60.159999999999989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68.300000000000139</c:v>
                </c:pt>
                <c:pt idx="55">
                  <c:v>60.159999999999314</c:v>
                </c:pt>
                <c:pt idx="56">
                  <c:v>60.159999999999314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150.4</c:v>
                </c:pt>
                <c:pt idx="67">
                  <c:v>60.159999999999989</c:v>
                </c:pt>
                <c:pt idx="68">
                  <c:v>60.159999999999989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816-414F-8432-C34C48599EFF}"/>
            </c:ext>
          </c:extLst>
        </c:ser>
        <c:ser>
          <c:idx val="4"/>
          <c:order val="4"/>
          <c:tx>
            <c:strRef>
              <c:f>Output!$A$8:$C$8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Output!$D$8:$BW$8</c:f>
              <c:numCache>
                <c:formatCode>0</c:formatCode>
                <c:ptCount val="72"/>
                <c:pt idx="0">
                  <c:v>194.4</c:v>
                </c:pt>
                <c:pt idx="1">
                  <c:v>77.760000000000005</c:v>
                </c:pt>
                <c:pt idx="2">
                  <c:v>77.760000000000005</c:v>
                </c:pt>
                <c:pt idx="3">
                  <c:v>194.4</c:v>
                </c:pt>
                <c:pt idx="4">
                  <c:v>77.760000000000005</c:v>
                </c:pt>
                <c:pt idx="5">
                  <c:v>77.760000000000005</c:v>
                </c:pt>
                <c:pt idx="6">
                  <c:v>92.300000000000608</c:v>
                </c:pt>
                <c:pt idx="7">
                  <c:v>77.759999999999394</c:v>
                </c:pt>
                <c:pt idx="8">
                  <c:v>77.759999999999394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194.4</c:v>
                </c:pt>
                <c:pt idx="19">
                  <c:v>144.63918796992692</c:v>
                </c:pt>
                <c:pt idx="20">
                  <c:v>77.760000000000005</c:v>
                </c:pt>
                <c:pt idx="21">
                  <c:v>194.4</c:v>
                </c:pt>
                <c:pt idx="22">
                  <c:v>77.760000000000005</c:v>
                </c:pt>
                <c:pt idx="23">
                  <c:v>77.760000000000005</c:v>
                </c:pt>
                <c:pt idx="24">
                  <c:v>137.39999999999992</c:v>
                </c:pt>
                <c:pt idx="25">
                  <c:v>174.79999999999984</c:v>
                </c:pt>
                <c:pt idx="26">
                  <c:v>77.759999999999948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194.4</c:v>
                </c:pt>
                <c:pt idx="31">
                  <c:v>77.759999999999962</c:v>
                </c:pt>
                <c:pt idx="32">
                  <c:v>77.759999999999962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194.4</c:v>
                </c:pt>
                <c:pt idx="37">
                  <c:v>118.58737327824458</c:v>
                </c:pt>
                <c:pt idx="38">
                  <c:v>77.760000000000005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194.4</c:v>
                </c:pt>
                <c:pt idx="43">
                  <c:v>194.4</c:v>
                </c:pt>
                <c:pt idx="44">
                  <c:v>77.760000000000005</c:v>
                </c:pt>
                <c:pt idx="45">
                  <c:v>194.4</c:v>
                </c:pt>
                <c:pt idx="46">
                  <c:v>77.760000000000005</c:v>
                </c:pt>
                <c:pt idx="47">
                  <c:v>77.760000000000005</c:v>
                </c:pt>
                <c:pt idx="48">
                  <c:v>189.259999999999</c:v>
                </c:pt>
                <c:pt idx="49">
                  <c:v>77.760000000000005</c:v>
                </c:pt>
                <c:pt idx="50">
                  <c:v>77.760000000000005</c:v>
                </c:pt>
                <c:pt idx="51">
                  <c:v>77.760000000000005</c:v>
                </c:pt>
                <c:pt idx="52">
                  <c:v>77.760000000000005</c:v>
                </c:pt>
                <c:pt idx="53">
                  <c:v>77.760000000000005</c:v>
                </c:pt>
                <c:pt idx="54">
                  <c:v>194.4</c:v>
                </c:pt>
                <c:pt idx="55">
                  <c:v>194.4</c:v>
                </c:pt>
                <c:pt idx="56">
                  <c:v>77.760000000000005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194.4</c:v>
                </c:pt>
                <c:pt idx="67">
                  <c:v>83.737558441559059</c:v>
                </c:pt>
                <c:pt idx="68">
                  <c:v>77.760000000000005</c:v>
                </c:pt>
                <c:pt idx="69">
                  <c:v>194.4</c:v>
                </c:pt>
                <c:pt idx="70">
                  <c:v>77.760000000000005</c:v>
                </c:pt>
                <c:pt idx="71">
                  <c:v>77.760000000000005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816-414F-8432-C34C48599EFF}"/>
            </c:ext>
          </c:extLst>
        </c:ser>
        <c:ser>
          <c:idx val="5"/>
          <c:order val="5"/>
          <c:tx>
            <c:strRef>
              <c:f>Output!$A$9:$C$9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CCGT_1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Output!$D$9:$BW$9</c:f>
              <c:numCache>
                <c:formatCode>0</c:formatCode>
                <c:ptCount val="72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186.50000000000111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500</c:v>
                </c:pt>
                <c:pt idx="31">
                  <c:v>500</c:v>
                </c:pt>
                <c:pt idx="32">
                  <c:v>500</c:v>
                </c:pt>
                <c:pt idx="33">
                  <c:v>500</c:v>
                </c:pt>
                <c:pt idx="34">
                  <c:v>500</c:v>
                </c:pt>
                <c:pt idx="35">
                  <c:v>500</c:v>
                </c:pt>
                <c:pt idx="36">
                  <c:v>500</c:v>
                </c:pt>
                <c:pt idx="37">
                  <c:v>500</c:v>
                </c:pt>
                <c:pt idx="38">
                  <c:v>500</c:v>
                </c:pt>
                <c:pt idx="39">
                  <c:v>500</c:v>
                </c:pt>
                <c:pt idx="40">
                  <c:v>500</c:v>
                </c:pt>
                <c:pt idx="41">
                  <c:v>500</c:v>
                </c:pt>
                <c:pt idx="42">
                  <c:v>500</c:v>
                </c:pt>
                <c:pt idx="43">
                  <c:v>500</c:v>
                </c:pt>
                <c:pt idx="44">
                  <c:v>500</c:v>
                </c:pt>
                <c:pt idx="45">
                  <c:v>500</c:v>
                </c:pt>
                <c:pt idx="46">
                  <c:v>500</c:v>
                </c:pt>
                <c:pt idx="47">
                  <c:v>500</c:v>
                </c:pt>
                <c:pt idx="48">
                  <c:v>500</c:v>
                </c:pt>
                <c:pt idx="49">
                  <c:v>500</c:v>
                </c:pt>
                <c:pt idx="50">
                  <c:v>500</c:v>
                </c:pt>
                <c:pt idx="51">
                  <c:v>500</c:v>
                </c:pt>
                <c:pt idx="52">
                  <c:v>500</c:v>
                </c:pt>
                <c:pt idx="53">
                  <c:v>500</c:v>
                </c:pt>
                <c:pt idx="54">
                  <c:v>500</c:v>
                </c:pt>
                <c:pt idx="55">
                  <c:v>500</c:v>
                </c:pt>
                <c:pt idx="56">
                  <c:v>500</c:v>
                </c:pt>
                <c:pt idx="57">
                  <c:v>500</c:v>
                </c:pt>
                <c:pt idx="58">
                  <c:v>500</c:v>
                </c:pt>
                <c:pt idx="59">
                  <c:v>500</c:v>
                </c:pt>
                <c:pt idx="60">
                  <c:v>500</c:v>
                </c:pt>
                <c:pt idx="61">
                  <c:v>500</c:v>
                </c:pt>
                <c:pt idx="62">
                  <c:v>500</c:v>
                </c:pt>
                <c:pt idx="63">
                  <c:v>500</c:v>
                </c:pt>
                <c:pt idx="64">
                  <c:v>500</c:v>
                </c:pt>
                <c:pt idx="65">
                  <c:v>500</c:v>
                </c:pt>
                <c:pt idx="66">
                  <c:v>500</c:v>
                </c:pt>
                <c:pt idx="67">
                  <c:v>500</c:v>
                </c:pt>
                <c:pt idx="68">
                  <c:v>500</c:v>
                </c:pt>
                <c:pt idx="69">
                  <c:v>500</c:v>
                </c:pt>
                <c:pt idx="70">
                  <c:v>500</c:v>
                </c:pt>
                <c:pt idx="71">
                  <c:v>462.79102040816531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816-414F-8432-C34C48599EFF}"/>
            </c:ext>
          </c:extLst>
        </c:ser>
        <c:ser>
          <c:idx val="6"/>
          <c:order val="6"/>
          <c:tx>
            <c:strRef>
              <c:f>Output!$A$10:$C$10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CCGT_2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Output!$D$10:$BW$10</c:f>
              <c:numCache>
                <c:formatCode>0</c:formatCode>
                <c:ptCount val="72"/>
                <c:pt idx="0">
                  <c:v>500</c:v>
                </c:pt>
                <c:pt idx="1">
                  <c:v>500</c:v>
                </c:pt>
                <c:pt idx="2">
                  <c:v>204.40272727272736</c:v>
                </c:pt>
                <c:pt idx="3">
                  <c:v>500</c:v>
                </c:pt>
                <c:pt idx="4">
                  <c:v>500</c:v>
                </c:pt>
                <c:pt idx="5">
                  <c:v>100</c:v>
                </c:pt>
                <c:pt idx="6">
                  <c:v>500</c:v>
                </c:pt>
                <c:pt idx="7">
                  <c:v>500</c:v>
                </c:pt>
                <c:pt idx="8">
                  <c:v>205.55304347826078</c:v>
                </c:pt>
                <c:pt idx="9">
                  <c:v>500</c:v>
                </c:pt>
                <c:pt idx="10">
                  <c:v>500</c:v>
                </c:pt>
                <c:pt idx="11">
                  <c:v>141.81304347826045</c:v>
                </c:pt>
                <c:pt idx="12">
                  <c:v>500</c:v>
                </c:pt>
                <c:pt idx="13">
                  <c:v>500</c:v>
                </c:pt>
                <c:pt idx="14">
                  <c:v>198.50000000000014</c:v>
                </c:pt>
                <c:pt idx="15">
                  <c:v>500</c:v>
                </c:pt>
                <c:pt idx="16">
                  <c:v>500</c:v>
                </c:pt>
                <c:pt idx="17">
                  <c:v>103.50000000000004</c:v>
                </c:pt>
                <c:pt idx="18">
                  <c:v>500</c:v>
                </c:pt>
                <c:pt idx="19">
                  <c:v>500</c:v>
                </c:pt>
                <c:pt idx="20">
                  <c:v>424.2112041884821</c:v>
                </c:pt>
                <c:pt idx="21">
                  <c:v>500</c:v>
                </c:pt>
                <c:pt idx="22">
                  <c:v>500</c:v>
                </c:pt>
                <c:pt idx="23">
                  <c:v>424.2112041884821</c:v>
                </c:pt>
                <c:pt idx="24">
                  <c:v>500</c:v>
                </c:pt>
                <c:pt idx="25">
                  <c:v>500</c:v>
                </c:pt>
                <c:pt idx="26">
                  <c:v>139.34000000000052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500</c:v>
                </c:pt>
                <c:pt idx="31">
                  <c:v>500</c:v>
                </c:pt>
                <c:pt idx="32">
                  <c:v>224.54000000000005</c:v>
                </c:pt>
                <c:pt idx="33">
                  <c:v>500</c:v>
                </c:pt>
                <c:pt idx="34">
                  <c:v>500</c:v>
                </c:pt>
                <c:pt idx="35">
                  <c:v>138.1</c:v>
                </c:pt>
                <c:pt idx="36">
                  <c:v>500</c:v>
                </c:pt>
                <c:pt idx="37">
                  <c:v>500</c:v>
                </c:pt>
                <c:pt idx="38">
                  <c:v>337.63999999999982</c:v>
                </c:pt>
                <c:pt idx="39">
                  <c:v>500</c:v>
                </c:pt>
                <c:pt idx="40">
                  <c:v>500</c:v>
                </c:pt>
                <c:pt idx="41">
                  <c:v>225.00000000000031</c:v>
                </c:pt>
                <c:pt idx="42">
                  <c:v>500</c:v>
                </c:pt>
                <c:pt idx="43">
                  <c:v>500</c:v>
                </c:pt>
                <c:pt idx="44">
                  <c:v>231.13999999999993</c:v>
                </c:pt>
                <c:pt idx="45">
                  <c:v>500</c:v>
                </c:pt>
                <c:pt idx="46">
                  <c:v>500</c:v>
                </c:pt>
                <c:pt idx="47">
                  <c:v>231.13999999999993</c:v>
                </c:pt>
                <c:pt idx="48">
                  <c:v>500</c:v>
                </c:pt>
                <c:pt idx="49">
                  <c:v>500</c:v>
                </c:pt>
                <c:pt idx="50">
                  <c:v>319.3257142857147</c:v>
                </c:pt>
                <c:pt idx="51">
                  <c:v>500</c:v>
                </c:pt>
                <c:pt idx="52">
                  <c:v>500</c:v>
                </c:pt>
                <c:pt idx="53">
                  <c:v>271.34000000000009</c:v>
                </c:pt>
                <c:pt idx="54">
                  <c:v>500</c:v>
                </c:pt>
                <c:pt idx="55">
                  <c:v>500</c:v>
                </c:pt>
                <c:pt idx="56">
                  <c:v>233.30884955752239</c:v>
                </c:pt>
                <c:pt idx="57">
                  <c:v>500</c:v>
                </c:pt>
                <c:pt idx="58">
                  <c:v>500</c:v>
                </c:pt>
                <c:pt idx="59">
                  <c:v>233.30884955752239</c:v>
                </c:pt>
                <c:pt idx="60">
                  <c:v>500</c:v>
                </c:pt>
                <c:pt idx="61">
                  <c:v>500</c:v>
                </c:pt>
                <c:pt idx="62">
                  <c:v>235.58602739726047</c:v>
                </c:pt>
                <c:pt idx="63">
                  <c:v>500</c:v>
                </c:pt>
                <c:pt idx="64">
                  <c:v>500</c:v>
                </c:pt>
                <c:pt idx="65">
                  <c:v>235.58602739726047</c:v>
                </c:pt>
                <c:pt idx="66">
                  <c:v>500</c:v>
                </c:pt>
                <c:pt idx="67">
                  <c:v>500</c:v>
                </c:pt>
                <c:pt idx="68">
                  <c:v>169.94000000000096</c:v>
                </c:pt>
                <c:pt idx="69">
                  <c:v>500</c:v>
                </c:pt>
                <c:pt idx="70">
                  <c:v>500</c:v>
                </c:pt>
                <c:pt idx="7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816-414F-8432-C34C48599EFF}"/>
            </c:ext>
          </c:extLst>
        </c:ser>
        <c:ser>
          <c:idx val="7"/>
          <c:order val="7"/>
          <c:tx>
            <c:strRef>
              <c:f>Output!$A$11:$C$11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CCGT_3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Output!$D$11:$BW$11</c:f>
              <c:numCache>
                <c:formatCode>0</c:formatCode>
                <c:ptCount val="72"/>
                <c:pt idx="0">
                  <c:v>500</c:v>
                </c:pt>
                <c:pt idx="1">
                  <c:v>500</c:v>
                </c:pt>
                <c:pt idx="2">
                  <c:v>100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500</c:v>
                </c:pt>
                <c:pt idx="7">
                  <c:v>500</c:v>
                </c:pt>
                <c:pt idx="8">
                  <c:v>100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500</c:v>
                </c:pt>
                <c:pt idx="13">
                  <c:v>500</c:v>
                </c:pt>
                <c:pt idx="14">
                  <c:v>100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500</c:v>
                </c:pt>
                <c:pt idx="31">
                  <c:v>500</c:v>
                </c:pt>
                <c:pt idx="32">
                  <c:v>100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500</c:v>
                </c:pt>
                <c:pt idx="37">
                  <c:v>500</c:v>
                </c:pt>
                <c:pt idx="38">
                  <c:v>100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500</c:v>
                </c:pt>
                <c:pt idx="49">
                  <c:v>500</c:v>
                </c:pt>
                <c:pt idx="50">
                  <c:v>100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500</c:v>
                </c:pt>
                <c:pt idx="61">
                  <c:v>493.50000000000034</c:v>
                </c:pt>
                <c:pt idx="62">
                  <c:v>100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500</c:v>
                </c:pt>
                <c:pt idx="67">
                  <c:v>500</c:v>
                </c:pt>
                <c:pt idx="68">
                  <c:v>100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816-414F-8432-C34C48599EFF}"/>
            </c:ext>
          </c:extLst>
        </c:ser>
        <c:ser>
          <c:idx val="8"/>
          <c:order val="8"/>
          <c:tx>
            <c:strRef>
              <c:f>Output!$A$12:$C$12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CCGT_4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Output!$D$12:$BW$12</c:f>
              <c:numCache>
                <c:formatCode>0</c:formatCode>
                <c:ptCount val="72"/>
                <c:pt idx="0">
                  <c:v>667.5</c:v>
                </c:pt>
                <c:pt idx="1">
                  <c:v>667.5</c:v>
                </c:pt>
                <c:pt idx="2">
                  <c:v>667.5</c:v>
                </c:pt>
                <c:pt idx="3">
                  <c:v>667.5</c:v>
                </c:pt>
                <c:pt idx="4">
                  <c:v>667.5</c:v>
                </c:pt>
                <c:pt idx="5">
                  <c:v>667.5</c:v>
                </c:pt>
                <c:pt idx="6">
                  <c:v>667.5</c:v>
                </c:pt>
                <c:pt idx="7">
                  <c:v>667.5</c:v>
                </c:pt>
                <c:pt idx="8">
                  <c:v>667.5</c:v>
                </c:pt>
                <c:pt idx="9">
                  <c:v>667.5</c:v>
                </c:pt>
                <c:pt idx="10">
                  <c:v>667.5</c:v>
                </c:pt>
                <c:pt idx="11">
                  <c:v>667.5</c:v>
                </c:pt>
                <c:pt idx="12">
                  <c:v>667.5</c:v>
                </c:pt>
                <c:pt idx="13">
                  <c:v>667.5</c:v>
                </c:pt>
                <c:pt idx="14">
                  <c:v>667.5</c:v>
                </c:pt>
                <c:pt idx="15">
                  <c:v>667.5</c:v>
                </c:pt>
                <c:pt idx="16">
                  <c:v>667.5</c:v>
                </c:pt>
                <c:pt idx="17">
                  <c:v>667.5</c:v>
                </c:pt>
                <c:pt idx="18">
                  <c:v>667.5</c:v>
                </c:pt>
                <c:pt idx="19">
                  <c:v>667.5</c:v>
                </c:pt>
                <c:pt idx="20">
                  <c:v>667.5</c:v>
                </c:pt>
                <c:pt idx="21">
                  <c:v>667.5</c:v>
                </c:pt>
                <c:pt idx="22">
                  <c:v>667.5</c:v>
                </c:pt>
                <c:pt idx="23">
                  <c:v>667.5</c:v>
                </c:pt>
                <c:pt idx="24">
                  <c:v>667.5</c:v>
                </c:pt>
                <c:pt idx="25">
                  <c:v>667.5</c:v>
                </c:pt>
                <c:pt idx="26">
                  <c:v>667.5</c:v>
                </c:pt>
                <c:pt idx="27">
                  <c:v>667.5</c:v>
                </c:pt>
                <c:pt idx="28">
                  <c:v>667.5</c:v>
                </c:pt>
                <c:pt idx="29">
                  <c:v>667.5</c:v>
                </c:pt>
                <c:pt idx="30">
                  <c:v>667.5</c:v>
                </c:pt>
                <c:pt idx="31">
                  <c:v>667.5</c:v>
                </c:pt>
                <c:pt idx="32">
                  <c:v>667.5</c:v>
                </c:pt>
                <c:pt idx="33">
                  <c:v>667.5</c:v>
                </c:pt>
                <c:pt idx="34">
                  <c:v>667.5</c:v>
                </c:pt>
                <c:pt idx="35">
                  <c:v>667.5</c:v>
                </c:pt>
                <c:pt idx="36">
                  <c:v>667.5</c:v>
                </c:pt>
                <c:pt idx="37">
                  <c:v>667.5</c:v>
                </c:pt>
                <c:pt idx="38">
                  <c:v>667.5</c:v>
                </c:pt>
                <c:pt idx="39">
                  <c:v>667.5</c:v>
                </c:pt>
                <c:pt idx="40">
                  <c:v>667.5</c:v>
                </c:pt>
                <c:pt idx="41">
                  <c:v>667.5</c:v>
                </c:pt>
                <c:pt idx="42">
                  <c:v>667.5</c:v>
                </c:pt>
                <c:pt idx="43">
                  <c:v>667.5</c:v>
                </c:pt>
                <c:pt idx="44">
                  <c:v>667.5</c:v>
                </c:pt>
                <c:pt idx="45">
                  <c:v>667.5</c:v>
                </c:pt>
                <c:pt idx="46">
                  <c:v>667.5</c:v>
                </c:pt>
                <c:pt idx="47">
                  <c:v>667.5</c:v>
                </c:pt>
                <c:pt idx="48">
                  <c:v>667.5</c:v>
                </c:pt>
                <c:pt idx="49">
                  <c:v>667.5</c:v>
                </c:pt>
                <c:pt idx="50">
                  <c:v>667.5</c:v>
                </c:pt>
                <c:pt idx="51">
                  <c:v>667.5</c:v>
                </c:pt>
                <c:pt idx="52">
                  <c:v>667.5</c:v>
                </c:pt>
                <c:pt idx="53">
                  <c:v>667.5</c:v>
                </c:pt>
                <c:pt idx="54">
                  <c:v>667.5</c:v>
                </c:pt>
                <c:pt idx="55">
                  <c:v>667.5</c:v>
                </c:pt>
                <c:pt idx="56">
                  <c:v>667.5</c:v>
                </c:pt>
                <c:pt idx="57">
                  <c:v>667.5</c:v>
                </c:pt>
                <c:pt idx="58">
                  <c:v>667.5</c:v>
                </c:pt>
                <c:pt idx="59">
                  <c:v>667.5</c:v>
                </c:pt>
                <c:pt idx="60">
                  <c:v>667.5</c:v>
                </c:pt>
                <c:pt idx="61">
                  <c:v>667.5</c:v>
                </c:pt>
                <c:pt idx="62">
                  <c:v>667.5</c:v>
                </c:pt>
                <c:pt idx="63">
                  <c:v>667.5</c:v>
                </c:pt>
                <c:pt idx="64">
                  <c:v>667.5</c:v>
                </c:pt>
                <c:pt idx="65">
                  <c:v>667.5</c:v>
                </c:pt>
                <c:pt idx="66">
                  <c:v>667.5</c:v>
                </c:pt>
                <c:pt idx="67">
                  <c:v>667.5</c:v>
                </c:pt>
                <c:pt idx="68">
                  <c:v>667.5</c:v>
                </c:pt>
                <c:pt idx="69">
                  <c:v>667.5</c:v>
                </c:pt>
                <c:pt idx="70">
                  <c:v>667.5</c:v>
                </c:pt>
                <c:pt idx="71">
                  <c:v>667.5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816-414F-8432-C34C48599EFF}"/>
            </c:ext>
          </c:extLst>
        </c:ser>
        <c:ser>
          <c:idx val="9"/>
          <c:order val="9"/>
          <c:tx>
            <c:strRef>
              <c:f>Output!$A$13:$C$13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OCGT_1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Output!$D$13:$BW$13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816-414F-8432-C34C48599EFF}"/>
            </c:ext>
          </c:extLst>
        </c:ser>
        <c:ser>
          <c:idx val="10"/>
          <c:order val="10"/>
          <c:tx>
            <c:strRef>
              <c:f>Output!$A$14:$C$14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OCGT_2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Output!$D$14:$BW$14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816-414F-8432-C34C48599EFF}"/>
            </c:ext>
          </c:extLst>
        </c:ser>
        <c:ser>
          <c:idx val="11"/>
          <c:order val="11"/>
          <c:tx>
            <c:strRef>
              <c:f>Output!$A$15:$C$15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OCGT_3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Output!$D$15:$BW$15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816-414F-8432-C34C48599EFF}"/>
            </c:ext>
          </c:extLst>
        </c:ser>
        <c:ser>
          <c:idx val="12"/>
          <c:order val="12"/>
          <c:tx>
            <c:strRef>
              <c:f>Output!$A$16:$C$16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FuelOilGas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Output!$D$16:$BW$16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816-414F-8432-C34C48599EFF}"/>
            </c:ext>
          </c:extLst>
        </c:ser>
        <c:ser>
          <c:idx val="13"/>
          <c:order val="13"/>
          <c:tx>
            <c:strRef>
              <c:f>Output!$A$17:$C$17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RunOfRiver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Output!$D$17:$BW$17</c:f>
              <c:numCache>
                <c:formatCode>0</c:formatCode>
                <c:ptCount val="72"/>
                <c:pt idx="0">
                  <c:v>150</c:v>
                </c:pt>
                <c:pt idx="1">
                  <c:v>150</c:v>
                </c:pt>
                <c:pt idx="2">
                  <c:v>149.99727272727276</c:v>
                </c:pt>
                <c:pt idx="3">
                  <c:v>150</c:v>
                </c:pt>
                <c:pt idx="4">
                  <c:v>150</c:v>
                </c:pt>
                <c:pt idx="5">
                  <c:v>67.340000000000032</c:v>
                </c:pt>
                <c:pt idx="6">
                  <c:v>150</c:v>
                </c:pt>
                <c:pt idx="7">
                  <c:v>150</c:v>
                </c:pt>
                <c:pt idx="8">
                  <c:v>128.08695652173918</c:v>
                </c:pt>
                <c:pt idx="9">
                  <c:v>150</c:v>
                </c:pt>
                <c:pt idx="10">
                  <c:v>150</c:v>
                </c:pt>
                <c:pt idx="11">
                  <c:v>128.08695652173921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94.200000000000188</c:v>
                </c:pt>
                <c:pt idx="18">
                  <c:v>150</c:v>
                </c:pt>
                <c:pt idx="19">
                  <c:v>150</c:v>
                </c:pt>
                <c:pt idx="20">
                  <c:v>59.528795811518329</c:v>
                </c:pt>
                <c:pt idx="21">
                  <c:v>150</c:v>
                </c:pt>
                <c:pt idx="22">
                  <c:v>150</c:v>
                </c:pt>
                <c:pt idx="23">
                  <c:v>59.528795811518336</c:v>
                </c:pt>
                <c:pt idx="24">
                  <c:v>144.3652173913043</c:v>
                </c:pt>
                <c:pt idx="25">
                  <c:v>150</c:v>
                </c:pt>
                <c:pt idx="26">
                  <c:v>0</c:v>
                </c:pt>
                <c:pt idx="27">
                  <c:v>144.3652173913043</c:v>
                </c:pt>
                <c:pt idx="28">
                  <c:v>150</c:v>
                </c:pt>
                <c:pt idx="29">
                  <c:v>0</c:v>
                </c:pt>
                <c:pt idx="30">
                  <c:v>150</c:v>
                </c:pt>
                <c:pt idx="31">
                  <c:v>129.59387755102037</c:v>
                </c:pt>
                <c:pt idx="32">
                  <c:v>0</c:v>
                </c:pt>
                <c:pt idx="33">
                  <c:v>42.20000000000072</c:v>
                </c:pt>
                <c:pt idx="34">
                  <c:v>0</c:v>
                </c:pt>
                <c:pt idx="35">
                  <c:v>0</c:v>
                </c:pt>
                <c:pt idx="36">
                  <c:v>127.21070471136015</c:v>
                </c:pt>
                <c:pt idx="37">
                  <c:v>126.01262672175612</c:v>
                </c:pt>
                <c:pt idx="38">
                  <c:v>0</c:v>
                </c:pt>
                <c:pt idx="39">
                  <c:v>127.21070471136015</c:v>
                </c:pt>
                <c:pt idx="40">
                  <c:v>22.800000000000374</c:v>
                </c:pt>
                <c:pt idx="41">
                  <c:v>0</c:v>
                </c:pt>
                <c:pt idx="42">
                  <c:v>121.22727272727278</c:v>
                </c:pt>
                <c:pt idx="43">
                  <c:v>150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150</c:v>
                </c:pt>
                <c:pt idx="49">
                  <c:v>150</c:v>
                </c:pt>
                <c:pt idx="50">
                  <c:v>19.714285714285708</c:v>
                </c:pt>
                <c:pt idx="51">
                  <c:v>150</c:v>
                </c:pt>
                <c:pt idx="52">
                  <c:v>150</c:v>
                </c:pt>
                <c:pt idx="53">
                  <c:v>0</c:v>
                </c:pt>
                <c:pt idx="54">
                  <c:v>150</c:v>
                </c:pt>
                <c:pt idx="55">
                  <c:v>150</c:v>
                </c:pt>
                <c:pt idx="56">
                  <c:v>70.991150442477831</c:v>
                </c:pt>
                <c:pt idx="57">
                  <c:v>150</c:v>
                </c:pt>
                <c:pt idx="58">
                  <c:v>150</c:v>
                </c:pt>
                <c:pt idx="59">
                  <c:v>70.991150442477831</c:v>
                </c:pt>
                <c:pt idx="60">
                  <c:v>150</c:v>
                </c:pt>
                <c:pt idx="61">
                  <c:v>150</c:v>
                </c:pt>
                <c:pt idx="62">
                  <c:v>130.27397260273978</c:v>
                </c:pt>
                <c:pt idx="63">
                  <c:v>150</c:v>
                </c:pt>
                <c:pt idx="64">
                  <c:v>150</c:v>
                </c:pt>
                <c:pt idx="65">
                  <c:v>130.27397260273978</c:v>
                </c:pt>
                <c:pt idx="66">
                  <c:v>150</c:v>
                </c:pt>
                <c:pt idx="67">
                  <c:v>150</c:v>
                </c:pt>
                <c:pt idx="68">
                  <c:v>150</c:v>
                </c:pt>
                <c:pt idx="69">
                  <c:v>150</c:v>
                </c:pt>
                <c:pt idx="70">
                  <c:v>150</c:v>
                </c:pt>
                <c:pt idx="71">
                  <c:v>104.44897959183683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816-414F-8432-C34C48599EFF}"/>
            </c:ext>
          </c:extLst>
        </c:ser>
        <c:ser>
          <c:idx val="14"/>
          <c:order val="14"/>
          <c:tx>
            <c:strRef>
              <c:f>Output!$A$18:$C$18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StorageHydro1_Basin1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Output!$D$18:$BW$18</c:f>
              <c:numCache>
                <c:formatCode>0</c:formatCode>
                <c:ptCount val="72"/>
                <c:pt idx="0">
                  <c:v>200</c:v>
                </c:pt>
                <c:pt idx="1">
                  <c:v>99.900000000000105</c:v>
                </c:pt>
                <c:pt idx="2">
                  <c:v>0</c:v>
                </c:pt>
                <c:pt idx="3">
                  <c:v>78.600000000000676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14.840000000000853</c:v>
                </c:pt>
                <c:pt idx="8">
                  <c:v>0</c:v>
                </c:pt>
                <c:pt idx="9">
                  <c:v>200</c:v>
                </c:pt>
                <c:pt idx="10">
                  <c:v>0</c:v>
                </c:pt>
                <c:pt idx="11">
                  <c:v>0</c:v>
                </c:pt>
                <c:pt idx="12">
                  <c:v>200</c:v>
                </c:pt>
                <c:pt idx="13">
                  <c:v>0</c:v>
                </c:pt>
                <c:pt idx="14">
                  <c:v>0</c:v>
                </c:pt>
                <c:pt idx="15">
                  <c:v>200</c:v>
                </c:pt>
                <c:pt idx="16">
                  <c:v>0</c:v>
                </c:pt>
                <c:pt idx="17">
                  <c:v>0</c:v>
                </c:pt>
                <c:pt idx="18">
                  <c:v>200</c:v>
                </c:pt>
                <c:pt idx="19">
                  <c:v>78.660812030074183</c:v>
                </c:pt>
                <c:pt idx="20">
                  <c:v>0</c:v>
                </c:pt>
                <c:pt idx="21">
                  <c:v>200</c:v>
                </c:pt>
                <c:pt idx="22">
                  <c:v>48.439999999999536</c:v>
                </c:pt>
                <c:pt idx="23">
                  <c:v>0</c:v>
                </c:pt>
                <c:pt idx="24">
                  <c:v>200</c:v>
                </c:pt>
                <c:pt idx="25">
                  <c:v>37.813206417109392</c:v>
                </c:pt>
                <c:pt idx="26">
                  <c:v>0</c:v>
                </c:pt>
                <c:pt idx="27">
                  <c:v>200</c:v>
                </c:pt>
                <c:pt idx="28">
                  <c:v>37.813206417109392</c:v>
                </c:pt>
                <c:pt idx="29">
                  <c:v>0</c:v>
                </c:pt>
                <c:pt idx="30">
                  <c:v>184.2999999999997</c:v>
                </c:pt>
                <c:pt idx="31">
                  <c:v>0</c:v>
                </c:pt>
                <c:pt idx="32">
                  <c:v>0</c:v>
                </c:pt>
                <c:pt idx="33">
                  <c:v>184.2999999999997</c:v>
                </c:pt>
                <c:pt idx="34">
                  <c:v>0</c:v>
                </c:pt>
                <c:pt idx="35">
                  <c:v>0</c:v>
                </c:pt>
                <c:pt idx="36">
                  <c:v>200</c:v>
                </c:pt>
                <c:pt idx="37">
                  <c:v>0</c:v>
                </c:pt>
                <c:pt idx="38">
                  <c:v>0</c:v>
                </c:pt>
                <c:pt idx="39">
                  <c:v>200</c:v>
                </c:pt>
                <c:pt idx="40">
                  <c:v>0</c:v>
                </c:pt>
                <c:pt idx="41">
                  <c:v>0</c:v>
                </c:pt>
                <c:pt idx="42">
                  <c:v>200</c:v>
                </c:pt>
                <c:pt idx="43">
                  <c:v>73.800000000000807</c:v>
                </c:pt>
                <c:pt idx="44">
                  <c:v>0</c:v>
                </c:pt>
                <c:pt idx="45">
                  <c:v>112.88797306399451</c:v>
                </c:pt>
                <c:pt idx="46">
                  <c:v>0</c:v>
                </c:pt>
                <c:pt idx="47">
                  <c:v>0</c:v>
                </c:pt>
                <c:pt idx="48">
                  <c:v>189.44000000000094</c:v>
                </c:pt>
                <c:pt idx="49">
                  <c:v>0</c:v>
                </c:pt>
                <c:pt idx="50">
                  <c:v>0</c:v>
                </c:pt>
                <c:pt idx="51">
                  <c:v>189.44000000000094</c:v>
                </c:pt>
                <c:pt idx="52">
                  <c:v>0</c:v>
                </c:pt>
                <c:pt idx="53">
                  <c:v>0</c:v>
                </c:pt>
                <c:pt idx="54">
                  <c:v>200</c:v>
                </c:pt>
                <c:pt idx="55">
                  <c:v>78.240000000000975</c:v>
                </c:pt>
                <c:pt idx="56">
                  <c:v>0</c:v>
                </c:pt>
                <c:pt idx="57">
                  <c:v>200</c:v>
                </c:pt>
                <c:pt idx="58">
                  <c:v>0</c:v>
                </c:pt>
                <c:pt idx="59">
                  <c:v>0</c:v>
                </c:pt>
                <c:pt idx="60">
                  <c:v>200</c:v>
                </c:pt>
                <c:pt idx="61">
                  <c:v>76.604747474747541</c:v>
                </c:pt>
                <c:pt idx="62">
                  <c:v>0</c:v>
                </c:pt>
                <c:pt idx="63">
                  <c:v>200</c:v>
                </c:pt>
                <c:pt idx="64">
                  <c:v>76.604747474747541</c:v>
                </c:pt>
                <c:pt idx="65">
                  <c:v>0</c:v>
                </c:pt>
                <c:pt idx="66">
                  <c:v>200</c:v>
                </c:pt>
                <c:pt idx="67">
                  <c:v>55.862441558441454</c:v>
                </c:pt>
                <c:pt idx="68">
                  <c:v>0</c:v>
                </c:pt>
                <c:pt idx="69">
                  <c:v>200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816-414F-8432-C34C48599EFF}"/>
            </c:ext>
          </c:extLst>
        </c:ser>
        <c:ser>
          <c:idx val="15"/>
          <c:order val="15"/>
          <c:tx>
            <c:strRef>
              <c:f>Output!$A$19:$C$19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StorageHydro2_Basin1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Output!$D$19:$BW$19</c:f>
              <c:numCache>
                <c:formatCode>0</c:formatCode>
                <c:ptCount val="72"/>
                <c:pt idx="0">
                  <c:v>200</c:v>
                </c:pt>
                <c:pt idx="1">
                  <c:v>0</c:v>
                </c:pt>
                <c:pt idx="2">
                  <c:v>0</c:v>
                </c:pt>
                <c:pt idx="3">
                  <c:v>200</c:v>
                </c:pt>
                <c:pt idx="4">
                  <c:v>0</c:v>
                </c:pt>
                <c:pt idx="5">
                  <c:v>0</c:v>
                </c:pt>
                <c:pt idx="6">
                  <c:v>137.00000000000057</c:v>
                </c:pt>
                <c:pt idx="7">
                  <c:v>0</c:v>
                </c:pt>
                <c:pt idx="8">
                  <c:v>0</c:v>
                </c:pt>
                <c:pt idx="9">
                  <c:v>137.00000000000057</c:v>
                </c:pt>
                <c:pt idx="10">
                  <c:v>0</c:v>
                </c:pt>
                <c:pt idx="11">
                  <c:v>0</c:v>
                </c:pt>
                <c:pt idx="12">
                  <c:v>104.29999999999984</c:v>
                </c:pt>
                <c:pt idx="13">
                  <c:v>0</c:v>
                </c:pt>
                <c:pt idx="14">
                  <c:v>0</c:v>
                </c:pt>
                <c:pt idx="15">
                  <c:v>17.700000000000493</c:v>
                </c:pt>
                <c:pt idx="16">
                  <c:v>0</c:v>
                </c:pt>
                <c:pt idx="17">
                  <c:v>0</c:v>
                </c:pt>
                <c:pt idx="18">
                  <c:v>133.29999999999998</c:v>
                </c:pt>
                <c:pt idx="19">
                  <c:v>0</c:v>
                </c:pt>
                <c:pt idx="20">
                  <c:v>0</c:v>
                </c:pt>
                <c:pt idx="21">
                  <c:v>123.20000000000029</c:v>
                </c:pt>
                <c:pt idx="22">
                  <c:v>0</c:v>
                </c:pt>
                <c:pt idx="23">
                  <c:v>0</c:v>
                </c:pt>
                <c:pt idx="24">
                  <c:v>190.23478260869621</c:v>
                </c:pt>
                <c:pt idx="25">
                  <c:v>5.8867935828911246</c:v>
                </c:pt>
                <c:pt idx="26">
                  <c:v>0</c:v>
                </c:pt>
                <c:pt idx="27">
                  <c:v>190.23478260869621</c:v>
                </c:pt>
                <c:pt idx="28">
                  <c:v>5.8867935828911246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88.589295288639676</c:v>
                </c:pt>
                <c:pt idx="37">
                  <c:v>0</c:v>
                </c:pt>
                <c:pt idx="38">
                  <c:v>0</c:v>
                </c:pt>
                <c:pt idx="39">
                  <c:v>88.589295288639676</c:v>
                </c:pt>
                <c:pt idx="40">
                  <c:v>0</c:v>
                </c:pt>
                <c:pt idx="41">
                  <c:v>0</c:v>
                </c:pt>
                <c:pt idx="42">
                  <c:v>188.17272727272717</c:v>
                </c:pt>
                <c:pt idx="43">
                  <c:v>0</c:v>
                </c:pt>
                <c:pt idx="44">
                  <c:v>0</c:v>
                </c:pt>
                <c:pt idx="45">
                  <c:v>188.17272727272717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200</c:v>
                </c:pt>
                <c:pt idx="55">
                  <c:v>0</c:v>
                </c:pt>
                <c:pt idx="56">
                  <c:v>0</c:v>
                </c:pt>
                <c:pt idx="57">
                  <c:v>200</c:v>
                </c:pt>
                <c:pt idx="58">
                  <c:v>0</c:v>
                </c:pt>
                <c:pt idx="59">
                  <c:v>0</c:v>
                </c:pt>
                <c:pt idx="60">
                  <c:v>200</c:v>
                </c:pt>
                <c:pt idx="61">
                  <c:v>0</c:v>
                </c:pt>
                <c:pt idx="62">
                  <c:v>0</c:v>
                </c:pt>
                <c:pt idx="63">
                  <c:v>200</c:v>
                </c:pt>
                <c:pt idx="64">
                  <c:v>0</c:v>
                </c:pt>
                <c:pt idx="65">
                  <c:v>0</c:v>
                </c:pt>
                <c:pt idx="66">
                  <c:v>95.218994652408711</c:v>
                </c:pt>
                <c:pt idx="67">
                  <c:v>0</c:v>
                </c:pt>
                <c:pt idx="68">
                  <c:v>0</c:v>
                </c:pt>
                <c:pt idx="69">
                  <c:v>41.600000000001188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816-414F-8432-C34C48599EFF}"/>
            </c:ext>
          </c:extLst>
        </c:ser>
        <c:ser>
          <c:idx val="16"/>
          <c:order val="16"/>
          <c:tx>
            <c:strRef>
              <c:f>Output!$A$20:$C$20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StorageHydro3_Basin1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Output!$D$20:$BW$20</c:f>
              <c:numCache>
                <c:formatCode>0</c:formatCode>
                <c:ptCount val="72"/>
                <c:pt idx="0">
                  <c:v>200</c:v>
                </c:pt>
                <c:pt idx="1">
                  <c:v>200</c:v>
                </c:pt>
                <c:pt idx="2">
                  <c:v>0</c:v>
                </c:pt>
                <c:pt idx="3">
                  <c:v>200</c:v>
                </c:pt>
                <c:pt idx="4">
                  <c:v>87.8400000000007</c:v>
                </c:pt>
                <c:pt idx="5">
                  <c:v>0</c:v>
                </c:pt>
                <c:pt idx="6">
                  <c:v>200</c:v>
                </c:pt>
                <c:pt idx="7">
                  <c:v>200</c:v>
                </c:pt>
                <c:pt idx="8">
                  <c:v>0</c:v>
                </c:pt>
                <c:pt idx="9">
                  <c:v>200</c:v>
                </c:pt>
                <c:pt idx="10">
                  <c:v>163.70000000000024</c:v>
                </c:pt>
                <c:pt idx="11">
                  <c:v>0</c:v>
                </c:pt>
                <c:pt idx="12">
                  <c:v>200</c:v>
                </c:pt>
                <c:pt idx="13">
                  <c:v>178.19999999999985</c:v>
                </c:pt>
                <c:pt idx="14">
                  <c:v>0</c:v>
                </c:pt>
                <c:pt idx="15">
                  <c:v>200</c:v>
                </c:pt>
                <c:pt idx="16">
                  <c:v>16.799999999999891</c:v>
                </c:pt>
                <c:pt idx="17">
                  <c:v>0</c:v>
                </c:pt>
                <c:pt idx="18">
                  <c:v>200</c:v>
                </c:pt>
                <c:pt idx="19">
                  <c:v>200</c:v>
                </c:pt>
                <c:pt idx="20">
                  <c:v>0</c:v>
                </c:pt>
                <c:pt idx="21">
                  <c:v>200</c:v>
                </c:pt>
                <c:pt idx="22">
                  <c:v>200</c:v>
                </c:pt>
                <c:pt idx="23">
                  <c:v>0</c:v>
                </c:pt>
                <c:pt idx="24">
                  <c:v>200</c:v>
                </c:pt>
                <c:pt idx="25">
                  <c:v>200</c:v>
                </c:pt>
                <c:pt idx="26">
                  <c:v>11.000000000000455</c:v>
                </c:pt>
                <c:pt idx="27">
                  <c:v>200</c:v>
                </c:pt>
                <c:pt idx="28">
                  <c:v>200</c:v>
                </c:pt>
                <c:pt idx="29">
                  <c:v>11.000000000000455</c:v>
                </c:pt>
                <c:pt idx="30">
                  <c:v>200</c:v>
                </c:pt>
                <c:pt idx="31">
                  <c:v>146.84612244898011</c:v>
                </c:pt>
                <c:pt idx="32">
                  <c:v>0</c:v>
                </c:pt>
                <c:pt idx="33">
                  <c:v>200</c:v>
                </c:pt>
                <c:pt idx="34">
                  <c:v>109.9999999999999</c:v>
                </c:pt>
                <c:pt idx="35">
                  <c:v>0</c:v>
                </c:pt>
                <c:pt idx="36">
                  <c:v>200</c:v>
                </c:pt>
                <c:pt idx="37">
                  <c:v>200</c:v>
                </c:pt>
                <c:pt idx="38">
                  <c:v>0</c:v>
                </c:pt>
                <c:pt idx="39">
                  <c:v>122.80000000000068</c:v>
                </c:pt>
                <c:pt idx="40">
                  <c:v>200</c:v>
                </c:pt>
                <c:pt idx="41">
                  <c:v>0</c:v>
                </c:pt>
                <c:pt idx="42">
                  <c:v>200</c:v>
                </c:pt>
                <c:pt idx="43">
                  <c:v>200</c:v>
                </c:pt>
                <c:pt idx="44">
                  <c:v>0</c:v>
                </c:pt>
                <c:pt idx="45">
                  <c:v>103.23929966327889</c:v>
                </c:pt>
                <c:pt idx="46">
                  <c:v>192.33999999999978</c:v>
                </c:pt>
                <c:pt idx="47">
                  <c:v>0</c:v>
                </c:pt>
                <c:pt idx="48">
                  <c:v>200</c:v>
                </c:pt>
                <c:pt idx="49">
                  <c:v>197.94</c:v>
                </c:pt>
                <c:pt idx="50">
                  <c:v>0</c:v>
                </c:pt>
                <c:pt idx="51">
                  <c:v>200</c:v>
                </c:pt>
                <c:pt idx="52">
                  <c:v>42.540000000000134</c:v>
                </c:pt>
                <c:pt idx="53">
                  <c:v>0</c:v>
                </c:pt>
                <c:pt idx="54">
                  <c:v>200</c:v>
                </c:pt>
                <c:pt idx="55">
                  <c:v>200</c:v>
                </c:pt>
                <c:pt idx="56">
                  <c:v>0</c:v>
                </c:pt>
                <c:pt idx="57">
                  <c:v>52.89999999999862</c:v>
                </c:pt>
                <c:pt idx="58">
                  <c:v>54.900000000000063</c:v>
                </c:pt>
                <c:pt idx="59">
                  <c:v>0</c:v>
                </c:pt>
                <c:pt idx="60">
                  <c:v>200</c:v>
                </c:pt>
                <c:pt idx="61">
                  <c:v>169.15525252525268</c:v>
                </c:pt>
                <c:pt idx="62">
                  <c:v>0</c:v>
                </c:pt>
                <c:pt idx="63">
                  <c:v>200</c:v>
                </c:pt>
                <c:pt idx="64">
                  <c:v>169.15525252525268</c:v>
                </c:pt>
                <c:pt idx="65">
                  <c:v>0</c:v>
                </c:pt>
                <c:pt idx="66">
                  <c:v>200</c:v>
                </c:pt>
                <c:pt idx="67">
                  <c:v>200</c:v>
                </c:pt>
                <c:pt idx="68">
                  <c:v>0</c:v>
                </c:pt>
                <c:pt idx="69">
                  <c:v>200</c:v>
                </c:pt>
                <c:pt idx="70">
                  <c:v>108.63999999999946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816-414F-8432-C34C48599EFF}"/>
            </c:ext>
          </c:extLst>
        </c:ser>
        <c:ser>
          <c:idx val="17"/>
          <c:order val="17"/>
          <c:tx>
            <c:strRef>
              <c:f>Output!$A$21:$C$21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PumpedStorageHydro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Output!$D$21:$BW$21</c:f>
              <c:numCache>
                <c:formatCode>0</c:formatCode>
                <c:ptCount val="72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  <c:pt idx="31">
                  <c:v>200</c:v>
                </c:pt>
                <c:pt idx="32">
                  <c:v>200</c:v>
                </c:pt>
                <c:pt idx="33">
                  <c:v>200</c:v>
                </c:pt>
                <c:pt idx="34">
                  <c:v>200</c:v>
                </c:pt>
                <c:pt idx="35">
                  <c:v>200</c:v>
                </c:pt>
                <c:pt idx="36">
                  <c:v>200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200</c:v>
                </c:pt>
                <c:pt idx="43">
                  <c:v>200</c:v>
                </c:pt>
                <c:pt idx="44">
                  <c:v>200</c:v>
                </c:pt>
                <c:pt idx="45">
                  <c:v>200</c:v>
                </c:pt>
                <c:pt idx="46">
                  <c:v>200</c:v>
                </c:pt>
                <c:pt idx="47">
                  <c:v>200</c:v>
                </c:pt>
                <c:pt idx="48">
                  <c:v>200</c:v>
                </c:pt>
                <c:pt idx="49">
                  <c:v>200</c:v>
                </c:pt>
                <c:pt idx="50">
                  <c:v>200</c:v>
                </c:pt>
                <c:pt idx="51">
                  <c:v>200</c:v>
                </c:pt>
                <c:pt idx="52">
                  <c:v>200</c:v>
                </c:pt>
                <c:pt idx="53">
                  <c:v>200</c:v>
                </c:pt>
                <c:pt idx="54">
                  <c:v>200</c:v>
                </c:pt>
                <c:pt idx="55">
                  <c:v>200</c:v>
                </c:pt>
                <c:pt idx="56">
                  <c:v>200</c:v>
                </c:pt>
                <c:pt idx="57">
                  <c:v>200</c:v>
                </c:pt>
                <c:pt idx="58">
                  <c:v>200</c:v>
                </c:pt>
                <c:pt idx="59">
                  <c:v>200</c:v>
                </c:pt>
                <c:pt idx="60">
                  <c:v>200</c:v>
                </c:pt>
                <c:pt idx="61">
                  <c:v>200</c:v>
                </c:pt>
                <c:pt idx="62">
                  <c:v>200</c:v>
                </c:pt>
                <c:pt idx="63">
                  <c:v>200</c:v>
                </c:pt>
                <c:pt idx="64">
                  <c:v>200</c:v>
                </c:pt>
                <c:pt idx="65">
                  <c:v>200</c:v>
                </c:pt>
                <c:pt idx="66">
                  <c:v>200</c:v>
                </c:pt>
                <c:pt idx="67">
                  <c:v>200</c:v>
                </c:pt>
                <c:pt idx="68">
                  <c:v>200</c:v>
                </c:pt>
                <c:pt idx="69">
                  <c:v>200</c:v>
                </c:pt>
                <c:pt idx="70">
                  <c:v>200</c:v>
                </c:pt>
                <c:pt idx="7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16-414F-8432-C34C48599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05615"/>
        <c:axId val="1587408527"/>
      </c:areaChart>
      <c:catAx>
        <c:axId val="15874056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Load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87408527"/>
        <c:crosses val="autoZero"/>
        <c:auto val="1"/>
        <c:lblAlgn val="ctr"/>
        <c:lblOffset val="100"/>
        <c:noMultiLvlLbl val="0"/>
      </c:catAx>
      <c:valAx>
        <c:axId val="1587408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Output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87405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Energy!$A$4:$C$4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Nuclear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Energy!$D$4:$BW$4</c:f>
              <c:numCache>
                <c:formatCode>0</c:formatCode>
                <c:ptCount val="72"/>
                <c:pt idx="0">
                  <c:v>67900.800000000003</c:v>
                </c:pt>
                <c:pt idx="1">
                  <c:v>237652.80000000002</c:v>
                </c:pt>
                <c:pt idx="2">
                  <c:v>101851.20000000001</c:v>
                </c:pt>
                <c:pt idx="3">
                  <c:v>27777.600000000002</c:v>
                </c:pt>
                <c:pt idx="4">
                  <c:v>97221.6</c:v>
                </c:pt>
                <c:pt idx="5">
                  <c:v>41666.400000000001</c:v>
                </c:pt>
                <c:pt idx="6">
                  <c:v>46296.000000000007</c:v>
                </c:pt>
                <c:pt idx="7">
                  <c:v>231480.00000000003</c:v>
                </c:pt>
                <c:pt idx="8">
                  <c:v>92592.000000000015</c:v>
                </c:pt>
                <c:pt idx="9">
                  <c:v>18518.400000000001</c:v>
                </c:pt>
                <c:pt idx="10">
                  <c:v>80246.400000000009</c:v>
                </c:pt>
                <c:pt idx="11">
                  <c:v>49382.400000000001</c:v>
                </c:pt>
                <c:pt idx="12">
                  <c:v>64814.400000000009</c:v>
                </c:pt>
                <c:pt idx="13">
                  <c:v>226850.4</c:v>
                </c:pt>
                <c:pt idx="14">
                  <c:v>97221.6</c:v>
                </c:pt>
                <c:pt idx="15">
                  <c:v>23148.000000000004</c:v>
                </c:pt>
                <c:pt idx="16">
                  <c:v>100308</c:v>
                </c:pt>
                <c:pt idx="17">
                  <c:v>61728.000000000007</c:v>
                </c:pt>
                <c:pt idx="18">
                  <c:v>58641.600000000006</c:v>
                </c:pt>
                <c:pt idx="19">
                  <c:v>205245.60000000003</c:v>
                </c:pt>
                <c:pt idx="20">
                  <c:v>87962.400000000009</c:v>
                </c:pt>
                <c:pt idx="21">
                  <c:v>25462.800000000003</c:v>
                </c:pt>
                <c:pt idx="22">
                  <c:v>118826.40000000001</c:v>
                </c:pt>
                <c:pt idx="23">
                  <c:v>59413.200000000004</c:v>
                </c:pt>
                <c:pt idx="24">
                  <c:v>67900.800000000003</c:v>
                </c:pt>
                <c:pt idx="25">
                  <c:v>237652.80000000002</c:v>
                </c:pt>
                <c:pt idx="26">
                  <c:v>101851.20000000001</c:v>
                </c:pt>
                <c:pt idx="27">
                  <c:v>20833.2</c:v>
                </c:pt>
                <c:pt idx="28">
                  <c:v>90277.200000000012</c:v>
                </c:pt>
                <c:pt idx="29">
                  <c:v>55555.200000000004</c:v>
                </c:pt>
                <c:pt idx="30">
                  <c:v>64814.400000000009</c:v>
                </c:pt>
                <c:pt idx="31">
                  <c:v>226850.4</c:v>
                </c:pt>
                <c:pt idx="32">
                  <c:v>97221.6</c:v>
                </c:pt>
                <c:pt idx="33">
                  <c:v>20833.2</c:v>
                </c:pt>
                <c:pt idx="34">
                  <c:v>97221.6</c:v>
                </c:pt>
                <c:pt idx="35">
                  <c:v>48610.8</c:v>
                </c:pt>
                <c:pt idx="36">
                  <c:v>84876</c:v>
                </c:pt>
                <c:pt idx="37">
                  <c:v>203702.40000000002</c:v>
                </c:pt>
                <c:pt idx="38">
                  <c:v>118826.40000000001</c:v>
                </c:pt>
                <c:pt idx="39">
                  <c:v>20833.2</c:v>
                </c:pt>
                <c:pt idx="40">
                  <c:v>97221.6</c:v>
                </c:pt>
                <c:pt idx="41">
                  <c:v>48610.8</c:v>
                </c:pt>
                <c:pt idx="42">
                  <c:v>67900.800000000003</c:v>
                </c:pt>
                <c:pt idx="43">
                  <c:v>220677.6</c:v>
                </c:pt>
                <c:pt idx="44">
                  <c:v>118826.40000000001</c:v>
                </c:pt>
                <c:pt idx="45">
                  <c:v>20833.2</c:v>
                </c:pt>
                <c:pt idx="46">
                  <c:v>97221.6</c:v>
                </c:pt>
                <c:pt idx="47">
                  <c:v>48610.8</c:v>
                </c:pt>
                <c:pt idx="48">
                  <c:v>77160.000000000015</c:v>
                </c:pt>
                <c:pt idx="49">
                  <c:v>185184.00000000003</c:v>
                </c:pt>
                <c:pt idx="50">
                  <c:v>108024.00000000001</c:v>
                </c:pt>
                <c:pt idx="51">
                  <c:v>23148.000000000004</c:v>
                </c:pt>
                <c:pt idx="52">
                  <c:v>100308</c:v>
                </c:pt>
                <c:pt idx="53">
                  <c:v>61728.000000000007</c:v>
                </c:pt>
                <c:pt idx="54">
                  <c:v>50925.600000000006</c:v>
                </c:pt>
                <c:pt idx="55">
                  <c:v>237652.80000000002</c:v>
                </c:pt>
                <c:pt idx="56">
                  <c:v>118826.40000000001</c:v>
                </c:pt>
                <c:pt idx="57">
                  <c:v>20833.2</c:v>
                </c:pt>
                <c:pt idx="58">
                  <c:v>90277.200000000012</c:v>
                </c:pt>
                <c:pt idx="59">
                  <c:v>55555.200000000004</c:v>
                </c:pt>
                <c:pt idx="60">
                  <c:v>32407.200000000004</c:v>
                </c:pt>
                <c:pt idx="61">
                  <c:v>243054.00000000003</c:v>
                </c:pt>
                <c:pt idx="62">
                  <c:v>113425.2</c:v>
                </c:pt>
                <c:pt idx="63">
                  <c:v>20833.2</c:v>
                </c:pt>
                <c:pt idx="64">
                  <c:v>90277.200000000012</c:v>
                </c:pt>
                <c:pt idx="65">
                  <c:v>55555.200000000004</c:v>
                </c:pt>
                <c:pt idx="66">
                  <c:v>52468.800000000003</c:v>
                </c:pt>
                <c:pt idx="67">
                  <c:v>183640.80000000002</c:v>
                </c:pt>
                <c:pt idx="68">
                  <c:v>78703.200000000012</c:v>
                </c:pt>
                <c:pt idx="69">
                  <c:v>43209.599999999999</c:v>
                </c:pt>
                <c:pt idx="70">
                  <c:v>140431.20000000001</c:v>
                </c:pt>
                <c:pt idx="71">
                  <c:v>75616.800000000017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37-4242-ABD1-1D5A0C56F82F}"/>
            </c:ext>
          </c:extLst>
        </c:ser>
        <c:ser>
          <c:idx val="1"/>
          <c:order val="1"/>
          <c:tx>
            <c:strRef>
              <c:f>Energy!$A$5:$C$5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Energy!$D$5:$BW$5</c:f>
              <c:numCache>
                <c:formatCode>0</c:formatCode>
                <c:ptCount val="72"/>
                <c:pt idx="0">
                  <c:v>20697.599999999999</c:v>
                </c:pt>
                <c:pt idx="1">
                  <c:v>72441.599999999991</c:v>
                </c:pt>
                <c:pt idx="2">
                  <c:v>31046.399999999994</c:v>
                </c:pt>
                <c:pt idx="3">
                  <c:v>8467.1999999999989</c:v>
                </c:pt>
                <c:pt idx="4">
                  <c:v>29635.199999999993</c:v>
                </c:pt>
                <c:pt idx="5">
                  <c:v>12700.799999999997</c:v>
                </c:pt>
                <c:pt idx="6">
                  <c:v>14111.999999999998</c:v>
                </c:pt>
                <c:pt idx="7">
                  <c:v>70559.999999999985</c:v>
                </c:pt>
                <c:pt idx="8">
                  <c:v>28223.999999999996</c:v>
                </c:pt>
                <c:pt idx="9">
                  <c:v>5644.7999999999993</c:v>
                </c:pt>
                <c:pt idx="10">
                  <c:v>24460.799999999996</c:v>
                </c:pt>
                <c:pt idx="11">
                  <c:v>15052.799999999997</c:v>
                </c:pt>
                <c:pt idx="12">
                  <c:v>19756.8</c:v>
                </c:pt>
                <c:pt idx="13">
                  <c:v>69148.799999999988</c:v>
                </c:pt>
                <c:pt idx="14">
                  <c:v>29635.199999999993</c:v>
                </c:pt>
                <c:pt idx="15">
                  <c:v>7055.9999999999991</c:v>
                </c:pt>
                <c:pt idx="16">
                  <c:v>30575.999999999996</c:v>
                </c:pt>
                <c:pt idx="17">
                  <c:v>18815.999999999996</c:v>
                </c:pt>
                <c:pt idx="18">
                  <c:v>17875.199999999997</c:v>
                </c:pt>
                <c:pt idx="19">
                  <c:v>62563.19999999999</c:v>
                </c:pt>
                <c:pt idx="20">
                  <c:v>26812.799999999996</c:v>
                </c:pt>
                <c:pt idx="21">
                  <c:v>7761.5999999999985</c:v>
                </c:pt>
                <c:pt idx="22">
                  <c:v>36220.799999999996</c:v>
                </c:pt>
                <c:pt idx="23">
                  <c:v>18110.399999999998</c:v>
                </c:pt>
                <c:pt idx="24">
                  <c:v>20697.599999999999</c:v>
                </c:pt>
                <c:pt idx="25">
                  <c:v>72441.599999999991</c:v>
                </c:pt>
                <c:pt idx="26">
                  <c:v>31046.399999999994</c:v>
                </c:pt>
                <c:pt idx="27">
                  <c:v>6350.3999999999987</c:v>
                </c:pt>
                <c:pt idx="28">
                  <c:v>27518.399999999998</c:v>
                </c:pt>
                <c:pt idx="29">
                  <c:v>16934.399999999998</c:v>
                </c:pt>
                <c:pt idx="30">
                  <c:v>19756.8</c:v>
                </c:pt>
                <c:pt idx="31">
                  <c:v>69148.799999999988</c:v>
                </c:pt>
                <c:pt idx="32">
                  <c:v>29635.199999999993</c:v>
                </c:pt>
                <c:pt idx="33">
                  <c:v>6350.3999999999987</c:v>
                </c:pt>
                <c:pt idx="34">
                  <c:v>29635.199999999993</c:v>
                </c:pt>
                <c:pt idx="35">
                  <c:v>14817.599999999997</c:v>
                </c:pt>
                <c:pt idx="36">
                  <c:v>25871.999999999996</c:v>
                </c:pt>
                <c:pt idx="37">
                  <c:v>62092.799999999988</c:v>
                </c:pt>
                <c:pt idx="38">
                  <c:v>36220.799999999996</c:v>
                </c:pt>
                <c:pt idx="39">
                  <c:v>6350.3999999999987</c:v>
                </c:pt>
                <c:pt idx="40">
                  <c:v>29635.199999999993</c:v>
                </c:pt>
                <c:pt idx="41">
                  <c:v>14817.599999999997</c:v>
                </c:pt>
                <c:pt idx="42">
                  <c:v>20697.599999999999</c:v>
                </c:pt>
                <c:pt idx="43">
                  <c:v>67267.199999999983</c:v>
                </c:pt>
                <c:pt idx="44">
                  <c:v>36220.799999999996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15523.199999999997</c:v>
                </c:pt>
                <c:pt idx="55">
                  <c:v>72441.599999999991</c:v>
                </c:pt>
                <c:pt idx="56">
                  <c:v>36220.799999999996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9878.4</c:v>
                </c:pt>
                <c:pt idx="61">
                  <c:v>74088</c:v>
                </c:pt>
                <c:pt idx="62">
                  <c:v>34574.399999999994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15993.599999999997</c:v>
                </c:pt>
                <c:pt idx="67">
                  <c:v>55977.599999999991</c:v>
                </c:pt>
                <c:pt idx="68">
                  <c:v>23990.399999999998</c:v>
                </c:pt>
                <c:pt idx="69">
                  <c:v>13171.199999999999</c:v>
                </c:pt>
                <c:pt idx="70">
                  <c:v>42806.399999999994</c:v>
                </c:pt>
                <c:pt idx="71">
                  <c:v>23049.599999999999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37-4242-ABD1-1D5A0C56F82F}"/>
            </c:ext>
          </c:extLst>
        </c:ser>
        <c:ser>
          <c:idx val="2"/>
          <c:order val="2"/>
          <c:tx>
            <c:strRef>
              <c:f>Energy!$A$6:$C$6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Energy!$D$6:$BW$6</c:f>
              <c:numCache>
                <c:formatCode>0</c:formatCode>
                <c:ptCount val="72"/>
                <c:pt idx="0">
                  <c:v>8448.0000000000218</c:v>
                </c:pt>
                <c:pt idx="1">
                  <c:v>25021.919999999955</c:v>
                </c:pt>
                <c:pt idx="2">
                  <c:v>10723.67999999998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8123.9999999999991</c:v>
                </c:pt>
                <c:pt idx="49">
                  <c:v>19497.599999999999</c:v>
                </c:pt>
                <c:pt idx="50">
                  <c:v>11373.6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5510.400000000046</c:v>
                </c:pt>
                <c:pt idx="61">
                  <c:v>25590.6</c:v>
                </c:pt>
                <c:pt idx="62">
                  <c:v>11942.279999999999</c:v>
                </c:pt>
                <c:pt idx="63">
                  <c:v>3080.7000000000144</c:v>
                </c:pt>
                <c:pt idx="64">
                  <c:v>9505.08</c:v>
                </c:pt>
                <c:pt idx="65">
                  <c:v>5849.28</c:v>
                </c:pt>
                <c:pt idx="66">
                  <c:v>6084.7083636362222</c:v>
                </c:pt>
                <c:pt idx="67">
                  <c:v>19335.12</c:v>
                </c:pt>
                <c:pt idx="68">
                  <c:v>8286.48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37-4242-ABD1-1D5A0C56F82F}"/>
            </c:ext>
          </c:extLst>
        </c:ser>
        <c:ser>
          <c:idx val="3"/>
          <c:order val="3"/>
          <c:tx>
            <c:strRef>
              <c:f>Energy!$A$7:$C$7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Energy!$D$7:$BW$7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6015.9999999999991</c:v>
                </c:pt>
                <c:pt idx="49">
                  <c:v>14438.399999999998</c:v>
                </c:pt>
                <c:pt idx="50">
                  <c:v>8422.4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4507.8000000000093</c:v>
                </c:pt>
                <c:pt idx="55">
                  <c:v>18529.279999999788</c:v>
                </c:pt>
                <c:pt idx="56">
                  <c:v>9264.6399999998939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10227.200000000001</c:v>
                </c:pt>
                <c:pt idx="67">
                  <c:v>14318.079999999998</c:v>
                </c:pt>
                <c:pt idx="68">
                  <c:v>6136.32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37-4242-ABD1-1D5A0C56F82F}"/>
            </c:ext>
          </c:extLst>
        </c:ser>
        <c:ser>
          <c:idx val="4"/>
          <c:order val="4"/>
          <c:tx>
            <c:strRef>
              <c:f>Energy!$A$8:$C$8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Energy!$D$8:$BW$8</c:f>
              <c:numCache>
                <c:formatCode>0</c:formatCode>
                <c:ptCount val="72"/>
                <c:pt idx="0">
                  <c:v>17107.2</c:v>
                </c:pt>
                <c:pt idx="1">
                  <c:v>23950.080000000002</c:v>
                </c:pt>
                <c:pt idx="2">
                  <c:v>10264.320000000002</c:v>
                </c:pt>
                <c:pt idx="3">
                  <c:v>6998.4000000000005</c:v>
                </c:pt>
                <c:pt idx="4">
                  <c:v>9797.760000000002</c:v>
                </c:pt>
                <c:pt idx="5">
                  <c:v>4199.04</c:v>
                </c:pt>
                <c:pt idx="6">
                  <c:v>5538.0000000000355</c:v>
                </c:pt>
                <c:pt idx="7">
                  <c:v>23327.999999999818</c:v>
                </c:pt>
                <c:pt idx="8">
                  <c:v>9331.199999999928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14774.400000000001</c:v>
                </c:pt>
                <c:pt idx="19">
                  <c:v>38474.024000000558</c:v>
                </c:pt>
                <c:pt idx="20">
                  <c:v>8864.6400000000012</c:v>
                </c:pt>
                <c:pt idx="21">
                  <c:v>6415.2000000000007</c:v>
                </c:pt>
                <c:pt idx="22">
                  <c:v>11975.04</c:v>
                </c:pt>
                <c:pt idx="23">
                  <c:v>5987.52</c:v>
                </c:pt>
                <c:pt idx="24">
                  <c:v>12091.199999999992</c:v>
                </c:pt>
                <c:pt idx="25">
                  <c:v>53838.399999999951</c:v>
                </c:pt>
                <c:pt idx="26">
                  <c:v>10264.319999999994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16329.600000000002</c:v>
                </c:pt>
                <c:pt idx="31">
                  <c:v>22861.439999999991</c:v>
                </c:pt>
                <c:pt idx="32">
                  <c:v>9797.7599999999966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21384</c:v>
                </c:pt>
                <c:pt idx="37">
                  <c:v>31307.066545456571</c:v>
                </c:pt>
                <c:pt idx="38">
                  <c:v>11975.04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17107.2</c:v>
                </c:pt>
                <c:pt idx="43">
                  <c:v>55598.400000000009</c:v>
                </c:pt>
                <c:pt idx="44">
                  <c:v>11975.04</c:v>
                </c:pt>
                <c:pt idx="45">
                  <c:v>5248.8</c:v>
                </c:pt>
                <c:pt idx="46">
                  <c:v>9797.760000000002</c:v>
                </c:pt>
                <c:pt idx="47">
                  <c:v>4898.880000000001</c:v>
                </c:pt>
                <c:pt idx="48">
                  <c:v>18925.999999999898</c:v>
                </c:pt>
                <c:pt idx="49">
                  <c:v>18662.400000000001</c:v>
                </c:pt>
                <c:pt idx="50">
                  <c:v>10886.400000000001</c:v>
                </c:pt>
                <c:pt idx="51">
                  <c:v>2332.8000000000002</c:v>
                </c:pt>
                <c:pt idx="52">
                  <c:v>10108.800000000001</c:v>
                </c:pt>
                <c:pt idx="53">
                  <c:v>6220.8</c:v>
                </c:pt>
                <c:pt idx="54">
                  <c:v>12830.400000000001</c:v>
                </c:pt>
                <c:pt idx="55">
                  <c:v>59875.200000000004</c:v>
                </c:pt>
                <c:pt idx="56">
                  <c:v>11975.04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13219.2</c:v>
                </c:pt>
                <c:pt idx="67">
                  <c:v>19929.538909091054</c:v>
                </c:pt>
                <c:pt idx="68">
                  <c:v>7931.52</c:v>
                </c:pt>
                <c:pt idx="69">
                  <c:v>10886.400000000001</c:v>
                </c:pt>
                <c:pt idx="70">
                  <c:v>14152.320000000002</c:v>
                </c:pt>
                <c:pt idx="71">
                  <c:v>7620.4800000000005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37-4242-ABD1-1D5A0C56F82F}"/>
            </c:ext>
          </c:extLst>
        </c:ser>
        <c:ser>
          <c:idx val="5"/>
          <c:order val="5"/>
          <c:tx>
            <c:strRef>
              <c:f>Energy!$A$9:$C$9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CCGT_1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Energy!$D$9:$BW$9</c:f>
              <c:numCache>
                <c:formatCode>0</c:formatCode>
                <c:ptCount val="72"/>
                <c:pt idx="0">
                  <c:v>44000</c:v>
                </c:pt>
                <c:pt idx="1">
                  <c:v>154000</c:v>
                </c:pt>
                <c:pt idx="2">
                  <c:v>66000</c:v>
                </c:pt>
                <c:pt idx="3">
                  <c:v>18000</c:v>
                </c:pt>
                <c:pt idx="4">
                  <c:v>63000</c:v>
                </c:pt>
                <c:pt idx="5">
                  <c:v>27000</c:v>
                </c:pt>
                <c:pt idx="6">
                  <c:v>30000</c:v>
                </c:pt>
                <c:pt idx="7">
                  <c:v>150000</c:v>
                </c:pt>
                <c:pt idx="8">
                  <c:v>60000</c:v>
                </c:pt>
                <c:pt idx="9">
                  <c:v>12000</c:v>
                </c:pt>
                <c:pt idx="10">
                  <c:v>52000</c:v>
                </c:pt>
                <c:pt idx="11">
                  <c:v>32000</c:v>
                </c:pt>
                <c:pt idx="12">
                  <c:v>42000</c:v>
                </c:pt>
                <c:pt idx="13">
                  <c:v>147000</c:v>
                </c:pt>
                <c:pt idx="14">
                  <c:v>63000</c:v>
                </c:pt>
                <c:pt idx="15">
                  <c:v>15000</c:v>
                </c:pt>
                <c:pt idx="16">
                  <c:v>65000</c:v>
                </c:pt>
                <c:pt idx="17">
                  <c:v>40000</c:v>
                </c:pt>
                <c:pt idx="18">
                  <c:v>38000</c:v>
                </c:pt>
                <c:pt idx="19">
                  <c:v>133000</c:v>
                </c:pt>
                <c:pt idx="20">
                  <c:v>21261.000000000127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44000</c:v>
                </c:pt>
                <c:pt idx="25">
                  <c:v>154000</c:v>
                </c:pt>
                <c:pt idx="26">
                  <c:v>66000</c:v>
                </c:pt>
                <c:pt idx="27">
                  <c:v>13500</c:v>
                </c:pt>
                <c:pt idx="28">
                  <c:v>58500</c:v>
                </c:pt>
                <c:pt idx="29">
                  <c:v>36000</c:v>
                </c:pt>
                <c:pt idx="30">
                  <c:v>42000</c:v>
                </c:pt>
                <c:pt idx="31">
                  <c:v>147000</c:v>
                </c:pt>
                <c:pt idx="32">
                  <c:v>63000</c:v>
                </c:pt>
                <c:pt idx="33">
                  <c:v>13500</c:v>
                </c:pt>
                <c:pt idx="34">
                  <c:v>63000</c:v>
                </c:pt>
                <c:pt idx="35">
                  <c:v>31500</c:v>
                </c:pt>
                <c:pt idx="36">
                  <c:v>55000</c:v>
                </c:pt>
                <c:pt idx="37">
                  <c:v>132000</c:v>
                </c:pt>
                <c:pt idx="38">
                  <c:v>77000</c:v>
                </c:pt>
                <c:pt idx="39">
                  <c:v>13500</c:v>
                </c:pt>
                <c:pt idx="40">
                  <c:v>63000</c:v>
                </c:pt>
                <c:pt idx="41">
                  <c:v>31500</c:v>
                </c:pt>
                <c:pt idx="42">
                  <c:v>44000</c:v>
                </c:pt>
                <c:pt idx="43">
                  <c:v>143000</c:v>
                </c:pt>
                <c:pt idx="44">
                  <c:v>77000</c:v>
                </c:pt>
                <c:pt idx="45">
                  <c:v>13500</c:v>
                </c:pt>
                <c:pt idx="46">
                  <c:v>63000</c:v>
                </c:pt>
                <c:pt idx="47">
                  <c:v>31500</c:v>
                </c:pt>
                <c:pt idx="48">
                  <c:v>50000</c:v>
                </c:pt>
                <c:pt idx="49">
                  <c:v>120000</c:v>
                </c:pt>
                <c:pt idx="50">
                  <c:v>70000</c:v>
                </c:pt>
                <c:pt idx="51">
                  <c:v>15000</c:v>
                </c:pt>
                <c:pt idx="52">
                  <c:v>65000</c:v>
                </c:pt>
                <c:pt idx="53">
                  <c:v>40000</c:v>
                </c:pt>
                <c:pt idx="54">
                  <c:v>33000</c:v>
                </c:pt>
                <c:pt idx="55">
                  <c:v>154000</c:v>
                </c:pt>
                <c:pt idx="56">
                  <c:v>77000</c:v>
                </c:pt>
                <c:pt idx="57">
                  <c:v>13500</c:v>
                </c:pt>
                <c:pt idx="58">
                  <c:v>58500</c:v>
                </c:pt>
                <c:pt idx="59">
                  <c:v>36000</c:v>
                </c:pt>
                <c:pt idx="60">
                  <c:v>21000</c:v>
                </c:pt>
                <c:pt idx="61">
                  <c:v>157500</c:v>
                </c:pt>
                <c:pt idx="62">
                  <c:v>73500</c:v>
                </c:pt>
                <c:pt idx="63">
                  <c:v>13500</c:v>
                </c:pt>
                <c:pt idx="64">
                  <c:v>58500</c:v>
                </c:pt>
                <c:pt idx="65">
                  <c:v>36000</c:v>
                </c:pt>
                <c:pt idx="66">
                  <c:v>34000</c:v>
                </c:pt>
                <c:pt idx="67">
                  <c:v>119000</c:v>
                </c:pt>
                <c:pt idx="68">
                  <c:v>51000</c:v>
                </c:pt>
                <c:pt idx="69">
                  <c:v>28000</c:v>
                </c:pt>
                <c:pt idx="70">
                  <c:v>91000</c:v>
                </c:pt>
                <c:pt idx="71">
                  <c:v>45353.520000000201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37-4242-ABD1-1D5A0C56F82F}"/>
            </c:ext>
          </c:extLst>
        </c:ser>
        <c:ser>
          <c:idx val="6"/>
          <c:order val="6"/>
          <c:tx>
            <c:strRef>
              <c:f>Energy!$A$10:$C$10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CCGT_2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Energy!$D$10:$BW$10</c:f>
              <c:numCache>
                <c:formatCode>0</c:formatCode>
                <c:ptCount val="72"/>
                <c:pt idx="0">
                  <c:v>44000</c:v>
                </c:pt>
                <c:pt idx="1">
                  <c:v>154000</c:v>
                </c:pt>
                <c:pt idx="2">
                  <c:v>26981.160000000014</c:v>
                </c:pt>
                <c:pt idx="3">
                  <c:v>18000</c:v>
                </c:pt>
                <c:pt idx="4">
                  <c:v>63000</c:v>
                </c:pt>
                <c:pt idx="5">
                  <c:v>5400</c:v>
                </c:pt>
                <c:pt idx="6">
                  <c:v>30000</c:v>
                </c:pt>
                <c:pt idx="7">
                  <c:v>150000</c:v>
                </c:pt>
                <c:pt idx="8">
                  <c:v>24666.365217391296</c:v>
                </c:pt>
                <c:pt idx="9">
                  <c:v>12000</c:v>
                </c:pt>
                <c:pt idx="10">
                  <c:v>52000</c:v>
                </c:pt>
                <c:pt idx="11">
                  <c:v>9076.034782608669</c:v>
                </c:pt>
                <c:pt idx="12">
                  <c:v>42000</c:v>
                </c:pt>
                <c:pt idx="13">
                  <c:v>147000</c:v>
                </c:pt>
                <c:pt idx="14">
                  <c:v>25011.000000000018</c:v>
                </c:pt>
                <c:pt idx="15">
                  <c:v>15000</c:v>
                </c:pt>
                <c:pt idx="16">
                  <c:v>65000</c:v>
                </c:pt>
                <c:pt idx="17">
                  <c:v>8280.0000000000036</c:v>
                </c:pt>
                <c:pt idx="18">
                  <c:v>38000</c:v>
                </c:pt>
                <c:pt idx="19">
                  <c:v>133000</c:v>
                </c:pt>
                <c:pt idx="20">
                  <c:v>48360.077277486955</c:v>
                </c:pt>
                <c:pt idx="21">
                  <c:v>16500</c:v>
                </c:pt>
                <c:pt idx="22">
                  <c:v>77000</c:v>
                </c:pt>
                <c:pt idx="23">
                  <c:v>32664.262722513122</c:v>
                </c:pt>
                <c:pt idx="24">
                  <c:v>44000</c:v>
                </c:pt>
                <c:pt idx="25">
                  <c:v>154000</c:v>
                </c:pt>
                <c:pt idx="26">
                  <c:v>18392.88000000007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42000</c:v>
                </c:pt>
                <c:pt idx="31">
                  <c:v>147000</c:v>
                </c:pt>
                <c:pt idx="32">
                  <c:v>28292.040000000008</c:v>
                </c:pt>
                <c:pt idx="33">
                  <c:v>13500</c:v>
                </c:pt>
                <c:pt idx="34">
                  <c:v>63000</c:v>
                </c:pt>
                <c:pt idx="35">
                  <c:v>8700.3000000000011</c:v>
                </c:pt>
                <c:pt idx="36">
                  <c:v>55000</c:v>
                </c:pt>
                <c:pt idx="37">
                  <c:v>132000</c:v>
                </c:pt>
                <c:pt idx="38">
                  <c:v>51996.559999999976</c:v>
                </c:pt>
                <c:pt idx="39">
                  <c:v>13500</c:v>
                </c:pt>
                <c:pt idx="40">
                  <c:v>63000</c:v>
                </c:pt>
                <c:pt idx="41">
                  <c:v>14175.00000000002</c:v>
                </c:pt>
                <c:pt idx="42">
                  <c:v>44000</c:v>
                </c:pt>
                <c:pt idx="43">
                  <c:v>143000</c:v>
                </c:pt>
                <c:pt idx="44">
                  <c:v>35595.55999999999</c:v>
                </c:pt>
                <c:pt idx="45">
                  <c:v>13500</c:v>
                </c:pt>
                <c:pt idx="46">
                  <c:v>63000</c:v>
                </c:pt>
                <c:pt idx="47">
                  <c:v>14561.819999999996</c:v>
                </c:pt>
                <c:pt idx="48">
                  <c:v>50000</c:v>
                </c:pt>
                <c:pt idx="49">
                  <c:v>120000</c:v>
                </c:pt>
                <c:pt idx="50">
                  <c:v>44705.600000000064</c:v>
                </c:pt>
                <c:pt idx="51">
                  <c:v>15000</c:v>
                </c:pt>
                <c:pt idx="52">
                  <c:v>65000</c:v>
                </c:pt>
                <c:pt idx="53">
                  <c:v>21707.200000000008</c:v>
                </c:pt>
                <c:pt idx="54">
                  <c:v>33000</c:v>
                </c:pt>
                <c:pt idx="55">
                  <c:v>154000</c:v>
                </c:pt>
                <c:pt idx="56">
                  <c:v>35929.562831858449</c:v>
                </c:pt>
                <c:pt idx="57">
                  <c:v>13500</c:v>
                </c:pt>
                <c:pt idx="58">
                  <c:v>58500</c:v>
                </c:pt>
                <c:pt idx="59">
                  <c:v>16798.237168141612</c:v>
                </c:pt>
                <c:pt idx="60">
                  <c:v>21000</c:v>
                </c:pt>
                <c:pt idx="61">
                  <c:v>157500</c:v>
                </c:pt>
                <c:pt idx="62">
                  <c:v>34631.146027397292</c:v>
                </c:pt>
                <c:pt idx="63">
                  <c:v>13500</c:v>
                </c:pt>
                <c:pt idx="64">
                  <c:v>58500</c:v>
                </c:pt>
                <c:pt idx="65">
                  <c:v>16962.193972602756</c:v>
                </c:pt>
                <c:pt idx="66">
                  <c:v>34000</c:v>
                </c:pt>
                <c:pt idx="67">
                  <c:v>119000</c:v>
                </c:pt>
                <c:pt idx="68">
                  <c:v>17333.880000000096</c:v>
                </c:pt>
                <c:pt idx="69">
                  <c:v>28000</c:v>
                </c:pt>
                <c:pt idx="70">
                  <c:v>91000</c:v>
                </c:pt>
                <c:pt idx="71">
                  <c:v>9800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D37-4242-ABD1-1D5A0C56F82F}"/>
            </c:ext>
          </c:extLst>
        </c:ser>
        <c:ser>
          <c:idx val="7"/>
          <c:order val="7"/>
          <c:tx>
            <c:strRef>
              <c:f>Energy!$A$11:$C$11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CCGT_3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Energy!$D$11:$BW$11</c:f>
              <c:numCache>
                <c:formatCode>0</c:formatCode>
                <c:ptCount val="72"/>
                <c:pt idx="0">
                  <c:v>44000</c:v>
                </c:pt>
                <c:pt idx="1">
                  <c:v>154000</c:v>
                </c:pt>
                <c:pt idx="2">
                  <c:v>13200.000000000002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30000</c:v>
                </c:pt>
                <c:pt idx="7">
                  <c:v>150000</c:v>
                </c:pt>
                <c:pt idx="8">
                  <c:v>12000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42000</c:v>
                </c:pt>
                <c:pt idx="13">
                  <c:v>147000</c:v>
                </c:pt>
                <c:pt idx="14">
                  <c:v>12600.000000000002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42000</c:v>
                </c:pt>
                <c:pt idx="31">
                  <c:v>147000</c:v>
                </c:pt>
                <c:pt idx="32">
                  <c:v>12600.000000000002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55000</c:v>
                </c:pt>
                <c:pt idx="37">
                  <c:v>132000</c:v>
                </c:pt>
                <c:pt idx="38">
                  <c:v>15400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50000</c:v>
                </c:pt>
                <c:pt idx="49">
                  <c:v>120000</c:v>
                </c:pt>
                <c:pt idx="50">
                  <c:v>14000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21000</c:v>
                </c:pt>
                <c:pt idx="61">
                  <c:v>155452.50000000009</c:v>
                </c:pt>
                <c:pt idx="62">
                  <c:v>14700.000000000002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34000</c:v>
                </c:pt>
                <c:pt idx="67">
                  <c:v>119000</c:v>
                </c:pt>
                <c:pt idx="68">
                  <c:v>10200.000000000002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D37-4242-ABD1-1D5A0C56F82F}"/>
            </c:ext>
          </c:extLst>
        </c:ser>
        <c:ser>
          <c:idx val="8"/>
          <c:order val="8"/>
          <c:tx>
            <c:strRef>
              <c:f>Energy!$A$12:$C$12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CCGT_4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Energy!$D$12:$BW$12</c:f>
              <c:numCache>
                <c:formatCode>0</c:formatCode>
                <c:ptCount val="72"/>
                <c:pt idx="0">
                  <c:v>58739.999999999993</c:v>
                </c:pt>
                <c:pt idx="1">
                  <c:v>205590</c:v>
                </c:pt>
                <c:pt idx="2">
                  <c:v>88110</c:v>
                </c:pt>
                <c:pt idx="3">
                  <c:v>24030</c:v>
                </c:pt>
                <c:pt idx="4">
                  <c:v>84105</c:v>
                </c:pt>
                <c:pt idx="5">
                  <c:v>36045</c:v>
                </c:pt>
                <c:pt idx="6">
                  <c:v>40050</c:v>
                </c:pt>
                <c:pt idx="7">
                  <c:v>200250</c:v>
                </c:pt>
                <c:pt idx="8">
                  <c:v>80100</c:v>
                </c:pt>
                <c:pt idx="9">
                  <c:v>16020</c:v>
                </c:pt>
                <c:pt idx="10">
                  <c:v>69420</c:v>
                </c:pt>
                <c:pt idx="11">
                  <c:v>42720</c:v>
                </c:pt>
                <c:pt idx="12">
                  <c:v>56070</c:v>
                </c:pt>
                <c:pt idx="13">
                  <c:v>196245</c:v>
                </c:pt>
                <c:pt idx="14">
                  <c:v>84105</c:v>
                </c:pt>
                <c:pt idx="15">
                  <c:v>20025</c:v>
                </c:pt>
                <c:pt idx="16">
                  <c:v>86774.999999999985</c:v>
                </c:pt>
                <c:pt idx="17">
                  <c:v>53400</c:v>
                </c:pt>
                <c:pt idx="18">
                  <c:v>50730</c:v>
                </c:pt>
                <c:pt idx="19">
                  <c:v>177555</c:v>
                </c:pt>
                <c:pt idx="20">
                  <c:v>76095</c:v>
                </c:pt>
                <c:pt idx="21">
                  <c:v>22027.5</c:v>
                </c:pt>
                <c:pt idx="22">
                  <c:v>102795</c:v>
                </c:pt>
                <c:pt idx="23">
                  <c:v>51397.5</c:v>
                </c:pt>
                <c:pt idx="24">
                  <c:v>58739.999999999993</c:v>
                </c:pt>
                <c:pt idx="25">
                  <c:v>205590</c:v>
                </c:pt>
                <c:pt idx="26">
                  <c:v>88110</c:v>
                </c:pt>
                <c:pt idx="27">
                  <c:v>18022.5</c:v>
                </c:pt>
                <c:pt idx="28">
                  <c:v>78097.5</c:v>
                </c:pt>
                <c:pt idx="29">
                  <c:v>48060</c:v>
                </c:pt>
                <c:pt idx="30">
                  <c:v>56070</c:v>
                </c:pt>
                <c:pt idx="31">
                  <c:v>196245</c:v>
                </c:pt>
                <c:pt idx="32">
                  <c:v>84105</c:v>
                </c:pt>
                <c:pt idx="33">
                  <c:v>18022.5</c:v>
                </c:pt>
                <c:pt idx="34">
                  <c:v>84105</c:v>
                </c:pt>
                <c:pt idx="35">
                  <c:v>42052.5</c:v>
                </c:pt>
                <c:pt idx="36">
                  <c:v>73425</c:v>
                </c:pt>
                <c:pt idx="37">
                  <c:v>176220</c:v>
                </c:pt>
                <c:pt idx="38">
                  <c:v>102795</c:v>
                </c:pt>
                <c:pt idx="39">
                  <c:v>18022.5</c:v>
                </c:pt>
                <c:pt idx="40">
                  <c:v>84105</c:v>
                </c:pt>
                <c:pt idx="41">
                  <c:v>42052.5</c:v>
                </c:pt>
                <c:pt idx="42">
                  <c:v>58739.999999999993</c:v>
                </c:pt>
                <c:pt idx="43">
                  <c:v>190905</c:v>
                </c:pt>
                <c:pt idx="44">
                  <c:v>102795</c:v>
                </c:pt>
                <c:pt idx="45">
                  <c:v>18022.5</c:v>
                </c:pt>
                <c:pt idx="46">
                  <c:v>84105</c:v>
                </c:pt>
                <c:pt idx="47">
                  <c:v>42052.5</c:v>
                </c:pt>
                <c:pt idx="48">
                  <c:v>66750</c:v>
                </c:pt>
                <c:pt idx="49">
                  <c:v>160200</c:v>
                </c:pt>
                <c:pt idx="50">
                  <c:v>93450</c:v>
                </c:pt>
                <c:pt idx="51">
                  <c:v>20025</c:v>
                </c:pt>
                <c:pt idx="52">
                  <c:v>86774.999999999985</c:v>
                </c:pt>
                <c:pt idx="53">
                  <c:v>53400</c:v>
                </c:pt>
                <c:pt idx="54">
                  <c:v>44055</c:v>
                </c:pt>
                <c:pt idx="55">
                  <c:v>205590</c:v>
                </c:pt>
                <c:pt idx="56">
                  <c:v>102795</c:v>
                </c:pt>
                <c:pt idx="57">
                  <c:v>18022.5</c:v>
                </c:pt>
                <c:pt idx="58">
                  <c:v>78097.5</c:v>
                </c:pt>
                <c:pt idx="59">
                  <c:v>48060</c:v>
                </c:pt>
                <c:pt idx="60">
                  <c:v>28035</c:v>
                </c:pt>
                <c:pt idx="61">
                  <c:v>210262.5</c:v>
                </c:pt>
                <c:pt idx="62">
                  <c:v>98122.5</c:v>
                </c:pt>
                <c:pt idx="63">
                  <c:v>18022.5</c:v>
                </c:pt>
                <c:pt idx="64">
                  <c:v>78097.5</c:v>
                </c:pt>
                <c:pt idx="65">
                  <c:v>48060</c:v>
                </c:pt>
                <c:pt idx="66">
                  <c:v>45390</c:v>
                </c:pt>
                <c:pt idx="67">
                  <c:v>158865</c:v>
                </c:pt>
                <c:pt idx="68">
                  <c:v>68085</c:v>
                </c:pt>
                <c:pt idx="69">
                  <c:v>37379.999999999993</c:v>
                </c:pt>
                <c:pt idx="70">
                  <c:v>121485</c:v>
                </c:pt>
                <c:pt idx="71">
                  <c:v>65414.999999999993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D37-4242-ABD1-1D5A0C56F82F}"/>
            </c:ext>
          </c:extLst>
        </c:ser>
        <c:ser>
          <c:idx val="9"/>
          <c:order val="9"/>
          <c:tx>
            <c:strRef>
              <c:f>Energy!$A$13:$C$13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OCGT_1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Energy!$D$13:$BW$13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D37-4242-ABD1-1D5A0C56F82F}"/>
            </c:ext>
          </c:extLst>
        </c:ser>
        <c:ser>
          <c:idx val="10"/>
          <c:order val="10"/>
          <c:tx>
            <c:strRef>
              <c:f>Energy!$A$14:$C$14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OCGT_2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Energy!$D$14:$BW$14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D37-4242-ABD1-1D5A0C56F82F}"/>
            </c:ext>
          </c:extLst>
        </c:ser>
        <c:ser>
          <c:idx val="11"/>
          <c:order val="11"/>
          <c:tx>
            <c:strRef>
              <c:f>Energy!$A$15:$C$15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OCGT_3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Energy!$D$15:$BW$15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D37-4242-ABD1-1D5A0C56F82F}"/>
            </c:ext>
          </c:extLst>
        </c:ser>
        <c:ser>
          <c:idx val="12"/>
          <c:order val="12"/>
          <c:tx>
            <c:strRef>
              <c:f>Energy!$A$16:$C$16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FuelOilGas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Energy!$D$16:$BW$16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D37-4242-ABD1-1D5A0C56F82F}"/>
            </c:ext>
          </c:extLst>
        </c:ser>
        <c:ser>
          <c:idx val="13"/>
          <c:order val="13"/>
          <c:tx>
            <c:strRef>
              <c:f>Energy!$A$17:$C$17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RunOfRiver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Energy!$D$17:$BW$17</c:f>
              <c:numCache>
                <c:formatCode>0</c:formatCode>
                <c:ptCount val="72"/>
                <c:pt idx="0">
                  <c:v>13200</c:v>
                </c:pt>
                <c:pt idx="1">
                  <c:v>46199.999999999993</c:v>
                </c:pt>
                <c:pt idx="2">
                  <c:v>19799.640000000003</c:v>
                </c:pt>
                <c:pt idx="3">
                  <c:v>5399.9999999999991</c:v>
                </c:pt>
                <c:pt idx="4">
                  <c:v>18900</c:v>
                </c:pt>
                <c:pt idx="5">
                  <c:v>3636.360000000001</c:v>
                </c:pt>
                <c:pt idx="6">
                  <c:v>9000</c:v>
                </c:pt>
                <c:pt idx="7">
                  <c:v>45000</c:v>
                </c:pt>
                <c:pt idx="8">
                  <c:v>15370.434782608701</c:v>
                </c:pt>
                <c:pt idx="9">
                  <c:v>3599.9999999999995</c:v>
                </c:pt>
                <c:pt idx="10">
                  <c:v>15600</c:v>
                </c:pt>
                <c:pt idx="11">
                  <c:v>8197.5652173913095</c:v>
                </c:pt>
                <c:pt idx="12">
                  <c:v>12600</c:v>
                </c:pt>
                <c:pt idx="13">
                  <c:v>44100</c:v>
                </c:pt>
                <c:pt idx="14">
                  <c:v>18900</c:v>
                </c:pt>
                <c:pt idx="15">
                  <c:v>4500</c:v>
                </c:pt>
                <c:pt idx="16">
                  <c:v>19500</c:v>
                </c:pt>
                <c:pt idx="17">
                  <c:v>7536.0000000000146</c:v>
                </c:pt>
                <c:pt idx="18">
                  <c:v>11400</c:v>
                </c:pt>
                <c:pt idx="19">
                  <c:v>39900</c:v>
                </c:pt>
                <c:pt idx="20">
                  <c:v>6786.2827225130895</c:v>
                </c:pt>
                <c:pt idx="21">
                  <c:v>4950</c:v>
                </c:pt>
                <c:pt idx="22">
                  <c:v>23099.999999999996</c:v>
                </c:pt>
                <c:pt idx="23">
                  <c:v>4583.7172774869114</c:v>
                </c:pt>
                <c:pt idx="24">
                  <c:v>12704.13913043478</c:v>
                </c:pt>
                <c:pt idx="25">
                  <c:v>46199.999999999993</c:v>
                </c:pt>
                <c:pt idx="26">
                  <c:v>0</c:v>
                </c:pt>
                <c:pt idx="27">
                  <c:v>3897.8608695652165</c:v>
                </c:pt>
                <c:pt idx="28">
                  <c:v>17550</c:v>
                </c:pt>
                <c:pt idx="29">
                  <c:v>0</c:v>
                </c:pt>
                <c:pt idx="30">
                  <c:v>12600</c:v>
                </c:pt>
                <c:pt idx="31">
                  <c:v>38100.599999999984</c:v>
                </c:pt>
                <c:pt idx="32">
                  <c:v>0</c:v>
                </c:pt>
                <c:pt idx="33">
                  <c:v>1139.4000000000194</c:v>
                </c:pt>
                <c:pt idx="34">
                  <c:v>0</c:v>
                </c:pt>
                <c:pt idx="35">
                  <c:v>0</c:v>
                </c:pt>
                <c:pt idx="36">
                  <c:v>13993.177518249617</c:v>
                </c:pt>
                <c:pt idx="37">
                  <c:v>33267.333454543616</c:v>
                </c:pt>
                <c:pt idx="38">
                  <c:v>0</c:v>
                </c:pt>
                <c:pt idx="39">
                  <c:v>3434.6890272067239</c:v>
                </c:pt>
                <c:pt idx="40">
                  <c:v>2872.8000000000475</c:v>
                </c:pt>
                <c:pt idx="41">
                  <c:v>0</c:v>
                </c:pt>
                <c:pt idx="42">
                  <c:v>10668.000000000005</c:v>
                </c:pt>
                <c:pt idx="43">
                  <c:v>42900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15000</c:v>
                </c:pt>
                <c:pt idx="49">
                  <c:v>36000</c:v>
                </c:pt>
                <c:pt idx="50">
                  <c:v>2759.9999999999995</c:v>
                </c:pt>
                <c:pt idx="51">
                  <c:v>4500</c:v>
                </c:pt>
                <c:pt idx="52">
                  <c:v>19500</c:v>
                </c:pt>
                <c:pt idx="53">
                  <c:v>0</c:v>
                </c:pt>
                <c:pt idx="54">
                  <c:v>9900</c:v>
                </c:pt>
                <c:pt idx="55">
                  <c:v>46199.999999999993</c:v>
                </c:pt>
                <c:pt idx="56">
                  <c:v>10932.637168141586</c:v>
                </c:pt>
                <c:pt idx="57">
                  <c:v>4050</c:v>
                </c:pt>
                <c:pt idx="58">
                  <c:v>17550</c:v>
                </c:pt>
                <c:pt idx="59">
                  <c:v>5111.3628318584042</c:v>
                </c:pt>
                <c:pt idx="60">
                  <c:v>6300</c:v>
                </c:pt>
                <c:pt idx="61">
                  <c:v>47250</c:v>
                </c:pt>
                <c:pt idx="62">
                  <c:v>19150.273972602743</c:v>
                </c:pt>
                <c:pt idx="63">
                  <c:v>4050</c:v>
                </c:pt>
                <c:pt idx="64">
                  <c:v>17550</c:v>
                </c:pt>
                <c:pt idx="65">
                  <c:v>9379.7260273972624</c:v>
                </c:pt>
                <c:pt idx="66">
                  <c:v>10200</c:v>
                </c:pt>
                <c:pt idx="67">
                  <c:v>35699.999999999993</c:v>
                </c:pt>
                <c:pt idx="68">
                  <c:v>15299.999999999998</c:v>
                </c:pt>
                <c:pt idx="69">
                  <c:v>8400</c:v>
                </c:pt>
                <c:pt idx="70">
                  <c:v>27300</c:v>
                </c:pt>
                <c:pt idx="71">
                  <c:v>10236.000000000009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D37-4242-ABD1-1D5A0C56F82F}"/>
            </c:ext>
          </c:extLst>
        </c:ser>
        <c:ser>
          <c:idx val="14"/>
          <c:order val="14"/>
          <c:tx>
            <c:strRef>
              <c:f>Energy!$A$18:$C$18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StorageHydro1_Basin1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Energy!$D$18:$BW$18</c:f>
              <c:numCache>
                <c:formatCode>0</c:formatCode>
                <c:ptCount val="72"/>
                <c:pt idx="0">
                  <c:v>17600</c:v>
                </c:pt>
                <c:pt idx="1">
                  <c:v>30769.20000000003</c:v>
                </c:pt>
                <c:pt idx="2">
                  <c:v>0</c:v>
                </c:pt>
                <c:pt idx="3">
                  <c:v>2829.600000000024</c:v>
                </c:pt>
                <c:pt idx="4">
                  <c:v>0</c:v>
                </c:pt>
                <c:pt idx="5">
                  <c:v>0</c:v>
                </c:pt>
                <c:pt idx="6">
                  <c:v>12000</c:v>
                </c:pt>
                <c:pt idx="7">
                  <c:v>4452.0000000002556</c:v>
                </c:pt>
                <c:pt idx="8">
                  <c:v>0</c:v>
                </c:pt>
                <c:pt idx="9">
                  <c:v>4800.0000000000009</c:v>
                </c:pt>
                <c:pt idx="10">
                  <c:v>0</c:v>
                </c:pt>
                <c:pt idx="11">
                  <c:v>0</c:v>
                </c:pt>
                <c:pt idx="12">
                  <c:v>16800</c:v>
                </c:pt>
                <c:pt idx="13">
                  <c:v>0</c:v>
                </c:pt>
                <c:pt idx="14">
                  <c:v>0</c:v>
                </c:pt>
                <c:pt idx="15">
                  <c:v>6000</c:v>
                </c:pt>
                <c:pt idx="16">
                  <c:v>0</c:v>
                </c:pt>
                <c:pt idx="17">
                  <c:v>0</c:v>
                </c:pt>
                <c:pt idx="18">
                  <c:v>15200.000000000002</c:v>
                </c:pt>
                <c:pt idx="19">
                  <c:v>20923.775999999732</c:v>
                </c:pt>
                <c:pt idx="20">
                  <c:v>0</c:v>
                </c:pt>
                <c:pt idx="21">
                  <c:v>6600.0000000000009</c:v>
                </c:pt>
                <c:pt idx="22">
                  <c:v>7459.7599999999293</c:v>
                </c:pt>
                <c:pt idx="23">
                  <c:v>0</c:v>
                </c:pt>
                <c:pt idx="24">
                  <c:v>17600</c:v>
                </c:pt>
                <c:pt idx="25">
                  <c:v>11646.467576469693</c:v>
                </c:pt>
                <c:pt idx="26">
                  <c:v>0</c:v>
                </c:pt>
                <c:pt idx="27">
                  <c:v>5400</c:v>
                </c:pt>
                <c:pt idx="28">
                  <c:v>4424.145150801799</c:v>
                </c:pt>
                <c:pt idx="29">
                  <c:v>0</c:v>
                </c:pt>
                <c:pt idx="30">
                  <c:v>15481.199999999973</c:v>
                </c:pt>
                <c:pt idx="31">
                  <c:v>0</c:v>
                </c:pt>
                <c:pt idx="32">
                  <c:v>0</c:v>
                </c:pt>
                <c:pt idx="33">
                  <c:v>4976.0999999999922</c:v>
                </c:pt>
                <c:pt idx="34">
                  <c:v>0</c:v>
                </c:pt>
                <c:pt idx="35">
                  <c:v>0</c:v>
                </c:pt>
                <c:pt idx="36">
                  <c:v>22000</c:v>
                </c:pt>
                <c:pt idx="37">
                  <c:v>0</c:v>
                </c:pt>
                <c:pt idx="38">
                  <c:v>0</c:v>
                </c:pt>
                <c:pt idx="39">
                  <c:v>5400</c:v>
                </c:pt>
                <c:pt idx="40">
                  <c:v>0</c:v>
                </c:pt>
                <c:pt idx="41">
                  <c:v>0</c:v>
                </c:pt>
                <c:pt idx="42">
                  <c:v>17600</c:v>
                </c:pt>
                <c:pt idx="43">
                  <c:v>21106.800000000232</c:v>
                </c:pt>
                <c:pt idx="44">
                  <c:v>0</c:v>
                </c:pt>
                <c:pt idx="45">
                  <c:v>3047.9752727278515</c:v>
                </c:pt>
                <c:pt idx="46">
                  <c:v>0</c:v>
                </c:pt>
                <c:pt idx="47">
                  <c:v>0</c:v>
                </c:pt>
                <c:pt idx="48">
                  <c:v>18944.000000000095</c:v>
                </c:pt>
                <c:pt idx="49">
                  <c:v>0</c:v>
                </c:pt>
                <c:pt idx="50">
                  <c:v>0</c:v>
                </c:pt>
                <c:pt idx="51">
                  <c:v>5683.200000000028</c:v>
                </c:pt>
                <c:pt idx="52">
                  <c:v>0</c:v>
                </c:pt>
                <c:pt idx="53">
                  <c:v>0</c:v>
                </c:pt>
                <c:pt idx="54">
                  <c:v>13200.000000000002</c:v>
                </c:pt>
                <c:pt idx="55">
                  <c:v>24097.9200000003</c:v>
                </c:pt>
                <c:pt idx="56">
                  <c:v>0</c:v>
                </c:pt>
                <c:pt idx="57">
                  <c:v>5400</c:v>
                </c:pt>
                <c:pt idx="58">
                  <c:v>0</c:v>
                </c:pt>
                <c:pt idx="59">
                  <c:v>0</c:v>
                </c:pt>
                <c:pt idx="60">
                  <c:v>8400</c:v>
                </c:pt>
                <c:pt idx="61">
                  <c:v>24130.495454545478</c:v>
                </c:pt>
                <c:pt idx="62">
                  <c:v>0</c:v>
                </c:pt>
                <c:pt idx="63">
                  <c:v>5400</c:v>
                </c:pt>
                <c:pt idx="64">
                  <c:v>8962.7554545454623</c:v>
                </c:pt>
                <c:pt idx="65">
                  <c:v>0</c:v>
                </c:pt>
                <c:pt idx="66">
                  <c:v>13600.000000000002</c:v>
                </c:pt>
                <c:pt idx="67">
                  <c:v>13295.261090909065</c:v>
                </c:pt>
                <c:pt idx="68">
                  <c:v>0</c:v>
                </c:pt>
                <c:pt idx="69">
                  <c:v>11200.000000000002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D37-4242-ABD1-1D5A0C56F82F}"/>
            </c:ext>
          </c:extLst>
        </c:ser>
        <c:ser>
          <c:idx val="15"/>
          <c:order val="15"/>
          <c:tx>
            <c:strRef>
              <c:f>Energy!$A$19:$C$19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StorageHydro2_Basin1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Energy!$D$19:$BW$19</c:f>
              <c:numCache>
                <c:formatCode>0</c:formatCode>
                <c:ptCount val="72"/>
                <c:pt idx="0">
                  <c:v>17600</c:v>
                </c:pt>
                <c:pt idx="1">
                  <c:v>0</c:v>
                </c:pt>
                <c:pt idx="2">
                  <c:v>0</c:v>
                </c:pt>
                <c:pt idx="3">
                  <c:v>7200</c:v>
                </c:pt>
                <c:pt idx="4">
                  <c:v>0</c:v>
                </c:pt>
                <c:pt idx="5">
                  <c:v>0</c:v>
                </c:pt>
                <c:pt idx="6">
                  <c:v>8220.0000000000346</c:v>
                </c:pt>
                <c:pt idx="7">
                  <c:v>0</c:v>
                </c:pt>
                <c:pt idx="8">
                  <c:v>0</c:v>
                </c:pt>
                <c:pt idx="9">
                  <c:v>3288.0000000000136</c:v>
                </c:pt>
                <c:pt idx="10">
                  <c:v>0</c:v>
                </c:pt>
                <c:pt idx="11">
                  <c:v>0</c:v>
                </c:pt>
                <c:pt idx="12">
                  <c:v>8761.1999999999862</c:v>
                </c:pt>
                <c:pt idx="13">
                  <c:v>0</c:v>
                </c:pt>
                <c:pt idx="14">
                  <c:v>0</c:v>
                </c:pt>
                <c:pt idx="15">
                  <c:v>531.00000000001478</c:v>
                </c:pt>
                <c:pt idx="16">
                  <c:v>0</c:v>
                </c:pt>
                <c:pt idx="17">
                  <c:v>0</c:v>
                </c:pt>
                <c:pt idx="18">
                  <c:v>10130.799999999997</c:v>
                </c:pt>
                <c:pt idx="19">
                  <c:v>0</c:v>
                </c:pt>
                <c:pt idx="20">
                  <c:v>0</c:v>
                </c:pt>
                <c:pt idx="21">
                  <c:v>4065.6000000000095</c:v>
                </c:pt>
                <c:pt idx="22">
                  <c:v>0</c:v>
                </c:pt>
                <c:pt idx="23">
                  <c:v>0</c:v>
                </c:pt>
                <c:pt idx="24">
                  <c:v>16740.660869565265</c:v>
                </c:pt>
                <c:pt idx="25">
                  <c:v>1813.1324235304664</c:v>
                </c:pt>
                <c:pt idx="26">
                  <c:v>0</c:v>
                </c:pt>
                <c:pt idx="27">
                  <c:v>5136.3391304347979</c:v>
                </c:pt>
                <c:pt idx="28">
                  <c:v>688.75484919826158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9744.8224817503651</c:v>
                </c:pt>
                <c:pt idx="37">
                  <c:v>0</c:v>
                </c:pt>
                <c:pt idx="38">
                  <c:v>0</c:v>
                </c:pt>
                <c:pt idx="39">
                  <c:v>2391.9109727932714</c:v>
                </c:pt>
                <c:pt idx="40">
                  <c:v>0</c:v>
                </c:pt>
                <c:pt idx="41">
                  <c:v>0</c:v>
                </c:pt>
                <c:pt idx="42">
                  <c:v>16559.19999999999</c:v>
                </c:pt>
                <c:pt idx="43">
                  <c:v>0</c:v>
                </c:pt>
                <c:pt idx="44">
                  <c:v>0</c:v>
                </c:pt>
                <c:pt idx="45">
                  <c:v>5080.6636363636335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13200.000000000002</c:v>
                </c:pt>
                <c:pt idx="55">
                  <c:v>0</c:v>
                </c:pt>
                <c:pt idx="56">
                  <c:v>0</c:v>
                </c:pt>
                <c:pt idx="57">
                  <c:v>5400</c:v>
                </c:pt>
                <c:pt idx="58">
                  <c:v>0</c:v>
                </c:pt>
                <c:pt idx="59">
                  <c:v>0</c:v>
                </c:pt>
                <c:pt idx="60">
                  <c:v>8400</c:v>
                </c:pt>
                <c:pt idx="61">
                  <c:v>0</c:v>
                </c:pt>
                <c:pt idx="62">
                  <c:v>0</c:v>
                </c:pt>
                <c:pt idx="63">
                  <c:v>5400</c:v>
                </c:pt>
                <c:pt idx="64">
                  <c:v>0</c:v>
                </c:pt>
                <c:pt idx="65">
                  <c:v>0</c:v>
                </c:pt>
                <c:pt idx="66">
                  <c:v>6474.8916363637927</c:v>
                </c:pt>
                <c:pt idx="67">
                  <c:v>0</c:v>
                </c:pt>
                <c:pt idx="68">
                  <c:v>0</c:v>
                </c:pt>
                <c:pt idx="69">
                  <c:v>2329.6000000000668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D37-4242-ABD1-1D5A0C56F82F}"/>
            </c:ext>
          </c:extLst>
        </c:ser>
        <c:ser>
          <c:idx val="16"/>
          <c:order val="16"/>
          <c:tx>
            <c:strRef>
              <c:f>Energy!$A$20:$C$20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StorageHydro3_Basin1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Energy!$D$20:$BW$20</c:f>
              <c:numCache>
                <c:formatCode>0</c:formatCode>
                <c:ptCount val="72"/>
                <c:pt idx="0">
                  <c:v>17600</c:v>
                </c:pt>
                <c:pt idx="1">
                  <c:v>61600</c:v>
                </c:pt>
                <c:pt idx="2">
                  <c:v>0</c:v>
                </c:pt>
                <c:pt idx="3">
                  <c:v>7200</c:v>
                </c:pt>
                <c:pt idx="4">
                  <c:v>11067.840000000087</c:v>
                </c:pt>
                <c:pt idx="5">
                  <c:v>0</c:v>
                </c:pt>
                <c:pt idx="6">
                  <c:v>12000</c:v>
                </c:pt>
                <c:pt idx="7">
                  <c:v>60000</c:v>
                </c:pt>
                <c:pt idx="8">
                  <c:v>0</c:v>
                </c:pt>
                <c:pt idx="9">
                  <c:v>4800.0000000000009</c:v>
                </c:pt>
                <c:pt idx="10">
                  <c:v>17024.800000000025</c:v>
                </c:pt>
                <c:pt idx="11">
                  <c:v>0</c:v>
                </c:pt>
                <c:pt idx="12">
                  <c:v>16800</c:v>
                </c:pt>
                <c:pt idx="13">
                  <c:v>52390.799999999959</c:v>
                </c:pt>
                <c:pt idx="14">
                  <c:v>0</c:v>
                </c:pt>
                <c:pt idx="15">
                  <c:v>6000</c:v>
                </c:pt>
                <c:pt idx="16">
                  <c:v>2183.9999999999859</c:v>
                </c:pt>
                <c:pt idx="17">
                  <c:v>0</c:v>
                </c:pt>
                <c:pt idx="18">
                  <c:v>15200.000000000002</c:v>
                </c:pt>
                <c:pt idx="19">
                  <c:v>53200</c:v>
                </c:pt>
                <c:pt idx="20">
                  <c:v>0</c:v>
                </c:pt>
                <c:pt idx="21">
                  <c:v>6600.0000000000009</c:v>
                </c:pt>
                <c:pt idx="22">
                  <c:v>30800</c:v>
                </c:pt>
                <c:pt idx="23">
                  <c:v>0</c:v>
                </c:pt>
                <c:pt idx="24">
                  <c:v>17600</c:v>
                </c:pt>
                <c:pt idx="25">
                  <c:v>61600</c:v>
                </c:pt>
                <c:pt idx="26">
                  <c:v>1452.0000000000598</c:v>
                </c:pt>
                <c:pt idx="27">
                  <c:v>5400</c:v>
                </c:pt>
                <c:pt idx="28">
                  <c:v>23400.000000000004</c:v>
                </c:pt>
                <c:pt idx="29">
                  <c:v>792.00000000003263</c:v>
                </c:pt>
                <c:pt idx="30">
                  <c:v>16800</c:v>
                </c:pt>
                <c:pt idx="31">
                  <c:v>43172.760000000148</c:v>
                </c:pt>
                <c:pt idx="32">
                  <c:v>0</c:v>
                </c:pt>
                <c:pt idx="33">
                  <c:v>5400</c:v>
                </c:pt>
                <c:pt idx="34">
                  <c:v>13859.999999999987</c:v>
                </c:pt>
                <c:pt idx="35">
                  <c:v>0</c:v>
                </c:pt>
                <c:pt idx="36">
                  <c:v>22000</c:v>
                </c:pt>
                <c:pt idx="37">
                  <c:v>52800.000000000007</c:v>
                </c:pt>
                <c:pt idx="38">
                  <c:v>0</c:v>
                </c:pt>
                <c:pt idx="39">
                  <c:v>3315.6000000000181</c:v>
                </c:pt>
                <c:pt idx="40">
                  <c:v>25200.000000000004</c:v>
                </c:pt>
                <c:pt idx="41">
                  <c:v>0</c:v>
                </c:pt>
                <c:pt idx="42">
                  <c:v>17600</c:v>
                </c:pt>
                <c:pt idx="43">
                  <c:v>57200</c:v>
                </c:pt>
                <c:pt idx="44">
                  <c:v>0</c:v>
                </c:pt>
                <c:pt idx="45">
                  <c:v>2787.46109090853</c:v>
                </c:pt>
                <c:pt idx="46">
                  <c:v>24234.839999999975</c:v>
                </c:pt>
                <c:pt idx="47">
                  <c:v>0</c:v>
                </c:pt>
                <c:pt idx="48">
                  <c:v>20000</c:v>
                </c:pt>
                <c:pt idx="49">
                  <c:v>47505.599999999999</c:v>
                </c:pt>
                <c:pt idx="50">
                  <c:v>0</c:v>
                </c:pt>
                <c:pt idx="51">
                  <c:v>6000</c:v>
                </c:pt>
                <c:pt idx="52">
                  <c:v>5530.2000000000171</c:v>
                </c:pt>
                <c:pt idx="53">
                  <c:v>0</c:v>
                </c:pt>
                <c:pt idx="54">
                  <c:v>13200.000000000002</c:v>
                </c:pt>
                <c:pt idx="55">
                  <c:v>61600</c:v>
                </c:pt>
                <c:pt idx="56">
                  <c:v>0</c:v>
                </c:pt>
                <c:pt idx="57">
                  <c:v>1428.2999999999629</c:v>
                </c:pt>
                <c:pt idx="58">
                  <c:v>6423.3000000000075</c:v>
                </c:pt>
                <c:pt idx="59">
                  <c:v>0</c:v>
                </c:pt>
                <c:pt idx="60">
                  <c:v>8400</c:v>
                </c:pt>
                <c:pt idx="61">
                  <c:v>53283.904545454599</c:v>
                </c:pt>
                <c:pt idx="62">
                  <c:v>0</c:v>
                </c:pt>
                <c:pt idx="63">
                  <c:v>5400</c:v>
                </c:pt>
                <c:pt idx="64">
                  <c:v>19791.164545454565</c:v>
                </c:pt>
                <c:pt idx="65">
                  <c:v>0</c:v>
                </c:pt>
                <c:pt idx="66">
                  <c:v>13600.000000000002</c:v>
                </c:pt>
                <c:pt idx="67">
                  <c:v>47600</c:v>
                </c:pt>
                <c:pt idx="68">
                  <c:v>0</c:v>
                </c:pt>
                <c:pt idx="69">
                  <c:v>11200.000000000002</c:v>
                </c:pt>
                <c:pt idx="70">
                  <c:v>19772.479999999901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D37-4242-ABD1-1D5A0C56F82F}"/>
            </c:ext>
          </c:extLst>
        </c:ser>
        <c:ser>
          <c:idx val="17"/>
          <c:order val="17"/>
          <c:tx>
            <c:strRef>
              <c:f>Energy!$A$21:$C$21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PumpedStorageHydro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Energy!$D$21:$BW$21</c:f>
              <c:numCache>
                <c:formatCode>0</c:formatCode>
                <c:ptCount val="72"/>
                <c:pt idx="0">
                  <c:v>17600</c:v>
                </c:pt>
                <c:pt idx="1">
                  <c:v>61600</c:v>
                </c:pt>
                <c:pt idx="2">
                  <c:v>26400.000000000004</c:v>
                </c:pt>
                <c:pt idx="3">
                  <c:v>7200</c:v>
                </c:pt>
                <c:pt idx="4">
                  <c:v>25200.000000000004</c:v>
                </c:pt>
                <c:pt idx="5">
                  <c:v>10800</c:v>
                </c:pt>
                <c:pt idx="6">
                  <c:v>12000</c:v>
                </c:pt>
                <c:pt idx="7">
                  <c:v>60000</c:v>
                </c:pt>
                <c:pt idx="8">
                  <c:v>24000</c:v>
                </c:pt>
                <c:pt idx="9">
                  <c:v>4800.0000000000009</c:v>
                </c:pt>
                <c:pt idx="10">
                  <c:v>20800</c:v>
                </c:pt>
                <c:pt idx="11">
                  <c:v>12800</c:v>
                </c:pt>
                <c:pt idx="12">
                  <c:v>16800</c:v>
                </c:pt>
                <c:pt idx="13">
                  <c:v>58800.000000000007</c:v>
                </c:pt>
                <c:pt idx="14">
                  <c:v>25200.000000000004</c:v>
                </c:pt>
                <c:pt idx="15">
                  <c:v>6000</c:v>
                </c:pt>
                <c:pt idx="16">
                  <c:v>26000</c:v>
                </c:pt>
                <c:pt idx="17">
                  <c:v>16000</c:v>
                </c:pt>
                <c:pt idx="18">
                  <c:v>15200.000000000002</c:v>
                </c:pt>
                <c:pt idx="19">
                  <c:v>53200</c:v>
                </c:pt>
                <c:pt idx="20">
                  <c:v>22800</c:v>
                </c:pt>
                <c:pt idx="21">
                  <c:v>6600.0000000000009</c:v>
                </c:pt>
                <c:pt idx="22">
                  <c:v>30800</c:v>
                </c:pt>
                <c:pt idx="23">
                  <c:v>15400</c:v>
                </c:pt>
                <c:pt idx="24">
                  <c:v>17600</c:v>
                </c:pt>
                <c:pt idx="25">
                  <c:v>61600</c:v>
                </c:pt>
                <c:pt idx="26">
                  <c:v>26400.000000000004</c:v>
                </c:pt>
                <c:pt idx="27">
                  <c:v>5400</c:v>
                </c:pt>
                <c:pt idx="28">
                  <c:v>23400.000000000004</c:v>
                </c:pt>
                <c:pt idx="29">
                  <c:v>14400</c:v>
                </c:pt>
                <c:pt idx="30">
                  <c:v>16800</c:v>
                </c:pt>
                <c:pt idx="31">
                  <c:v>58800.000000000007</c:v>
                </c:pt>
                <c:pt idx="32">
                  <c:v>25200.000000000004</c:v>
                </c:pt>
                <c:pt idx="33">
                  <c:v>5400</c:v>
                </c:pt>
                <c:pt idx="34">
                  <c:v>25200.000000000004</c:v>
                </c:pt>
                <c:pt idx="35">
                  <c:v>12600.000000000002</c:v>
                </c:pt>
                <c:pt idx="36">
                  <c:v>22000</c:v>
                </c:pt>
                <c:pt idx="37">
                  <c:v>52800.000000000007</c:v>
                </c:pt>
                <c:pt idx="38">
                  <c:v>30800</c:v>
                </c:pt>
                <c:pt idx="39">
                  <c:v>5400</c:v>
                </c:pt>
                <c:pt idx="40">
                  <c:v>25200.000000000004</c:v>
                </c:pt>
                <c:pt idx="41">
                  <c:v>12600.000000000002</c:v>
                </c:pt>
                <c:pt idx="42">
                  <c:v>17600</c:v>
                </c:pt>
                <c:pt idx="43">
                  <c:v>57200</c:v>
                </c:pt>
                <c:pt idx="44">
                  <c:v>30800</c:v>
                </c:pt>
                <c:pt idx="45">
                  <c:v>5400</c:v>
                </c:pt>
                <c:pt idx="46">
                  <c:v>25200.000000000004</c:v>
                </c:pt>
                <c:pt idx="47">
                  <c:v>12600.000000000002</c:v>
                </c:pt>
                <c:pt idx="48">
                  <c:v>20000</c:v>
                </c:pt>
                <c:pt idx="49">
                  <c:v>48000</c:v>
                </c:pt>
                <c:pt idx="50">
                  <c:v>28000</c:v>
                </c:pt>
                <c:pt idx="51">
                  <c:v>6000</c:v>
                </c:pt>
                <c:pt idx="52">
                  <c:v>26000</c:v>
                </c:pt>
                <c:pt idx="53">
                  <c:v>16000</c:v>
                </c:pt>
                <c:pt idx="54">
                  <c:v>13200.000000000002</c:v>
                </c:pt>
                <c:pt idx="55">
                  <c:v>61600</c:v>
                </c:pt>
                <c:pt idx="56">
                  <c:v>30800</c:v>
                </c:pt>
                <c:pt idx="57">
                  <c:v>5400</c:v>
                </c:pt>
                <c:pt idx="58">
                  <c:v>23400.000000000004</c:v>
                </c:pt>
                <c:pt idx="59">
                  <c:v>14400</c:v>
                </c:pt>
                <c:pt idx="60">
                  <c:v>8400</c:v>
                </c:pt>
                <c:pt idx="61">
                  <c:v>63000</c:v>
                </c:pt>
                <c:pt idx="62">
                  <c:v>29400.000000000004</c:v>
                </c:pt>
                <c:pt idx="63">
                  <c:v>5400</c:v>
                </c:pt>
                <c:pt idx="64">
                  <c:v>23400.000000000004</c:v>
                </c:pt>
                <c:pt idx="65">
                  <c:v>14400</c:v>
                </c:pt>
                <c:pt idx="66">
                  <c:v>13600.000000000002</c:v>
                </c:pt>
                <c:pt idx="67">
                  <c:v>47600</c:v>
                </c:pt>
                <c:pt idx="68">
                  <c:v>20400.000000000004</c:v>
                </c:pt>
                <c:pt idx="69">
                  <c:v>11200.000000000002</c:v>
                </c:pt>
                <c:pt idx="70">
                  <c:v>36400</c:v>
                </c:pt>
                <c:pt idx="71">
                  <c:v>19600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D37-4242-ABD1-1D5A0C56F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8513663"/>
        <c:axId val="1538509503"/>
      </c:areaChart>
      <c:catAx>
        <c:axId val="15385136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Load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8509503"/>
        <c:crosses val="autoZero"/>
        <c:auto val="1"/>
        <c:lblAlgn val="ctr"/>
        <c:lblOffset val="100"/>
        <c:noMultiLvlLbl val="0"/>
      </c:catAx>
      <c:valAx>
        <c:axId val="153850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Energy [MWh]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85136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WtrReserve!$A$2:$C$2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WtrReserve!$D$2:$O$2</c:f>
              <c:numCache>
                <c:formatCode>0</c:formatCode>
                <c:ptCount val="12"/>
                <c:pt idx="0">
                  <c:v>421.74213333333313</c:v>
                </c:pt>
                <c:pt idx="1">
                  <c:v>468.71717333333231</c:v>
                </c:pt>
                <c:pt idx="2">
                  <c:v>570.02725333333228</c:v>
                </c:pt>
                <c:pt idx="3">
                  <c:v>600</c:v>
                </c:pt>
                <c:pt idx="4">
                  <c:v>559.75886424242833</c:v>
                </c:pt>
                <c:pt idx="5">
                  <c:v>518.52466424242846</c:v>
                </c:pt>
                <c:pt idx="6">
                  <c:v>441.65469090909517</c:v>
                </c:pt>
                <c:pt idx="7">
                  <c:v>343.45162666666818</c:v>
                </c:pt>
                <c:pt idx="8">
                  <c:v>299.20416000000102</c:v>
                </c:pt>
                <c:pt idx="9">
                  <c:v>200</c:v>
                </c:pt>
                <c:pt idx="10">
                  <c:v>206.20756363636355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C3-41E8-AB61-4EA31DA0D13B}"/>
            </c:ext>
          </c:extLst>
        </c:ser>
        <c:ser>
          <c:idx val="1"/>
          <c:order val="1"/>
          <c:tx>
            <c:strRef>
              <c:f>WtrReserve!$A$3:$C$3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WtrReserve!$D$3:$O$3</c:f>
              <c:numCache>
                <c:formatCode>0</c:formatCode>
                <c:ptCount val="12"/>
                <c:pt idx="0">
                  <c:v>494.47125333333332</c:v>
                </c:pt>
                <c:pt idx="1">
                  <c:v>472.80373333333318</c:v>
                </c:pt>
                <c:pt idx="2">
                  <c:v>473.70269333333312</c:v>
                </c:pt>
                <c:pt idx="3">
                  <c:v>437.78615999999971</c:v>
                </c:pt>
                <c:pt idx="4">
                  <c:v>400.98464242423711</c:v>
                </c:pt>
                <c:pt idx="5">
                  <c:v>412.90784242423712</c:v>
                </c:pt>
                <c:pt idx="6">
                  <c:v>386.64758424242501</c:v>
                </c:pt>
                <c:pt idx="7">
                  <c:v>338.08462545454626</c:v>
                </c:pt>
                <c:pt idx="8">
                  <c:v>353.89582545454624</c:v>
                </c:pt>
                <c:pt idx="9">
                  <c:v>320.55470545454625</c:v>
                </c:pt>
                <c:pt idx="10">
                  <c:v>368.64430545454621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C3-41E8-AB61-4EA31DA0D13B}"/>
            </c:ext>
          </c:extLst>
        </c:ser>
        <c:ser>
          <c:idx val="2"/>
          <c:order val="2"/>
          <c:tx>
            <c:strRef>
              <c:f>WtrReserve!$A$4:$C$4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WtrReserve!$D$4:$O$4</c:f>
              <c:numCache>
                <c:formatCode>0</c:formatCode>
                <c:ptCount val="12"/>
                <c:pt idx="0">
                  <c:v>733.25107878787901</c:v>
                </c:pt>
                <c:pt idx="1">
                  <c:v>662.47265454545584</c:v>
                </c:pt>
                <c:pt idx="2">
                  <c:v>782.07610909091056</c:v>
                </c:pt>
                <c:pt idx="3">
                  <c:v>698.99104727272766</c:v>
                </c:pt>
                <c:pt idx="4">
                  <c:v>622.36938060606155</c:v>
                </c:pt>
                <c:pt idx="5">
                  <c:v>568.70572606060648</c:v>
                </c:pt>
                <c:pt idx="6">
                  <c:v>423.74586787878201</c:v>
                </c:pt>
                <c:pt idx="7">
                  <c:v>340.74456969696831</c:v>
                </c:pt>
                <c:pt idx="8">
                  <c:v>214.36438787878677</c:v>
                </c:pt>
                <c:pt idx="9">
                  <c:v>200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C3-41E8-AB61-4EA31DA0D13B}"/>
            </c:ext>
          </c:extLst>
        </c:ser>
        <c:ser>
          <c:idx val="3"/>
          <c:order val="3"/>
          <c:tx>
            <c:strRef>
              <c:f>WtrReserve!$A$5:$C$5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WtrReserve!$D$5:$O$5</c:f>
              <c:numCache>
                <c:formatCode>0</c:formatCode>
                <c:ptCount val="12"/>
                <c:pt idx="0">
                  <c:v>509.73813333333328</c:v>
                </c:pt>
                <c:pt idx="1">
                  <c:v>570.0157706666688</c:v>
                </c:pt>
                <c:pt idx="2">
                  <c:v>544.6394933333338</c:v>
                </c:pt>
                <c:pt idx="3">
                  <c:v>600</c:v>
                </c:pt>
                <c:pt idx="4">
                  <c:v>514.77230133333319</c:v>
                </c:pt>
                <c:pt idx="5">
                  <c:v>470.37850399999888</c:v>
                </c:pt>
                <c:pt idx="6">
                  <c:v>407.1695226666655</c:v>
                </c:pt>
                <c:pt idx="7">
                  <c:v>271.46451999999783</c:v>
                </c:pt>
                <c:pt idx="8">
                  <c:v>205.84809333333217</c:v>
                </c:pt>
                <c:pt idx="9">
                  <c:v>217.89866133333203</c:v>
                </c:pt>
                <c:pt idx="10">
                  <c:v>288.12301866666667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C3-41E8-AB61-4EA31DA0D13B}"/>
            </c:ext>
          </c:extLst>
        </c:ser>
        <c:ser>
          <c:idx val="4"/>
          <c:order val="4"/>
          <c:tx>
            <c:strRef>
              <c:f>WtrReserve!$A$6:$C$6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WtrReserve!$D$6:$O$6</c:f>
              <c:numCache>
                <c:formatCode>0</c:formatCode>
                <c:ptCount val="12"/>
                <c:pt idx="0">
                  <c:v>540.45525333333296</c:v>
                </c:pt>
                <c:pt idx="1">
                  <c:v>516.7795039999969</c:v>
                </c:pt>
                <c:pt idx="2">
                  <c:v>464.6842239999969</c:v>
                </c:pt>
                <c:pt idx="3">
                  <c:v>439.46849066666346</c:v>
                </c:pt>
                <c:pt idx="4">
                  <c:v>396.1479039999968</c:v>
                </c:pt>
                <c:pt idx="5">
                  <c:v>405.09030399999682</c:v>
                </c:pt>
                <c:pt idx="6">
                  <c:v>391.61027733333009</c:v>
                </c:pt>
                <c:pt idx="7">
                  <c:v>362.14338400000156</c:v>
                </c:pt>
                <c:pt idx="8">
                  <c:v>332.10178400000171</c:v>
                </c:pt>
                <c:pt idx="9">
                  <c:v>353.59594400000174</c:v>
                </c:pt>
                <c:pt idx="10">
                  <c:v>396.66666666666703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5C3-41E8-AB61-4EA31DA0D13B}"/>
            </c:ext>
          </c:extLst>
        </c:ser>
        <c:ser>
          <c:idx val="5"/>
          <c:order val="5"/>
          <c:tx>
            <c:strRef>
              <c:f>WtrReserve!$A$7:$C$7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WtrReserve!$D$7:$O$7</c:f>
              <c:numCache>
                <c:formatCode>0</c:formatCode>
                <c:ptCount val="12"/>
                <c:pt idx="0">
                  <c:v>706.64430957575394</c:v>
                </c:pt>
                <c:pt idx="1">
                  <c:v>690.49485503029939</c:v>
                </c:pt>
                <c:pt idx="2">
                  <c:v>719.64879442424024</c:v>
                </c:pt>
                <c:pt idx="3">
                  <c:v>619.12255199999845</c:v>
                </c:pt>
                <c:pt idx="4">
                  <c:v>524.14888533333192</c:v>
                </c:pt>
                <c:pt idx="5">
                  <c:v>509.39572727272775</c:v>
                </c:pt>
                <c:pt idx="6">
                  <c:v>443.91821212121192</c:v>
                </c:pt>
                <c:pt idx="7">
                  <c:v>383.38042424242479</c:v>
                </c:pt>
                <c:pt idx="8">
                  <c:v>303.7095151515154</c:v>
                </c:pt>
                <c:pt idx="9">
                  <c:v>293.93324242424274</c:v>
                </c:pt>
                <c:pt idx="10">
                  <c:v>212.25987878787853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5C3-41E8-AB61-4EA31DA0D13B}"/>
            </c:ext>
          </c:extLst>
        </c:ser>
        <c:ser>
          <c:idx val="6"/>
          <c:order val="6"/>
          <c:tx>
            <c:strRef>
              <c:f>WtrReserve!$A$8:$C$8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WtrReserve!$D$8:$O$8</c:f>
              <c:numCache>
                <c:formatCode>0</c:formatCode>
                <c:ptCount val="12"/>
                <c:pt idx="0">
                  <c:v>499.67442133333503</c:v>
                </c:pt>
                <c:pt idx="1">
                  <c:v>510.12472533333477</c:v>
                </c:pt>
                <c:pt idx="2">
                  <c:v>600</c:v>
                </c:pt>
                <c:pt idx="3">
                  <c:v>559.82245333333321</c:v>
                </c:pt>
                <c:pt idx="4">
                  <c:v>600</c:v>
                </c:pt>
                <c:pt idx="5">
                  <c:v>562.39167999999995</c:v>
                </c:pt>
                <c:pt idx="6">
                  <c:v>274.17188266666648</c:v>
                </c:pt>
                <c:pt idx="7">
                  <c:v>237.46389066666691</c:v>
                </c:pt>
                <c:pt idx="8">
                  <c:v>201.88554400000021</c:v>
                </c:pt>
                <c:pt idx="9">
                  <c:v>200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5C3-41E8-AB61-4EA31DA0D13B}"/>
            </c:ext>
          </c:extLst>
        </c:ser>
        <c:ser>
          <c:idx val="7"/>
          <c:order val="7"/>
          <c:tx>
            <c:strRef>
              <c:f>WtrReserve!$A$9:$C$9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WtrReserve!$D$9:$O$9</c:f>
              <c:numCache>
                <c:formatCode>0</c:formatCode>
                <c:ptCount val="12"/>
                <c:pt idx="0">
                  <c:v>577.13792000000001</c:v>
                </c:pt>
                <c:pt idx="1">
                  <c:v>600</c:v>
                </c:pt>
                <c:pt idx="2">
                  <c:v>568.62214399999993</c:v>
                </c:pt>
                <c:pt idx="3">
                  <c:v>511.9221973333332</c:v>
                </c:pt>
                <c:pt idx="4">
                  <c:v>497.50154666666651</c:v>
                </c:pt>
                <c:pt idx="5">
                  <c:v>306.23736000000127</c:v>
                </c:pt>
                <c:pt idx="6">
                  <c:v>234.77775466666796</c:v>
                </c:pt>
                <c:pt idx="7">
                  <c:v>212.88432000000009</c:v>
                </c:pt>
                <c:pt idx="8">
                  <c:v>200</c:v>
                </c:pt>
                <c:pt idx="9">
                  <c:v>200</c:v>
                </c:pt>
                <c:pt idx="10">
                  <c:v>275.01439999999997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5C3-41E8-AB61-4EA31DA0D13B}"/>
            </c:ext>
          </c:extLst>
        </c:ser>
        <c:ser>
          <c:idx val="8"/>
          <c:order val="8"/>
          <c:tx>
            <c:strRef>
              <c:f>WtrReserve!$A$10:$C$10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WtrReserve!$D$10:$O$10</c:f>
              <c:numCache>
                <c:formatCode>0</c:formatCode>
                <c:ptCount val="12"/>
                <c:pt idx="0">
                  <c:v>479.60772412121111</c:v>
                </c:pt>
                <c:pt idx="1">
                  <c:v>420.4557221818178</c:v>
                </c:pt>
                <c:pt idx="2">
                  <c:v>540.45469187878723</c:v>
                </c:pt>
                <c:pt idx="3">
                  <c:v>557.52410399999951</c:v>
                </c:pt>
                <c:pt idx="4">
                  <c:v>453.05184799999938</c:v>
                </c:pt>
                <c:pt idx="5">
                  <c:v>532.57467830302824</c:v>
                </c:pt>
                <c:pt idx="6">
                  <c:v>603.77261818181705</c:v>
                </c:pt>
                <c:pt idx="7">
                  <c:v>465.7054242424241</c:v>
                </c:pt>
                <c:pt idx="8">
                  <c:v>365.56996969696957</c:v>
                </c:pt>
                <c:pt idx="9">
                  <c:v>200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5C3-41E8-AB61-4EA31DA0D13B}"/>
            </c:ext>
          </c:extLst>
        </c:ser>
        <c:ser>
          <c:idx val="9"/>
          <c:order val="9"/>
          <c:tx>
            <c:strRef>
              <c:f>WtrReserve!$A$11:$C$11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WtrReserve!$D$11:$O$11</c:f>
              <c:numCache>
                <c:formatCode>0</c:formatCode>
                <c:ptCount val="12"/>
                <c:pt idx="0">
                  <c:v>486.0303466666665</c:v>
                </c:pt>
                <c:pt idx="1">
                  <c:v>513.61042000000111</c:v>
                </c:pt>
                <c:pt idx="2">
                  <c:v>600</c:v>
                </c:pt>
                <c:pt idx="3">
                  <c:v>600</c:v>
                </c:pt>
                <c:pt idx="4">
                  <c:v>512.2059066666659</c:v>
                </c:pt>
                <c:pt idx="5">
                  <c:v>532.07030666666583</c:v>
                </c:pt>
                <c:pt idx="6">
                  <c:v>497.57106181818403</c:v>
                </c:pt>
                <c:pt idx="7">
                  <c:v>340.21887515151661</c:v>
                </c:pt>
                <c:pt idx="8">
                  <c:v>276.22580848484978</c:v>
                </c:pt>
                <c:pt idx="9">
                  <c:v>233.24298848484972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5C3-41E8-AB61-4EA31DA0D13B}"/>
            </c:ext>
          </c:extLst>
        </c:ser>
        <c:ser>
          <c:idx val="10"/>
          <c:order val="10"/>
          <c:tx>
            <c:strRef>
              <c:f>WtrReserve!$A$12:$C$12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WtrReserve!$D$12:$O$12</c:f>
              <c:numCache>
                <c:formatCode>0</c:formatCode>
                <c:ptCount val="12"/>
                <c:pt idx="0">
                  <c:v>529.36774666666633</c:v>
                </c:pt>
                <c:pt idx="1">
                  <c:v>497.72858666666616</c:v>
                </c:pt>
                <c:pt idx="2">
                  <c:v>509.79594666666594</c:v>
                </c:pt>
                <c:pt idx="3">
                  <c:v>464.65917666666576</c:v>
                </c:pt>
                <c:pt idx="4">
                  <c:v>489.32162848485183</c:v>
                </c:pt>
                <c:pt idx="5">
                  <c:v>431.71710848485179</c:v>
                </c:pt>
                <c:pt idx="6">
                  <c:v>382.07206666666713</c:v>
                </c:pt>
                <c:pt idx="7">
                  <c:v>328.97532000000041</c:v>
                </c:pt>
                <c:pt idx="8">
                  <c:v>293.14622000000043</c:v>
                </c:pt>
                <c:pt idx="9">
                  <c:v>273.20640000000009</c:v>
                </c:pt>
                <c:pt idx="10">
                  <c:v>339.29600000000005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5C3-41E8-AB61-4EA31DA0D13B}"/>
            </c:ext>
          </c:extLst>
        </c:ser>
        <c:ser>
          <c:idx val="11"/>
          <c:order val="11"/>
          <c:tx>
            <c:strRef>
              <c:f>WtrReserve!$A$13:$C$13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WtrReserve!$D$13:$O$13</c:f>
              <c:numCache>
                <c:formatCode>0</c:formatCode>
                <c:ptCount val="12"/>
                <c:pt idx="0">
                  <c:v>620.66879212121273</c:v>
                </c:pt>
                <c:pt idx="1">
                  <c:v>568.2052412121202</c:v>
                </c:pt>
                <c:pt idx="2">
                  <c:v>657.01869575757576</c:v>
                </c:pt>
                <c:pt idx="3">
                  <c:v>634.38450666667075</c:v>
                </c:pt>
                <c:pt idx="4">
                  <c:v>527.63178818181871</c:v>
                </c:pt>
                <c:pt idx="5">
                  <c:v>520.79309363636389</c:v>
                </c:pt>
                <c:pt idx="6">
                  <c:v>469.96336060605989</c:v>
                </c:pt>
                <c:pt idx="7">
                  <c:v>438.71930969696962</c:v>
                </c:pt>
                <c:pt idx="8">
                  <c:v>335.77362787878786</c:v>
                </c:pt>
                <c:pt idx="9">
                  <c:v>200</c:v>
                </c:pt>
                <c:pt idx="10">
                  <c:v>255.03411575757707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5C3-41E8-AB61-4EA31DA0D13B}"/>
            </c:ext>
          </c:extLst>
        </c:ser>
        <c:ser>
          <c:idx val="12"/>
          <c:order val="12"/>
          <c:tx>
            <c:strRef>
              <c:f>WtrReserve!$A$14:$C$14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WtrReserve!$D$14:$O$14</c:f>
              <c:numCache>
                <c:formatCode>0</c:formatCode>
                <c:ptCount val="12"/>
                <c:pt idx="0">
                  <c:v>509.73813333333328</c:v>
                </c:pt>
                <c:pt idx="1">
                  <c:v>537.95162133333315</c:v>
                </c:pt>
                <c:pt idx="2">
                  <c:v>571.14817733333211</c:v>
                </c:pt>
                <c:pt idx="3">
                  <c:v>580.36396399999819</c:v>
                </c:pt>
                <c:pt idx="4">
                  <c:v>524.60451866666369</c:v>
                </c:pt>
                <c:pt idx="5">
                  <c:v>479.89825866666365</c:v>
                </c:pt>
                <c:pt idx="6">
                  <c:v>416.68927733333027</c:v>
                </c:pt>
                <c:pt idx="7">
                  <c:v>375.61555799999707</c:v>
                </c:pt>
                <c:pt idx="8">
                  <c:v>313.81323133332955</c:v>
                </c:pt>
                <c:pt idx="9">
                  <c:v>248.60654933333291</c:v>
                </c:pt>
                <c:pt idx="10">
                  <c:v>303.56323806060578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5C3-41E8-AB61-4EA31DA0D13B}"/>
            </c:ext>
          </c:extLst>
        </c:ser>
        <c:ser>
          <c:idx val="13"/>
          <c:order val="13"/>
          <c:tx>
            <c:strRef>
              <c:f>WtrReserve!$A$15:$C$15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WtrReserve!$D$15:$O$15</c:f>
              <c:numCache>
                <c:formatCode>0</c:formatCode>
                <c:ptCount val="12"/>
                <c:pt idx="0">
                  <c:v>529.36774666666599</c:v>
                </c:pt>
                <c:pt idx="1">
                  <c:v>526.59990666666556</c:v>
                </c:pt>
                <c:pt idx="2">
                  <c:v>504.80854666666551</c:v>
                </c:pt>
                <c:pt idx="3">
                  <c:v>452.96965666666517</c:v>
                </c:pt>
                <c:pt idx="4">
                  <c:v>437.89725666666516</c:v>
                </c:pt>
                <c:pt idx="5">
                  <c:v>437.46755666666513</c:v>
                </c:pt>
                <c:pt idx="6">
                  <c:v>406.57126666666801</c:v>
                </c:pt>
                <c:pt idx="7">
                  <c:v>424.248706666668</c:v>
                </c:pt>
                <c:pt idx="8">
                  <c:v>394.44310666666797</c:v>
                </c:pt>
                <c:pt idx="9">
                  <c:v>367.433066666667</c:v>
                </c:pt>
                <c:pt idx="10">
                  <c:v>411.79590666666695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5C3-41E8-AB61-4EA31DA0D13B}"/>
            </c:ext>
          </c:extLst>
        </c:ser>
        <c:ser>
          <c:idx val="14"/>
          <c:order val="14"/>
          <c:tx>
            <c:strRef>
              <c:f>WtrReserve!$A$16:$C$16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WtrReserve!$D$16:$O$16</c:f>
              <c:numCache>
                <c:formatCode>0</c:formatCode>
                <c:ptCount val="12"/>
                <c:pt idx="0">
                  <c:v>751.91511624242673</c:v>
                </c:pt>
                <c:pt idx="1">
                  <c:v>708.34383503030529</c:v>
                </c:pt>
                <c:pt idx="2">
                  <c:v>714.82958775757857</c:v>
                </c:pt>
                <c:pt idx="3">
                  <c:v>604.78132200000357</c:v>
                </c:pt>
                <c:pt idx="4">
                  <c:v>541.4872053333379</c:v>
                </c:pt>
                <c:pt idx="5">
                  <c:v>482.57069260606403</c:v>
                </c:pt>
                <c:pt idx="6">
                  <c:v>399.9046074545426</c:v>
                </c:pt>
                <c:pt idx="7">
                  <c:v>496.71853624242135</c:v>
                </c:pt>
                <c:pt idx="8">
                  <c:v>412.99752715151294</c:v>
                </c:pt>
                <c:pt idx="9">
                  <c:v>272.88346109090958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5C3-41E8-AB61-4EA31DA0D13B}"/>
            </c:ext>
          </c:extLst>
        </c:ser>
        <c:ser>
          <c:idx val="15"/>
          <c:order val="15"/>
          <c:tx>
            <c:strRef>
              <c:f>WtrReserve!$A$17:$C$17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WtrReserve!$D$17:$O$17</c:f>
              <c:numCache>
                <c:formatCode>0</c:formatCode>
                <c:ptCount val="12"/>
                <c:pt idx="0">
                  <c:v>428.04421333333312</c:v>
                </c:pt>
                <c:pt idx="1">
                  <c:v>451.55189200000029</c:v>
                </c:pt>
                <c:pt idx="2">
                  <c:v>600</c:v>
                </c:pt>
                <c:pt idx="3">
                  <c:v>577.03545333333341</c:v>
                </c:pt>
                <c:pt idx="4">
                  <c:v>520.73934399999916</c:v>
                </c:pt>
                <c:pt idx="5">
                  <c:v>335.45222141652908</c:v>
                </c:pt>
                <c:pt idx="6">
                  <c:v>264.95593066666623</c:v>
                </c:pt>
                <c:pt idx="7">
                  <c:v>243.61161599999957</c:v>
                </c:pt>
                <c:pt idx="8">
                  <c:v>227.89003600000001</c:v>
                </c:pt>
                <c:pt idx="9">
                  <c:v>200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5C3-41E8-AB61-4EA31DA0D13B}"/>
            </c:ext>
          </c:extLst>
        </c:ser>
        <c:ser>
          <c:idx val="16"/>
          <c:order val="16"/>
          <c:tx>
            <c:strRef>
              <c:f>WtrReserve!$A$18:$C$18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WtrReserve!$D$18:$O$18</c:f>
              <c:numCache>
                <c:formatCode>0</c:formatCode>
                <c:ptCount val="12"/>
                <c:pt idx="0">
                  <c:v>577.13792000000001</c:v>
                </c:pt>
                <c:pt idx="1">
                  <c:v>552.17575199999976</c:v>
                </c:pt>
                <c:pt idx="2">
                  <c:v>576.99229599999967</c:v>
                </c:pt>
                <c:pt idx="3">
                  <c:v>520.29234933333305</c:v>
                </c:pt>
                <c:pt idx="4">
                  <c:v>505.87169866666636</c:v>
                </c:pt>
                <c:pt idx="5">
                  <c:v>389.84484355316653</c:v>
                </c:pt>
                <c:pt idx="6">
                  <c:v>392.68431333333439</c:v>
                </c:pt>
                <c:pt idx="7">
                  <c:v>273.00725466666705</c:v>
                </c:pt>
                <c:pt idx="8">
                  <c:v>208.47626800000035</c:v>
                </c:pt>
                <c:pt idx="9">
                  <c:v>200</c:v>
                </c:pt>
                <c:pt idx="10">
                  <c:v>275.01439999999997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5C3-41E8-AB61-4EA31DA0D13B}"/>
            </c:ext>
          </c:extLst>
        </c:ser>
        <c:ser>
          <c:idx val="17"/>
          <c:order val="17"/>
          <c:tx>
            <c:strRef>
              <c:f>WtrReserve!$A$19:$C$19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WtrReserve!$D$19:$O$19</c:f>
              <c:numCache>
                <c:formatCode>0</c:formatCode>
                <c:ptCount val="12"/>
                <c:pt idx="0">
                  <c:v>559.84753212121291</c:v>
                </c:pt>
                <c:pt idx="1">
                  <c:v>549.38264351515124</c:v>
                </c:pt>
                <c:pt idx="2">
                  <c:v>626.97995321212011</c:v>
                </c:pt>
                <c:pt idx="3">
                  <c:v>707.53533866666567</c:v>
                </c:pt>
                <c:pt idx="4">
                  <c:v>682.36145866666664</c:v>
                </c:pt>
                <c:pt idx="5">
                  <c:v>800</c:v>
                </c:pt>
                <c:pt idx="6">
                  <c:v>530.01123406060378</c:v>
                </c:pt>
                <c:pt idx="7">
                  <c:v>412.04216424242446</c:v>
                </c:pt>
                <c:pt idx="8">
                  <c:v>331.08920969696948</c:v>
                </c:pt>
                <c:pt idx="9">
                  <c:v>200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5C3-41E8-AB61-4EA31DA0D13B}"/>
            </c:ext>
          </c:extLst>
        </c:ser>
        <c:ser>
          <c:idx val="18"/>
          <c:order val="18"/>
          <c:tx>
            <c:strRef>
              <c:f>WtrReserve!$A$20:$C$20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WtrReserve!$D$20:$O$20</c:f>
              <c:numCache>
                <c:formatCode>0</c:formatCode>
                <c:ptCount val="12"/>
                <c:pt idx="0">
                  <c:v>509.73813333333328</c:v>
                </c:pt>
                <c:pt idx="1">
                  <c:v>571.55317333333323</c:v>
                </c:pt>
                <c:pt idx="2">
                  <c:v>600</c:v>
                </c:pt>
                <c:pt idx="3">
                  <c:v>579.88316783333335</c:v>
                </c:pt>
                <c:pt idx="4">
                  <c:v>600</c:v>
                </c:pt>
                <c:pt idx="5">
                  <c:v>558.10065279999992</c:v>
                </c:pt>
                <c:pt idx="6">
                  <c:v>520.78758113333345</c:v>
                </c:pt>
                <c:pt idx="7">
                  <c:v>338.96596199999851</c:v>
                </c:pt>
                <c:pt idx="8">
                  <c:v>222.28064426666717</c:v>
                </c:pt>
                <c:pt idx="9">
                  <c:v>200</c:v>
                </c:pt>
                <c:pt idx="10">
                  <c:v>210.78460448636363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5C3-41E8-AB61-4EA31DA0D13B}"/>
            </c:ext>
          </c:extLst>
        </c:ser>
        <c:ser>
          <c:idx val="19"/>
          <c:order val="19"/>
          <c:tx>
            <c:strRef>
              <c:f>WtrReserve!$A$21:$C$21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WtrReserve!$D$21:$O$21</c:f>
              <c:numCache>
                <c:formatCode>0</c:formatCode>
                <c:ptCount val="12"/>
                <c:pt idx="0">
                  <c:v>577.13792000000001</c:v>
                </c:pt>
                <c:pt idx="1">
                  <c:v>569.0183575999996</c:v>
                </c:pt>
                <c:pt idx="2">
                  <c:v>563.19619793333595</c:v>
                </c:pt>
                <c:pt idx="3">
                  <c:v>501.93433126666929</c:v>
                </c:pt>
                <c:pt idx="4">
                  <c:v>546.39577126666927</c:v>
                </c:pt>
                <c:pt idx="5">
                  <c:v>527.30328726666937</c:v>
                </c:pt>
                <c:pt idx="6">
                  <c:v>468.1654739333361</c:v>
                </c:pt>
                <c:pt idx="7">
                  <c:v>415.06872726666938</c:v>
                </c:pt>
                <c:pt idx="8">
                  <c:v>360.49425266666748</c:v>
                </c:pt>
                <c:pt idx="9">
                  <c:v>327.15313266666743</c:v>
                </c:pt>
                <c:pt idx="10">
                  <c:v>386.90043906666739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5C3-41E8-AB61-4EA31DA0D13B}"/>
            </c:ext>
          </c:extLst>
        </c:ser>
        <c:ser>
          <c:idx val="20"/>
          <c:order val="20"/>
          <c:tx>
            <c:strRef>
              <c:f>WtrReserve!$A$22:$C$22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WtrReserve!$D$22:$O$22</c:f>
              <c:numCache>
                <c:formatCode>0</c:formatCode>
                <c:ptCount val="12"/>
                <c:pt idx="0">
                  <c:v>535.65927632121236</c:v>
                </c:pt>
                <c:pt idx="1">
                  <c:v>441.23571047878818</c:v>
                </c:pt>
                <c:pt idx="2">
                  <c:v>592.57155702423915</c:v>
                </c:pt>
                <c:pt idx="3">
                  <c:v>584.92140737272382</c:v>
                </c:pt>
                <c:pt idx="4">
                  <c:v>554.61637573938992</c:v>
                </c:pt>
                <c:pt idx="5">
                  <c:v>455.34929179393515</c:v>
                </c:pt>
                <c:pt idx="6">
                  <c:v>372.25636889696483</c:v>
                </c:pt>
                <c:pt idx="7">
                  <c:v>332.82701178787528</c:v>
                </c:pt>
                <c:pt idx="8">
                  <c:v>361.1159036121208</c:v>
                </c:pt>
                <c:pt idx="9">
                  <c:v>200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5C3-41E8-AB61-4EA31DA0D13B}"/>
            </c:ext>
          </c:extLst>
        </c:ser>
        <c:ser>
          <c:idx val="21"/>
          <c:order val="21"/>
          <c:tx>
            <c:strRef>
              <c:f>WtrReserve!$A$23:$C$23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WtrReserve!$D$23:$O$23</c:f>
              <c:numCache>
                <c:formatCode>0</c:formatCode>
                <c:ptCount val="12"/>
                <c:pt idx="0">
                  <c:v>506.49148480000008</c:v>
                </c:pt>
                <c:pt idx="1">
                  <c:v>532.96201280000014</c:v>
                </c:pt>
                <c:pt idx="2">
                  <c:v>527.33948903333339</c:v>
                </c:pt>
                <c:pt idx="3">
                  <c:v>600</c:v>
                </c:pt>
                <c:pt idx="4">
                  <c:v>600</c:v>
                </c:pt>
                <c:pt idx="5">
                  <c:v>552.35093980000011</c:v>
                </c:pt>
                <c:pt idx="6">
                  <c:v>471.14195846666672</c:v>
                </c:pt>
                <c:pt idx="7">
                  <c:v>268.09848333333167</c:v>
                </c:pt>
                <c:pt idx="8">
                  <c:v>247.49584653333375</c:v>
                </c:pt>
                <c:pt idx="9">
                  <c:v>208.70243226666673</c:v>
                </c:pt>
                <c:pt idx="10">
                  <c:v>288.12301866666667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5C3-41E8-AB61-4EA31DA0D13B}"/>
            </c:ext>
          </c:extLst>
        </c:ser>
        <c:ser>
          <c:idx val="22"/>
          <c:order val="22"/>
          <c:tx>
            <c:strRef>
              <c:f>WtrReserve!$A$24:$C$24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WtrReserve!$D$24:$O$24</c:f>
              <c:numCache>
                <c:formatCode>0</c:formatCode>
                <c:ptCount val="12"/>
                <c:pt idx="0">
                  <c:v>547.51506358333825</c:v>
                </c:pt>
                <c:pt idx="1">
                  <c:v>556.06342718333804</c:v>
                </c:pt>
                <c:pt idx="2">
                  <c:v>546.95215118333772</c:v>
                </c:pt>
                <c:pt idx="3">
                  <c:v>555.50575118333779</c:v>
                </c:pt>
                <c:pt idx="4">
                  <c:v>588.85183118333771</c:v>
                </c:pt>
                <c:pt idx="5">
                  <c:v>573.08922018333772</c:v>
                </c:pt>
                <c:pt idx="6">
                  <c:v>521.20107101667031</c:v>
                </c:pt>
                <c:pt idx="7">
                  <c:v>462.21184435000367</c:v>
                </c:pt>
                <c:pt idx="8">
                  <c:v>443.015079066667</c:v>
                </c:pt>
                <c:pt idx="9">
                  <c:v>402.50923906666696</c:v>
                </c:pt>
                <c:pt idx="10">
                  <c:v>427.07643906666698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5C3-41E8-AB61-4EA31DA0D13B}"/>
            </c:ext>
          </c:extLst>
        </c:ser>
        <c:ser>
          <c:idx val="23"/>
          <c:order val="23"/>
          <c:tx>
            <c:strRef>
              <c:f>WtrReserve!$A$25:$C$25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WtrReserve!$D$25:$O$25</c:f>
              <c:numCache>
                <c:formatCode>0</c:formatCode>
                <c:ptCount val="12"/>
                <c:pt idx="0">
                  <c:v>617.51758127120752</c:v>
                </c:pt>
                <c:pt idx="1">
                  <c:v>514.51135943030386</c:v>
                </c:pt>
                <c:pt idx="2">
                  <c:v>707.1982188909094</c:v>
                </c:pt>
                <c:pt idx="3">
                  <c:v>732.93597216666706</c:v>
                </c:pt>
                <c:pt idx="4">
                  <c:v>800</c:v>
                </c:pt>
                <c:pt idx="5">
                  <c:v>692.65910487272686</c:v>
                </c:pt>
                <c:pt idx="6">
                  <c:v>637.77571222121219</c:v>
                </c:pt>
                <c:pt idx="7">
                  <c:v>621.89273014242599</c:v>
                </c:pt>
                <c:pt idx="8">
                  <c:v>604.06207288485143</c:v>
                </c:pt>
                <c:pt idx="9">
                  <c:v>434.21143109091184</c:v>
                </c:pt>
                <c:pt idx="10">
                  <c:v>298.53296265454719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5C3-41E8-AB61-4EA31DA0D13B}"/>
            </c:ext>
          </c:extLst>
        </c:ser>
        <c:ser>
          <c:idx val="24"/>
          <c:order val="24"/>
          <c:tx>
            <c:strRef>
              <c:f>WtrReserve!$A$26:$C$26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WtrReserve!$D$26:$O$26</c:f>
              <c:numCache>
                <c:formatCode>0</c:formatCode>
                <c:ptCount val="12"/>
                <c:pt idx="0">
                  <c:v>496.94969600000002</c:v>
                </c:pt>
                <c:pt idx="1">
                  <c:v>600</c:v>
                </c:pt>
                <c:pt idx="2">
                  <c:v>567.36860799999988</c:v>
                </c:pt>
                <c:pt idx="3">
                  <c:v>577.09139690000052</c:v>
                </c:pt>
                <c:pt idx="4">
                  <c:v>600</c:v>
                </c:pt>
                <c:pt idx="5">
                  <c:v>569.87285980000001</c:v>
                </c:pt>
                <c:pt idx="6">
                  <c:v>498.06506246666663</c:v>
                </c:pt>
                <c:pt idx="7">
                  <c:v>409.01710159999629</c:v>
                </c:pt>
                <c:pt idx="8">
                  <c:v>312.78472893332918</c:v>
                </c:pt>
                <c:pt idx="9">
                  <c:v>200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5C3-41E8-AB61-4EA31DA0D13B}"/>
            </c:ext>
          </c:extLst>
        </c:ser>
        <c:ser>
          <c:idx val="25"/>
          <c:order val="25"/>
          <c:tx>
            <c:strRef>
              <c:f>WtrReserve!$A$27:$C$27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WtrReserve!$D$27:$O$27</c:f>
              <c:numCache>
                <c:formatCode>0</c:formatCode>
                <c:ptCount val="12"/>
                <c:pt idx="0">
                  <c:v>513.93275159999962</c:v>
                </c:pt>
                <c:pt idx="1">
                  <c:v>512.49018119999926</c:v>
                </c:pt>
                <c:pt idx="2">
                  <c:v>509.9589443999991</c:v>
                </c:pt>
                <c:pt idx="3">
                  <c:v>457.48740203333233</c:v>
                </c:pt>
                <c:pt idx="4">
                  <c:v>480.86656656666577</c:v>
                </c:pt>
                <c:pt idx="5">
                  <c:v>472.85403556666557</c:v>
                </c:pt>
                <c:pt idx="6">
                  <c:v>415.00097439999797</c:v>
                </c:pt>
                <c:pt idx="7">
                  <c:v>301.82936946666729</c:v>
                </c:pt>
                <c:pt idx="8">
                  <c:v>237.29838280000058</c:v>
                </c:pt>
                <c:pt idx="9">
                  <c:v>218.9969128000003</c:v>
                </c:pt>
                <c:pt idx="10">
                  <c:v>275.01439999999997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5C3-41E8-AB61-4EA31DA0D13B}"/>
            </c:ext>
          </c:extLst>
        </c:ser>
        <c:ser>
          <c:idx val="26"/>
          <c:order val="26"/>
          <c:tx>
            <c:strRef>
              <c:f>WtrReserve!$A$28:$C$28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WtrReserve!$D$28:$O$28</c:f>
              <c:numCache>
                <c:formatCode>0</c:formatCode>
                <c:ptCount val="12"/>
                <c:pt idx="0">
                  <c:v>536.10780985454653</c:v>
                </c:pt>
                <c:pt idx="1">
                  <c:v>420.80876364848643</c:v>
                </c:pt>
                <c:pt idx="2">
                  <c:v>744.90623654545482</c:v>
                </c:pt>
                <c:pt idx="3">
                  <c:v>794.21870879999949</c:v>
                </c:pt>
                <c:pt idx="4">
                  <c:v>567.04286836666631</c:v>
                </c:pt>
                <c:pt idx="5">
                  <c:v>417.66277319091125</c:v>
                </c:pt>
                <c:pt idx="6">
                  <c:v>330.08047144848786</c:v>
                </c:pt>
                <c:pt idx="7">
                  <c:v>299.75947797576151</c:v>
                </c:pt>
                <c:pt idx="8">
                  <c:v>236.36931476364038</c:v>
                </c:pt>
                <c:pt idx="9">
                  <c:v>200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5C3-41E8-AB61-4EA31DA0D13B}"/>
            </c:ext>
          </c:extLst>
        </c:ser>
        <c:ser>
          <c:idx val="27"/>
          <c:order val="27"/>
          <c:tx>
            <c:strRef>
              <c:f>WtrReserve!$A$29:$C$29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WtrReserve!$D$29:$O$29</c:f>
              <c:numCache>
                <c:formatCode>0</c:formatCode>
                <c:ptCount val="12"/>
                <c:pt idx="0">
                  <c:v>358.91519220521263</c:v>
                </c:pt>
                <c:pt idx="1">
                  <c:v>420.73023220521259</c:v>
                </c:pt>
                <c:pt idx="2">
                  <c:v>522.04031220521256</c:v>
                </c:pt>
                <c:pt idx="3">
                  <c:v>600</c:v>
                </c:pt>
                <c:pt idx="4">
                  <c:v>600</c:v>
                </c:pt>
                <c:pt idx="5">
                  <c:v>555.07022132799989</c:v>
                </c:pt>
                <c:pt idx="6">
                  <c:v>487.41496253366643</c:v>
                </c:pt>
                <c:pt idx="7">
                  <c:v>255.77661543666719</c:v>
                </c:pt>
                <c:pt idx="8">
                  <c:v>211.31198578000001</c:v>
                </c:pt>
                <c:pt idx="9">
                  <c:v>200</c:v>
                </c:pt>
                <c:pt idx="10">
                  <c:v>264.40322782957674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5C3-41E8-AB61-4EA31DA0D13B}"/>
            </c:ext>
          </c:extLst>
        </c:ser>
        <c:ser>
          <c:idx val="28"/>
          <c:order val="28"/>
          <c:tx>
            <c:strRef>
              <c:f>WtrReserve!$A$30:$C$30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WtrReserve!$D$30:$O$30</c:f>
              <c:numCache>
                <c:formatCode>0</c:formatCode>
                <c:ptCount val="12"/>
                <c:pt idx="0">
                  <c:v>527.44207324933313</c:v>
                </c:pt>
                <c:pt idx="1">
                  <c:v>529.99148688533307</c:v>
                </c:pt>
                <c:pt idx="2">
                  <c:v>515.50595092533285</c:v>
                </c:pt>
                <c:pt idx="3">
                  <c:v>454.24408425866613</c:v>
                </c:pt>
                <c:pt idx="4">
                  <c:v>449.20519024599986</c:v>
                </c:pt>
                <c:pt idx="5">
                  <c:v>430.71338940600003</c:v>
                </c:pt>
                <c:pt idx="6">
                  <c:v>429.43758008933349</c:v>
                </c:pt>
                <c:pt idx="7">
                  <c:v>376.34083342266678</c:v>
                </c:pt>
                <c:pt idx="8">
                  <c:v>305.48536675600008</c:v>
                </c:pt>
                <c:pt idx="9">
                  <c:v>316.43864961600008</c:v>
                </c:pt>
                <c:pt idx="10">
                  <c:v>365.87370792800004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5C3-41E8-AB61-4EA31DA0D13B}"/>
            </c:ext>
          </c:extLst>
        </c:ser>
        <c:ser>
          <c:idx val="29"/>
          <c:order val="29"/>
          <c:tx>
            <c:strRef>
              <c:f>WtrReserve!$A$31:$C$31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WtrReserve!$D$31:$O$31</c:f>
              <c:numCache>
                <c:formatCode>0</c:formatCode>
                <c:ptCount val="12"/>
                <c:pt idx="0">
                  <c:v>800</c:v>
                </c:pt>
                <c:pt idx="1">
                  <c:v>719.98237171175924</c:v>
                </c:pt>
                <c:pt idx="2">
                  <c:v>793.67536140721404</c:v>
                </c:pt>
                <c:pt idx="3">
                  <c:v>687.94869179424472</c:v>
                </c:pt>
                <c:pt idx="4">
                  <c:v>624.80326580691064</c:v>
                </c:pt>
                <c:pt idx="5">
                  <c:v>561.15820263745695</c:v>
                </c:pt>
                <c:pt idx="6">
                  <c:v>375.71367543748698</c:v>
                </c:pt>
                <c:pt idx="7">
                  <c:v>418.7557849587285</c:v>
                </c:pt>
                <c:pt idx="8">
                  <c:v>309.37876613054726</c:v>
                </c:pt>
                <c:pt idx="9">
                  <c:v>232.00054908242589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5C3-41E8-AB61-4EA31DA0D13B}"/>
            </c:ext>
          </c:extLst>
        </c:ser>
        <c:ser>
          <c:idx val="30"/>
          <c:order val="30"/>
          <c:tx>
            <c:strRef>
              <c:f>WtrReserve!$A$32:$C$32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WtrReserve!$D$32:$O$32</c:f>
              <c:numCache>
                <c:formatCode>0</c:formatCode>
                <c:ptCount val="12"/>
                <c:pt idx="0">
                  <c:v>464.77532498133365</c:v>
                </c:pt>
                <c:pt idx="1">
                  <c:v>491.24585298133366</c:v>
                </c:pt>
                <c:pt idx="2">
                  <c:v>534.59082666666666</c:v>
                </c:pt>
                <c:pt idx="3">
                  <c:v>600</c:v>
                </c:pt>
                <c:pt idx="4">
                  <c:v>600</c:v>
                </c:pt>
                <c:pt idx="5">
                  <c:v>562.86976000000004</c:v>
                </c:pt>
                <c:pt idx="6">
                  <c:v>431.15398343666612</c:v>
                </c:pt>
                <c:pt idx="7">
                  <c:v>376.78522311333342</c:v>
                </c:pt>
                <c:pt idx="8">
                  <c:v>403.27546311333339</c:v>
                </c:pt>
                <c:pt idx="9">
                  <c:v>379.02680533333336</c:v>
                </c:pt>
                <c:pt idx="10">
                  <c:v>446.78968533333335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5C3-41E8-AB61-4EA31DA0D13B}"/>
            </c:ext>
          </c:extLst>
        </c:ser>
        <c:ser>
          <c:idx val="31"/>
          <c:order val="31"/>
          <c:tx>
            <c:strRef>
              <c:f>WtrReserve!$A$33:$C$33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WtrReserve!$D$33:$O$33</c:f>
              <c:numCache>
                <c:formatCode>0</c:formatCode>
                <c:ptCount val="12"/>
                <c:pt idx="0">
                  <c:v>527.44207324933313</c:v>
                </c:pt>
                <c:pt idx="1">
                  <c:v>525.81836688533303</c:v>
                </c:pt>
                <c:pt idx="2">
                  <c:v>549.72308688533303</c:v>
                </c:pt>
                <c:pt idx="3">
                  <c:v>558.27668688533311</c:v>
                </c:pt>
                <c:pt idx="4">
                  <c:v>591.62276688533314</c:v>
                </c:pt>
                <c:pt idx="5">
                  <c:v>570.15016604533321</c:v>
                </c:pt>
                <c:pt idx="6">
                  <c:v>538.77695018766656</c:v>
                </c:pt>
                <c:pt idx="7">
                  <c:v>485.71016361633315</c:v>
                </c:pt>
                <c:pt idx="8">
                  <c:v>423.26526688633299</c:v>
                </c:pt>
                <c:pt idx="9">
                  <c:v>427.05382974633301</c:v>
                </c:pt>
                <c:pt idx="10">
                  <c:v>455.05942321033291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5C3-41E8-AB61-4EA31DA0D13B}"/>
            </c:ext>
          </c:extLst>
        </c:ser>
        <c:ser>
          <c:idx val="32"/>
          <c:order val="32"/>
          <c:tx>
            <c:strRef>
              <c:f>WtrReserve!$A$34:$C$34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WtrReserve!$D$34:$O$34</c:f>
              <c:numCache>
                <c:formatCode>0</c:formatCode>
                <c:ptCount val="12"/>
                <c:pt idx="0">
                  <c:v>694.13986722387904</c:v>
                </c:pt>
                <c:pt idx="1">
                  <c:v>611.4044016357584</c:v>
                </c:pt>
                <c:pt idx="2">
                  <c:v>629.29547450436485</c:v>
                </c:pt>
                <c:pt idx="3">
                  <c:v>728.47690858812246</c:v>
                </c:pt>
                <c:pt idx="4">
                  <c:v>798.65621486687144</c:v>
                </c:pt>
                <c:pt idx="5">
                  <c:v>745.70763137759832</c:v>
                </c:pt>
                <c:pt idx="6">
                  <c:v>618.81610064708332</c:v>
                </c:pt>
                <c:pt idx="7">
                  <c:v>488.78546259896257</c:v>
                </c:pt>
                <c:pt idx="8">
                  <c:v>481.37177884984862</c:v>
                </c:pt>
                <c:pt idx="9">
                  <c:v>381.26774361990903</c:v>
                </c:pt>
                <c:pt idx="10">
                  <c:v>208.03482413554556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5C3-41E8-AB61-4EA31DA0D13B}"/>
            </c:ext>
          </c:extLst>
        </c:ser>
        <c:ser>
          <c:idx val="33"/>
          <c:order val="33"/>
          <c:tx>
            <c:strRef>
              <c:f>WtrReserve!$A$35:$C$35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WtrReserve!$D$35:$O$35</c:f>
              <c:numCache>
                <c:formatCode>0</c:formatCode>
                <c:ptCount val="12"/>
                <c:pt idx="0">
                  <c:v>464.77532498133348</c:v>
                </c:pt>
                <c:pt idx="1">
                  <c:v>346.92177180800013</c:v>
                </c:pt>
                <c:pt idx="2">
                  <c:v>510.29037980800018</c:v>
                </c:pt>
                <c:pt idx="3">
                  <c:v>600</c:v>
                </c:pt>
                <c:pt idx="4">
                  <c:v>585.13480393333271</c:v>
                </c:pt>
                <c:pt idx="5">
                  <c:v>591.11148309333271</c:v>
                </c:pt>
                <c:pt idx="6">
                  <c:v>490.29071317399928</c:v>
                </c:pt>
                <c:pt idx="7">
                  <c:v>246.00954625999944</c:v>
                </c:pt>
                <c:pt idx="8">
                  <c:v>200</c:v>
                </c:pt>
                <c:pt idx="9">
                  <c:v>211.21341117019361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95C3-41E8-AB61-4EA31DA0D13B}"/>
            </c:ext>
          </c:extLst>
        </c:ser>
        <c:ser>
          <c:idx val="34"/>
          <c:order val="34"/>
          <c:tx>
            <c:strRef>
              <c:f>WtrReserve!$A$36:$C$36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WtrReserve!$D$36:$O$36</c:f>
              <c:numCache>
                <c:formatCode>0</c:formatCode>
                <c:ptCount val="12"/>
                <c:pt idx="0">
                  <c:v>502.81462685733322</c:v>
                </c:pt>
                <c:pt idx="1">
                  <c:v>461.92821195733342</c:v>
                </c:pt>
                <c:pt idx="2">
                  <c:v>460.1918599973331</c:v>
                </c:pt>
                <c:pt idx="3">
                  <c:v>403.49191333066642</c:v>
                </c:pt>
                <c:pt idx="4">
                  <c:v>389.2085368236676</c:v>
                </c:pt>
                <c:pt idx="5">
                  <c:v>334.01443815166755</c:v>
                </c:pt>
                <c:pt idx="6">
                  <c:v>293.40972873000084</c:v>
                </c:pt>
                <c:pt idx="7">
                  <c:v>249.74095006333414</c:v>
                </c:pt>
                <c:pt idx="8">
                  <c:v>200</c:v>
                </c:pt>
                <c:pt idx="9">
                  <c:v>214.52120961599999</c:v>
                </c:pt>
                <c:pt idx="10">
                  <c:v>301.59210792799996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5C3-41E8-AB61-4EA31DA0D13B}"/>
            </c:ext>
          </c:extLst>
        </c:ser>
        <c:ser>
          <c:idx val="35"/>
          <c:order val="35"/>
          <c:tx>
            <c:strRef>
              <c:f>WtrReserve!$A$37:$C$37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WtrReserve!$D$37:$O$37</c:f>
              <c:numCache>
                <c:formatCode>0</c:formatCode>
                <c:ptCount val="12"/>
                <c:pt idx="0">
                  <c:v>572.00930353587898</c:v>
                </c:pt>
                <c:pt idx="1">
                  <c:v>672.3769807738181</c:v>
                </c:pt>
                <c:pt idx="2">
                  <c:v>763.36172885478697</c:v>
                </c:pt>
                <c:pt idx="3">
                  <c:v>736.91577411733272</c:v>
                </c:pt>
                <c:pt idx="4">
                  <c:v>680.43897076300254</c:v>
                </c:pt>
                <c:pt idx="5">
                  <c:v>519.90898510736611</c:v>
                </c:pt>
                <c:pt idx="6">
                  <c:v>398.57468228067836</c:v>
                </c:pt>
                <c:pt idx="7">
                  <c:v>402.57442603861767</c:v>
                </c:pt>
                <c:pt idx="8">
                  <c:v>315.19013448316321</c:v>
                </c:pt>
                <c:pt idx="9">
                  <c:v>200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95C3-41E8-AB61-4EA31DA0D13B}"/>
            </c:ext>
          </c:extLst>
        </c:ser>
        <c:ser>
          <c:idx val="36"/>
          <c:order val="36"/>
          <c:tx>
            <c:strRef>
              <c:f>WtrReserve!$A$38:$C$38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WtrReserve!$D$38:$O$38</c:f>
              <c:numCache>
                <c:formatCode>0</c:formatCode>
                <c:ptCount val="12"/>
                <c:pt idx="0">
                  <c:v>306.68160792338722</c:v>
                </c:pt>
                <c:pt idx="1">
                  <c:v>368.49664792338723</c:v>
                </c:pt>
                <c:pt idx="2">
                  <c:v>469.8067279233872</c:v>
                </c:pt>
                <c:pt idx="3">
                  <c:v>600</c:v>
                </c:pt>
                <c:pt idx="4">
                  <c:v>392.19738211999925</c:v>
                </c:pt>
                <c:pt idx="5">
                  <c:v>406.29100109686448</c:v>
                </c:pt>
                <c:pt idx="6">
                  <c:v>279.6155868316535</c:v>
                </c:pt>
                <c:pt idx="7">
                  <c:v>245.24535044296678</c:v>
                </c:pt>
                <c:pt idx="8">
                  <c:v>200</c:v>
                </c:pt>
                <c:pt idx="9">
                  <c:v>200</c:v>
                </c:pt>
                <c:pt idx="10">
                  <c:v>290.98093575757679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5C3-41E8-AB61-4EA31DA0D13B}"/>
            </c:ext>
          </c:extLst>
        </c:ser>
        <c:ser>
          <c:idx val="37"/>
          <c:order val="37"/>
          <c:tx>
            <c:strRef>
              <c:f>WtrReserve!$A$39:$C$39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WtrReserve!$D$39:$O$39</c:f>
              <c:numCache>
                <c:formatCode>0</c:formatCode>
                <c:ptCount val="12"/>
                <c:pt idx="0">
                  <c:v>526.52338384857319</c:v>
                </c:pt>
                <c:pt idx="1">
                  <c:v>528.90398176462054</c:v>
                </c:pt>
                <c:pt idx="2">
                  <c:v>500.94252084502023</c:v>
                </c:pt>
                <c:pt idx="3">
                  <c:v>473.72518324452989</c:v>
                </c:pt>
                <c:pt idx="4">
                  <c:v>441.51995657786324</c:v>
                </c:pt>
                <c:pt idx="5">
                  <c:v>448.46282260403785</c:v>
                </c:pt>
                <c:pt idx="6">
                  <c:v>371.32500927070447</c:v>
                </c:pt>
                <c:pt idx="7">
                  <c:v>276.64943825577711</c:v>
                </c:pt>
                <c:pt idx="8">
                  <c:v>274.69743929177713</c:v>
                </c:pt>
                <c:pt idx="9">
                  <c:v>262.52200814258021</c:v>
                </c:pt>
                <c:pt idx="10">
                  <c:v>339.29600000000005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95C3-41E8-AB61-4EA31DA0D13B}"/>
            </c:ext>
          </c:extLst>
        </c:ser>
        <c:ser>
          <c:idx val="38"/>
          <c:order val="38"/>
          <c:tx>
            <c:strRef>
              <c:f>WtrReserve!$A$40:$C$40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WtrReserve!$D$40:$O$40</c:f>
              <c:numCache>
                <c:formatCode>0</c:formatCode>
                <c:ptCount val="12"/>
                <c:pt idx="0">
                  <c:v>769.15227368258536</c:v>
                </c:pt>
                <c:pt idx="1">
                  <c:v>646.90173152411376</c:v>
                </c:pt>
                <c:pt idx="2">
                  <c:v>720.49323657106834</c:v>
                </c:pt>
                <c:pt idx="3">
                  <c:v>611.0212986175311</c:v>
                </c:pt>
                <c:pt idx="4">
                  <c:v>631.504956528158</c:v>
                </c:pt>
                <c:pt idx="5">
                  <c:v>546.51345845227706</c:v>
                </c:pt>
                <c:pt idx="6">
                  <c:v>495.28859635385146</c:v>
                </c:pt>
                <c:pt idx="7">
                  <c:v>410.50204144040094</c:v>
                </c:pt>
                <c:pt idx="8">
                  <c:v>367.87857730551889</c:v>
                </c:pt>
                <c:pt idx="9">
                  <c:v>264.69094929903656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5C3-41E8-AB61-4EA31DA0D13B}"/>
            </c:ext>
          </c:extLst>
        </c:ser>
        <c:ser>
          <c:idx val="39"/>
          <c:order val="39"/>
          <c:tx>
            <c:strRef>
              <c:f>WtrReserve!$A$41:$C$41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WtrReserve!$D$41:$O$41</c:f>
              <c:numCache>
                <c:formatCode>0</c:formatCode>
                <c:ptCount val="12"/>
                <c:pt idx="0">
                  <c:v>376.09525055626068</c:v>
                </c:pt>
                <c:pt idx="1">
                  <c:v>458.56577855626068</c:v>
                </c:pt>
                <c:pt idx="2">
                  <c:v>506.68283455626073</c:v>
                </c:pt>
                <c:pt idx="3">
                  <c:v>556.79699123078376</c:v>
                </c:pt>
                <c:pt idx="4">
                  <c:v>600</c:v>
                </c:pt>
                <c:pt idx="5">
                  <c:v>544.86975999999981</c:v>
                </c:pt>
                <c:pt idx="6">
                  <c:v>463.66077866666654</c:v>
                </c:pt>
                <c:pt idx="7">
                  <c:v>386.38604797149924</c:v>
                </c:pt>
                <c:pt idx="8">
                  <c:v>362.10751430429349</c:v>
                </c:pt>
                <c:pt idx="9">
                  <c:v>330.29308230429348</c:v>
                </c:pt>
                <c:pt idx="10">
                  <c:v>398.05596230429347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95C3-41E8-AB61-4EA31DA0D13B}"/>
            </c:ext>
          </c:extLst>
        </c:ser>
        <c:ser>
          <c:idx val="40"/>
          <c:order val="40"/>
          <c:tx>
            <c:strRef>
              <c:f>WtrReserve!$A$42:$C$42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WtrReserve!$D$42:$O$42</c:f>
              <c:numCache>
                <c:formatCode>0</c:formatCode>
                <c:ptCount val="12"/>
                <c:pt idx="0">
                  <c:v>511.6968347818264</c:v>
                </c:pt>
                <c:pt idx="1">
                  <c:v>524.2161947818264</c:v>
                </c:pt>
                <c:pt idx="2">
                  <c:v>520.19953520114586</c:v>
                </c:pt>
                <c:pt idx="3">
                  <c:v>494.49075300274569</c:v>
                </c:pt>
                <c:pt idx="4">
                  <c:v>527.83683300274561</c:v>
                </c:pt>
                <c:pt idx="5">
                  <c:v>532.88471800578566</c:v>
                </c:pt>
                <c:pt idx="6">
                  <c:v>504.57427554323561</c:v>
                </c:pt>
                <c:pt idx="7">
                  <c:v>490.07128589014224</c:v>
                </c:pt>
                <c:pt idx="8">
                  <c:v>418.7213570626738</c:v>
                </c:pt>
                <c:pt idx="9">
                  <c:v>393.92067493247373</c:v>
                </c:pt>
                <c:pt idx="10">
                  <c:v>447.17226678989357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5C3-41E8-AB61-4EA31DA0D13B}"/>
            </c:ext>
          </c:extLst>
        </c:ser>
        <c:ser>
          <c:idx val="41"/>
          <c:order val="41"/>
          <c:tx>
            <c:strRef>
              <c:f>WtrReserve!$A$43:$C$43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WtrReserve!$D$43:$O$43</c:f>
              <c:numCache>
                <c:formatCode>0</c:formatCode>
                <c:ptCount val="12"/>
                <c:pt idx="0">
                  <c:v>785.82963288687858</c:v>
                </c:pt>
                <c:pt idx="1">
                  <c:v>672.47893016069077</c:v>
                </c:pt>
                <c:pt idx="2">
                  <c:v>742.31579361074182</c:v>
                </c:pt>
                <c:pt idx="3">
                  <c:v>647.52895004370976</c:v>
                </c:pt>
                <c:pt idx="4">
                  <c:v>638.27124260782682</c:v>
                </c:pt>
                <c:pt idx="5">
                  <c:v>512.53411901731306</c:v>
                </c:pt>
                <c:pt idx="6">
                  <c:v>395.46862386198006</c:v>
                </c:pt>
                <c:pt idx="7">
                  <c:v>299.39057060943287</c:v>
                </c:pt>
                <c:pt idx="8">
                  <c:v>297.26508537723851</c:v>
                </c:pt>
                <c:pt idx="9">
                  <c:v>233.20997038666604</c:v>
                </c:pt>
                <c:pt idx="10">
                  <c:v>210.48800169369181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95C3-41E8-AB61-4EA31DA0D13B}"/>
            </c:ext>
          </c:extLst>
        </c:ser>
        <c:ser>
          <c:idx val="42"/>
          <c:order val="42"/>
          <c:tx>
            <c:strRef>
              <c:f>WtrReserve!$A$44:$C$44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WtrReserve!$D$44:$O$44</c:f>
              <c:numCache>
                <c:formatCode>0</c:formatCode>
                <c:ptCount val="12"/>
                <c:pt idx="0">
                  <c:v>220.40479999999988</c:v>
                </c:pt>
                <c:pt idx="1">
                  <c:v>323.45510399999989</c:v>
                </c:pt>
                <c:pt idx="2">
                  <c:v>502.78160792338713</c:v>
                </c:pt>
                <c:pt idx="3">
                  <c:v>600</c:v>
                </c:pt>
                <c:pt idx="4">
                  <c:v>545.98575202842017</c:v>
                </c:pt>
                <c:pt idx="5">
                  <c:v>508.37743202842012</c:v>
                </c:pt>
                <c:pt idx="6">
                  <c:v>377.95650725400941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5C3-41E8-AB61-4EA31DA0D13B}"/>
            </c:ext>
          </c:extLst>
        </c:ser>
        <c:ser>
          <c:idx val="43"/>
          <c:order val="43"/>
          <c:tx>
            <c:strRef>
              <c:f>WtrReserve!$A$45:$C$45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WtrReserve!$D$45:$O$45</c:f>
              <c:numCache>
                <c:formatCode>0</c:formatCode>
                <c:ptCount val="12"/>
                <c:pt idx="0">
                  <c:v>457.9524654545458</c:v>
                </c:pt>
                <c:pt idx="1">
                  <c:v>441.17194899246545</c:v>
                </c:pt>
                <c:pt idx="2">
                  <c:v>410.00177614947796</c:v>
                </c:pt>
                <c:pt idx="3">
                  <c:v>375.30182948281134</c:v>
                </c:pt>
                <c:pt idx="4">
                  <c:v>360.74428294096668</c:v>
                </c:pt>
                <c:pt idx="5">
                  <c:v>351.66320931986667</c:v>
                </c:pt>
                <c:pt idx="6">
                  <c:v>280.20360398653332</c:v>
                </c:pt>
                <c:pt idx="7">
                  <c:v>236.53482531986663</c:v>
                </c:pt>
                <c:pt idx="8">
                  <c:v>200</c:v>
                </c:pt>
                <c:pt idx="9">
                  <c:v>200</c:v>
                </c:pt>
                <c:pt idx="10">
                  <c:v>275.01439999999997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95C3-41E8-AB61-4EA31DA0D13B}"/>
            </c:ext>
          </c:extLst>
        </c:ser>
        <c:ser>
          <c:idx val="44"/>
          <c:order val="44"/>
          <c:tx>
            <c:strRef>
              <c:f>WtrReserve!$A$46:$C$46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WtrReserve!$D$46:$O$46</c:f>
              <c:numCache>
                <c:formatCode>0</c:formatCode>
                <c:ptCount val="12"/>
                <c:pt idx="0">
                  <c:v>800</c:v>
                </c:pt>
                <c:pt idx="1">
                  <c:v>689.8744382349264</c:v>
                </c:pt>
                <c:pt idx="2">
                  <c:v>800</c:v>
                </c:pt>
                <c:pt idx="3">
                  <c:v>696.67360576600561</c:v>
                </c:pt>
                <c:pt idx="4">
                  <c:v>661.92431619214949</c:v>
                </c:pt>
                <c:pt idx="5">
                  <c:v>535.87760656388923</c:v>
                </c:pt>
                <c:pt idx="6">
                  <c:v>520.51497642920901</c:v>
                </c:pt>
                <c:pt idx="7">
                  <c:v>419.01390915662432</c:v>
                </c:pt>
                <c:pt idx="8">
                  <c:v>289.45551369696983</c:v>
                </c:pt>
                <c:pt idx="9">
                  <c:v>200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5C3-41E8-AB61-4EA31DA0D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390384"/>
        <c:axId val="338384976"/>
      </c:lineChart>
      <c:catAx>
        <c:axId val="33839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38384976"/>
        <c:crosses val="autoZero"/>
        <c:auto val="1"/>
        <c:lblAlgn val="ctr"/>
        <c:lblOffset val="100"/>
        <c:noMultiLvlLbl val="0"/>
      </c:catAx>
      <c:valAx>
        <c:axId val="33838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Water reserve [hm</a:t>
                </a:r>
                <a:r>
                  <a:rPr lang="es-ES" baseline="30000"/>
                  <a:t>3</a:t>
                </a:r>
                <a:r>
                  <a:rPr lang="es-ES"/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38390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WtrValue!$A$2:$C$2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WtrValue!$D$2:$O$2</c:f>
              <c:numCache>
                <c:formatCode>0</c:formatCode>
                <c:ptCount val="12"/>
                <c:pt idx="0">
                  <c:v>40.322580645161281</c:v>
                </c:pt>
                <c:pt idx="1">
                  <c:v>44.642857142857132</c:v>
                </c:pt>
                <c:pt idx="2">
                  <c:v>40.322580645161281</c:v>
                </c:pt>
                <c:pt idx="3">
                  <c:v>41.666666666666657</c:v>
                </c:pt>
                <c:pt idx="4">
                  <c:v>40.322580645161274</c:v>
                </c:pt>
                <c:pt idx="5">
                  <c:v>41.66666666666665</c:v>
                </c:pt>
                <c:pt idx="6">
                  <c:v>40.322580645161274</c:v>
                </c:pt>
                <c:pt idx="7">
                  <c:v>40.322580645161274</c:v>
                </c:pt>
                <c:pt idx="8">
                  <c:v>41.66666666666665</c:v>
                </c:pt>
                <c:pt idx="9">
                  <c:v>40.322580645161274</c:v>
                </c:pt>
                <c:pt idx="10">
                  <c:v>40.833333333333321</c:v>
                </c:pt>
                <c:pt idx="11">
                  <c:v>39.51612903225805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4D-4CFF-AA4F-89B675BF1523}"/>
            </c:ext>
          </c:extLst>
        </c:ser>
        <c:ser>
          <c:idx val="1"/>
          <c:order val="1"/>
          <c:tx>
            <c:strRef>
              <c:f>WtrValue!$A$3:$C$3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WtrValue!$D$3:$O$3</c:f>
              <c:numCache>
                <c:formatCode>0</c:formatCode>
                <c:ptCount val="12"/>
                <c:pt idx="0">
                  <c:v>40.322580645161274</c:v>
                </c:pt>
                <c:pt idx="1">
                  <c:v>44.642857142857132</c:v>
                </c:pt>
                <c:pt idx="2">
                  <c:v>40.322580645161274</c:v>
                </c:pt>
                <c:pt idx="3">
                  <c:v>41.66666666666665</c:v>
                </c:pt>
                <c:pt idx="4">
                  <c:v>40.322580645161274</c:v>
                </c:pt>
                <c:pt idx="5">
                  <c:v>41.66666666666665</c:v>
                </c:pt>
                <c:pt idx="6">
                  <c:v>40.322580645161274</c:v>
                </c:pt>
                <c:pt idx="7">
                  <c:v>40.322580645161274</c:v>
                </c:pt>
                <c:pt idx="8">
                  <c:v>41.66666666666665</c:v>
                </c:pt>
                <c:pt idx="9">
                  <c:v>40.322580645161274</c:v>
                </c:pt>
                <c:pt idx="10">
                  <c:v>41.66666666666665</c:v>
                </c:pt>
                <c:pt idx="11">
                  <c:v>40.322580645161274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4D-4CFF-AA4F-89B675BF1523}"/>
            </c:ext>
          </c:extLst>
        </c:ser>
        <c:ser>
          <c:idx val="2"/>
          <c:order val="2"/>
          <c:tx>
            <c:strRef>
              <c:f>WtrValue!$A$4:$C$4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WtrValue!$D$4:$O$4</c:f>
              <c:numCache>
                <c:formatCode>0</c:formatCode>
                <c:ptCount val="12"/>
                <c:pt idx="0">
                  <c:v>20.161290322580633</c:v>
                </c:pt>
                <c:pt idx="1">
                  <c:v>22.321428571428559</c:v>
                </c:pt>
                <c:pt idx="2">
                  <c:v>20.161290322580633</c:v>
                </c:pt>
                <c:pt idx="3">
                  <c:v>20.833333333333321</c:v>
                </c:pt>
                <c:pt idx="4">
                  <c:v>20.161290322580633</c:v>
                </c:pt>
                <c:pt idx="5">
                  <c:v>20.833333333333321</c:v>
                </c:pt>
                <c:pt idx="6">
                  <c:v>20.161290322580633</c:v>
                </c:pt>
                <c:pt idx="7">
                  <c:v>20.161290322580633</c:v>
                </c:pt>
                <c:pt idx="8">
                  <c:v>20.833333333333321</c:v>
                </c:pt>
                <c:pt idx="9">
                  <c:v>20.161290322580633</c:v>
                </c:pt>
                <c:pt idx="10">
                  <c:v>20.416666666666657</c:v>
                </c:pt>
                <c:pt idx="11">
                  <c:v>19.354838709677402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4D-4CFF-AA4F-89B675BF1523}"/>
            </c:ext>
          </c:extLst>
        </c:ser>
        <c:ser>
          <c:idx val="3"/>
          <c:order val="3"/>
          <c:tx>
            <c:strRef>
              <c:f>WtrValue!$A$5:$C$5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WtrValue!$D$5:$O$5</c:f>
              <c:numCache>
                <c:formatCode>0</c:formatCode>
                <c:ptCount val="12"/>
                <c:pt idx="0">
                  <c:v>41.935483870967701</c:v>
                </c:pt>
                <c:pt idx="1">
                  <c:v>46.428571428571381</c:v>
                </c:pt>
                <c:pt idx="2">
                  <c:v>41.935483870967701</c:v>
                </c:pt>
                <c:pt idx="3">
                  <c:v>43.333333333333293</c:v>
                </c:pt>
                <c:pt idx="4">
                  <c:v>41.935483870967701</c:v>
                </c:pt>
                <c:pt idx="5">
                  <c:v>43.333333333333293</c:v>
                </c:pt>
                <c:pt idx="6">
                  <c:v>41.935483870967701</c:v>
                </c:pt>
                <c:pt idx="7">
                  <c:v>41.935483870967701</c:v>
                </c:pt>
                <c:pt idx="8">
                  <c:v>43.333333333333293</c:v>
                </c:pt>
                <c:pt idx="9">
                  <c:v>41.935483870967701</c:v>
                </c:pt>
                <c:pt idx="10">
                  <c:v>43.333333333333293</c:v>
                </c:pt>
                <c:pt idx="11">
                  <c:v>41.935483870967701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4D-4CFF-AA4F-89B675BF1523}"/>
            </c:ext>
          </c:extLst>
        </c:ser>
        <c:ser>
          <c:idx val="4"/>
          <c:order val="4"/>
          <c:tx>
            <c:strRef>
              <c:f>WtrValue!$A$6:$C$6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WtrValue!$D$6:$O$6</c:f>
              <c:numCache>
                <c:formatCode>0</c:formatCode>
                <c:ptCount val="12"/>
                <c:pt idx="0">
                  <c:v>41.935483870967701</c:v>
                </c:pt>
                <c:pt idx="1">
                  <c:v>46.428571428571381</c:v>
                </c:pt>
                <c:pt idx="2">
                  <c:v>41.935483870967701</c:v>
                </c:pt>
                <c:pt idx="3">
                  <c:v>43.333333333333293</c:v>
                </c:pt>
                <c:pt idx="4">
                  <c:v>41.935483870967701</c:v>
                </c:pt>
                <c:pt idx="5">
                  <c:v>43.333333333333293</c:v>
                </c:pt>
                <c:pt idx="6">
                  <c:v>41.935483870967701</c:v>
                </c:pt>
                <c:pt idx="7">
                  <c:v>41.935483870967701</c:v>
                </c:pt>
                <c:pt idx="8">
                  <c:v>43.333333333333293</c:v>
                </c:pt>
                <c:pt idx="9">
                  <c:v>41.935483870967701</c:v>
                </c:pt>
                <c:pt idx="10">
                  <c:v>43.333333333333293</c:v>
                </c:pt>
                <c:pt idx="11">
                  <c:v>41.935483870967701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44D-4CFF-AA4F-89B675BF1523}"/>
            </c:ext>
          </c:extLst>
        </c:ser>
        <c:ser>
          <c:idx val="5"/>
          <c:order val="5"/>
          <c:tx>
            <c:strRef>
              <c:f>WtrValue!$A$7:$C$7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WtrValue!$D$7:$O$7</c:f>
              <c:numCache>
                <c:formatCode>0</c:formatCode>
                <c:ptCount val="12"/>
                <c:pt idx="0">
                  <c:v>20.967741935483868</c:v>
                </c:pt>
                <c:pt idx="1">
                  <c:v>23.214285714285708</c:v>
                </c:pt>
                <c:pt idx="2">
                  <c:v>20.967741935483868</c:v>
                </c:pt>
                <c:pt idx="3">
                  <c:v>21.666666666666664</c:v>
                </c:pt>
                <c:pt idx="4">
                  <c:v>20.967741935483865</c:v>
                </c:pt>
                <c:pt idx="5">
                  <c:v>21.666666666666661</c:v>
                </c:pt>
                <c:pt idx="6">
                  <c:v>20.967741935483865</c:v>
                </c:pt>
                <c:pt idx="7">
                  <c:v>20.967741935483865</c:v>
                </c:pt>
                <c:pt idx="8">
                  <c:v>21.666666666666661</c:v>
                </c:pt>
                <c:pt idx="9">
                  <c:v>20.967741935483865</c:v>
                </c:pt>
                <c:pt idx="10">
                  <c:v>21.666666666666661</c:v>
                </c:pt>
                <c:pt idx="11">
                  <c:v>20.967741935483865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44D-4CFF-AA4F-89B675BF1523}"/>
            </c:ext>
          </c:extLst>
        </c:ser>
        <c:ser>
          <c:idx val="6"/>
          <c:order val="6"/>
          <c:tx>
            <c:strRef>
              <c:f>WtrValue!$A$8:$C$8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WtrValue!$D$8:$O$8</c:f>
              <c:numCache>
                <c:formatCode>0</c:formatCode>
                <c:ptCount val="12"/>
                <c:pt idx="0">
                  <c:v>32.661290322580648</c:v>
                </c:pt>
                <c:pt idx="1">
                  <c:v>36.160714285714292</c:v>
                </c:pt>
                <c:pt idx="2">
                  <c:v>32.661290322580648</c:v>
                </c:pt>
                <c:pt idx="3">
                  <c:v>35.41666666666665</c:v>
                </c:pt>
                <c:pt idx="4">
                  <c:v>34.274193548387089</c:v>
                </c:pt>
                <c:pt idx="5">
                  <c:v>35.416666666666664</c:v>
                </c:pt>
                <c:pt idx="6">
                  <c:v>34.274193548387103</c:v>
                </c:pt>
                <c:pt idx="7">
                  <c:v>34.274193548387103</c:v>
                </c:pt>
                <c:pt idx="8">
                  <c:v>35.416666666666664</c:v>
                </c:pt>
                <c:pt idx="9">
                  <c:v>34.274193548387103</c:v>
                </c:pt>
                <c:pt idx="10">
                  <c:v>27.083333333333329</c:v>
                </c:pt>
                <c:pt idx="11">
                  <c:v>12.499999999999996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44D-4CFF-AA4F-89B675BF1523}"/>
            </c:ext>
          </c:extLst>
        </c:ser>
        <c:ser>
          <c:idx val="7"/>
          <c:order val="7"/>
          <c:tx>
            <c:strRef>
              <c:f>WtrValue!$A$9:$C$9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WtrValue!$D$9:$O$9</c:f>
              <c:numCache>
                <c:formatCode>0</c:formatCode>
                <c:ptCount val="12"/>
                <c:pt idx="0">
                  <c:v>34.274193548387096</c:v>
                </c:pt>
                <c:pt idx="1">
                  <c:v>37.946428571428562</c:v>
                </c:pt>
                <c:pt idx="2">
                  <c:v>34.274193548387103</c:v>
                </c:pt>
                <c:pt idx="3">
                  <c:v>35.416666666666664</c:v>
                </c:pt>
                <c:pt idx="4">
                  <c:v>34.274193548387103</c:v>
                </c:pt>
                <c:pt idx="5">
                  <c:v>35.416666666666664</c:v>
                </c:pt>
                <c:pt idx="6">
                  <c:v>34.274193548387103</c:v>
                </c:pt>
                <c:pt idx="7">
                  <c:v>34.274193548387103</c:v>
                </c:pt>
                <c:pt idx="8">
                  <c:v>35.416666666666664</c:v>
                </c:pt>
                <c:pt idx="9">
                  <c:v>34.274193548387103</c:v>
                </c:pt>
                <c:pt idx="10">
                  <c:v>27.083333333333329</c:v>
                </c:pt>
                <c:pt idx="11">
                  <c:v>26.209677419354836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44D-4CFF-AA4F-89B675BF1523}"/>
            </c:ext>
          </c:extLst>
        </c:ser>
        <c:ser>
          <c:idx val="8"/>
          <c:order val="8"/>
          <c:tx>
            <c:strRef>
              <c:f>WtrValue!$A$10:$C$10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WtrValue!$D$10:$O$10</c:f>
              <c:numCache>
                <c:formatCode>0</c:formatCode>
                <c:ptCount val="12"/>
                <c:pt idx="0">
                  <c:v>12.500000000000002</c:v>
                </c:pt>
                <c:pt idx="1">
                  <c:v>13.839285714285717</c:v>
                </c:pt>
                <c:pt idx="2">
                  <c:v>12.500000000000002</c:v>
                </c:pt>
                <c:pt idx="3">
                  <c:v>12.916666666666668</c:v>
                </c:pt>
                <c:pt idx="4">
                  <c:v>12.500000000000002</c:v>
                </c:pt>
                <c:pt idx="5">
                  <c:v>12.916666666666668</c:v>
                </c:pt>
                <c:pt idx="6">
                  <c:v>12.500000000000002</c:v>
                </c:pt>
                <c:pt idx="7">
                  <c:v>12.500000000000002</c:v>
                </c:pt>
                <c:pt idx="8">
                  <c:v>12.916666666666668</c:v>
                </c:pt>
                <c:pt idx="9">
                  <c:v>12.500000000000002</c:v>
                </c:pt>
                <c:pt idx="10">
                  <c:v>12.916666666666663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44D-4CFF-AA4F-89B675BF1523}"/>
            </c:ext>
          </c:extLst>
        </c:ser>
        <c:ser>
          <c:idx val="9"/>
          <c:order val="9"/>
          <c:tx>
            <c:strRef>
              <c:f>WtrValue!$A$11:$C$11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WtrValue!$D$11:$O$11</c:f>
              <c:numCache>
                <c:formatCode>0</c:formatCode>
                <c:ptCount val="12"/>
                <c:pt idx="0">
                  <c:v>40.322580645161288</c:v>
                </c:pt>
                <c:pt idx="1">
                  <c:v>44.642857142857146</c:v>
                </c:pt>
                <c:pt idx="2">
                  <c:v>40.322580645161288</c:v>
                </c:pt>
                <c:pt idx="3">
                  <c:v>41.666666666666657</c:v>
                </c:pt>
                <c:pt idx="4">
                  <c:v>41.93548387096773</c:v>
                </c:pt>
                <c:pt idx="5">
                  <c:v>43.333333333333321</c:v>
                </c:pt>
                <c:pt idx="6">
                  <c:v>41.93548387096773</c:v>
                </c:pt>
                <c:pt idx="7">
                  <c:v>41.93548387096773</c:v>
                </c:pt>
                <c:pt idx="8">
                  <c:v>43.333333333333321</c:v>
                </c:pt>
                <c:pt idx="9">
                  <c:v>41.93548387096773</c:v>
                </c:pt>
                <c:pt idx="10">
                  <c:v>43.333333333333321</c:v>
                </c:pt>
                <c:pt idx="11">
                  <c:v>40.322580645161274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44D-4CFF-AA4F-89B675BF1523}"/>
            </c:ext>
          </c:extLst>
        </c:ser>
        <c:ser>
          <c:idx val="10"/>
          <c:order val="10"/>
          <c:tx>
            <c:strRef>
              <c:f>WtrValue!$A$12:$C$12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WtrValue!$D$12:$O$12</c:f>
              <c:numCache>
                <c:formatCode>0</c:formatCode>
                <c:ptCount val="12"/>
                <c:pt idx="0">
                  <c:v>41.93548387096773</c:v>
                </c:pt>
                <c:pt idx="1">
                  <c:v>46.428571428571416</c:v>
                </c:pt>
                <c:pt idx="2">
                  <c:v>41.93548387096773</c:v>
                </c:pt>
                <c:pt idx="3">
                  <c:v>43.333333333333321</c:v>
                </c:pt>
                <c:pt idx="4">
                  <c:v>41.93548387096773</c:v>
                </c:pt>
                <c:pt idx="5">
                  <c:v>43.333333333333321</c:v>
                </c:pt>
                <c:pt idx="6">
                  <c:v>41.93548387096773</c:v>
                </c:pt>
                <c:pt idx="7">
                  <c:v>41.93548387096773</c:v>
                </c:pt>
                <c:pt idx="8">
                  <c:v>43.333333333333321</c:v>
                </c:pt>
                <c:pt idx="9">
                  <c:v>41.93548387096773</c:v>
                </c:pt>
                <c:pt idx="10">
                  <c:v>43.333333333333321</c:v>
                </c:pt>
                <c:pt idx="11">
                  <c:v>41.93548387096773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44D-4CFF-AA4F-89B675BF1523}"/>
            </c:ext>
          </c:extLst>
        </c:ser>
        <c:ser>
          <c:idx val="11"/>
          <c:order val="11"/>
          <c:tx>
            <c:strRef>
              <c:f>WtrValue!$A$13:$C$13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WtrValue!$D$13:$O$13</c:f>
              <c:numCache>
                <c:formatCode>0</c:formatCode>
                <c:ptCount val="12"/>
                <c:pt idx="0">
                  <c:v>20.161290322580641</c:v>
                </c:pt>
                <c:pt idx="1">
                  <c:v>22.321428571428566</c:v>
                </c:pt>
                <c:pt idx="2">
                  <c:v>20.161290322580641</c:v>
                </c:pt>
                <c:pt idx="3">
                  <c:v>20.833333333333329</c:v>
                </c:pt>
                <c:pt idx="4">
                  <c:v>20.161290322580641</c:v>
                </c:pt>
                <c:pt idx="5">
                  <c:v>20.833333333333329</c:v>
                </c:pt>
                <c:pt idx="6">
                  <c:v>20.161290322580641</c:v>
                </c:pt>
                <c:pt idx="7">
                  <c:v>20.161290322580641</c:v>
                </c:pt>
                <c:pt idx="8">
                  <c:v>20.833333333333329</c:v>
                </c:pt>
                <c:pt idx="9">
                  <c:v>20.161290322580641</c:v>
                </c:pt>
                <c:pt idx="10">
                  <c:v>20.833333333333318</c:v>
                </c:pt>
                <c:pt idx="11">
                  <c:v>20.16129032258063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44D-4CFF-AA4F-89B675BF1523}"/>
            </c:ext>
          </c:extLst>
        </c:ser>
        <c:ser>
          <c:idx val="12"/>
          <c:order val="12"/>
          <c:tx>
            <c:strRef>
              <c:f>WtrValue!$A$14:$C$14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WtrValue!$D$14:$O$14</c:f>
              <c:numCache>
                <c:formatCode>0</c:formatCode>
                <c:ptCount val="12"/>
                <c:pt idx="0">
                  <c:v>41.935483870967744</c:v>
                </c:pt>
                <c:pt idx="1">
                  <c:v>46.428571428571438</c:v>
                </c:pt>
                <c:pt idx="2">
                  <c:v>41.935483870967744</c:v>
                </c:pt>
                <c:pt idx="3">
                  <c:v>43.333333333333336</c:v>
                </c:pt>
                <c:pt idx="4">
                  <c:v>41.935483870967744</c:v>
                </c:pt>
                <c:pt idx="5">
                  <c:v>43.333333333333336</c:v>
                </c:pt>
                <c:pt idx="6">
                  <c:v>41.935483870967744</c:v>
                </c:pt>
                <c:pt idx="7">
                  <c:v>41.935483870967744</c:v>
                </c:pt>
                <c:pt idx="8">
                  <c:v>43.333333333333336</c:v>
                </c:pt>
                <c:pt idx="9">
                  <c:v>41.935483870967744</c:v>
                </c:pt>
                <c:pt idx="10">
                  <c:v>43.333333333333336</c:v>
                </c:pt>
                <c:pt idx="11">
                  <c:v>41.935483870967744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44D-4CFF-AA4F-89B675BF1523}"/>
            </c:ext>
          </c:extLst>
        </c:ser>
        <c:ser>
          <c:idx val="13"/>
          <c:order val="13"/>
          <c:tx>
            <c:strRef>
              <c:f>WtrValue!$A$15:$C$15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WtrValue!$D$15:$O$15</c:f>
              <c:numCache>
                <c:formatCode>0</c:formatCode>
                <c:ptCount val="12"/>
                <c:pt idx="0">
                  <c:v>41.935483870967737</c:v>
                </c:pt>
                <c:pt idx="1">
                  <c:v>46.428571428571431</c:v>
                </c:pt>
                <c:pt idx="2">
                  <c:v>41.935483870967737</c:v>
                </c:pt>
                <c:pt idx="3">
                  <c:v>43.333333333333329</c:v>
                </c:pt>
                <c:pt idx="4">
                  <c:v>41.935483870967737</c:v>
                </c:pt>
                <c:pt idx="5">
                  <c:v>43.333333333333329</c:v>
                </c:pt>
                <c:pt idx="6">
                  <c:v>41.935483870967737</c:v>
                </c:pt>
                <c:pt idx="7">
                  <c:v>41.935483870967737</c:v>
                </c:pt>
                <c:pt idx="8">
                  <c:v>43.333333333333329</c:v>
                </c:pt>
                <c:pt idx="9">
                  <c:v>41.935483870967737</c:v>
                </c:pt>
                <c:pt idx="10">
                  <c:v>43.333333333333329</c:v>
                </c:pt>
                <c:pt idx="11">
                  <c:v>41.935483870967737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44D-4CFF-AA4F-89B675BF1523}"/>
            </c:ext>
          </c:extLst>
        </c:ser>
        <c:ser>
          <c:idx val="14"/>
          <c:order val="14"/>
          <c:tx>
            <c:strRef>
              <c:f>WtrValue!$A$16:$C$16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WtrValue!$D$16:$O$16</c:f>
              <c:numCache>
                <c:formatCode>0</c:formatCode>
                <c:ptCount val="12"/>
                <c:pt idx="0">
                  <c:v>20.967741935483872</c:v>
                </c:pt>
                <c:pt idx="1">
                  <c:v>23.214285714285719</c:v>
                </c:pt>
                <c:pt idx="2">
                  <c:v>20.967741935483872</c:v>
                </c:pt>
                <c:pt idx="3">
                  <c:v>21.666666666666668</c:v>
                </c:pt>
                <c:pt idx="4">
                  <c:v>20.967741935483872</c:v>
                </c:pt>
                <c:pt idx="5">
                  <c:v>21.666666666666668</c:v>
                </c:pt>
                <c:pt idx="6">
                  <c:v>20.967741935483872</c:v>
                </c:pt>
                <c:pt idx="7">
                  <c:v>20.967741935483872</c:v>
                </c:pt>
                <c:pt idx="8">
                  <c:v>21.666666666666668</c:v>
                </c:pt>
                <c:pt idx="9">
                  <c:v>20.967741935483872</c:v>
                </c:pt>
                <c:pt idx="10">
                  <c:v>21.666666666666668</c:v>
                </c:pt>
                <c:pt idx="11">
                  <c:v>20.967741935483875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44D-4CFF-AA4F-89B675BF1523}"/>
            </c:ext>
          </c:extLst>
        </c:ser>
        <c:ser>
          <c:idx val="15"/>
          <c:order val="15"/>
          <c:tx>
            <c:strRef>
              <c:f>WtrValue!$A$17:$C$17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WtrValue!$D$17:$O$17</c:f>
              <c:numCache>
                <c:formatCode>0</c:formatCode>
                <c:ptCount val="12"/>
                <c:pt idx="0">
                  <c:v>26.209677419354836</c:v>
                </c:pt>
                <c:pt idx="1">
                  <c:v>29.017857142857135</c:v>
                </c:pt>
                <c:pt idx="2">
                  <c:v>26.209677419354836</c:v>
                </c:pt>
                <c:pt idx="3">
                  <c:v>35.416666666666664</c:v>
                </c:pt>
                <c:pt idx="4">
                  <c:v>34.274193548387096</c:v>
                </c:pt>
                <c:pt idx="5">
                  <c:v>35.416666666666664</c:v>
                </c:pt>
                <c:pt idx="6">
                  <c:v>34.274193548387096</c:v>
                </c:pt>
                <c:pt idx="7">
                  <c:v>34.274193548387096</c:v>
                </c:pt>
                <c:pt idx="8">
                  <c:v>35.416666666666664</c:v>
                </c:pt>
                <c:pt idx="9">
                  <c:v>34.274193548387096</c:v>
                </c:pt>
                <c:pt idx="10">
                  <c:v>27.083333333333329</c:v>
                </c:pt>
                <c:pt idx="11">
                  <c:v>12.499999999999996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44D-4CFF-AA4F-89B675BF1523}"/>
            </c:ext>
          </c:extLst>
        </c:ser>
        <c:ser>
          <c:idx val="16"/>
          <c:order val="16"/>
          <c:tx>
            <c:strRef>
              <c:f>WtrValue!$A$18:$C$18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WtrValue!$D$18:$O$18</c:f>
              <c:numCache>
                <c:formatCode>0</c:formatCode>
                <c:ptCount val="12"/>
                <c:pt idx="0">
                  <c:v>34.274193548387096</c:v>
                </c:pt>
                <c:pt idx="1">
                  <c:v>37.946428571428562</c:v>
                </c:pt>
                <c:pt idx="2">
                  <c:v>34.274193548387096</c:v>
                </c:pt>
                <c:pt idx="3">
                  <c:v>35.416666666666664</c:v>
                </c:pt>
                <c:pt idx="4">
                  <c:v>34.274193548387096</c:v>
                </c:pt>
                <c:pt idx="5">
                  <c:v>35.416666666666664</c:v>
                </c:pt>
                <c:pt idx="6">
                  <c:v>34.274193548387096</c:v>
                </c:pt>
                <c:pt idx="7">
                  <c:v>34.274193548387096</c:v>
                </c:pt>
                <c:pt idx="8">
                  <c:v>35.416666666666664</c:v>
                </c:pt>
                <c:pt idx="9">
                  <c:v>34.274193548387096</c:v>
                </c:pt>
                <c:pt idx="10">
                  <c:v>27.083333333333329</c:v>
                </c:pt>
                <c:pt idx="11">
                  <c:v>26.209677419354836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44D-4CFF-AA4F-89B675BF1523}"/>
            </c:ext>
          </c:extLst>
        </c:ser>
        <c:ser>
          <c:idx val="17"/>
          <c:order val="17"/>
          <c:tx>
            <c:strRef>
              <c:f>WtrValue!$A$19:$C$19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WtrValue!$D$19:$O$19</c:f>
              <c:numCache>
                <c:formatCode>0</c:formatCode>
                <c:ptCount val="12"/>
                <c:pt idx="0">
                  <c:v>12.499999999999996</c:v>
                </c:pt>
                <c:pt idx="1">
                  <c:v>13.83928571428571</c:v>
                </c:pt>
                <c:pt idx="2">
                  <c:v>12.499999999999995</c:v>
                </c:pt>
                <c:pt idx="3">
                  <c:v>12.916666666666663</c:v>
                </c:pt>
                <c:pt idx="4">
                  <c:v>12.499999999999996</c:v>
                </c:pt>
                <c:pt idx="5">
                  <c:v>12.916666666666663</c:v>
                </c:pt>
                <c:pt idx="6">
                  <c:v>12.500000000000002</c:v>
                </c:pt>
                <c:pt idx="7">
                  <c:v>12.500000000000002</c:v>
                </c:pt>
                <c:pt idx="8">
                  <c:v>12.916666666666668</c:v>
                </c:pt>
                <c:pt idx="9">
                  <c:v>12.500000000000002</c:v>
                </c:pt>
                <c:pt idx="10">
                  <c:v>12.916666666666666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44D-4CFF-AA4F-89B675BF1523}"/>
            </c:ext>
          </c:extLst>
        </c:ser>
        <c:ser>
          <c:idx val="18"/>
          <c:order val="18"/>
          <c:tx>
            <c:strRef>
              <c:f>WtrValue!$A$20:$C$20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WtrValue!$D$20:$O$20</c:f>
              <c:numCache>
                <c:formatCode>0</c:formatCode>
                <c:ptCount val="12"/>
                <c:pt idx="0">
                  <c:v>41.129032258064512</c:v>
                </c:pt>
                <c:pt idx="1">
                  <c:v>45.535714285714285</c:v>
                </c:pt>
                <c:pt idx="2">
                  <c:v>41.129032258064512</c:v>
                </c:pt>
                <c:pt idx="3">
                  <c:v>42.5</c:v>
                </c:pt>
                <c:pt idx="4">
                  <c:v>41.12903225806452</c:v>
                </c:pt>
                <c:pt idx="5">
                  <c:v>43.333333333333329</c:v>
                </c:pt>
                <c:pt idx="6">
                  <c:v>41.935483870967737</c:v>
                </c:pt>
                <c:pt idx="7">
                  <c:v>41.935483870967737</c:v>
                </c:pt>
                <c:pt idx="8">
                  <c:v>43.333333333333329</c:v>
                </c:pt>
                <c:pt idx="9">
                  <c:v>41.935483870967737</c:v>
                </c:pt>
                <c:pt idx="10">
                  <c:v>41.666666666666679</c:v>
                </c:pt>
                <c:pt idx="11">
                  <c:v>40.322580645161302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44D-4CFF-AA4F-89B675BF1523}"/>
            </c:ext>
          </c:extLst>
        </c:ser>
        <c:ser>
          <c:idx val="19"/>
          <c:order val="19"/>
          <c:tx>
            <c:strRef>
              <c:f>WtrValue!$A$21:$C$21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WtrValue!$D$21:$O$21</c:f>
              <c:numCache>
                <c:formatCode>0</c:formatCode>
                <c:ptCount val="12"/>
                <c:pt idx="0">
                  <c:v>41.935483870967737</c:v>
                </c:pt>
                <c:pt idx="1">
                  <c:v>46.428571428571423</c:v>
                </c:pt>
                <c:pt idx="2">
                  <c:v>41.935483870967737</c:v>
                </c:pt>
                <c:pt idx="3">
                  <c:v>43.333333333333329</c:v>
                </c:pt>
                <c:pt idx="4">
                  <c:v>41.935483870967737</c:v>
                </c:pt>
                <c:pt idx="5">
                  <c:v>43.333333333333329</c:v>
                </c:pt>
                <c:pt idx="6">
                  <c:v>41.935483870967737</c:v>
                </c:pt>
                <c:pt idx="7">
                  <c:v>41.935483870967737</c:v>
                </c:pt>
                <c:pt idx="8">
                  <c:v>43.333333333333329</c:v>
                </c:pt>
                <c:pt idx="9">
                  <c:v>41.935483870967737</c:v>
                </c:pt>
                <c:pt idx="10">
                  <c:v>43.333333333333329</c:v>
                </c:pt>
                <c:pt idx="11">
                  <c:v>41.935483870967737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44D-4CFF-AA4F-89B675BF1523}"/>
            </c:ext>
          </c:extLst>
        </c:ser>
        <c:ser>
          <c:idx val="20"/>
          <c:order val="20"/>
          <c:tx>
            <c:strRef>
              <c:f>WtrValue!$A$22:$C$22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WtrValue!$D$22:$O$22</c:f>
              <c:numCache>
                <c:formatCode>0</c:formatCode>
                <c:ptCount val="12"/>
                <c:pt idx="0">
                  <c:v>20.161290322580641</c:v>
                </c:pt>
                <c:pt idx="1">
                  <c:v>22.321428571428569</c:v>
                </c:pt>
                <c:pt idx="2">
                  <c:v>20.161290322580641</c:v>
                </c:pt>
                <c:pt idx="3">
                  <c:v>20.833333333333332</c:v>
                </c:pt>
                <c:pt idx="4">
                  <c:v>20.161290322580641</c:v>
                </c:pt>
                <c:pt idx="5">
                  <c:v>20.833333333333332</c:v>
                </c:pt>
                <c:pt idx="6">
                  <c:v>20.161290322580641</c:v>
                </c:pt>
                <c:pt idx="7">
                  <c:v>20.161290322580641</c:v>
                </c:pt>
                <c:pt idx="8">
                  <c:v>20.833333333333332</c:v>
                </c:pt>
                <c:pt idx="9">
                  <c:v>20.161290322580641</c:v>
                </c:pt>
                <c:pt idx="10">
                  <c:v>20.833333333333336</c:v>
                </c:pt>
                <c:pt idx="11">
                  <c:v>20.161290322580651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44D-4CFF-AA4F-89B675BF1523}"/>
            </c:ext>
          </c:extLst>
        </c:ser>
        <c:ser>
          <c:idx val="21"/>
          <c:order val="21"/>
          <c:tx>
            <c:strRef>
              <c:f>WtrValue!$A$23:$C$23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WtrValue!$D$23:$O$23</c:f>
              <c:numCache>
                <c:formatCode>0</c:formatCode>
                <c:ptCount val="12"/>
                <c:pt idx="0">
                  <c:v>40.322580645161274</c:v>
                </c:pt>
                <c:pt idx="1">
                  <c:v>44.642857142857132</c:v>
                </c:pt>
                <c:pt idx="2">
                  <c:v>40.322580645161274</c:v>
                </c:pt>
                <c:pt idx="3">
                  <c:v>41.666666666666657</c:v>
                </c:pt>
                <c:pt idx="4">
                  <c:v>40.322580645161288</c:v>
                </c:pt>
                <c:pt idx="5">
                  <c:v>43.333333333333336</c:v>
                </c:pt>
                <c:pt idx="6">
                  <c:v>41.935483870967744</c:v>
                </c:pt>
                <c:pt idx="7">
                  <c:v>41.935483870967744</c:v>
                </c:pt>
                <c:pt idx="8">
                  <c:v>43.333333333333336</c:v>
                </c:pt>
                <c:pt idx="9">
                  <c:v>41.935483870967744</c:v>
                </c:pt>
                <c:pt idx="10">
                  <c:v>43.333333333333336</c:v>
                </c:pt>
                <c:pt idx="11">
                  <c:v>41.935483870967744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44D-4CFF-AA4F-89B675BF1523}"/>
            </c:ext>
          </c:extLst>
        </c:ser>
        <c:ser>
          <c:idx val="22"/>
          <c:order val="22"/>
          <c:tx>
            <c:strRef>
              <c:f>WtrValue!$A$24:$C$24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WtrValue!$D$24:$O$24</c:f>
              <c:numCache>
                <c:formatCode>0</c:formatCode>
                <c:ptCount val="12"/>
                <c:pt idx="0">
                  <c:v>41.935483870967737</c:v>
                </c:pt>
                <c:pt idx="1">
                  <c:v>46.428571428571431</c:v>
                </c:pt>
                <c:pt idx="2">
                  <c:v>41.935483870967737</c:v>
                </c:pt>
                <c:pt idx="3">
                  <c:v>43.333333333333329</c:v>
                </c:pt>
                <c:pt idx="4">
                  <c:v>41.935483870967737</c:v>
                </c:pt>
                <c:pt idx="5">
                  <c:v>43.333333333333329</c:v>
                </c:pt>
                <c:pt idx="6">
                  <c:v>41.935483870967737</c:v>
                </c:pt>
                <c:pt idx="7">
                  <c:v>41.935483870967737</c:v>
                </c:pt>
                <c:pt idx="8">
                  <c:v>43.333333333333329</c:v>
                </c:pt>
                <c:pt idx="9">
                  <c:v>41.935483870967737</c:v>
                </c:pt>
                <c:pt idx="10">
                  <c:v>43.333333333333329</c:v>
                </c:pt>
                <c:pt idx="11">
                  <c:v>41.935483870967737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44D-4CFF-AA4F-89B675BF1523}"/>
            </c:ext>
          </c:extLst>
        </c:ser>
        <c:ser>
          <c:idx val="23"/>
          <c:order val="23"/>
          <c:tx>
            <c:strRef>
              <c:f>WtrValue!$A$25:$C$25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WtrValue!$D$25:$O$25</c:f>
              <c:numCache>
                <c:formatCode>0</c:formatCode>
                <c:ptCount val="12"/>
                <c:pt idx="0">
                  <c:v>20.161290322580644</c:v>
                </c:pt>
                <c:pt idx="1">
                  <c:v>22.321428571428569</c:v>
                </c:pt>
                <c:pt idx="2">
                  <c:v>20.161290322580644</c:v>
                </c:pt>
                <c:pt idx="3">
                  <c:v>20.833333333333332</c:v>
                </c:pt>
                <c:pt idx="4">
                  <c:v>20.161290322580644</c:v>
                </c:pt>
                <c:pt idx="5">
                  <c:v>21.666666666666664</c:v>
                </c:pt>
                <c:pt idx="6">
                  <c:v>20.967741935483868</c:v>
                </c:pt>
                <c:pt idx="7">
                  <c:v>20.967741935483868</c:v>
                </c:pt>
                <c:pt idx="8">
                  <c:v>21.666666666666664</c:v>
                </c:pt>
                <c:pt idx="9">
                  <c:v>20.967741935483868</c:v>
                </c:pt>
                <c:pt idx="10">
                  <c:v>21.666666666666664</c:v>
                </c:pt>
                <c:pt idx="11">
                  <c:v>20.967741935483868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44D-4CFF-AA4F-89B675BF1523}"/>
            </c:ext>
          </c:extLst>
        </c:ser>
        <c:ser>
          <c:idx val="24"/>
          <c:order val="24"/>
          <c:tx>
            <c:strRef>
              <c:f>WtrValue!$A$26:$C$26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WtrValue!$D$26:$O$26</c:f>
              <c:numCache>
                <c:formatCode>0</c:formatCode>
                <c:ptCount val="12"/>
                <c:pt idx="0">
                  <c:v>32.661290322580641</c:v>
                </c:pt>
                <c:pt idx="1">
                  <c:v>36.160714285714285</c:v>
                </c:pt>
                <c:pt idx="2">
                  <c:v>32.661290322580655</c:v>
                </c:pt>
                <c:pt idx="3">
                  <c:v>33.750000000000007</c:v>
                </c:pt>
                <c:pt idx="4">
                  <c:v>32.661290322580655</c:v>
                </c:pt>
                <c:pt idx="5">
                  <c:v>34.583333333333336</c:v>
                </c:pt>
                <c:pt idx="6">
                  <c:v>33.467741935483872</c:v>
                </c:pt>
                <c:pt idx="7">
                  <c:v>33.467741935483872</c:v>
                </c:pt>
                <c:pt idx="8">
                  <c:v>34.583333333333336</c:v>
                </c:pt>
                <c:pt idx="9">
                  <c:v>33.467741935483872</c:v>
                </c:pt>
                <c:pt idx="10">
                  <c:v>34.583333333333336</c:v>
                </c:pt>
                <c:pt idx="11">
                  <c:v>12.499999999999996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44D-4CFF-AA4F-89B675BF1523}"/>
            </c:ext>
          </c:extLst>
        </c:ser>
        <c:ser>
          <c:idx val="25"/>
          <c:order val="25"/>
          <c:tx>
            <c:strRef>
              <c:f>WtrValue!$A$27:$C$27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WtrValue!$D$27:$O$27</c:f>
              <c:numCache>
                <c:formatCode>0</c:formatCode>
                <c:ptCount val="12"/>
                <c:pt idx="0">
                  <c:v>33.467741935483865</c:v>
                </c:pt>
                <c:pt idx="1">
                  <c:v>37.053571428571423</c:v>
                </c:pt>
                <c:pt idx="2">
                  <c:v>33.467741935483865</c:v>
                </c:pt>
                <c:pt idx="3">
                  <c:v>34.583333333333329</c:v>
                </c:pt>
                <c:pt idx="4">
                  <c:v>33.467741935483865</c:v>
                </c:pt>
                <c:pt idx="5">
                  <c:v>34.583333333333329</c:v>
                </c:pt>
                <c:pt idx="6">
                  <c:v>33.467741935483865</c:v>
                </c:pt>
                <c:pt idx="7">
                  <c:v>33.467741935483865</c:v>
                </c:pt>
                <c:pt idx="8">
                  <c:v>34.583333333333329</c:v>
                </c:pt>
                <c:pt idx="9">
                  <c:v>33.467741935483865</c:v>
                </c:pt>
                <c:pt idx="10">
                  <c:v>34.583333333333329</c:v>
                </c:pt>
                <c:pt idx="11">
                  <c:v>33.467741935483865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44D-4CFF-AA4F-89B675BF1523}"/>
            </c:ext>
          </c:extLst>
        </c:ser>
        <c:ser>
          <c:idx val="26"/>
          <c:order val="26"/>
          <c:tx>
            <c:strRef>
              <c:f>WtrValue!$A$28:$C$28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WtrValue!$D$28:$O$28</c:f>
              <c:numCache>
                <c:formatCode>0</c:formatCode>
                <c:ptCount val="12"/>
                <c:pt idx="0">
                  <c:v>12.500000000000004</c:v>
                </c:pt>
                <c:pt idx="1">
                  <c:v>13.839285714285717</c:v>
                </c:pt>
                <c:pt idx="2">
                  <c:v>12.500000000000004</c:v>
                </c:pt>
                <c:pt idx="3">
                  <c:v>12.91666666666667</c:v>
                </c:pt>
                <c:pt idx="4">
                  <c:v>12.500000000000004</c:v>
                </c:pt>
                <c:pt idx="5">
                  <c:v>12.91666666666667</c:v>
                </c:pt>
                <c:pt idx="6">
                  <c:v>12.500000000000004</c:v>
                </c:pt>
                <c:pt idx="7">
                  <c:v>12.500000000000004</c:v>
                </c:pt>
                <c:pt idx="8">
                  <c:v>12.91666666666667</c:v>
                </c:pt>
                <c:pt idx="9">
                  <c:v>12.500000000000004</c:v>
                </c:pt>
                <c:pt idx="10">
                  <c:v>12.916666666666668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44D-4CFF-AA4F-89B675BF1523}"/>
            </c:ext>
          </c:extLst>
        </c:ser>
        <c:ser>
          <c:idx val="27"/>
          <c:order val="27"/>
          <c:tx>
            <c:strRef>
              <c:f>WtrValue!$A$29:$C$29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WtrValue!$D$29:$O$29</c:f>
              <c:numCache>
                <c:formatCode>0</c:formatCode>
                <c:ptCount val="12"/>
                <c:pt idx="0">
                  <c:v>41.12903225806452</c:v>
                </c:pt>
                <c:pt idx="1">
                  <c:v>45.535714285714292</c:v>
                </c:pt>
                <c:pt idx="2">
                  <c:v>41.12903225806452</c:v>
                </c:pt>
                <c:pt idx="3">
                  <c:v>42.5</c:v>
                </c:pt>
                <c:pt idx="4">
                  <c:v>41.129032258064512</c:v>
                </c:pt>
                <c:pt idx="5">
                  <c:v>42.500000000000007</c:v>
                </c:pt>
                <c:pt idx="6">
                  <c:v>41.129032258064534</c:v>
                </c:pt>
                <c:pt idx="7">
                  <c:v>41.129032258064534</c:v>
                </c:pt>
                <c:pt idx="8">
                  <c:v>42.500000000000007</c:v>
                </c:pt>
                <c:pt idx="9">
                  <c:v>41.129032258064534</c:v>
                </c:pt>
                <c:pt idx="10">
                  <c:v>41.666666666666664</c:v>
                </c:pt>
                <c:pt idx="11">
                  <c:v>40.322580645161288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44D-4CFF-AA4F-89B675BF1523}"/>
            </c:ext>
          </c:extLst>
        </c:ser>
        <c:ser>
          <c:idx val="28"/>
          <c:order val="28"/>
          <c:tx>
            <c:strRef>
              <c:f>WtrValue!$A$30:$C$30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WtrValue!$D$30:$O$30</c:f>
              <c:numCache>
                <c:formatCode>0</c:formatCode>
                <c:ptCount val="12"/>
                <c:pt idx="0">
                  <c:v>41.129032258064505</c:v>
                </c:pt>
                <c:pt idx="1">
                  <c:v>45.53571428571427</c:v>
                </c:pt>
                <c:pt idx="2">
                  <c:v>41.129032258064505</c:v>
                </c:pt>
                <c:pt idx="3">
                  <c:v>42.499999999999986</c:v>
                </c:pt>
                <c:pt idx="4">
                  <c:v>41.129032258064505</c:v>
                </c:pt>
                <c:pt idx="5">
                  <c:v>42.499999999999986</c:v>
                </c:pt>
                <c:pt idx="6">
                  <c:v>41.129032258064505</c:v>
                </c:pt>
                <c:pt idx="7">
                  <c:v>41.129032258064505</c:v>
                </c:pt>
                <c:pt idx="8">
                  <c:v>42.499999999999986</c:v>
                </c:pt>
                <c:pt idx="9">
                  <c:v>41.129032258064505</c:v>
                </c:pt>
                <c:pt idx="10">
                  <c:v>42.499999999999986</c:v>
                </c:pt>
                <c:pt idx="11">
                  <c:v>41.129032258064505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44D-4CFF-AA4F-89B675BF1523}"/>
            </c:ext>
          </c:extLst>
        </c:ser>
        <c:ser>
          <c:idx val="29"/>
          <c:order val="29"/>
          <c:tx>
            <c:strRef>
              <c:f>WtrValue!$A$31:$C$31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WtrValue!$D$31:$O$31</c:f>
              <c:numCache>
                <c:formatCode>0</c:formatCode>
                <c:ptCount val="12"/>
                <c:pt idx="0">
                  <c:v>19.354838709677423</c:v>
                </c:pt>
                <c:pt idx="1">
                  <c:v>22.321428571428577</c:v>
                </c:pt>
                <c:pt idx="2">
                  <c:v>20.161290322580648</c:v>
                </c:pt>
                <c:pt idx="3">
                  <c:v>20.833333333333336</c:v>
                </c:pt>
                <c:pt idx="4">
                  <c:v>20.161290322580648</c:v>
                </c:pt>
                <c:pt idx="5">
                  <c:v>20.833333333333336</c:v>
                </c:pt>
                <c:pt idx="6">
                  <c:v>20.161290322580648</c:v>
                </c:pt>
                <c:pt idx="7">
                  <c:v>20.161290322580648</c:v>
                </c:pt>
                <c:pt idx="8">
                  <c:v>20.833333333333336</c:v>
                </c:pt>
                <c:pt idx="9">
                  <c:v>20.161290322580648</c:v>
                </c:pt>
                <c:pt idx="10">
                  <c:v>20.833333333333336</c:v>
                </c:pt>
                <c:pt idx="11">
                  <c:v>18.548387096774189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44D-4CFF-AA4F-89B675BF1523}"/>
            </c:ext>
          </c:extLst>
        </c:ser>
        <c:ser>
          <c:idx val="30"/>
          <c:order val="30"/>
          <c:tx>
            <c:strRef>
              <c:f>WtrValue!$A$32:$C$32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WtrValue!$D$32:$O$32</c:f>
              <c:numCache>
                <c:formatCode>0</c:formatCode>
                <c:ptCount val="12"/>
                <c:pt idx="0">
                  <c:v>41.935483870967751</c:v>
                </c:pt>
                <c:pt idx="1">
                  <c:v>46.428571428571445</c:v>
                </c:pt>
                <c:pt idx="2">
                  <c:v>41.935483870967751</c:v>
                </c:pt>
                <c:pt idx="3">
                  <c:v>43.333333333333357</c:v>
                </c:pt>
                <c:pt idx="4">
                  <c:v>41.935483870967751</c:v>
                </c:pt>
                <c:pt idx="5">
                  <c:v>44.166666666666671</c:v>
                </c:pt>
                <c:pt idx="6">
                  <c:v>42.741935483870975</c:v>
                </c:pt>
                <c:pt idx="7">
                  <c:v>42.741935483870975</c:v>
                </c:pt>
                <c:pt idx="8">
                  <c:v>44.166666666666671</c:v>
                </c:pt>
                <c:pt idx="9">
                  <c:v>42.741935483870975</c:v>
                </c:pt>
                <c:pt idx="10">
                  <c:v>44.166666666666671</c:v>
                </c:pt>
                <c:pt idx="11">
                  <c:v>42.741935483870975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44D-4CFF-AA4F-89B675BF1523}"/>
            </c:ext>
          </c:extLst>
        </c:ser>
        <c:ser>
          <c:idx val="31"/>
          <c:order val="31"/>
          <c:tx>
            <c:strRef>
              <c:f>WtrValue!$A$33:$C$33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WtrValue!$D$33:$O$33</c:f>
              <c:numCache>
                <c:formatCode>0</c:formatCode>
                <c:ptCount val="12"/>
                <c:pt idx="0">
                  <c:v>42.741935483870975</c:v>
                </c:pt>
                <c:pt idx="1">
                  <c:v>47.321428571428584</c:v>
                </c:pt>
                <c:pt idx="2">
                  <c:v>42.741935483870975</c:v>
                </c:pt>
                <c:pt idx="3">
                  <c:v>44.166666666666671</c:v>
                </c:pt>
                <c:pt idx="4">
                  <c:v>42.741935483870975</c:v>
                </c:pt>
                <c:pt idx="5">
                  <c:v>44.166666666666671</c:v>
                </c:pt>
                <c:pt idx="6">
                  <c:v>42.741935483870975</c:v>
                </c:pt>
                <c:pt idx="7">
                  <c:v>42.741935483870975</c:v>
                </c:pt>
                <c:pt idx="8">
                  <c:v>44.166666666666671</c:v>
                </c:pt>
                <c:pt idx="9">
                  <c:v>42.741935483870975</c:v>
                </c:pt>
                <c:pt idx="10">
                  <c:v>44.166666666666671</c:v>
                </c:pt>
                <c:pt idx="11">
                  <c:v>42.741935483870975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44D-4CFF-AA4F-89B675BF1523}"/>
            </c:ext>
          </c:extLst>
        </c:ser>
        <c:ser>
          <c:idx val="32"/>
          <c:order val="32"/>
          <c:tx>
            <c:strRef>
              <c:f>WtrValue!$A$34:$C$34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WtrValue!$D$34:$O$34</c:f>
              <c:numCache>
                <c:formatCode>0</c:formatCode>
                <c:ptCount val="12"/>
                <c:pt idx="0">
                  <c:v>20.967741935483875</c:v>
                </c:pt>
                <c:pt idx="1">
                  <c:v>23.214285714285722</c:v>
                </c:pt>
                <c:pt idx="2">
                  <c:v>20.967741935483875</c:v>
                </c:pt>
                <c:pt idx="3">
                  <c:v>21.666666666666679</c:v>
                </c:pt>
                <c:pt idx="4">
                  <c:v>20.967741935483875</c:v>
                </c:pt>
                <c:pt idx="5">
                  <c:v>21.666666666666679</c:v>
                </c:pt>
                <c:pt idx="6">
                  <c:v>20.967741935483875</c:v>
                </c:pt>
                <c:pt idx="7">
                  <c:v>20.967741935483875</c:v>
                </c:pt>
                <c:pt idx="8">
                  <c:v>21.666666666666679</c:v>
                </c:pt>
                <c:pt idx="9">
                  <c:v>20.967741935483875</c:v>
                </c:pt>
                <c:pt idx="10">
                  <c:v>21.666666666666679</c:v>
                </c:pt>
                <c:pt idx="11">
                  <c:v>20.967741935483875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44D-4CFF-AA4F-89B675BF1523}"/>
            </c:ext>
          </c:extLst>
        </c:ser>
        <c:ser>
          <c:idx val="33"/>
          <c:order val="33"/>
          <c:tx>
            <c:strRef>
              <c:f>WtrValue!$A$35:$C$35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WtrValue!$D$35:$O$35</c:f>
              <c:numCache>
                <c:formatCode>0</c:formatCode>
                <c:ptCount val="12"/>
                <c:pt idx="0">
                  <c:v>32.661290322580648</c:v>
                </c:pt>
                <c:pt idx="1">
                  <c:v>36.160714285714292</c:v>
                </c:pt>
                <c:pt idx="2">
                  <c:v>32.661290322580648</c:v>
                </c:pt>
                <c:pt idx="3">
                  <c:v>33.75</c:v>
                </c:pt>
                <c:pt idx="4">
                  <c:v>32.661290322580648</c:v>
                </c:pt>
                <c:pt idx="5">
                  <c:v>33.75</c:v>
                </c:pt>
                <c:pt idx="6">
                  <c:v>32.661290322580648</c:v>
                </c:pt>
                <c:pt idx="7">
                  <c:v>32.661290322580648</c:v>
                </c:pt>
                <c:pt idx="8">
                  <c:v>33.75</c:v>
                </c:pt>
                <c:pt idx="9">
                  <c:v>26.209677419354836</c:v>
                </c:pt>
                <c:pt idx="10">
                  <c:v>27.083333333333336</c:v>
                </c:pt>
                <c:pt idx="11">
                  <c:v>12.499999999999996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44D-4CFF-AA4F-89B675BF1523}"/>
            </c:ext>
          </c:extLst>
        </c:ser>
        <c:ser>
          <c:idx val="34"/>
          <c:order val="34"/>
          <c:tx>
            <c:strRef>
              <c:f>WtrValue!$A$36:$C$36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WtrValue!$D$36:$O$36</c:f>
              <c:numCache>
                <c:formatCode>0</c:formatCode>
                <c:ptCount val="12"/>
                <c:pt idx="0">
                  <c:v>32.661290322580641</c:v>
                </c:pt>
                <c:pt idx="1">
                  <c:v>36.160714285714285</c:v>
                </c:pt>
                <c:pt idx="2">
                  <c:v>32.661290322580641</c:v>
                </c:pt>
                <c:pt idx="3">
                  <c:v>33.749999999999993</c:v>
                </c:pt>
                <c:pt idx="4">
                  <c:v>32.661290322580641</c:v>
                </c:pt>
                <c:pt idx="5">
                  <c:v>33.749999999999993</c:v>
                </c:pt>
                <c:pt idx="6">
                  <c:v>32.661290322580641</c:v>
                </c:pt>
                <c:pt idx="7">
                  <c:v>32.661290322580641</c:v>
                </c:pt>
                <c:pt idx="8">
                  <c:v>33.749999999999993</c:v>
                </c:pt>
                <c:pt idx="9">
                  <c:v>26.209677419354843</c:v>
                </c:pt>
                <c:pt idx="10">
                  <c:v>27.083333333333343</c:v>
                </c:pt>
                <c:pt idx="11">
                  <c:v>26.209677419354843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44D-4CFF-AA4F-89B675BF1523}"/>
            </c:ext>
          </c:extLst>
        </c:ser>
        <c:ser>
          <c:idx val="35"/>
          <c:order val="35"/>
          <c:tx>
            <c:strRef>
              <c:f>WtrValue!$A$37:$C$37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WtrValue!$D$37:$O$37</c:f>
              <c:numCache>
                <c:formatCode>0</c:formatCode>
                <c:ptCount val="12"/>
                <c:pt idx="0">
                  <c:v>12.499999999999996</c:v>
                </c:pt>
                <c:pt idx="1">
                  <c:v>13.83928571428571</c:v>
                </c:pt>
                <c:pt idx="2">
                  <c:v>12.499999999999996</c:v>
                </c:pt>
                <c:pt idx="3">
                  <c:v>12.916666666666663</c:v>
                </c:pt>
                <c:pt idx="4">
                  <c:v>12.499999999999996</c:v>
                </c:pt>
                <c:pt idx="5">
                  <c:v>12.916666666666661</c:v>
                </c:pt>
                <c:pt idx="6">
                  <c:v>12.499999999999996</c:v>
                </c:pt>
                <c:pt idx="7">
                  <c:v>12.499999999999996</c:v>
                </c:pt>
                <c:pt idx="8">
                  <c:v>12.916666666666663</c:v>
                </c:pt>
                <c:pt idx="9">
                  <c:v>12.499999999999996</c:v>
                </c:pt>
                <c:pt idx="10">
                  <c:v>12.916666666666666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44D-4CFF-AA4F-89B675BF1523}"/>
            </c:ext>
          </c:extLst>
        </c:ser>
        <c:ser>
          <c:idx val="36"/>
          <c:order val="36"/>
          <c:tx>
            <c:strRef>
              <c:f>WtrValue!$A$38:$C$38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WtrValue!$D$38:$O$38</c:f>
              <c:numCache>
                <c:formatCode>0</c:formatCode>
                <c:ptCount val="12"/>
                <c:pt idx="0">
                  <c:v>41.935483870967744</c:v>
                </c:pt>
                <c:pt idx="1">
                  <c:v>46.428571428571431</c:v>
                </c:pt>
                <c:pt idx="2">
                  <c:v>41.935483870967744</c:v>
                </c:pt>
                <c:pt idx="3">
                  <c:v>43.333333333333336</c:v>
                </c:pt>
                <c:pt idx="4">
                  <c:v>41.935483870967737</c:v>
                </c:pt>
                <c:pt idx="5">
                  <c:v>43.333333333333336</c:v>
                </c:pt>
                <c:pt idx="6">
                  <c:v>41.935483870967737</c:v>
                </c:pt>
                <c:pt idx="7">
                  <c:v>41.935483870967737</c:v>
                </c:pt>
                <c:pt idx="8">
                  <c:v>43.333333333333336</c:v>
                </c:pt>
                <c:pt idx="9">
                  <c:v>41.935483870967744</c:v>
                </c:pt>
                <c:pt idx="10">
                  <c:v>41.666666666666664</c:v>
                </c:pt>
                <c:pt idx="11">
                  <c:v>40.322580645161281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44D-4CFF-AA4F-89B675BF1523}"/>
            </c:ext>
          </c:extLst>
        </c:ser>
        <c:ser>
          <c:idx val="37"/>
          <c:order val="37"/>
          <c:tx>
            <c:strRef>
              <c:f>WtrValue!$A$39:$C$39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WtrValue!$D$39:$O$39</c:f>
              <c:numCache>
                <c:formatCode>0</c:formatCode>
                <c:ptCount val="12"/>
                <c:pt idx="0">
                  <c:v>41.935483870967737</c:v>
                </c:pt>
                <c:pt idx="1">
                  <c:v>46.428571428571431</c:v>
                </c:pt>
                <c:pt idx="2">
                  <c:v>41.935483870967737</c:v>
                </c:pt>
                <c:pt idx="3">
                  <c:v>43.333333333333336</c:v>
                </c:pt>
                <c:pt idx="4">
                  <c:v>41.935483870967737</c:v>
                </c:pt>
                <c:pt idx="5">
                  <c:v>43.333333333333336</c:v>
                </c:pt>
                <c:pt idx="6">
                  <c:v>41.935483870967737</c:v>
                </c:pt>
                <c:pt idx="7">
                  <c:v>41.935483870967737</c:v>
                </c:pt>
                <c:pt idx="8">
                  <c:v>43.333333333333336</c:v>
                </c:pt>
                <c:pt idx="9">
                  <c:v>41.935483870967737</c:v>
                </c:pt>
                <c:pt idx="10">
                  <c:v>43.333333333333336</c:v>
                </c:pt>
                <c:pt idx="11">
                  <c:v>41.935483870967737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44D-4CFF-AA4F-89B675BF1523}"/>
            </c:ext>
          </c:extLst>
        </c:ser>
        <c:ser>
          <c:idx val="38"/>
          <c:order val="38"/>
          <c:tx>
            <c:strRef>
              <c:f>WtrValue!$A$40:$C$40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WtrValue!$D$40:$O$40</c:f>
              <c:numCache>
                <c:formatCode>0</c:formatCode>
                <c:ptCount val="12"/>
                <c:pt idx="0">
                  <c:v>20.161290322580641</c:v>
                </c:pt>
                <c:pt idx="1">
                  <c:v>22.321428571428569</c:v>
                </c:pt>
                <c:pt idx="2">
                  <c:v>20.161290322580641</c:v>
                </c:pt>
                <c:pt idx="3">
                  <c:v>20.833333333333332</c:v>
                </c:pt>
                <c:pt idx="4">
                  <c:v>20.161290322580641</c:v>
                </c:pt>
                <c:pt idx="5">
                  <c:v>20.833333333333332</c:v>
                </c:pt>
                <c:pt idx="6">
                  <c:v>20.161290322580641</c:v>
                </c:pt>
                <c:pt idx="7">
                  <c:v>20.161290322580641</c:v>
                </c:pt>
                <c:pt idx="8">
                  <c:v>20.833333333333332</c:v>
                </c:pt>
                <c:pt idx="9">
                  <c:v>20.161290322580641</c:v>
                </c:pt>
                <c:pt idx="10">
                  <c:v>20.833333333333332</c:v>
                </c:pt>
                <c:pt idx="11">
                  <c:v>19.354838709677413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44D-4CFF-AA4F-89B675BF1523}"/>
            </c:ext>
          </c:extLst>
        </c:ser>
        <c:ser>
          <c:idx val="39"/>
          <c:order val="39"/>
          <c:tx>
            <c:strRef>
              <c:f>WtrValue!$A$41:$C$41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WtrValue!$D$41:$O$41</c:f>
              <c:numCache>
                <c:formatCode>0</c:formatCode>
                <c:ptCount val="12"/>
                <c:pt idx="0">
                  <c:v>43.548387096774192</c:v>
                </c:pt>
                <c:pt idx="1">
                  <c:v>48.214285714285715</c:v>
                </c:pt>
                <c:pt idx="2">
                  <c:v>43.548387096774192</c:v>
                </c:pt>
                <c:pt idx="3">
                  <c:v>45.000000000000007</c:v>
                </c:pt>
                <c:pt idx="4">
                  <c:v>43.548387096774192</c:v>
                </c:pt>
                <c:pt idx="5">
                  <c:v>45.000000000000007</c:v>
                </c:pt>
                <c:pt idx="6">
                  <c:v>43.548387096774192</c:v>
                </c:pt>
                <c:pt idx="7">
                  <c:v>43.548387096774192</c:v>
                </c:pt>
                <c:pt idx="8">
                  <c:v>45.000000000000007</c:v>
                </c:pt>
                <c:pt idx="9">
                  <c:v>43.548387096774192</c:v>
                </c:pt>
                <c:pt idx="10">
                  <c:v>45.000000000000007</c:v>
                </c:pt>
                <c:pt idx="11">
                  <c:v>43.548387096774192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44D-4CFF-AA4F-89B675BF1523}"/>
            </c:ext>
          </c:extLst>
        </c:ser>
        <c:ser>
          <c:idx val="40"/>
          <c:order val="40"/>
          <c:tx>
            <c:strRef>
              <c:f>WtrValue!$A$42:$C$42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WtrValue!$D$42:$O$42</c:f>
              <c:numCache>
                <c:formatCode>0</c:formatCode>
                <c:ptCount val="12"/>
                <c:pt idx="0">
                  <c:v>43.548387096774192</c:v>
                </c:pt>
                <c:pt idx="1">
                  <c:v>48.214285714285715</c:v>
                </c:pt>
                <c:pt idx="2">
                  <c:v>43.548387096774192</c:v>
                </c:pt>
                <c:pt idx="3">
                  <c:v>45.000000000000007</c:v>
                </c:pt>
                <c:pt idx="4">
                  <c:v>43.548387096774192</c:v>
                </c:pt>
                <c:pt idx="5">
                  <c:v>45.000000000000007</c:v>
                </c:pt>
                <c:pt idx="6">
                  <c:v>43.548387096774192</c:v>
                </c:pt>
                <c:pt idx="7">
                  <c:v>43.548387096774192</c:v>
                </c:pt>
                <c:pt idx="8">
                  <c:v>45.000000000000007</c:v>
                </c:pt>
                <c:pt idx="9">
                  <c:v>43.548387096774192</c:v>
                </c:pt>
                <c:pt idx="10">
                  <c:v>45.000000000000007</c:v>
                </c:pt>
                <c:pt idx="11">
                  <c:v>43.548387096774192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44D-4CFF-AA4F-89B675BF1523}"/>
            </c:ext>
          </c:extLst>
        </c:ser>
        <c:ser>
          <c:idx val="41"/>
          <c:order val="41"/>
          <c:tx>
            <c:strRef>
              <c:f>WtrValue!$A$43:$C$43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WtrValue!$D$43:$O$43</c:f>
              <c:numCache>
                <c:formatCode>0</c:formatCode>
                <c:ptCount val="12"/>
                <c:pt idx="0">
                  <c:v>21.774193548387096</c:v>
                </c:pt>
                <c:pt idx="1">
                  <c:v>24.107142857142858</c:v>
                </c:pt>
                <c:pt idx="2">
                  <c:v>21.774193548387096</c:v>
                </c:pt>
                <c:pt idx="3">
                  <c:v>22.500000000000004</c:v>
                </c:pt>
                <c:pt idx="4">
                  <c:v>21.774193548387096</c:v>
                </c:pt>
                <c:pt idx="5">
                  <c:v>22.500000000000004</c:v>
                </c:pt>
                <c:pt idx="6">
                  <c:v>21.774193548387096</c:v>
                </c:pt>
                <c:pt idx="7">
                  <c:v>21.774193548387096</c:v>
                </c:pt>
                <c:pt idx="8">
                  <c:v>22.500000000000004</c:v>
                </c:pt>
                <c:pt idx="9">
                  <c:v>21.774193548387096</c:v>
                </c:pt>
                <c:pt idx="10">
                  <c:v>22.500000000000004</c:v>
                </c:pt>
                <c:pt idx="11">
                  <c:v>21.774193548387096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44D-4CFF-AA4F-89B675BF1523}"/>
            </c:ext>
          </c:extLst>
        </c:ser>
        <c:ser>
          <c:idx val="42"/>
          <c:order val="42"/>
          <c:tx>
            <c:strRef>
              <c:f>WtrValue!$A$44:$C$44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WtrValue!$D$44:$O$44</c:f>
              <c:numCache>
                <c:formatCode>0</c:formatCode>
                <c:ptCount val="12"/>
                <c:pt idx="0">
                  <c:v>32.661290322580655</c:v>
                </c:pt>
                <c:pt idx="1">
                  <c:v>36.160714285714292</c:v>
                </c:pt>
                <c:pt idx="2">
                  <c:v>32.661290322580655</c:v>
                </c:pt>
                <c:pt idx="3">
                  <c:v>33.750000000000007</c:v>
                </c:pt>
                <c:pt idx="4">
                  <c:v>32.661290322580655</c:v>
                </c:pt>
                <c:pt idx="5">
                  <c:v>33.750000000000007</c:v>
                </c:pt>
                <c:pt idx="6">
                  <c:v>32.661290322580655</c:v>
                </c:pt>
                <c:pt idx="7">
                  <c:v>32.661290322580655</c:v>
                </c:pt>
                <c:pt idx="8">
                  <c:v>33.750000000000007</c:v>
                </c:pt>
                <c:pt idx="9">
                  <c:v>26.209677419354836</c:v>
                </c:pt>
                <c:pt idx="10">
                  <c:v>26.666666666666661</c:v>
                </c:pt>
                <c:pt idx="11">
                  <c:v>12.499999999999996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44D-4CFF-AA4F-89B675BF1523}"/>
            </c:ext>
          </c:extLst>
        </c:ser>
        <c:ser>
          <c:idx val="43"/>
          <c:order val="43"/>
          <c:tx>
            <c:strRef>
              <c:f>WtrValue!$A$45:$C$45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WtrValue!$D$45:$O$45</c:f>
              <c:numCache>
                <c:formatCode>0</c:formatCode>
                <c:ptCount val="12"/>
                <c:pt idx="0">
                  <c:v>32.661290322580655</c:v>
                </c:pt>
                <c:pt idx="1">
                  <c:v>36.160714285714292</c:v>
                </c:pt>
                <c:pt idx="2">
                  <c:v>32.661290322580655</c:v>
                </c:pt>
                <c:pt idx="3">
                  <c:v>33.750000000000007</c:v>
                </c:pt>
                <c:pt idx="4">
                  <c:v>32.661290322580655</c:v>
                </c:pt>
                <c:pt idx="5">
                  <c:v>33.750000000000007</c:v>
                </c:pt>
                <c:pt idx="6">
                  <c:v>32.661290322580655</c:v>
                </c:pt>
                <c:pt idx="7">
                  <c:v>32.661290322580655</c:v>
                </c:pt>
                <c:pt idx="8">
                  <c:v>33.750000000000007</c:v>
                </c:pt>
                <c:pt idx="9">
                  <c:v>26.209677419354843</c:v>
                </c:pt>
                <c:pt idx="10">
                  <c:v>26.666666666666661</c:v>
                </c:pt>
                <c:pt idx="11">
                  <c:v>25.806451612903217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44D-4CFF-AA4F-89B675BF1523}"/>
            </c:ext>
          </c:extLst>
        </c:ser>
        <c:ser>
          <c:idx val="44"/>
          <c:order val="44"/>
          <c:tx>
            <c:strRef>
              <c:f>WtrValue!$A$46:$C$46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WtrValue!$D$46:$O$46</c:f>
              <c:numCache>
                <c:formatCode>0</c:formatCode>
                <c:ptCount val="12"/>
                <c:pt idx="0">
                  <c:v>4.4354838709677562</c:v>
                </c:pt>
                <c:pt idx="1">
                  <c:v>13.83928571428571</c:v>
                </c:pt>
                <c:pt idx="2">
                  <c:v>12.499999999999996</c:v>
                </c:pt>
                <c:pt idx="3">
                  <c:v>12.916666666666668</c:v>
                </c:pt>
                <c:pt idx="4">
                  <c:v>12.500000000000002</c:v>
                </c:pt>
                <c:pt idx="5">
                  <c:v>12.916666666666668</c:v>
                </c:pt>
                <c:pt idx="6">
                  <c:v>12.500000000000002</c:v>
                </c:pt>
                <c:pt idx="7">
                  <c:v>12.500000000000002</c:v>
                </c:pt>
                <c:pt idx="8">
                  <c:v>12.916666666666668</c:v>
                </c:pt>
                <c:pt idx="9">
                  <c:v>12.500000000000002</c:v>
                </c:pt>
                <c:pt idx="10">
                  <c:v>12.499999999999996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44D-4CFF-AA4F-89B675BF1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4452336"/>
        <c:axId val="394452752"/>
      </c:lineChart>
      <c:catAx>
        <c:axId val="39445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94452752"/>
        <c:crosses val="autoZero"/>
        <c:auto val="1"/>
        <c:lblAlgn val="ctr"/>
        <c:lblOffset val="100"/>
        <c:noMultiLvlLbl val="0"/>
      </c:catAx>
      <c:valAx>
        <c:axId val="39445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Water value [EUR/MWh]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9445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LRMC!$A$4:$C$4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Node_1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LRMC!$D$4:$BW$4</c:f>
              <c:numCache>
                <c:formatCode>0</c:formatCode>
                <c:ptCount val="72"/>
                <c:pt idx="0">
                  <c:v>52.000000000000043</c:v>
                </c:pt>
                <c:pt idx="1">
                  <c:v>50.000000000000014</c:v>
                </c:pt>
                <c:pt idx="2">
                  <c:v>31.000000000000004</c:v>
                </c:pt>
                <c:pt idx="3">
                  <c:v>50.000000000000014</c:v>
                </c:pt>
                <c:pt idx="4">
                  <c:v>49.999999999999972</c:v>
                </c:pt>
                <c:pt idx="5">
                  <c:v>31.000000000000004</c:v>
                </c:pt>
                <c:pt idx="6">
                  <c:v>50</c:v>
                </c:pt>
                <c:pt idx="7">
                  <c:v>50</c:v>
                </c:pt>
                <c:pt idx="8">
                  <c:v>30.999999999999996</c:v>
                </c:pt>
                <c:pt idx="9">
                  <c:v>50.000000000000007</c:v>
                </c:pt>
                <c:pt idx="10">
                  <c:v>49.999999999999972</c:v>
                </c:pt>
                <c:pt idx="11">
                  <c:v>31</c:v>
                </c:pt>
                <c:pt idx="12">
                  <c:v>50.000000000000007</c:v>
                </c:pt>
                <c:pt idx="13">
                  <c:v>49.999999999999972</c:v>
                </c:pt>
                <c:pt idx="14">
                  <c:v>30.999999999999996</c:v>
                </c:pt>
                <c:pt idx="15">
                  <c:v>50</c:v>
                </c:pt>
                <c:pt idx="16">
                  <c:v>49.999999999999972</c:v>
                </c:pt>
                <c:pt idx="17">
                  <c:v>31</c:v>
                </c:pt>
                <c:pt idx="18">
                  <c:v>49.999999999999993</c:v>
                </c:pt>
                <c:pt idx="19">
                  <c:v>50</c:v>
                </c:pt>
                <c:pt idx="20">
                  <c:v>29.999999999999996</c:v>
                </c:pt>
                <c:pt idx="21">
                  <c:v>49.999999999999993</c:v>
                </c:pt>
                <c:pt idx="22">
                  <c:v>50.000000000000007</c:v>
                </c:pt>
                <c:pt idx="23">
                  <c:v>32.480519480519469</c:v>
                </c:pt>
                <c:pt idx="24">
                  <c:v>50</c:v>
                </c:pt>
                <c:pt idx="25">
                  <c:v>50</c:v>
                </c:pt>
                <c:pt idx="26">
                  <c:v>30.999999999999996</c:v>
                </c:pt>
                <c:pt idx="27">
                  <c:v>49.999999999999986</c:v>
                </c:pt>
                <c:pt idx="28">
                  <c:v>50.000000000000007</c:v>
                </c:pt>
                <c:pt idx="29">
                  <c:v>84.833333333333258</c:v>
                </c:pt>
                <c:pt idx="30">
                  <c:v>50.000000000000021</c:v>
                </c:pt>
                <c:pt idx="31">
                  <c:v>49.999999999999972</c:v>
                </c:pt>
                <c:pt idx="32">
                  <c:v>30.999999999999996</c:v>
                </c:pt>
                <c:pt idx="33">
                  <c:v>49.999999999999972</c:v>
                </c:pt>
                <c:pt idx="34">
                  <c:v>49.999999999999972</c:v>
                </c:pt>
                <c:pt idx="35">
                  <c:v>30.999999999999996</c:v>
                </c:pt>
                <c:pt idx="36">
                  <c:v>50</c:v>
                </c:pt>
                <c:pt idx="37">
                  <c:v>50</c:v>
                </c:pt>
                <c:pt idx="38">
                  <c:v>31.000000000000007</c:v>
                </c:pt>
                <c:pt idx="39">
                  <c:v>49.999999999999986</c:v>
                </c:pt>
                <c:pt idx="40">
                  <c:v>49.999999999999993</c:v>
                </c:pt>
                <c:pt idx="41">
                  <c:v>30.999999999999996</c:v>
                </c:pt>
                <c:pt idx="42">
                  <c:v>49.999999999999993</c:v>
                </c:pt>
                <c:pt idx="43">
                  <c:v>49.999999999999993</c:v>
                </c:pt>
                <c:pt idx="44">
                  <c:v>0</c:v>
                </c:pt>
                <c:pt idx="45">
                  <c:v>49.999999999999986</c:v>
                </c:pt>
                <c:pt idx="46">
                  <c:v>49.999999999999979</c:v>
                </c:pt>
                <c:pt idx="47">
                  <c:v>106.77777777777777</c:v>
                </c:pt>
                <c:pt idx="48">
                  <c:v>50</c:v>
                </c:pt>
                <c:pt idx="49">
                  <c:v>49.999999999999972</c:v>
                </c:pt>
                <c:pt idx="50">
                  <c:v>30.999999999999986</c:v>
                </c:pt>
                <c:pt idx="51">
                  <c:v>50</c:v>
                </c:pt>
                <c:pt idx="52">
                  <c:v>49.999999999999986</c:v>
                </c:pt>
                <c:pt idx="53">
                  <c:v>31</c:v>
                </c:pt>
                <c:pt idx="54">
                  <c:v>52.000000000000021</c:v>
                </c:pt>
                <c:pt idx="55">
                  <c:v>50</c:v>
                </c:pt>
                <c:pt idx="56">
                  <c:v>0</c:v>
                </c:pt>
                <c:pt idx="57">
                  <c:v>49.999999999999993</c:v>
                </c:pt>
                <c:pt idx="58">
                  <c:v>49.999999999999979</c:v>
                </c:pt>
                <c:pt idx="59">
                  <c:v>97.305555555555557</c:v>
                </c:pt>
                <c:pt idx="60">
                  <c:v>51.999999999999972</c:v>
                </c:pt>
                <c:pt idx="61">
                  <c:v>34.000000000000007</c:v>
                </c:pt>
                <c:pt idx="62">
                  <c:v>0</c:v>
                </c:pt>
                <c:pt idx="63">
                  <c:v>52.000000000000014</c:v>
                </c:pt>
                <c:pt idx="64">
                  <c:v>89.384615384615302</c:v>
                </c:pt>
                <c:pt idx="65">
                  <c:v>94.291666666666671</c:v>
                </c:pt>
                <c:pt idx="66">
                  <c:v>52.000000000000021</c:v>
                </c:pt>
                <c:pt idx="67">
                  <c:v>50</c:v>
                </c:pt>
                <c:pt idx="68">
                  <c:v>31.000000000000007</c:v>
                </c:pt>
                <c:pt idx="69">
                  <c:v>52.000000000000036</c:v>
                </c:pt>
                <c:pt idx="70">
                  <c:v>47.999999999999972</c:v>
                </c:pt>
                <c:pt idx="71">
                  <c:v>29.999999999999982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7D-4231-A0D1-853D049395B6}"/>
            </c:ext>
          </c:extLst>
        </c:ser>
        <c:ser>
          <c:idx val="1"/>
          <c:order val="1"/>
          <c:tx>
            <c:strRef>
              <c:f>LRMC!$A$5:$C$5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Node_2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LRMC!$D$5:$BW$5</c:f>
              <c:numCache>
                <c:formatCode>0</c:formatCode>
                <c:ptCount val="72"/>
                <c:pt idx="0">
                  <c:v>52.000000000000007</c:v>
                </c:pt>
                <c:pt idx="1">
                  <c:v>50.000000000000014</c:v>
                </c:pt>
                <c:pt idx="2">
                  <c:v>30.999999999999996</c:v>
                </c:pt>
                <c:pt idx="3">
                  <c:v>50.000000000000014</c:v>
                </c:pt>
                <c:pt idx="4">
                  <c:v>49.999999999999972</c:v>
                </c:pt>
                <c:pt idx="5">
                  <c:v>31.000000000000004</c:v>
                </c:pt>
                <c:pt idx="6">
                  <c:v>50.000000000000007</c:v>
                </c:pt>
                <c:pt idx="7">
                  <c:v>50</c:v>
                </c:pt>
                <c:pt idx="8">
                  <c:v>30.999999999999996</c:v>
                </c:pt>
                <c:pt idx="9">
                  <c:v>50.000000000000007</c:v>
                </c:pt>
                <c:pt idx="10">
                  <c:v>49.999999999999972</c:v>
                </c:pt>
                <c:pt idx="11">
                  <c:v>31</c:v>
                </c:pt>
                <c:pt idx="12">
                  <c:v>50.000000000000007</c:v>
                </c:pt>
                <c:pt idx="13">
                  <c:v>49.999999999999972</c:v>
                </c:pt>
                <c:pt idx="14">
                  <c:v>31</c:v>
                </c:pt>
                <c:pt idx="15">
                  <c:v>50</c:v>
                </c:pt>
                <c:pt idx="16">
                  <c:v>49.999999999999972</c:v>
                </c:pt>
                <c:pt idx="17">
                  <c:v>31</c:v>
                </c:pt>
                <c:pt idx="18">
                  <c:v>49.999999999999993</c:v>
                </c:pt>
                <c:pt idx="19">
                  <c:v>50</c:v>
                </c:pt>
                <c:pt idx="20">
                  <c:v>30</c:v>
                </c:pt>
                <c:pt idx="21">
                  <c:v>49.999999999999986</c:v>
                </c:pt>
                <c:pt idx="22">
                  <c:v>50.000000000000036</c:v>
                </c:pt>
                <c:pt idx="23">
                  <c:v>32.480519480519469</c:v>
                </c:pt>
                <c:pt idx="24">
                  <c:v>50</c:v>
                </c:pt>
                <c:pt idx="25">
                  <c:v>50</c:v>
                </c:pt>
                <c:pt idx="26">
                  <c:v>30.999999999999996</c:v>
                </c:pt>
                <c:pt idx="27">
                  <c:v>49.999999999999986</c:v>
                </c:pt>
                <c:pt idx="28">
                  <c:v>50.000000000000007</c:v>
                </c:pt>
                <c:pt idx="29">
                  <c:v>84.833333333333258</c:v>
                </c:pt>
                <c:pt idx="30">
                  <c:v>50.000000000000021</c:v>
                </c:pt>
                <c:pt idx="31">
                  <c:v>49.999999999999972</c:v>
                </c:pt>
                <c:pt idx="32">
                  <c:v>31</c:v>
                </c:pt>
                <c:pt idx="33">
                  <c:v>49.999999999999979</c:v>
                </c:pt>
                <c:pt idx="34">
                  <c:v>49.999999999999972</c:v>
                </c:pt>
                <c:pt idx="35">
                  <c:v>31</c:v>
                </c:pt>
                <c:pt idx="36">
                  <c:v>50</c:v>
                </c:pt>
                <c:pt idx="37">
                  <c:v>50</c:v>
                </c:pt>
                <c:pt idx="38">
                  <c:v>31</c:v>
                </c:pt>
                <c:pt idx="39">
                  <c:v>49.999999999999986</c:v>
                </c:pt>
                <c:pt idx="40">
                  <c:v>49.999999999999986</c:v>
                </c:pt>
                <c:pt idx="41">
                  <c:v>31</c:v>
                </c:pt>
                <c:pt idx="42">
                  <c:v>49.999999999999993</c:v>
                </c:pt>
                <c:pt idx="43">
                  <c:v>49.999999999999986</c:v>
                </c:pt>
                <c:pt idx="44">
                  <c:v>0</c:v>
                </c:pt>
                <c:pt idx="45">
                  <c:v>49.999999999999979</c:v>
                </c:pt>
                <c:pt idx="46">
                  <c:v>49.999999999999972</c:v>
                </c:pt>
                <c:pt idx="47">
                  <c:v>106.7777777777778</c:v>
                </c:pt>
                <c:pt idx="48">
                  <c:v>50</c:v>
                </c:pt>
                <c:pt idx="49">
                  <c:v>49.999999999999972</c:v>
                </c:pt>
                <c:pt idx="50">
                  <c:v>31</c:v>
                </c:pt>
                <c:pt idx="51">
                  <c:v>50</c:v>
                </c:pt>
                <c:pt idx="52">
                  <c:v>49.999999999999979</c:v>
                </c:pt>
                <c:pt idx="53">
                  <c:v>31</c:v>
                </c:pt>
                <c:pt idx="54">
                  <c:v>52.000000000000007</c:v>
                </c:pt>
                <c:pt idx="55">
                  <c:v>50</c:v>
                </c:pt>
                <c:pt idx="56">
                  <c:v>0</c:v>
                </c:pt>
                <c:pt idx="57">
                  <c:v>49.999999999999986</c:v>
                </c:pt>
                <c:pt idx="58">
                  <c:v>49.999999999999979</c:v>
                </c:pt>
                <c:pt idx="59">
                  <c:v>97.305555555555557</c:v>
                </c:pt>
                <c:pt idx="60">
                  <c:v>52.000000000000007</c:v>
                </c:pt>
                <c:pt idx="61">
                  <c:v>34</c:v>
                </c:pt>
                <c:pt idx="62">
                  <c:v>0</c:v>
                </c:pt>
                <c:pt idx="63">
                  <c:v>52.000000000000007</c:v>
                </c:pt>
                <c:pt idx="64">
                  <c:v>89.384615384615302</c:v>
                </c:pt>
                <c:pt idx="65">
                  <c:v>94.291666666666671</c:v>
                </c:pt>
                <c:pt idx="66">
                  <c:v>52.000000000000007</c:v>
                </c:pt>
                <c:pt idx="67">
                  <c:v>50</c:v>
                </c:pt>
                <c:pt idx="68">
                  <c:v>31</c:v>
                </c:pt>
                <c:pt idx="69">
                  <c:v>52.000000000000007</c:v>
                </c:pt>
                <c:pt idx="70">
                  <c:v>47.999999999999972</c:v>
                </c:pt>
                <c:pt idx="7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7D-4231-A0D1-853D049395B6}"/>
            </c:ext>
          </c:extLst>
        </c:ser>
        <c:ser>
          <c:idx val="2"/>
          <c:order val="2"/>
          <c:tx>
            <c:strRef>
              <c:f>LRMC!$A$6:$C$6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Node_3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LRMC!$D$6:$BW$6</c:f>
              <c:numCache>
                <c:formatCode>0</c:formatCode>
                <c:ptCount val="72"/>
                <c:pt idx="0">
                  <c:v>52.000000000000007</c:v>
                </c:pt>
                <c:pt idx="1">
                  <c:v>50.000000000000014</c:v>
                </c:pt>
                <c:pt idx="2">
                  <c:v>30.999999999999996</c:v>
                </c:pt>
                <c:pt idx="3">
                  <c:v>50.000000000000014</c:v>
                </c:pt>
                <c:pt idx="4">
                  <c:v>49.999999999999972</c:v>
                </c:pt>
                <c:pt idx="5">
                  <c:v>31.000000000000004</c:v>
                </c:pt>
                <c:pt idx="6">
                  <c:v>50.000000000000014</c:v>
                </c:pt>
                <c:pt idx="7">
                  <c:v>50</c:v>
                </c:pt>
                <c:pt idx="8">
                  <c:v>30.999999999999996</c:v>
                </c:pt>
                <c:pt idx="9">
                  <c:v>50.000000000000007</c:v>
                </c:pt>
                <c:pt idx="10">
                  <c:v>49.999999999999972</c:v>
                </c:pt>
                <c:pt idx="11">
                  <c:v>31</c:v>
                </c:pt>
                <c:pt idx="12">
                  <c:v>50.000000000000007</c:v>
                </c:pt>
                <c:pt idx="13">
                  <c:v>49.999999999999972</c:v>
                </c:pt>
                <c:pt idx="14">
                  <c:v>31</c:v>
                </c:pt>
                <c:pt idx="15">
                  <c:v>50</c:v>
                </c:pt>
                <c:pt idx="16">
                  <c:v>49.999999999999972</c:v>
                </c:pt>
                <c:pt idx="17">
                  <c:v>31</c:v>
                </c:pt>
                <c:pt idx="18">
                  <c:v>49.999999999999993</c:v>
                </c:pt>
                <c:pt idx="19">
                  <c:v>50</c:v>
                </c:pt>
                <c:pt idx="20">
                  <c:v>30.000000000000004</c:v>
                </c:pt>
                <c:pt idx="21">
                  <c:v>49.999999999999993</c:v>
                </c:pt>
                <c:pt idx="22">
                  <c:v>50.000000000000007</c:v>
                </c:pt>
                <c:pt idx="23">
                  <c:v>32.480519480519469</c:v>
                </c:pt>
                <c:pt idx="24">
                  <c:v>50</c:v>
                </c:pt>
                <c:pt idx="25">
                  <c:v>50.000000000000007</c:v>
                </c:pt>
                <c:pt idx="26">
                  <c:v>30.999999999999996</c:v>
                </c:pt>
                <c:pt idx="27">
                  <c:v>49.999999999999986</c:v>
                </c:pt>
                <c:pt idx="28">
                  <c:v>50.000000000000007</c:v>
                </c:pt>
                <c:pt idx="29">
                  <c:v>84.833333333333258</c:v>
                </c:pt>
                <c:pt idx="30">
                  <c:v>50.000000000000021</c:v>
                </c:pt>
                <c:pt idx="31">
                  <c:v>49.999999999999972</c:v>
                </c:pt>
                <c:pt idx="32">
                  <c:v>31</c:v>
                </c:pt>
                <c:pt idx="33">
                  <c:v>49.999999999999979</c:v>
                </c:pt>
                <c:pt idx="34">
                  <c:v>49.999999999999972</c:v>
                </c:pt>
                <c:pt idx="35">
                  <c:v>31</c:v>
                </c:pt>
                <c:pt idx="36">
                  <c:v>50</c:v>
                </c:pt>
                <c:pt idx="37">
                  <c:v>50</c:v>
                </c:pt>
                <c:pt idx="38">
                  <c:v>31</c:v>
                </c:pt>
                <c:pt idx="39">
                  <c:v>49.999999999999972</c:v>
                </c:pt>
                <c:pt idx="40">
                  <c:v>49.999999999999986</c:v>
                </c:pt>
                <c:pt idx="41">
                  <c:v>31</c:v>
                </c:pt>
                <c:pt idx="42">
                  <c:v>49.999999999999993</c:v>
                </c:pt>
                <c:pt idx="43">
                  <c:v>49.999999999999993</c:v>
                </c:pt>
                <c:pt idx="44">
                  <c:v>0</c:v>
                </c:pt>
                <c:pt idx="45">
                  <c:v>49.999999999999986</c:v>
                </c:pt>
                <c:pt idx="46">
                  <c:v>49.999999999999972</c:v>
                </c:pt>
                <c:pt idx="47">
                  <c:v>106.77777777777777</c:v>
                </c:pt>
                <c:pt idx="48">
                  <c:v>50.000000000000007</c:v>
                </c:pt>
                <c:pt idx="49">
                  <c:v>49.999999999999972</c:v>
                </c:pt>
                <c:pt idx="50">
                  <c:v>31</c:v>
                </c:pt>
                <c:pt idx="51">
                  <c:v>50</c:v>
                </c:pt>
                <c:pt idx="52">
                  <c:v>49.999999999999979</c:v>
                </c:pt>
                <c:pt idx="53">
                  <c:v>31</c:v>
                </c:pt>
                <c:pt idx="54">
                  <c:v>52.000000000000007</c:v>
                </c:pt>
                <c:pt idx="55">
                  <c:v>50</c:v>
                </c:pt>
                <c:pt idx="56">
                  <c:v>0</c:v>
                </c:pt>
                <c:pt idx="57">
                  <c:v>49.999999999999986</c:v>
                </c:pt>
                <c:pt idx="58">
                  <c:v>49.999999999999979</c:v>
                </c:pt>
                <c:pt idx="59">
                  <c:v>97.305555555555557</c:v>
                </c:pt>
                <c:pt idx="60">
                  <c:v>52.000000000000007</c:v>
                </c:pt>
                <c:pt idx="61">
                  <c:v>34</c:v>
                </c:pt>
                <c:pt idx="62">
                  <c:v>0</c:v>
                </c:pt>
                <c:pt idx="63">
                  <c:v>52.000000000000007</c:v>
                </c:pt>
                <c:pt idx="64">
                  <c:v>89.384615384615302</c:v>
                </c:pt>
                <c:pt idx="65">
                  <c:v>94.291666666666671</c:v>
                </c:pt>
                <c:pt idx="66">
                  <c:v>52.000000000000007</c:v>
                </c:pt>
                <c:pt idx="67">
                  <c:v>50</c:v>
                </c:pt>
                <c:pt idx="68">
                  <c:v>31</c:v>
                </c:pt>
                <c:pt idx="69">
                  <c:v>52.000000000000007</c:v>
                </c:pt>
                <c:pt idx="70">
                  <c:v>47.999999999999972</c:v>
                </c:pt>
                <c:pt idx="7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7D-4231-A0D1-853D049395B6}"/>
            </c:ext>
          </c:extLst>
        </c:ser>
        <c:ser>
          <c:idx val="3"/>
          <c:order val="3"/>
          <c:tx>
            <c:strRef>
              <c:f>LRMC!$A$7:$C$7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Node_4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LRMC!$D$7:$BW$7</c:f>
              <c:numCache>
                <c:formatCode>0</c:formatCode>
                <c:ptCount val="72"/>
                <c:pt idx="0">
                  <c:v>52.000000000000028</c:v>
                </c:pt>
                <c:pt idx="1">
                  <c:v>50.000000000000014</c:v>
                </c:pt>
                <c:pt idx="2">
                  <c:v>30.999999999999989</c:v>
                </c:pt>
                <c:pt idx="3">
                  <c:v>50.000000000000014</c:v>
                </c:pt>
                <c:pt idx="4">
                  <c:v>49.999999999999972</c:v>
                </c:pt>
                <c:pt idx="5">
                  <c:v>31.000000000000004</c:v>
                </c:pt>
                <c:pt idx="6">
                  <c:v>50</c:v>
                </c:pt>
                <c:pt idx="7">
                  <c:v>50</c:v>
                </c:pt>
                <c:pt idx="8">
                  <c:v>30.999999999999996</c:v>
                </c:pt>
                <c:pt idx="9">
                  <c:v>50.000000000000007</c:v>
                </c:pt>
                <c:pt idx="10">
                  <c:v>49.999999999999972</c:v>
                </c:pt>
                <c:pt idx="11">
                  <c:v>31</c:v>
                </c:pt>
                <c:pt idx="12">
                  <c:v>50.000000000000007</c:v>
                </c:pt>
                <c:pt idx="13">
                  <c:v>49.999999999999972</c:v>
                </c:pt>
                <c:pt idx="14">
                  <c:v>30.999999999999996</c:v>
                </c:pt>
                <c:pt idx="15">
                  <c:v>50</c:v>
                </c:pt>
                <c:pt idx="16">
                  <c:v>49.999999999999972</c:v>
                </c:pt>
                <c:pt idx="17">
                  <c:v>31</c:v>
                </c:pt>
                <c:pt idx="18">
                  <c:v>49.999999999999993</c:v>
                </c:pt>
                <c:pt idx="19">
                  <c:v>50</c:v>
                </c:pt>
                <c:pt idx="20">
                  <c:v>30.000000000000018</c:v>
                </c:pt>
                <c:pt idx="21">
                  <c:v>49.999999999999993</c:v>
                </c:pt>
                <c:pt idx="22">
                  <c:v>50.000000000000007</c:v>
                </c:pt>
                <c:pt idx="23">
                  <c:v>32.480519480519469</c:v>
                </c:pt>
                <c:pt idx="24">
                  <c:v>50</c:v>
                </c:pt>
                <c:pt idx="25">
                  <c:v>50</c:v>
                </c:pt>
                <c:pt idx="26">
                  <c:v>30.999999999999996</c:v>
                </c:pt>
                <c:pt idx="27">
                  <c:v>49.999999999999986</c:v>
                </c:pt>
                <c:pt idx="28">
                  <c:v>50.000000000000007</c:v>
                </c:pt>
                <c:pt idx="29">
                  <c:v>84.833333333333258</c:v>
                </c:pt>
                <c:pt idx="30">
                  <c:v>50.000000000000021</c:v>
                </c:pt>
                <c:pt idx="31">
                  <c:v>49.999999999999972</c:v>
                </c:pt>
                <c:pt idx="32">
                  <c:v>30.999999999999996</c:v>
                </c:pt>
                <c:pt idx="33">
                  <c:v>49.999999999999979</c:v>
                </c:pt>
                <c:pt idx="34">
                  <c:v>49.999999999999972</c:v>
                </c:pt>
                <c:pt idx="35">
                  <c:v>30.999999999999996</c:v>
                </c:pt>
                <c:pt idx="36">
                  <c:v>50</c:v>
                </c:pt>
                <c:pt idx="37">
                  <c:v>50</c:v>
                </c:pt>
                <c:pt idx="38">
                  <c:v>31.000000000000007</c:v>
                </c:pt>
                <c:pt idx="39">
                  <c:v>49.999999999999986</c:v>
                </c:pt>
                <c:pt idx="40">
                  <c:v>49.999999999999993</c:v>
                </c:pt>
                <c:pt idx="41">
                  <c:v>30.999999999999996</c:v>
                </c:pt>
                <c:pt idx="42">
                  <c:v>49.999999999999993</c:v>
                </c:pt>
                <c:pt idx="43">
                  <c:v>49.999999999999993</c:v>
                </c:pt>
                <c:pt idx="44">
                  <c:v>0</c:v>
                </c:pt>
                <c:pt idx="45">
                  <c:v>49.999999999999986</c:v>
                </c:pt>
                <c:pt idx="46">
                  <c:v>49.999999999999979</c:v>
                </c:pt>
                <c:pt idx="47">
                  <c:v>106.77777777777777</c:v>
                </c:pt>
                <c:pt idx="48">
                  <c:v>50</c:v>
                </c:pt>
                <c:pt idx="49">
                  <c:v>49.999999999999972</c:v>
                </c:pt>
                <c:pt idx="50">
                  <c:v>31</c:v>
                </c:pt>
                <c:pt idx="51">
                  <c:v>50</c:v>
                </c:pt>
                <c:pt idx="52">
                  <c:v>49.999999999999986</c:v>
                </c:pt>
                <c:pt idx="53">
                  <c:v>31</c:v>
                </c:pt>
                <c:pt idx="54">
                  <c:v>52.000000000000007</c:v>
                </c:pt>
                <c:pt idx="55">
                  <c:v>50</c:v>
                </c:pt>
                <c:pt idx="56">
                  <c:v>0</c:v>
                </c:pt>
                <c:pt idx="57">
                  <c:v>49.999999999999993</c:v>
                </c:pt>
                <c:pt idx="58">
                  <c:v>49.999999999999979</c:v>
                </c:pt>
                <c:pt idx="59">
                  <c:v>97.305555555555557</c:v>
                </c:pt>
                <c:pt idx="60">
                  <c:v>51.999999999999993</c:v>
                </c:pt>
                <c:pt idx="61">
                  <c:v>34</c:v>
                </c:pt>
                <c:pt idx="62">
                  <c:v>0</c:v>
                </c:pt>
                <c:pt idx="63">
                  <c:v>52.000000000000014</c:v>
                </c:pt>
                <c:pt idx="64">
                  <c:v>89.384615384615302</c:v>
                </c:pt>
                <c:pt idx="65">
                  <c:v>94.291666666666671</c:v>
                </c:pt>
                <c:pt idx="66">
                  <c:v>52.000000000000021</c:v>
                </c:pt>
                <c:pt idx="67">
                  <c:v>50</c:v>
                </c:pt>
                <c:pt idx="68">
                  <c:v>31.000000000000007</c:v>
                </c:pt>
                <c:pt idx="69">
                  <c:v>52.000000000000014</c:v>
                </c:pt>
                <c:pt idx="70">
                  <c:v>47.999999999999972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7D-4231-A0D1-853D049395B6}"/>
            </c:ext>
          </c:extLst>
        </c:ser>
        <c:ser>
          <c:idx val="4"/>
          <c:order val="4"/>
          <c:tx>
            <c:strRef>
              <c:f>LRMC!$A$8:$C$8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Node_5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LRMC!$D$8:$BW$8</c:f>
              <c:numCache>
                <c:formatCode>0</c:formatCode>
                <c:ptCount val="72"/>
                <c:pt idx="0">
                  <c:v>52.000000000000028</c:v>
                </c:pt>
                <c:pt idx="1">
                  <c:v>50.000000000000014</c:v>
                </c:pt>
                <c:pt idx="2">
                  <c:v>30.999999999999989</c:v>
                </c:pt>
                <c:pt idx="3">
                  <c:v>50.000000000000014</c:v>
                </c:pt>
                <c:pt idx="4">
                  <c:v>49.999999999999972</c:v>
                </c:pt>
                <c:pt idx="5">
                  <c:v>31.000000000000004</c:v>
                </c:pt>
                <c:pt idx="6">
                  <c:v>50</c:v>
                </c:pt>
                <c:pt idx="7">
                  <c:v>50</c:v>
                </c:pt>
                <c:pt idx="8">
                  <c:v>30.999999999999996</c:v>
                </c:pt>
                <c:pt idx="9">
                  <c:v>50.000000000000007</c:v>
                </c:pt>
                <c:pt idx="10">
                  <c:v>49.999999999999972</c:v>
                </c:pt>
                <c:pt idx="11">
                  <c:v>31</c:v>
                </c:pt>
                <c:pt idx="12">
                  <c:v>50.000000000000007</c:v>
                </c:pt>
                <c:pt idx="13">
                  <c:v>49.999999999999972</c:v>
                </c:pt>
                <c:pt idx="14">
                  <c:v>30.999999999999996</c:v>
                </c:pt>
                <c:pt idx="15">
                  <c:v>50</c:v>
                </c:pt>
                <c:pt idx="16">
                  <c:v>49.999999999999972</c:v>
                </c:pt>
                <c:pt idx="17">
                  <c:v>31</c:v>
                </c:pt>
                <c:pt idx="18">
                  <c:v>49.999999999999993</c:v>
                </c:pt>
                <c:pt idx="19">
                  <c:v>50</c:v>
                </c:pt>
                <c:pt idx="20">
                  <c:v>30.000000000000018</c:v>
                </c:pt>
                <c:pt idx="21">
                  <c:v>49.999999999999993</c:v>
                </c:pt>
                <c:pt idx="22">
                  <c:v>50.000000000000007</c:v>
                </c:pt>
                <c:pt idx="23">
                  <c:v>32.480519480519469</c:v>
                </c:pt>
                <c:pt idx="24">
                  <c:v>50</c:v>
                </c:pt>
                <c:pt idx="25">
                  <c:v>50</c:v>
                </c:pt>
                <c:pt idx="26">
                  <c:v>30.999999999999996</c:v>
                </c:pt>
                <c:pt idx="27">
                  <c:v>49.999999999999986</c:v>
                </c:pt>
                <c:pt idx="28">
                  <c:v>50.000000000000007</c:v>
                </c:pt>
                <c:pt idx="29">
                  <c:v>84.833333333333258</c:v>
                </c:pt>
                <c:pt idx="30">
                  <c:v>50.000000000000021</c:v>
                </c:pt>
                <c:pt idx="31">
                  <c:v>49.999999999999972</c:v>
                </c:pt>
                <c:pt idx="32">
                  <c:v>30.999999999999996</c:v>
                </c:pt>
                <c:pt idx="33">
                  <c:v>49.999999999999979</c:v>
                </c:pt>
                <c:pt idx="34">
                  <c:v>49.999999999999972</c:v>
                </c:pt>
                <c:pt idx="35">
                  <c:v>30.999999999999996</c:v>
                </c:pt>
                <c:pt idx="36">
                  <c:v>50</c:v>
                </c:pt>
                <c:pt idx="37">
                  <c:v>50</c:v>
                </c:pt>
                <c:pt idx="38">
                  <c:v>31.000000000000007</c:v>
                </c:pt>
                <c:pt idx="39">
                  <c:v>49.999999999999986</c:v>
                </c:pt>
                <c:pt idx="40">
                  <c:v>49.999999999999993</c:v>
                </c:pt>
                <c:pt idx="41">
                  <c:v>30.999999999999996</c:v>
                </c:pt>
                <c:pt idx="42">
                  <c:v>49.999999999999993</c:v>
                </c:pt>
                <c:pt idx="43">
                  <c:v>49.999999999999993</c:v>
                </c:pt>
                <c:pt idx="44">
                  <c:v>0</c:v>
                </c:pt>
                <c:pt idx="45">
                  <c:v>49.999999999999986</c:v>
                </c:pt>
                <c:pt idx="46">
                  <c:v>49.999999999999979</c:v>
                </c:pt>
                <c:pt idx="47">
                  <c:v>106.77777777777777</c:v>
                </c:pt>
                <c:pt idx="48">
                  <c:v>50</c:v>
                </c:pt>
                <c:pt idx="49">
                  <c:v>49.999999999999972</c:v>
                </c:pt>
                <c:pt idx="50">
                  <c:v>31</c:v>
                </c:pt>
                <c:pt idx="51">
                  <c:v>50</c:v>
                </c:pt>
                <c:pt idx="52">
                  <c:v>49.999999999999986</c:v>
                </c:pt>
                <c:pt idx="53">
                  <c:v>31</c:v>
                </c:pt>
                <c:pt idx="54">
                  <c:v>52.000000000000007</c:v>
                </c:pt>
                <c:pt idx="55">
                  <c:v>50</c:v>
                </c:pt>
                <c:pt idx="56">
                  <c:v>0</c:v>
                </c:pt>
                <c:pt idx="57">
                  <c:v>49.999999999999993</c:v>
                </c:pt>
                <c:pt idx="58">
                  <c:v>49.999999999999979</c:v>
                </c:pt>
                <c:pt idx="59">
                  <c:v>97.305555555555557</c:v>
                </c:pt>
                <c:pt idx="60">
                  <c:v>51.999999999999993</c:v>
                </c:pt>
                <c:pt idx="61">
                  <c:v>34</c:v>
                </c:pt>
                <c:pt idx="62">
                  <c:v>0</c:v>
                </c:pt>
                <c:pt idx="63">
                  <c:v>52.000000000000014</c:v>
                </c:pt>
                <c:pt idx="64">
                  <c:v>89.384615384615302</c:v>
                </c:pt>
                <c:pt idx="65">
                  <c:v>94.291666666666671</c:v>
                </c:pt>
                <c:pt idx="66">
                  <c:v>52.000000000000021</c:v>
                </c:pt>
                <c:pt idx="67">
                  <c:v>50</c:v>
                </c:pt>
                <c:pt idx="68">
                  <c:v>31.000000000000007</c:v>
                </c:pt>
                <c:pt idx="69">
                  <c:v>52.000000000000014</c:v>
                </c:pt>
                <c:pt idx="70">
                  <c:v>47.999999999999972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7D-4231-A0D1-853D049395B6}"/>
            </c:ext>
          </c:extLst>
        </c:ser>
        <c:ser>
          <c:idx val="5"/>
          <c:order val="5"/>
          <c:tx>
            <c:strRef>
              <c:f>LRMC!$A$9:$C$9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Node_6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LRMC!$D$9:$BW$9</c:f>
              <c:numCache>
                <c:formatCode>0</c:formatCode>
                <c:ptCount val="72"/>
                <c:pt idx="0">
                  <c:v>52</c:v>
                </c:pt>
                <c:pt idx="1">
                  <c:v>50.000000000000014</c:v>
                </c:pt>
                <c:pt idx="2">
                  <c:v>31.000000000000004</c:v>
                </c:pt>
                <c:pt idx="3">
                  <c:v>50.000000000000014</c:v>
                </c:pt>
                <c:pt idx="4">
                  <c:v>49.999999999999972</c:v>
                </c:pt>
                <c:pt idx="5">
                  <c:v>31.000000000000004</c:v>
                </c:pt>
                <c:pt idx="6">
                  <c:v>50.000000000000007</c:v>
                </c:pt>
                <c:pt idx="7">
                  <c:v>50</c:v>
                </c:pt>
                <c:pt idx="8">
                  <c:v>30.999999999999996</c:v>
                </c:pt>
                <c:pt idx="9">
                  <c:v>50.000000000000007</c:v>
                </c:pt>
                <c:pt idx="10">
                  <c:v>49.999999999999972</c:v>
                </c:pt>
                <c:pt idx="11">
                  <c:v>31</c:v>
                </c:pt>
                <c:pt idx="12">
                  <c:v>50.000000000000007</c:v>
                </c:pt>
                <c:pt idx="13">
                  <c:v>49.999999999999972</c:v>
                </c:pt>
                <c:pt idx="14">
                  <c:v>31</c:v>
                </c:pt>
                <c:pt idx="15">
                  <c:v>50</c:v>
                </c:pt>
                <c:pt idx="16">
                  <c:v>49.999999999999972</c:v>
                </c:pt>
                <c:pt idx="17">
                  <c:v>31</c:v>
                </c:pt>
                <c:pt idx="18">
                  <c:v>49.999999999999993</c:v>
                </c:pt>
                <c:pt idx="19">
                  <c:v>50</c:v>
                </c:pt>
                <c:pt idx="20">
                  <c:v>29.999999999999996</c:v>
                </c:pt>
                <c:pt idx="21">
                  <c:v>49.999999999999986</c:v>
                </c:pt>
                <c:pt idx="22">
                  <c:v>50.000000000000036</c:v>
                </c:pt>
                <c:pt idx="23">
                  <c:v>32.480519480519469</c:v>
                </c:pt>
                <c:pt idx="24">
                  <c:v>50</c:v>
                </c:pt>
                <c:pt idx="25">
                  <c:v>50</c:v>
                </c:pt>
                <c:pt idx="26">
                  <c:v>30.999999999999996</c:v>
                </c:pt>
                <c:pt idx="27">
                  <c:v>49.999999999999986</c:v>
                </c:pt>
                <c:pt idx="28">
                  <c:v>50.000000000000007</c:v>
                </c:pt>
                <c:pt idx="29">
                  <c:v>84.833333333333258</c:v>
                </c:pt>
                <c:pt idx="30">
                  <c:v>50.000000000000021</c:v>
                </c:pt>
                <c:pt idx="31">
                  <c:v>49.999999999999972</c:v>
                </c:pt>
                <c:pt idx="32">
                  <c:v>31</c:v>
                </c:pt>
                <c:pt idx="33">
                  <c:v>49.999999999999979</c:v>
                </c:pt>
                <c:pt idx="34">
                  <c:v>49.999999999999972</c:v>
                </c:pt>
                <c:pt idx="35">
                  <c:v>31</c:v>
                </c:pt>
                <c:pt idx="36">
                  <c:v>50</c:v>
                </c:pt>
                <c:pt idx="37">
                  <c:v>50</c:v>
                </c:pt>
                <c:pt idx="38">
                  <c:v>31</c:v>
                </c:pt>
                <c:pt idx="39">
                  <c:v>49.999999999999986</c:v>
                </c:pt>
                <c:pt idx="40">
                  <c:v>49.999999999999986</c:v>
                </c:pt>
                <c:pt idx="41">
                  <c:v>31</c:v>
                </c:pt>
                <c:pt idx="42">
                  <c:v>49.999999999999993</c:v>
                </c:pt>
                <c:pt idx="43">
                  <c:v>49.999999999999986</c:v>
                </c:pt>
                <c:pt idx="44">
                  <c:v>0</c:v>
                </c:pt>
                <c:pt idx="45">
                  <c:v>49.999999999999979</c:v>
                </c:pt>
                <c:pt idx="46">
                  <c:v>49.999999999999972</c:v>
                </c:pt>
                <c:pt idx="47">
                  <c:v>106.7777777777778</c:v>
                </c:pt>
                <c:pt idx="48">
                  <c:v>50</c:v>
                </c:pt>
                <c:pt idx="49">
                  <c:v>49.999999999999972</c:v>
                </c:pt>
                <c:pt idx="50">
                  <c:v>31</c:v>
                </c:pt>
                <c:pt idx="51">
                  <c:v>50</c:v>
                </c:pt>
                <c:pt idx="52">
                  <c:v>49.999999999999979</c:v>
                </c:pt>
                <c:pt idx="53">
                  <c:v>31</c:v>
                </c:pt>
                <c:pt idx="54">
                  <c:v>52.000000000000007</c:v>
                </c:pt>
                <c:pt idx="55">
                  <c:v>50</c:v>
                </c:pt>
                <c:pt idx="56">
                  <c:v>0</c:v>
                </c:pt>
                <c:pt idx="57">
                  <c:v>49.999999999999986</c:v>
                </c:pt>
                <c:pt idx="58">
                  <c:v>49.999999999999979</c:v>
                </c:pt>
                <c:pt idx="59">
                  <c:v>97.305555555555557</c:v>
                </c:pt>
                <c:pt idx="60">
                  <c:v>52.000000000000007</c:v>
                </c:pt>
                <c:pt idx="61">
                  <c:v>34</c:v>
                </c:pt>
                <c:pt idx="62">
                  <c:v>0</c:v>
                </c:pt>
                <c:pt idx="63">
                  <c:v>52.000000000000007</c:v>
                </c:pt>
                <c:pt idx="64">
                  <c:v>89.384615384615302</c:v>
                </c:pt>
                <c:pt idx="65">
                  <c:v>94.291666666666671</c:v>
                </c:pt>
                <c:pt idx="66">
                  <c:v>52.000000000000014</c:v>
                </c:pt>
                <c:pt idx="67">
                  <c:v>50</c:v>
                </c:pt>
                <c:pt idx="68">
                  <c:v>31</c:v>
                </c:pt>
                <c:pt idx="69">
                  <c:v>52</c:v>
                </c:pt>
                <c:pt idx="70">
                  <c:v>47.999999999999972</c:v>
                </c:pt>
                <c:pt idx="7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7D-4231-A0D1-853D049395B6}"/>
            </c:ext>
          </c:extLst>
        </c:ser>
        <c:ser>
          <c:idx val="6"/>
          <c:order val="6"/>
          <c:tx>
            <c:strRef>
              <c:f>LRMC!$A$10:$C$10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Node_7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LRMC!$D$10:$BW$10</c:f>
              <c:numCache>
                <c:formatCode>0</c:formatCode>
                <c:ptCount val="72"/>
                <c:pt idx="0">
                  <c:v>52</c:v>
                </c:pt>
                <c:pt idx="1">
                  <c:v>50.000000000000014</c:v>
                </c:pt>
                <c:pt idx="2">
                  <c:v>31.000000000000004</c:v>
                </c:pt>
                <c:pt idx="3">
                  <c:v>50.000000000000014</c:v>
                </c:pt>
                <c:pt idx="4">
                  <c:v>49.999999999999972</c:v>
                </c:pt>
                <c:pt idx="5">
                  <c:v>31.000000000000004</c:v>
                </c:pt>
                <c:pt idx="6">
                  <c:v>50.000000000000007</c:v>
                </c:pt>
                <c:pt idx="7">
                  <c:v>50</c:v>
                </c:pt>
                <c:pt idx="8">
                  <c:v>30.999999999999996</c:v>
                </c:pt>
                <c:pt idx="9">
                  <c:v>50.000000000000007</c:v>
                </c:pt>
                <c:pt idx="10">
                  <c:v>49.999999999999972</c:v>
                </c:pt>
                <c:pt idx="11">
                  <c:v>31</c:v>
                </c:pt>
                <c:pt idx="12">
                  <c:v>50.000000000000007</c:v>
                </c:pt>
                <c:pt idx="13">
                  <c:v>49.999999999999972</c:v>
                </c:pt>
                <c:pt idx="14">
                  <c:v>31</c:v>
                </c:pt>
                <c:pt idx="15">
                  <c:v>50</c:v>
                </c:pt>
                <c:pt idx="16">
                  <c:v>49.999999999999972</c:v>
                </c:pt>
                <c:pt idx="17">
                  <c:v>31</c:v>
                </c:pt>
                <c:pt idx="18">
                  <c:v>49.999999999999993</c:v>
                </c:pt>
                <c:pt idx="19">
                  <c:v>50</c:v>
                </c:pt>
                <c:pt idx="20">
                  <c:v>29.999999999999996</c:v>
                </c:pt>
                <c:pt idx="21">
                  <c:v>49.999999999999986</c:v>
                </c:pt>
                <c:pt idx="22">
                  <c:v>50.000000000000036</c:v>
                </c:pt>
                <c:pt idx="23">
                  <c:v>32.480519480519462</c:v>
                </c:pt>
                <c:pt idx="24">
                  <c:v>50</c:v>
                </c:pt>
                <c:pt idx="25">
                  <c:v>50</c:v>
                </c:pt>
                <c:pt idx="26">
                  <c:v>30.999999999999996</c:v>
                </c:pt>
                <c:pt idx="27">
                  <c:v>49.999999999999986</c:v>
                </c:pt>
                <c:pt idx="28">
                  <c:v>50.000000000000007</c:v>
                </c:pt>
                <c:pt idx="29">
                  <c:v>84.833333333333258</c:v>
                </c:pt>
                <c:pt idx="30">
                  <c:v>50.000000000000021</c:v>
                </c:pt>
                <c:pt idx="31">
                  <c:v>49.999999999999972</c:v>
                </c:pt>
                <c:pt idx="32">
                  <c:v>31</c:v>
                </c:pt>
                <c:pt idx="33">
                  <c:v>49.999999999999979</c:v>
                </c:pt>
                <c:pt idx="34">
                  <c:v>49.999999999999972</c:v>
                </c:pt>
                <c:pt idx="35">
                  <c:v>31</c:v>
                </c:pt>
                <c:pt idx="36">
                  <c:v>50</c:v>
                </c:pt>
                <c:pt idx="37">
                  <c:v>50</c:v>
                </c:pt>
                <c:pt idx="38">
                  <c:v>31</c:v>
                </c:pt>
                <c:pt idx="39">
                  <c:v>49.999999999999986</c:v>
                </c:pt>
                <c:pt idx="40">
                  <c:v>49.999999999999986</c:v>
                </c:pt>
                <c:pt idx="41">
                  <c:v>31</c:v>
                </c:pt>
                <c:pt idx="42">
                  <c:v>49.999999999999993</c:v>
                </c:pt>
                <c:pt idx="43">
                  <c:v>49.999999999999986</c:v>
                </c:pt>
                <c:pt idx="44">
                  <c:v>0</c:v>
                </c:pt>
                <c:pt idx="45">
                  <c:v>49.999999999999979</c:v>
                </c:pt>
                <c:pt idx="46">
                  <c:v>49.999999999999979</c:v>
                </c:pt>
                <c:pt idx="47">
                  <c:v>106.7777777777778</c:v>
                </c:pt>
                <c:pt idx="48">
                  <c:v>50</c:v>
                </c:pt>
                <c:pt idx="49">
                  <c:v>49.999999999999972</c:v>
                </c:pt>
                <c:pt idx="50">
                  <c:v>31</c:v>
                </c:pt>
                <c:pt idx="51">
                  <c:v>50</c:v>
                </c:pt>
                <c:pt idx="52">
                  <c:v>49.999999999999986</c:v>
                </c:pt>
                <c:pt idx="53">
                  <c:v>31</c:v>
                </c:pt>
                <c:pt idx="54">
                  <c:v>52.000000000000007</c:v>
                </c:pt>
                <c:pt idx="55">
                  <c:v>50</c:v>
                </c:pt>
                <c:pt idx="56">
                  <c:v>0</c:v>
                </c:pt>
                <c:pt idx="57">
                  <c:v>49.999999999999993</c:v>
                </c:pt>
                <c:pt idx="58">
                  <c:v>49.999999999999979</c:v>
                </c:pt>
                <c:pt idx="59">
                  <c:v>97.305555555555557</c:v>
                </c:pt>
                <c:pt idx="60">
                  <c:v>52.000000000000007</c:v>
                </c:pt>
                <c:pt idx="61">
                  <c:v>34</c:v>
                </c:pt>
                <c:pt idx="62">
                  <c:v>0</c:v>
                </c:pt>
                <c:pt idx="63">
                  <c:v>52.000000000000007</c:v>
                </c:pt>
                <c:pt idx="64">
                  <c:v>89.384615384615302</c:v>
                </c:pt>
                <c:pt idx="65">
                  <c:v>94.291666666666671</c:v>
                </c:pt>
                <c:pt idx="66">
                  <c:v>52.000000000000014</c:v>
                </c:pt>
                <c:pt idx="67">
                  <c:v>50</c:v>
                </c:pt>
                <c:pt idx="68">
                  <c:v>31</c:v>
                </c:pt>
                <c:pt idx="69">
                  <c:v>52</c:v>
                </c:pt>
                <c:pt idx="70">
                  <c:v>47.999999999999972</c:v>
                </c:pt>
                <c:pt idx="7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7D-4231-A0D1-853D049395B6}"/>
            </c:ext>
          </c:extLst>
        </c:ser>
        <c:ser>
          <c:idx val="7"/>
          <c:order val="7"/>
          <c:tx>
            <c:strRef>
              <c:f>LRMC!$A$11:$C$11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Node_8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LRMC!$D$11:$BW$11</c:f>
              <c:numCache>
                <c:formatCode>0</c:formatCode>
                <c:ptCount val="72"/>
                <c:pt idx="0">
                  <c:v>52</c:v>
                </c:pt>
                <c:pt idx="1">
                  <c:v>50.000000000000014</c:v>
                </c:pt>
                <c:pt idx="2">
                  <c:v>31.000000000000004</c:v>
                </c:pt>
                <c:pt idx="3">
                  <c:v>50.000000000000014</c:v>
                </c:pt>
                <c:pt idx="4">
                  <c:v>49.999999999999972</c:v>
                </c:pt>
                <c:pt idx="5">
                  <c:v>31.000000000000004</c:v>
                </c:pt>
                <c:pt idx="6">
                  <c:v>50.000000000000007</c:v>
                </c:pt>
                <c:pt idx="7">
                  <c:v>50</c:v>
                </c:pt>
                <c:pt idx="8">
                  <c:v>30.999999999999996</c:v>
                </c:pt>
                <c:pt idx="9">
                  <c:v>50.000000000000007</c:v>
                </c:pt>
                <c:pt idx="10">
                  <c:v>49.999999999999972</c:v>
                </c:pt>
                <c:pt idx="11">
                  <c:v>31</c:v>
                </c:pt>
                <c:pt idx="12">
                  <c:v>50.000000000000007</c:v>
                </c:pt>
                <c:pt idx="13">
                  <c:v>49.999999999999972</c:v>
                </c:pt>
                <c:pt idx="14">
                  <c:v>31</c:v>
                </c:pt>
                <c:pt idx="15">
                  <c:v>50</c:v>
                </c:pt>
                <c:pt idx="16">
                  <c:v>49.999999999999972</c:v>
                </c:pt>
                <c:pt idx="17">
                  <c:v>31</c:v>
                </c:pt>
                <c:pt idx="18">
                  <c:v>49.999999999999993</c:v>
                </c:pt>
                <c:pt idx="19">
                  <c:v>50</c:v>
                </c:pt>
                <c:pt idx="20">
                  <c:v>29.999999999999996</c:v>
                </c:pt>
                <c:pt idx="21">
                  <c:v>49.999999999999986</c:v>
                </c:pt>
                <c:pt idx="22">
                  <c:v>50.000000000000036</c:v>
                </c:pt>
                <c:pt idx="23">
                  <c:v>32.480519480519462</c:v>
                </c:pt>
                <c:pt idx="24">
                  <c:v>50</c:v>
                </c:pt>
                <c:pt idx="25">
                  <c:v>50</c:v>
                </c:pt>
                <c:pt idx="26">
                  <c:v>30.999999999999996</c:v>
                </c:pt>
                <c:pt idx="27">
                  <c:v>49.999999999999986</c:v>
                </c:pt>
                <c:pt idx="28">
                  <c:v>50.000000000000007</c:v>
                </c:pt>
                <c:pt idx="29">
                  <c:v>84.833333333333258</c:v>
                </c:pt>
                <c:pt idx="30">
                  <c:v>50.000000000000021</c:v>
                </c:pt>
                <c:pt idx="31">
                  <c:v>49.999999999999972</c:v>
                </c:pt>
                <c:pt idx="32">
                  <c:v>31</c:v>
                </c:pt>
                <c:pt idx="33">
                  <c:v>49.999999999999979</c:v>
                </c:pt>
                <c:pt idx="34">
                  <c:v>49.999999999999972</c:v>
                </c:pt>
                <c:pt idx="35">
                  <c:v>31</c:v>
                </c:pt>
                <c:pt idx="36">
                  <c:v>50</c:v>
                </c:pt>
                <c:pt idx="37">
                  <c:v>50</c:v>
                </c:pt>
                <c:pt idx="38">
                  <c:v>31</c:v>
                </c:pt>
                <c:pt idx="39">
                  <c:v>49.999999999999986</c:v>
                </c:pt>
                <c:pt idx="40">
                  <c:v>49.999999999999986</c:v>
                </c:pt>
                <c:pt idx="41">
                  <c:v>31</c:v>
                </c:pt>
                <c:pt idx="42">
                  <c:v>49.999999999999993</c:v>
                </c:pt>
                <c:pt idx="43">
                  <c:v>49.999999999999986</c:v>
                </c:pt>
                <c:pt idx="44">
                  <c:v>0</c:v>
                </c:pt>
                <c:pt idx="45">
                  <c:v>49.999999999999979</c:v>
                </c:pt>
                <c:pt idx="46">
                  <c:v>49.999999999999979</c:v>
                </c:pt>
                <c:pt idx="47">
                  <c:v>106.7777777777778</c:v>
                </c:pt>
                <c:pt idx="48">
                  <c:v>50</c:v>
                </c:pt>
                <c:pt idx="49">
                  <c:v>49.999999999999972</c:v>
                </c:pt>
                <c:pt idx="50">
                  <c:v>31</c:v>
                </c:pt>
                <c:pt idx="51">
                  <c:v>50</c:v>
                </c:pt>
                <c:pt idx="52">
                  <c:v>49.999999999999986</c:v>
                </c:pt>
                <c:pt idx="53">
                  <c:v>31</c:v>
                </c:pt>
                <c:pt idx="54">
                  <c:v>52.000000000000007</c:v>
                </c:pt>
                <c:pt idx="55">
                  <c:v>50</c:v>
                </c:pt>
                <c:pt idx="56">
                  <c:v>0</c:v>
                </c:pt>
                <c:pt idx="57">
                  <c:v>49.999999999999993</c:v>
                </c:pt>
                <c:pt idx="58">
                  <c:v>49.999999999999979</c:v>
                </c:pt>
                <c:pt idx="59">
                  <c:v>97.305555555555557</c:v>
                </c:pt>
                <c:pt idx="60">
                  <c:v>52.000000000000007</c:v>
                </c:pt>
                <c:pt idx="61">
                  <c:v>34</c:v>
                </c:pt>
                <c:pt idx="62">
                  <c:v>0</c:v>
                </c:pt>
                <c:pt idx="63">
                  <c:v>52.000000000000007</c:v>
                </c:pt>
                <c:pt idx="64">
                  <c:v>89.384615384615302</c:v>
                </c:pt>
                <c:pt idx="65">
                  <c:v>94.291666666666671</c:v>
                </c:pt>
                <c:pt idx="66">
                  <c:v>52.000000000000014</c:v>
                </c:pt>
                <c:pt idx="67">
                  <c:v>50</c:v>
                </c:pt>
                <c:pt idx="68">
                  <c:v>31</c:v>
                </c:pt>
                <c:pt idx="69">
                  <c:v>52</c:v>
                </c:pt>
                <c:pt idx="70">
                  <c:v>47.999999999999972</c:v>
                </c:pt>
                <c:pt idx="7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D7D-4231-A0D1-853D049395B6}"/>
            </c:ext>
          </c:extLst>
        </c:ser>
        <c:ser>
          <c:idx val="8"/>
          <c:order val="8"/>
          <c:tx>
            <c:strRef>
              <c:f>LRMC!$A$12:$C$12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Node_9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LRMC!$D$12:$BW$12</c:f>
              <c:numCache>
                <c:formatCode>0</c:formatCode>
                <c:ptCount val="72"/>
                <c:pt idx="0">
                  <c:v>52</c:v>
                </c:pt>
                <c:pt idx="1">
                  <c:v>50.000000000000014</c:v>
                </c:pt>
                <c:pt idx="2">
                  <c:v>31.000000000000004</c:v>
                </c:pt>
                <c:pt idx="3">
                  <c:v>50.000000000000014</c:v>
                </c:pt>
                <c:pt idx="4">
                  <c:v>49.999999999999972</c:v>
                </c:pt>
                <c:pt idx="5">
                  <c:v>31.000000000000004</c:v>
                </c:pt>
                <c:pt idx="6">
                  <c:v>50.000000000000007</c:v>
                </c:pt>
                <c:pt idx="7">
                  <c:v>50</c:v>
                </c:pt>
                <c:pt idx="8">
                  <c:v>30.999999999999996</c:v>
                </c:pt>
                <c:pt idx="9">
                  <c:v>50.000000000000007</c:v>
                </c:pt>
                <c:pt idx="10">
                  <c:v>49.999999999999972</c:v>
                </c:pt>
                <c:pt idx="11">
                  <c:v>31</c:v>
                </c:pt>
                <c:pt idx="12">
                  <c:v>50.000000000000007</c:v>
                </c:pt>
                <c:pt idx="13">
                  <c:v>49.999999999999972</c:v>
                </c:pt>
                <c:pt idx="14">
                  <c:v>31</c:v>
                </c:pt>
                <c:pt idx="15">
                  <c:v>50</c:v>
                </c:pt>
                <c:pt idx="16">
                  <c:v>49.999999999999972</c:v>
                </c:pt>
                <c:pt idx="17">
                  <c:v>31</c:v>
                </c:pt>
                <c:pt idx="18">
                  <c:v>49.999999999999993</c:v>
                </c:pt>
                <c:pt idx="19">
                  <c:v>50</c:v>
                </c:pt>
                <c:pt idx="20">
                  <c:v>29.999999999999996</c:v>
                </c:pt>
                <c:pt idx="21">
                  <c:v>49.999999999999986</c:v>
                </c:pt>
                <c:pt idx="22">
                  <c:v>50.000000000000036</c:v>
                </c:pt>
                <c:pt idx="23">
                  <c:v>32.480519480519462</c:v>
                </c:pt>
                <c:pt idx="24">
                  <c:v>50</c:v>
                </c:pt>
                <c:pt idx="25">
                  <c:v>50</c:v>
                </c:pt>
                <c:pt idx="26">
                  <c:v>30.999999999999996</c:v>
                </c:pt>
                <c:pt idx="27">
                  <c:v>49.999999999999986</c:v>
                </c:pt>
                <c:pt idx="28">
                  <c:v>50.000000000000007</c:v>
                </c:pt>
                <c:pt idx="29">
                  <c:v>84.833333333333258</c:v>
                </c:pt>
                <c:pt idx="30">
                  <c:v>50.000000000000021</c:v>
                </c:pt>
                <c:pt idx="31">
                  <c:v>49.999999999999972</c:v>
                </c:pt>
                <c:pt idx="32">
                  <c:v>31</c:v>
                </c:pt>
                <c:pt idx="33">
                  <c:v>49.999999999999979</c:v>
                </c:pt>
                <c:pt idx="34">
                  <c:v>49.999999999999972</c:v>
                </c:pt>
                <c:pt idx="35">
                  <c:v>31</c:v>
                </c:pt>
                <c:pt idx="36">
                  <c:v>50</c:v>
                </c:pt>
                <c:pt idx="37">
                  <c:v>50</c:v>
                </c:pt>
                <c:pt idx="38">
                  <c:v>31</c:v>
                </c:pt>
                <c:pt idx="39">
                  <c:v>49.999999999999986</c:v>
                </c:pt>
                <c:pt idx="40">
                  <c:v>49.999999999999986</c:v>
                </c:pt>
                <c:pt idx="41">
                  <c:v>31</c:v>
                </c:pt>
                <c:pt idx="42">
                  <c:v>49.999999999999993</c:v>
                </c:pt>
                <c:pt idx="43">
                  <c:v>49.999999999999986</c:v>
                </c:pt>
                <c:pt idx="44">
                  <c:v>0</c:v>
                </c:pt>
                <c:pt idx="45">
                  <c:v>49.999999999999979</c:v>
                </c:pt>
                <c:pt idx="46">
                  <c:v>49.999999999999979</c:v>
                </c:pt>
                <c:pt idx="47">
                  <c:v>106.7777777777778</c:v>
                </c:pt>
                <c:pt idx="48">
                  <c:v>50</c:v>
                </c:pt>
                <c:pt idx="49">
                  <c:v>49.999999999999972</c:v>
                </c:pt>
                <c:pt idx="50">
                  <c:v>31</c:v>
                </c:pt>
                <c:pt idx="51">
                  <c:v>50</c:v>
                </c:pt>
                <c:pt idx="52">
                  <c:v>49.999999999999986</c:v>
                </c:pt>
                <c:pt idx="53">
                  <c:v>31</c:v>
                </c:pt>
                <c:pt idx="54">
                  <c:v>52.000000000000007</c:v>
                </c:pt>
                <c:pt idx="55">
                  <c:v>50</c:v>
                </c:pt>
                <c:pt idx="56">
                  <c:v>0</c:v>
                </c:pt>
                <c:pt idx="57">
                  <c:v>49.999999999999993</c:v>
                </c:pt>
                <c:pt idx="58">
                  <c:v>49.999999999999979</c:v>
                </c:pt>
                <c:pt idx="59">
                  <c:v>97.305555555555557</c:v>
                </c:pt>
                <c:pt idx="60">
                  <c:v>52.000000000000007</c:v>
                </c:pt>
                <c:pt idx="61">
                  <c:v>34</c:v>
                </c:pt>
                <c:pt idx="62">
                  <c:v>0</c:v>
                </c:pt>
                <c:pt idx="63">
                  <c:v>52.000000000000007</c:v>
                </c:pt>
                <c:pt idx="64">
                  <c:v>89.384615384615302</c:v>
                </c:pt>
                <c:pt idx="65">
                  <c:v>94.291666666666671</c:v>
                </c:pt>
                <c:pt idx="66">
                  <c:v>52.000000000000014</c:v>
                </c:pt>
                <c:pt idx="67">
                  <c:v>50</c:v>
                </c:pt>
                <c:pt idx="68">
                  <c:v>31</c:v>
                </c:pt>
                <c:pt idx="69">
                  <c:v>52</c:v>
                </c:pt>
                <c:pt idx="70">
                  <c:v>47.999999999999972</c:v>
                </c:pt>
                <c:pt idx="7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7D-4231-A0D1-853D049395B6}"/>
            </c:ext>
          </c:extLst>
        </c:ser>
        <c:ser>
          <c:idx val="9"/>
          <c:order val="9"/>
          <c:tx>
            <c:strRef>
              <c:f>LRMC!$A$13:$C$13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Node_1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LRMC!$D$13:$BW$13</c:f>
              <c:numCache>
                <c:formatCode>0</c:formatCode>
                <c:ptCount val="72"/>
                <c:pt idx="0">
                  <c:v>51.999999999999915</c:v>
                </c:pt>
                <c:pt idx="1">
                  <c:v>52.00000000000005</c:v>
                </c:pt>
                <c:pt idx="2">
                  <c:v>31.000000000000007</c:v>
                </c:pt>
                <c:pt idx="3">
                  <c:v>51.999999999999929</c:v>
                </c:pt>
                <c:pt idx="4">
                  <c:v>50.000000000000007</c:v>
                </c:pt>
                <c:pt idx="5">
                  <c:v>31.000000000000007</c:v>
                </c:pt>
                <c:pt idx="6">
                  <c:v>51.999999999999936</c:v>
                </c:pt>
                <c:pt idx="7">
                  <c:v>51.999999999999986</c:v>
                </c:pt>
                <c:pt idx="8">
                  <c:v>30.999999999999989</c:v>
                </c:pt>
                <c:pt idx="9">
                  <c:v>51.999999999999915</c:v>
                </c:pt>
                <c:pt idx="10">
                  <c:v>49.999999999999993</c:v>
                </c:pt>
                <c:pt idx="11">
                  <c:v>31.000000000000004</c:v>
                </c:pt>
                <c:pt idx="12">
                  <c:v>34</c:v>
                </c:pt>
                <c:pt idx="13">
                  <c:v>33.999999999999986</c:v>
                </c:pt>
                <c:pt idx="14">
                  <c:v>0</c:v>
                </c:pt>
                <c:pt idx="15">
                  <c:v>10000</c:v>
                </c:pt>
                <c:pt idx="16">
                  <c:v>92.707692307692071</c:v>
                </c:pt>
                <c:pt idx="17">
                  <c:v>79.825000000000003</c:v>
                </c:pt>
                <c:pt idx="18">
                  <c:v>51.999999999999936</c:v>
                </c:pt>
                <c:pt idx="19">
                  <c:v>51.999999999999929</c:v>
                </c:pt>
                <c:pt idx="20">
                  <c:v>0</c:v>
                </c:pt>
                <c:pt idx="21">
                  <c:v>51.999999999999929</c:v>
                </c:pt>
                <c:pt idx="22">
                  <c:v>30.999999999999986</c:v>
                </c:pt>
                <c:pt idx="23">
                  <c:v>76.896103896103895</c:v>
                </c:pt>
                <c:pt idx="24">
                  <c:v>50.000000000000007</c:v>
                </c:pt>
                <c:pt idx="25">
                  <c:v>49.999999999999993</c:v>
                </c:pt>
                <c:pt idx="26">
                  <c:v>31.000000000000007</c:v>
                </c:pt>
                <c:pt idx="27">
                  <c:v>58.51851851851827</c:v>
                </c:pt>
                <c:pt idx="28">
                  <c:v>57.26495726495709</c:v>
                </c:pt>
                <c:pt idx="29">
                  <c:v>90.499999999999957</c:v>
                </c:pt>
                <c:pt idx="30">
                  <c:v>51.999999999999936</c:v>
                </c:pt>
                <c:pt idx="31">
                  <c:v>51.999999999999972</c:v>
                </c:pt>
                <c:pt idx="32">
                  <c:v>31.000000000000004</c:v>
                </c:pt>
                <c:pt idx="33">
                  <c:v>51.999999999999979</c:v>
                </c:pt>
                <c:pt idx="34">
                  <c:v>51.999999999999972</c:v>
                </c:pt>
                <c:pt idx="35">
                  <c:v>40</c:v>
                </c:pt>
                <c:pt idx="36">
                  <c:v>51.999999999999936</c:v>
                </c:pt>
                <c:pt idx="37">
                  <c:v>52</c:v>
                </c:pt>
                <c:pt idx="38">
                  <c:v>0</c:v>
                </c:pt>
                <c:pt idx="39">
                  <c:v>52</c:v>
                </c:pt>
                <c:pt idx="40">
                  <c:v>34.000000000000014</c:v>
                </c:pt>
                <c:pt idx="41">
                  <c:v>106.77777777777779</c:v>
                </c:pt>
                <c:pt idx="42">
                  <c:v>51.999999999999929</c:v>
                </c:pt>
                <c:pt idx="43">
                  <c:v>51.999999999999929</c:v>
                </c:pt>
                <c:pt idx="44">
                  <c:v>0</c:v>
                </c:pt>
                <c:pt idx="45">
                  <c:v>51.999999999999943</c:v>
                </c:pt>
                <c:pt idx="46">
                  <c:v>52</c:v>
                </c:pt>
                <c:pt idx="47">
                  <c:v>106.77777777777779</c:v>
                </c:pt>
                <c:pt idx="48">
                  <c:v>51.999999999999943</c:v>
                </c:pt>
                <c:pt idx="49">
                  <c:v>51.999999999999936</c:v>
                </c:pt>
                <c:pt idx="50">
                  <c:v>31.000000000000021</c:v>
                </c:pt>
                <c:pt idx="51">
                  <c:v>51.999999999999936</c:v>
                </c:pt>
                <c:pt idx="52">
                  <c:v>49.999999999999993</c:v>
                </c:pt>
                <c:pt idx="53">
                  <c:v>30.999999999999996</c:v>
                </c:pt>
                <c:pt idx="54">
                  <c:v>52.000000000000021</c:v>
                </c:pt>
                <c:pt idx="55">
                  <c:v>49.999999999999993</c:v>
                </c:pt>
                <c:pt idx="56">
                  <c:v>30.999999999999996</c:v>
                </c:pt>
                <c:pt idx="57">
                  <c:v>51.999999999999702</c:v>
                </c:pt>
                <c:pt idx="58">
                  <c:v>31.000000000000021</c:v>
                </c:pt>
                <c:pt idx="59">
                  <c:v>31.000000000000004</c:v>
                </c:pt>
                <c:pt idx="60">
                  <c:v>51.999999999999936</c:v>
                </c:pt>
                <c:pt idx="61">
                  <c:v>51.999999999999986</c:v>
                </c:pt>
                <c:pt idx="62">
                  <c:v>31.000000000000014</c:v>
                </c:pt>
                <c:pt idx="63">
                  <c:v>51.999999999999943</c:v>
                </c:pt>
                <c:pt idx="64">
                  <c:v>51.999999999999986</c:v>
                </c:pt>
                <c:pt idx="65">
                  <c:v>31.000000000000014</c:v>
                </c:pt>
                <c:pt idx="66">
                  <c:v>52.000000000000021</c:v>
                </c:pt>
                <c:pt idx="67">
                  <c:v>52.000000000000014</c:v>
                </c:pt>
                <c:pt idx="68">
                  <c:v>31.000000000000004</c:v>
                </c:pt>
                <c:pt idx="69">
                  <c:v>51.999999999999837</c:v>
                </c:pt>
                <c:pt idx="70">
                  <c:v>49.999999999999993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7D-4231-A0D1-853D049395B6}"/>
            </c:ext>
          </c:extLst>
        </c:ser>
        <c:ser>
          <c:idx val="10"/>
          <c:order val="10"/>
          <c:tx>
            <c:strRef>
              <c:f>LRMC!$A$14:$C$14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Node_2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LRMC!$D$14:$BW$14</c:f>
              <c:numCache>
                <c:formatCode>0</c:formatCode>
                <c:ptCount val="72"/>
                <c:pt idx="0">
                  <c:v>51.999999999999915</c:v>
                </c:pt>
                <c:pt idx="1">
                  <c:v>52.000000000000007</c:v>
                </c:pt>
                <c:pt idx="2">
                  <c:v>30.999999999999996</c:v>
                </c:pt>
                <c:pt idx="3">
                  <c:v>51.999999999999936</c:v>
                </c:pt>
                <c:pt idx="4">
                  <c:v>50.000000000000007</c:v>
                </c:pt>
                <c:pt idx="5">
                  <c:v>31.000000000000007</c:v>
                </c:pt>
                <c:pt idx="6">
                  <c:v>51.999999999999943</c:v>
                </c:pt>
                <c:pt idx="7">
                  <c:v>51.999999999999986</c:v>
                </c:pt>
                <c:pt idx="8">
                  <c:v>30.999999999999996</c:v>
                </c:pt>
                <c:pt idx="9">
                  <c:v>51.999999999999943</c:v>
                </c:pt>
                <c:pt idx="10">
                  <c:v>49.999999999999993</c:v>
                </c:pt>
                <c:pt idx="11">
                  <c:v>31.000000000000004</c:v>
                </c:pt>
                <c:pt idx="12">
                  <c:v>34</c:v>
                </c:pt>
                <c:pt idx="13">
                  <c:v>33.999999999999986</c:v>
                </c:pt>
                <c:pt idx="14">
                  <c:v>0</c:v>
                </c:pt>
                <c:pt idx="15">
                  <c:v>10000</c:v>
                </c:pt>
                <c:pt idx="16">
                  <c:v>92.707692307692142</c:v>
                </c:pt>
                <c:pt idx="17">
                  <c:v>79.825000000000003</c:v>
                </c:pt>
                <c:pt idx="18">
                  <c:v>51.999999999999936</c:v>
                </c:pt>
                <c:pt idx="19">
                  <c:v>51.999999999999936</c:v>
                </c:pt>
                <c:pt idx="20">
                  <c:v>0</c:v>
                </c:pt>
                <c:pt idx="21">
                  <c:v>51.999999999999915</c:v>
                </c:pt>
                <c:pt idx="22">
                  <c:v>30.999999999999996</c:v>
                </c:pt>
                <c:pt idx="23">
                  <c:v>76.896103896103895</c:v>
                </c:pt>
                <c:pt idx="24">
                  <c:v>49.999999999999993</c:v>
                </c:pt>
                <c:pt idx="25">
                  <c:v>50.000000000000007</c:v>
                </c:pt>
                <c:pt idx="26">
                  <c:v>30.999999999999996</c:v>
                </c:pt>
                <c:pt idx="27">
                  <c:v>58.51851851851827</c:v>
                </c:pt>
                <c:pt idx="28">
                  <c:v>57.264957264957069</c:v>
                </c:pt>
                <c:pt idx="29">
                  <c:v>90.499999999999957</c:v>
                </c:pt>
                <c:pt idx="30">
                  <c:v>51.999999999999915</c:v>
                </c:pt>
                <c:pt idx="31">
                  <c:v>51.999999999999972</c:v>
                </c:pt>
                <c:pt idx="32">
                  <c:v>31.000000000000004</c:v>
                </c:pt>
                <c:pt idx="33">
                  <c:v>51.999999999999943</c:v>
                </c:pt>
                <c:pt idx="34">
                  <c:v>52.000000000000043</c:v>
                </c:pt>
                <c:pt idx="35">
                  <c:v>40</c:v>
                </c:pt>
                <c:pt idx="36">
                  <c:v>51.999999999999936</c:v>
                </c:pt>
                <c:pt idx="37">
                  <c:v>51.999999999999979</c:v>
                </c:pt>
                <c:pt idx="38">
                  <c:v>0</c:v>
                </c:pt>
                <c:pt idx="39">
                  <c:v>52</c:v>
                </c:pt>
                <c:pt idx="40">
                  <c:v>34</c:v>
                </c:pt>
                <c:pt idx="41">
                  <c:v>106.7777777777778</c:v>
                </c:pt>
                <c:pt idx="42">
                  <c:v>51.99999999999995</c:v>
                </c:pt>
                <c:pt idx="43">
                  <c:v>51.999999999999936</c:v>
                </c:pt>
                <c:pt idx="44">
                  <c:v>0</c:v>
                </c:pt>
                <c:pt idx="45">
                  <c:v>51.999999999999943</c:v>
                </c:pt>
                <c:pt idx="46">
                  <c:v>51.999999999999986</c:v>
                </c:pt>
                <c:pt idx="47">
                  <c:v>106.7777777777778</c:v>
                </c:pt>
                <c:pt idx="48">
                  <c:v>51.999999999999943</c:v>
                </c:pt>
                <c:pt idx="49">
                  <c:v>51.99999999999995</c:v>
                </c:pt>
                <c:pt idx="50">
                  <c:v>30.999999999999996</c:v>
                </c:pt>
                <c:pt idx="51">
                  <c:v>51.99999999999995</c:v>
                </c:pt>
                <c:pt idx="52">
                  <c:v>49.999999999999986</c:v>
                </c:pt>
                <c:pt idx="53">
                  <c:v>30.999999999999996</c:v>
                </c:pt>
                <c:pt idx="54">
                  <c:v>52.000000000000007</c:v>
                </c:pt>
                <c:pt idx="55">
                  <c:v>49.999999999999986</c:v>
                </c:pt>
                <c:pt idx="56">
                  <c:v>30.999999999999996</c:v>
                </c:pt>
                <c:pt idx="57">
                  <c:v>51.99999999999973</c:v>
                </c:pt>
                <c:pt idx="58">
                  <c:v>31.000000000000004</c:v>
                </c:pt>
                <c:pt idx="59">
                  <c:v>31.000000000000004</c:v>
                </c:pt>
                <c:pt idx="60">
                  <c:v>51.999999999999929</c:v>
                </c:pt>
                <c:pt idx="61">
                  <c:v>51.999999999999986</c:v>
                </c:pt>
                <c:pt idx="62">
                  <c:v>31.000000000000014</c:v>
                </c:pt>
                <c:pt idx="63">
                  <c:v>51.999999999999943</c:v>
                </c:pt>
                <c:pt idx="64">
                  <c:v>51.999999999999986</c:v>
                </c:pt>
                <c:pt idx="65">
                  <c:v>31.000000000000007</c:v>
                </c:pt>
                <c:pt idx="66">
                  <c:v>52.000000000000014</c:v>
                </c:pt>
                <c:pt idx="67">
                  <c:v>52.000000000000014</c:v>
                </c:pt>
                <c:pt idx="68">
                  <c:v>31.000000000000004</c:v>
                </c:pt>
                <c:pt idx="69">
                  <c:v>51.999999999999837</c:v>
                </c:pt>
                <c:pt idx="70">
                  <c:v>49.999999999999993</c:v>
                </c:pt>
                <c:pt idx="71">
                  <c:v>31.000000000000007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D7D-4231-A0D1-853D049395B6}"/>
            </c:ext>
          </c:extLst>
        </c:ser>
        <c:ser>
          <c:idx val="11"/>
          <c:order val="11"/>
          <c:tx>
            <c:strRef>
              <c:f>LRMC!$A$15:$C$15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Node_3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LRMC!$D$15:$BW$15</c:f>
              <c:numCache>
                <c:formatCode>0</c:formatCode>
                <c:ptCount val="72"/>
                <c:pt idx="0">
                  <c:v>51.999999999999915</c:v>
                </c:pt>
                <c:pt idx="1">
                  <c:v>52.000000000000007</c:v>
                </c:pt>
                <c:pt idx="2">
                  <c:v>30.999999999999996</c:v>
                </c:pt>
                <c:pt idx="3">
                  <c:v>51.999999999999929</c:v>
                </c:pt>
                <c:pt idx="4">
                  <c:v>50.000000000000007</c:v>
                </c:pt>
                <c:pt idx="5">
                  <c:v>31.000000000000007</c:v>
                </c:pt>
                <c:pt idx="6">
                  <c:v>51.999999999999936</c:v>
                </c:pt>
                <c:pt idx="7">
                  <c:v>51.999999999999986</c:v>
                </c:pt>
                <c:pt idx="8">
                  <c:v>30.999999999999996</c:v>
                </c:pt>
                <c:pt idx="9">
                  <c:v>51.999999999999915</c:v>
                </c:pt>
                <c:pt idx="10">
                  <c:v>49.999999999999993</c:v>
                </c:pt>
                <c:pt idx="11">
                  <c:v>31.000000000000004</c:v>
                </c:pt>
                <c:pt idx="12">
                  <c:v>34</c:v>
                </c:pt>
                <c:pt idx="13">
                  <c:v>34</c:v>
                </c:pt>
                <c:pt idx="14">
                  <c:v>0</c:v>
                </c:pt>
                <c:pt idx="15">
                  <c:v>10000</c:v>
                </c:pt>
                <c:pt idx="16">
                  <c:v>92.707692307692071</c:v>
                </c:pt>
                <c:pt idx="17">
                  <c:v>79.824999999999989</c:v>
                </c:pt>
                <c:pt idx="18">
                  <c:v>51.999999999999936</c:v>
                </c:pt>
                <c:pt idx="19">
                  <c:v>51.999999999999929</c:v>
                </c:pt>
                <c:pt idx="20">
                  <c:v>0</c:v>
                </c:pt>
                <c:pt idx="21">
                  <c:v>51.999999999999929</c:v>
                </c:pt>
                <c:pt idx="22">
                  <c:v>30.999999999999996</c:v>
                </c:pt>
                <c:pt idx="23">
                  <c:v>76.896103896103895</c:v>
                </c:pt>
                <c:pt idx="24">
                  <c:v>49.999999999999993</c:v>
                </c:pt>
                <c:pt idx="25">
                  <c:v>50.000000000000007</c:v>
                </c:pt>
                <c:pt idx="26">
                  <c:v>30.999999999999996</c:v>
                </c:pt>
                <c:pt idx="27">
                  <c:v>58.51851851851827</c:v>
                </c:pt>
                <c:pt idx="28">
                  <c:v>57.264957264957026</c:v>
                </c:pt>
                <c:pt idx="29">
                  <c:v>90.499999999999957</c:v>
                </c:pt>
                <c:pt idx="30">
                  <c:v>51.999999999999936</c:v>
                </c:pt>
                <c:pt idx="31">
                  <c:v>51.999999999999972</c:v>
                </c:pt>
                <c:pt idx="32">
                  <c:v>31.000000000000004</c:v>
                </c:pt>
                <c:pt idx="33">
                  <c:v>51.999999999999943</c:v>
                </c:pt>
                <c:pt idx="34">
                  <c:v>52.000000000000043</c:v>
                </c:pt>
                <c:pt idx="35">
                  <c:v>40</c:v>
                </c:pt>
                <c:pt idx="36">
                  <c:v>51.999999999999936</c:v>
                </c:pt>
                <c:pt idx="37">
                  <c:v>51.999999999999979</c:v>
                </c:pt>
                <c:pt idx="38">
                  <c:v>0</c:v>
                </c:pt>
                <c:pt idx="39">
                  <c:v>52</c:v>
                </c:pt>
                <c:pt idx="40">
                  <c:v>34</c:v>
                </c:pt>
                <c:pt idx="41">
                  <c:v>106.77777777777779</c:v>
                </c:pt>
                <c:pt idx="42">
                  <c:v>51.999999999999929</c:v>
                </c:pt>
                <c:pt idx="43">
                  <c:v>51.999999999999929</c:v>
                </c:pt>
                <c:pt idx="44">
                  <c:v>0</c:v>
                </c:pt>
                <c:pt idx="45">
                  <c:v>51.999999999999943</c:v>
                </c:pt>
                <c:pt idx="46">
                  <c:v>52</c:v>
                </c:pt>
                <c:pt idx="47">
                  <c:v>106.77777777777779</c:v>
                </c:pt>
                <c:pt idx="48">
                  <c:v>51.999999999999943</c:v>
                </c:pt>
                <c:pt idx="49">
                  <c:v>51.999999999999936</c:v>
                </c:pt>
                <c:pt idx="50">
                  <c:v>30.999999999999996</c:v>
                </c:pt>
                <c:pt idx="51">
                  <c:v>51.999999999999936</c:v>
                </c:pt>
                <c:pt idx="52">
                  <c:v>49.999999999999986</c:v>
                </c:pt>
                <c:pt idx="53">
                  <c:v>30.999999999999996</c:v>
                </c:pt>
                <c:pt idx="54">
                  <c:v>52.000000000000007</c:v>
                </c:pt>
                <c:pt idx="55">
                  <c:v>49.999999999999986</c:v>
                </c:pt>
                <c:pt idx="56">
                  <c:v>30.999999999999996</c:v>
                </c:pt>
                <c:pt idx="57">
                  <c:v>51.999999999999702</c:v>
                </c:pt>
                <c:pt idx="58">
                  <c:v>31.000000000000004</c:v>
                </c:pt>
                <c:pt idx="59">
                  <c:v>31.000000000000004</c:v>
                </c:pt>
                <c:pt idx="60">
                  <c:v>51.999999999999936</c:v>
                </c:pt>
                <c:pt idx="61">
                  <c:v>51.999999999999986</c:v>
                </c:pt>
                <c:pt idx="62">
                  <c:v>31.000000000000014</c:v>
                </c:pt>
                <c:pt idx="63">
                  <c:v>51.999999999999943</c:v>
                </c:pt>
                <c:pt idx="64">
                  <c:v>51.999999999999986</c:v>
                </c:pt>
                <c:pt idx="65">
                  <c:v>30.999999999999975</c:v>
                </c:pt>
                <c:pt idx="66">
                  <c:v>52.000000000000007</c:v>
                </c:pt>
                <c:pt idx="67">
                  <c:v>52.000000000000014</c:v>
                </c:pt>
                <c:pt idx="68">
                  <c:v>31.000000000000004</c:v>
                </c:pt>
                <c:pt idx="69">
                  <c:v>51.999999999999837</c:v>
                </c:pt>
                <c:pt idx="70">
                  <c:v>49.999999999999993</c:v>
                </c:pt>
                <c:pt idx="71">
                  <c:v>31.000000000000007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D7D-4231-A0D1-853D049395B6}"/>
            </c:ext>
          </c:extLst>
        </c:ser>
        <c:ser>
          <c:idx val="12"/>
          <c:order val="12"/>
          <c:tx>
            <c:strRef>
              <c:f>LRMC!$A$16:$C$16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Node_4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LRMC!$D$16:$BW$16</c:f>
              <c:numCache>
                <c:formatCode>0</c:formatCode>
                <c:ptCount val="72"/>
                <c:pt idx="0">
                  <c:v>51.999999999999915</c:v>
                </c:pt>
                <c:pt idx="1">
                  <c:v>52.000000000000021</c:v>
                </c:pt>
                <c:pt idx="2">
                  <c:v>30.999999999999996</c:v>
                </c:pt>
                <c:pt idx="3">
                  <c:v>51.999999999999929</c:v>
                </c:pt>
                <c:pt idx="4">
                  <c:v>50.000000000000007</c:v>
                </c:pt>
                <c:pt idx="5">
                  <c:v>31.000000000000007</c:v>
                </c:pt>
                <c:pt idx="6">
                  <c:v>51.999999999999936</c:v>
                </c:pt>
                <c:pt idx="7">
                  <c:v>51.999999999999986</c:v>
                </c:pt>
                <c:pt idx="8">
                  <c:v>30.999999999999996</c:v>
                </c:pt>
                <c:pt idx="9">
                  <c:v>51.999999999999915</c:v>
                </c:pt>
                <c:pt idx="10">
                  <c:v>49.999999999999993</c:v>
                </c:pt>
                <c:pt idx="11">
                  <c:v>31.000000000000004</c:v>
                </c:pt>
                <c:pt idx="12">
                  <c:v>34</c:v>
                </c:pt>
                <c:pt idx="13">
                  <c:v>34</c:v>
                </c:pt>
                <c:pt idx="14">
                  <c:v>0</c:v>
                </c:pt>
                <c:pt idx="15">
                  <c:v>10000</c:v>
                </c:pt>
                <c:pt idx="16">
                  <c:v>92.707692307692071</c:v>
                </c:pt>
                <c:pt idx="17">
                  <c:v>79.824999999999989</c:v>
                </c:pt>
                <c:pt idx="18">
                  <c:v>51.999999999999936</c:v>
                </c:pt>
                <c:pt idx="19">
                  <c:v>51.999999999999929</c:v>
                </c:pt>
                <c:pt idx="20">
                  <c:v>0</c:v>
                </c:pt>
                <c:pt idx="21">
                  <c:v>51.999999999999929</c:v>
                </c:pt>
                <c:pt idx="22">
                  <c:v>30.999999999999993</c:v>
                </c:pt>
                <c:pt idx="23">
                  <c:v>76.896103896103895</c:v>
                </c:pt>
                <c:pt idx="24">
                  <c:v>50.000000000000007</c:v>
                </c:pt>
                <c:pt idx="25">
                  <c:v>49.999999999999993</c:v>
                </c:pt>
                <c:pt idx="26">
                  <c:v>31.000000000000007</c:v>
                </c:pt>
                <c:pt idx="27">
                  <c:v>58.51851851851827</c:v>
                </c:pt>
                <c:pt idx="28">
                  <c:v>57.26495726495704</c:v>
                </c:pt>
                <c:pt idx="29">
                  <c:v>90.499999999999957</c:v>
                </c:pt>
                <c:pt idx="30">
                  <c:v>51.999999999999936</c:v>
                </c:pt>
                <c:pt idx="31">
                  <c:v>51.999999999999972</c:v>
                </c:pt>
                <c:pt idx="32">
                  <c:v>31.000000000000004</c:v>
                </c:pt>
                <c:pt idx="33">
                  <c:v>51.999999999999929</c:v>
                </c:pt>
                <c:pt idx="34">
                  <c:v>52.000000000000043</c:v>
                </c:pt>
                <c:pt idx="35">
                  <c:v>40</c:v>
                </c:pt>
                <c:pt idx="36">
                  <c:v>51.999999999999936</c:v>
                </c:pt>
                <c:pt idx="37">
                  <c:v>51.999999999999979</c:v>
                </c:pt>
                <c:pt idx="38">
                  <c:v>0</c:v>
                </c:pt>
                <c:pt idx="39">
                  <c:v>52</c:v>
                </c:pt>
                <c:pt idx="40">
                  <c:v>34</c:v>
                </c:pt>
                <c:pt idx="41">
                  <c:v>106.77777777777779</c:v>
                </c:pt>
                <c:pt idx="42">
                  <c:v>51.999999999999929</c:v>
                </c:pt>
                <c:pt idx="43">
                  <c:v>51.999999999999929</c:v>
                </c:pt>
                <c:pt idx="44">
                  <c:v>0</c:v>
                </c:pt>
                <c:pt idx="45">
                  <c:v>51.999999999999943</c:v>
                </c:pt>
                <c:pt idx="46">
                  <c:v>52</c:v>
                </c:pt>
                <c:pt idx="47">
                  <c:v>106.77777777777779</c:v>
                </c:pt>
                <c:pt idx="48">
                  <c:v>51.999999999999943</c:v>
                </c:pt>
                <c:pt idx="49">
                  <c:v>51.999999999999936</c:v>
                </c:pt>
                <c:pt idx="50">
                  <c:v>31.000000000000011</c:v>
                </c:pt>
                <c:pt idx="51">
                  <c:v>51.999999999999936</c:v>
                </c:pt>
                <c:pt idx="52">
                  <c:v>49.999999999999993</c:v>
                </c:pt>
                <c:pt idx="53">
                  <c:v>30.999999999999996</c:v>
                </c:pt>
                <c:pt idx="54">
                  <c:v>52.000000000000021</c:v>
                </c:pt>
                <c:pt idx="55">
                  <c:v>49.999999999999993</c:v>
                </c:pt>
                <c:pt idx="56">
                  <c:v>30.999999999999993</c:v>
                </c:pt>
                <c:pt idx="57">
                  <c:v>51.999999999999702</c:v>
                </c:pt>
                <c:pt idx="58">
                  <c:v>31.000000000000011</c:v>
                </c:pt>
                <c:pt idx="59">
                  <c:v>31.000000000000004</c:v>
                </c:pt>
                <c:pt idx="60">
                  <c:v>51.999999999999936</c:v>
                </c:pt>
                <c:pt idx="61">
                  <c:v>51.999999999999986</c:v>
                </c:pt>
                <c:pt idx="62">
                  <c:v>31.000000000000014</c:v>
                </c:pt>
                <c:pt idx="63">
                  <c:v>51.999999999999943</c:v>
                </c:pt>
                <c:pt idx="64">
                  <c:v>51.999999999999986</c:v>
                </c:pt>
                <c:pt idx="65">
                  <c:v>31.000000000000004</c:v>
                </c:pt>
                <c:pt idx="66">
                  <c:v>52.000000000000014</c:v>
                </c:pt>
                <c:pt idx="67">
                  <c:v>52.000000000000014</c:v>
                </c:pt>
                <c:pt idx="68">
                  <c:v>30.999999999999996</c:v>
                </c:pt>
                <c:pt idx="69">
                  <c:v>51.999999999999837</c:v>
                </c:pt>
                <c:pt idx="70">
                  <c:v>49.999999999999993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D7D-4231-A0D1-853D049395B6}"/>
            </c:ext>
          </c:extLst>
        </c:ser>
        <c:ser>
          <c:idx val="13"/>
          <c:order val="13"/>
          <c:tx>
            <c:strRef>
              <c:f>LRMC!$A$17:$C$17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Node_5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LRMC!$D$17:$BW$17</c:f>
              <c:numCache>
                <c:formatCode>0</c:formatCode>
                <c:ptCount val="72"/>
                <c:pt idx="0">
                  <c:v>51.999999999999915</c:v>
                </c:pt>
                <c:pt idx="1">
                  <c:v>52.000000000000021</c:v>
                </c:pt>
                <c:pt idx="2">
                  <c:v>30.999999999999996</c:v>
                </c:pt>
                <c:pt idx="3">
                  <c:v>51.999999999999929</c:v>
                </c:pt>
                <c:pt idx="4">
                  <c:v>50.000000000000007</c:v>
                </c:pt>
                <c:pt idx="5">
                  <c:v>31.000000000000007</c:v>
                </c:pt>
                <c:pt idx="6">
                  <c:v>51.999999999999936</c:v>
                </c:pt>
                <c:pt idx="7">
                  <c:v>51.999999999999986</c:v>
                </c:pt>
                <c:pt idx="8">
                  <c:v>30.999999999999996</c:v>
                </c:pt>
                <c:pt idx="9">
                  <c:v>51.999999999999915</c:v>
                </c:pt>
                <c:pt idx="10">
                  <c:v>49.999999999999993</c:v>
                </c:pt>
                <c:pt idx="11">
                  <c:v>31.000000000000004</c:v>
                </c:pt>
                <c:pt idx="12">
                  <c:v>34</c:v>
                </c:pt>
                <c:pt idx="13">
                  <c:v>34</c:v>
                </c:pt>
                <c:pt idx="14">
                  <c:v>0</c:v>
                </c:pt>
                <c:pt idx="15">
                  <c:v>10000</c:v>
                </c:pt>
                <c:pt idx="16">
                  <c:v>92.707692307692071</c:v>
                </c:pt>
                <c:pt idx="17">
                  <c:v>79.824999999999989</c:v>
                </c:pt>
                <c:pt idx="18">
                  <c:v>51.999999999999936</c:v>
                </c:pt>
                <c:pt idx="19">
                  <c:v>51.999999999999929</c:v>
                </c:pt>
                <c:pt idx="20">
                  <c:v>0</c:v>
                </c:pt>
                <c:pt idx="21">
                  <c:v>51.999999999999929</c:v>
                </c:pt>
                <c:pt idx="22">
                  <c:v>30.999999999999993</c:v>
                </c:pt>
                <c:pt idx="23">
                  <c:v>76.896103896103895</c:v>
                </c:pt>
                <c:pt idx="24">
                  <c:v>50.000000000000007</c:v>
                </c:pt>
                <c:pt idx="25">
                  <c:v>49.999999999999993</c:v>
                </c:pt>
                <c:pt idx="26">
                  <c:v>31.000000000000007</c:v>
                </c:pt>
                <c:pt idx="27">
                  <c:v>58.51851851851827</c:v>
                </c:pt>
                <c:pt idx="28">
                  <c:v>57.26495726495704</c:v>
                </c:pt>
                <c:pt idx="29">
                  <c:v>90.499999999999957</c:v>
                </c:pt>
                <c:pt idx="30">
                  <c:v>51.999999999999936</c:v>
                </c:pt>
                <c:pt idx="31">
                  <c:v>51.999999999999972</c:v>
                </c:pt>
                <c:pt idx="32">
                  <c:v>31.000000000000004</c:v>
                </c:pt>
                <c:pt idx="33">
                  <c:v>51.999999999999929</c:v>
                </c:pt>
                <c:pt idx="34">
                  <c:v>52.000000000000043</c:v>
                </c:pt>
                <c:pt idx="35">
                  <c:v>40</c:v>
                </c:pt>
                <c:pt idx="36">
                  <c:v>51.999999999999936</c:v>
                </c:pt>
                <c:pt idx="37">
                  <c:v>51.999999999999979</c:v>
                </c:pt>
                <c:pt idx="38">
                  <c:v>0</c:v>
                </c:pt>
                <c:pt idx="39">
                  <c:v>52</c:v>
                </c:pt>
                <c:pt idx="40">
                  <c:v>34</c:v>
                </c:pt>
                <c:pt idx="41">
                  <c:v>106.77777777777779</c:v>
                </c:pt>
                <c:pt idx="42">
                  <c:v>51.999999999999929</c:v>
                </c:pt>
                <c:pt idx="43">
                  <c:v>51.999999999999929</c:v>
                </c:pt>
                <c:pt idx="44">
                  <c:v>0</c:v>
                </c:pt>
                <c:pt idx="45">
                  <c:v>51.999999999999943</c:v>
                </c:pt>
                <c:pt idx="46">
                  <c:v>52</c:v>
                </c:pt>
                <c:pt idx="47">
                  <c:v>106.77777777777779</c:v>
                </c:pt>
                <c:pt idx="48">
                  <c:v>51.999999999999943</c:v>
                </c:pt>
                <c:pt idx="49">
                  <c:v>51.999999999999936</c:v>
                </c:pt>
                <c:pt idx="50">
                  <c:v>31.000000000000011</c:v>
                </c:pt>
                <c:pt idx="51">
                  <c:v>51.999999999999936</c:v>
                </c:pt>
                <c:pt idx="52">
                  <c:v>49.999999999999993</c:v>
                </c:pt>
                <c:pt idx="53">
                  <c:v>30.999999999999996</c:v>
                </c:pt>
                <c:pt idx="54">
                  <c:v>52.000000000000021</c:v>
                </c:pt>
                <c:pt idx="55">
                  <c:v>49.999999999999993</c:v>
                </c:pt>
                <c:pt idx="56">
                  <c:v>30.999999999999993</c:v>
                </c:pt>
                <c:pt idx="57">
                  <c:v>51.999999999999702</c:v>
                </c:pt>
                <c:pt idx="58">
                  <c:v>31.000000000000011</c:v>
                </c:pt>
                <c:pt idx="59">
                  <c:v>31.000000000000004</c:v>
                </c:pt>
                <c:pt idx="60">
                  <c:v>51.999999999999936</c:v>
                </c:pt>
                <c:pt idx="61">
                  <c:v>51.999999999999986</c:v>
                </c:pt>
                <c:pt idx="62">
                  <c:v>31.000000000000014</c:v>
                </c:pt>
                <c:pt idx="63">
                  <c:v>51.999999999999943</c:v>
                </c:pt>
                <c:pt idx="64">
                  <c:v>51.999999999999986</c:v>
                </c:pt>
                <c:pt idx="65">
                  <c:v>31.000000000000004</c:v>
                </c:pt>
                <c:pt idx="66">
                  <c:v>52.000000000000014</c:v>
                </c:pt>
                <c:pt idx="67">
                  <c:v>52.000000000000014</c:v>
                </c:pt>
                <c:pt idx="68">
                  <c:v>30.999999999999996</c:v>
                </c:pt>
                <c:pt idx="69">
                  <c:v>51.999999999999837</c:v>
                </c:pt>
                <c:pt idx="70">
                  <c:v>49.999999999999993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D7D-4231-A0D1-853D049395B6}"/>
            </c:ext>
          </c:extLst>
        </c:ser>
        <c:ser>
          <c:idx val="14"/>
          <c:order val="14"/>
          <c:tx>
            <c:strRef>
              <c:f>LRMC!$A$18:$C$18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Node_6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LRMC!$D$18:$BW$18</c:f>
              <c:numCache>
                <c:formatCode>0</c:formatCode>
                <c:ptCount val="72"/>
                <c:pt idx="0">
                  <c:v>51.999999999999915</c:v>
                </c:pt>
                <c:pt idx="1">
                  <c:v>52</c:v>
                </c:pt>
                <c:pt idx="2">
                  <c:v>31.000000000000007</c:v>
                </c:pt>
                <c:pt idx="3">
                  <c:v>51.999999999999936</c:v>
                </c:pt>
                <c:pt idx="4">
                  <c:v>50.000000000000007</c:v>
                </c:pt>
                <c:pt idx="5">
                  <c:v>31.000000000000007</c:v>
                </c:pt>
                <c:pt idx="6">
                  <c:v>51.999999999999943</c:v>
                </c:pt>
                <c:pt idx="7">
                  <c:v>52</c:v>
                </c:pt>
                <c:pt idx="8">
                  <c:v>30.999999999999996</c:v>
                </c:pt>
                <c:pt idx="9">
                  <c:v>51.999999999999943</c:v>
                </c:pt>
                <c:pt idx="10">
                  <c:v>49.999999999999993</c:v>
                </c:pt>
                <c:pt idx="11">
                  <c:v>31.000000000000007</c:v>
                </c:pt>
                <c:pt idx="12">
                  <c:v>34</c:v>
                </c:pt>
                <c:pt idx="13">
                  <c:v>33.999999999999986</c:v>
                </c:pt>
                <c:pt idx="14">
                  <c:v>0</c:v>
                </c:pt>
                <c:pt idx="15">
                  <c:v>10000</c:v>
                </c:pt>
                <c:pt idx="16">
                  <c:v>92.707692307692142</c:v>
                </c:pt>
                <c:pt idx="17">
                  <c:v>79.825000000000003</c:v>
                </c:pt>
                <c:pt idx="18">
                  <c:v>51.999999999999936</c:v>
                </c:pt>
                <c:pt idx="19">
                  <c:v>51.999999999999936</c:v>
                </c:pt>
                <c:pt idx="20">
                  <c:v>0</c:v>
                </c:pt>
                <c:pt idx="21">
                  <c:v>51.999999999999915</c:v>
                </c:pt>
                <c:pt idx="22">
                  <c:v>30.999999999999996</c:v>
                </c:pt>
                <c:pt idx="23">
                  <c:v>76.896103896103895</c:v>
                </c:pt>
                <c:pt idx="24">
                  <c:v>49.999999999999993</c:v>
                </c:pt>
                <c:pt idx="25">
                  <c:v>50.000000000000007</c:v>
                </c:pt>
                <c:pt idx="26">
                  <c:v>30.999999999999996</c:v>
                </c:pt>
                <c:pt idx="27">
                  <c:v>58.51851851851827</c:v>
                </c:pt>
                <c:pt idx="28">
                  <c:v>57.264957264957069</c:v>
                </c:pt>
                <c:pt idx="29">
                  <c:v>90.499999999999957</c:v>
                </c:pt>
                <c:pt idx="30">
                  <c:v>51.999999999999915</c:v>
                </c:pt>
                <c:pt idx="31">
                  <c:v>51.999999999999972</c:v>
                </c:pt>
                <c:pt idx="32">
                  <c:v>31.000000000000004</c:v>
                </c:pt>
                <c:pt idx="33">
                  <c:v>51.999999999999943</c:v>
                </c:pt>
                <c:pt idx="34">
                  <c:v>52.000000000000043</c:v>
                </c:pt>
                <c:pt idx="35">
                  <c:v>40</c:v>
                </c:pt>
                <c:pt idx="36">
                  <c:v>51.999999999999936</c:v>
                </c:pt>
                <c:pt idx="37">
                  <c:v>51.999999999999979</c:v>
                </c:pt>
                <c:pt idx="38">
                  <c:v>0</c:v>
                </c:pt>
                <c:pt idx="39">
                  <c:v>52</c:v>
                </c:pt>
                <c:pt idx="40">
                  <c:v>34</c:v>
                </c:pt>
                <c:pt idx="41">
                  <c:v>106.7777777777778</c:v>
                </c:pt>
                <c:pt idx="42">
                  <c:v>51.99999999999995</c:v>
                </c:pt>
                <c:pt idx="43">
                  <c:v>51.999999999999936</c:v>
                </c:pt>
                <c:pt idx="44">
                  <c:v>0</c:v>
                </c:pt>
                <c:pt idx="45">
                  <c:v>51.999999999999943</c:v>
                </c:pt>
                <c:pt idx="46">
                  <c:v>51.999999999999986</c:v>
                </c:pt>
                <c:pt idx="47">
                  <c:v>106.7777777777778</c:v>
                </c:pt>
                <c:pt idx="48">
                  <c:v>51.999999999999943</c:v>
                </c:pt>
                <c:pt idx="49">
                  <c:v>51.99999999999995</c:v>
                </c:pt>
                <c:pt idx="50">
                  <c:v>30.999999999999996</c:v>
                </c:pt>
                <c:pt idx="51">
                  <c:v>51.99999999999995</c:v>
                </c:pt>
                <c:pt idx="52">
                  <c:v>49.999999999999986</c:v>
                </c:pt>
                <c:pt idx="53">
                  <c:v>30.999999999999996</c:v>
                </c:pt>
                <c:pt idx="54">
                  <c:v>52</c:v>
                </c:pt>
                <c:pt idx="55">
                  <c:v>49.999999999999986</c:v>
                </c:pt>
                <c:pt idx="56">
                  <c:v>30.999999999999996</c:v>
                </c:pt>
                <c:pt idx="57">
                  <c:v>51.99999999999973</c:v>
                </c:pt>
                <c:pt idx="58">
                  <c:v>31.000000000000004</c:v>
                </c:pt>
                <c:pt idx="59">
                  <c:v>31.000000000000004</c:v>
                </c:pt>
                <c:pt idx="60">
                  <c:v>51.999999999999929</c:v>
                </c:pt>
                <c:pt idx="61">
                  <c:v>51.999999999999986</c:v>
                </c:pt>
                <c:pt idx="62">
                  <c:v>31.000000000000014</c:v>
                </c:pt>
                <c:pt idx="63">
                  <c:v>51.999999999999943</c:v>
                </c:pt>
                <c:pt idx="64">
                  <c:v>51.999999999999986</c:v>
                </c:pt>
                <c:pt idx="65">
                  <c:v>31.000000000000007</c:v>
                </c:pt>
                <c:pt idx="66">
                  <c:v>52.000000000000014</c:v>
                </c:pt>
                <c:pt idx="67">
                  <c:v>52.000000000000014</c:v>
                </c:pt>
                <c:pt idx="68">
                  <c:v>31.000000000000007</c:v>
                </c:pt>
                <c:pt idx="69">
                  <c:v>51.999999999999837</c:v>
                </c:pt>
                <c:pt idx="70">
                  <c:v>49.999999999999993</c:v>
                </c:pt>
                <c:pt idx="71">
                  <c:v>31.000000000000007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D7D-4231-A0D1-853D049395B6}"/>
            </c:ext>
          </c:extLst>
        </c:ser>
        <c:ser>
          <c:idx val="15"/>
          <c:order val="15"/>
          <c:tx>
            <c:strRef>
              <c:f>LRMC!$A$19:$C$19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Node_7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LRMC!$D$19:$BW$19</c:f>
              <c:numCache>
                <c:formatCode>0</c:formatCode>
                <c:ptCount val="72"/>
                <c:pt idx="0">
                  <c:v>51.999999999999915</c:v>
                </c:pt>
                <c:pt idx="1">
                  <c:v>52</c:v>
                </c:pt>
                <c:pt idx="2">
                  <c:v>31.000000000000007</c:v>
                </c:pt>
                <c:pt idx="3">
                  <c:v>51.999999999999936</c:v>
                </c:pt>
                <c:pt idx="4">
                  <c:v>50.000000000000007</c:v>
                </c:pt>
                <c:pt idx="5">
                  <c:v>31.000000000000007</c:v>
                </c:pt>
                <c:pt idx="6">
                  <c:v>51.999999999999943</c:v>
                </c:pt>
                <c:pt idx="7">
                  <c:v>51.999999999999986</c:v>
                </c:pt>
                <c:pt idx="8">
                  <c:v>30.999999999999996</c:v>
                </c:pt>
                <c:pt idx="9">
                  <c:v>51.999999999999943</c:v>
                </c:pt>
                <c:pt idx="10">
                  <c:v>49.999999999999993</c:v>
                </c:pt>
                <c:pt idx="11">
                  <c:v>31.000000000000007</c:v>
                </c:pt>
                <c:pt idx="12">
                  <c:v>34</c:v>
                </c:pt>
                <c:pt idx="13">
                  <c:v>34</c:v>
                </c:pt>
                <c:pt idx="14">
                  <c:v>0</c:v>
                </c:pt>
                <c:pt idx="15">
                  <c:v>10000</c:v>
                </c:pt>
                <c:pt idx="16">
                  <c:v>92.707692307692142</c:v>
                </c:pt>
                <c:pt idx="17">
                  <c:v>79.825000000000003</c:v>
                </c:pt>
                <c:pt idx="18">
                  <c:v>51.999999999999936</c:v>
                </c:pt>
                <c:pt idx="19">
                  <c:v>51.999999999999936</c:v>
                </c:pt>
                <c:pt idx="20">
                  <c:v>0</c:v>
                </c:pt>
                <c:pt idx="21">
                  <c:v>51.999999999999915</c:v>
                </c:pt>
                <c:pt idx="22">
                  <c:v>30.999999999999996</c:v>
                </c:pt>
                <c:pt idx="23">
                  <c:v>76.896103896103895</c:v>
                </c:pt>
                <c:pt idx="24">
                  <c:v>49.999999999999993</c:v>
                </c:pt>
                <c:pt idx="25">
                  <c:v>50.000000000000007</c:v>
                </c:pt>
                <c:pt idx="26">
                  <c:v>30.999999999999996</c:v>
                </c:pt>
                <c:pt idx="27">
                  <c:v>58.51851851851827</c:v>
                </c:pt>
                <c:pt idx="28">
                  <c:v>57.264957264957069</c:v>
                </c:pt>
                <c:pt idx="29">
                  <c:v>90.499999999999957</c:v>
                </c:pt>
                <c:pt idx="30">
                  <c:v>51.999999999999915</c:v>
                </c:pt>
                <c:pt idx="31">
                  <c:v>51.999999999999972</c:v>
                </c:pt>
                <c:pt idx="32">
                  <c:v>31.000000000000004</c:v>
                </c:pt>
                <c:pt idx="33">
                  <c:v>51.999999999999865</c:v>
                </c:pt>
                <c:pt idx="34">
                  <c:v>52.000000000000043</c:v>
                </c:pt>
                <c:pt idx="35">
                  <c:v>40</c:v>
                </c:pt>
                <c:pt idx="36">
                  <c:v>51.999999999999908</c:v>
                </c:pt>
                <c:pt idx="37">
                  <c:v>51.999999999999979</c:v>
                </c:pt>
                <c:pt idx="38">
                  <c:v>0</c:v>
                </c:pt>
                <c:pt idx="39">
                  <c:v>52</c:v>
                </c:pt>
                <c:pt idx="40">
                  <c:v>34</c:v>
                </c:pt>
                <c:pt idx="41">
                  <c:v>106.7777777777778</c:v>
                </c:pt>
                <c:pt idx="42">
                  <c:v>51.999999999999929</c:v>
                </c:pt>
                <c:pt idx="43">
                  <c:v>51.999999999999908</c:v>
                </c:pt>
                <c:pt idx="44">
                  <c:v>0</c:v>
                </c:pt>
                <c:pt idx="45">
                  <c:v>51.999999999999929</c:v>
                </c:pt>
                <c:pt idx="46">
                  <c:v>51.999999999999986</c:v>
                </c:pt>
                <c:pt idx="47">
                  <c:v>106.7777777777778</c:v>
                </c:pt>
                <c:pt idx="48">
                  <c:v>51.999999999999929</c:v>
                </c:pt>
                <c:pt idx="49">
                  <c:v>51.999999999999936</c:v>
                </c:pt>
                <c:pt idx="50">
                  <c:v>30.999999999999996</c:v>
                </c:pt>
                <c:pt idx="51">
                  <c:v>51.999999999999936</c:v>
                </c:pt>
                <c:pt idx="52">
                  <c:v>49.999999999999986</c:v>
                </c:pt>
                <c:pt idx="53">
                  <c:v>30.999999999999996</c:v>
                </c:pt>
                <c:pt idx="54">
                  <c:v>52</c:v>
                </c:pt>
                <c:pt idx="55">
                  <c:v>49.999999999999986</c:v>
                </c:pt>
                <c:pt idx="56">
                  <c:v>30.999999999999996</c:v>
                </c:pt>
                <c:pt idx="57">
                  <c:v>51.999999999999709</c:v>
                </c:pt>
                <c:pt idx="58">
                  <c:v>31.000000000000004</c:v>
                </c:pt>
                <c:pt idx="59">
                  <c:v>31.000000000000004</c:v>
                </c:pt>
                <c:pt idx="60">
                  <c:v>51.999999999999915</c:v>
                </c:pt>
                <c:pt idx="61">
                  <c:v>51.999999999999986</c:v>
                </c:pt>
                <c:pt idx="62">
                  <c:v>31.000000000000014</c:v>
                </c:pt>
                <c:pt idx="63">
                  <c:v>51.999999999999929</c:v>
                </c:pt>
                <c:pt idx="64">
                  <c:v>51.999999999999986</c:v>
                </c:pt>
                <c:pt idx="65">
                  <c:v>31.000000000000007</c:v>
                </c:pt>
                <c:pt idx="66">
                  <c:v>52.000000000000014</c:v>
                </c:pt>
                <c:pt idx="67">
                  <c:v>52.000000000000014</c:v>
                </c:pt>
                <c:pt idx="68">
                  <c:v>31.000000000000007</c:v>
                </c:pt>
                <c:pt idx="69">
                  <c:v>51.999999999999837</c:v>
                </c:pt>
                <c:pt idx="70">
                  <c:v>49.999999999999993</c:v>
                </c:pt>
                <c:pt idx="71">
                  <c:v>31.000000000000007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D7D-4231-A0D1-853D049395B6}"/>
            </c:ext>
          </c:extLst>
        </c:ser>
        <c:ser>
          <c:idx val="16"/>
          <c:order val="16"/>
          <c:tx>
            <c:strRef>
              <c:f>LRMC!$A$20:$C$20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Node_8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LRMC!$D$20:$BW$20</c:f>
              <c:numCache>
                <c:formatCode>0</c:formatCode>
                <c:ptCount val="72"/>
                <c:pt idx="0">
                  <c:v>51.999999999999915</c:v>
                </c:pt>
                <c:pt idx="1">
                  <c:v>52</c:v>
                </c:pt>
                <c:pt idx="2">
                  <c:v>31.000000000000007</c:v>
                </c:pt>
                <c:pt idx="3">
                  <c:v>51.999999999999936</c:v>
                </c:pt>
                <c:pt idx="4">
                  <c:v>50.000000000000007</c:v>
                </c:pt>
                <c:pt idx="5">
                  <c:v>31.000000000000007</c:v>
                </c:pt>
                <c:pt idx="6">
                  <c:v>51.999999999999943</c:v>
                </c:pt>
                <c:pt idx="7">
                  <c:v>51.999999999999986</c:v>
                </c:pt>
                <c:pt idx="8">
                  <c:v>30.999999999999996</c:v>
                </c:pt>
                <c:pt idx="9">
                  <c:v>51.999999999999943</c:v>
                </c:pt>
                <c:pt idx="10">
                  <c:v>49.999999999999993</c:v>
                </c:pt>
                <c:pt idx="11">
                  <c:v>31.000000000000007</c:v>
                </c:pt>
                <c:pt idx="12">
                  <c:v>34</c:v>
                </c:pt>
                <c:pt idx="13">
                  <c:v>34</c:v>
                </c:pt>
                <c:pt idx="14">
                  <c:v>0</c:v>
                </c:pt>
                <c:pt idx="15">
                  <c:v>10000</c:v>
                </c:pt>
                <c:pt idx="16">
                  <c:v>92.707692307692142</c:v>
                </c:pt>
                <c:pt idx="17">
                  <c:v>79.825000000000003</c:v>
                </c:pt>
                <c:pt idx="18">
                  <c:v>51.999999999999936</c:v>
                </c:pt>
                <c:pt idx="19">
                  <c:v>51.999999999999936</c:v>
                </c:pt>
                <c:pt idx="20">
                  <c:v>0</c:v>
                </c:pt>
                <c:pt idx="21">
                  <c:v>51.999999999999915</c:v>
                </c:pt>
                <c:pt idx="22">
                  <c:v>30.999999999999996</c:v>
                </c:pt>
                <c:pt idx="23">
                  <c:v>76.896103896103895</c:v>
                </c:pt>
                <c:pt idx="24">
                  <c:v>49.999999999999993</c:v>
                </c:pt>
                <c:pt idx="25">
                  <c:v>50.000000000000007</c:v>
                </c:pt>
                <c:pt idx="26">
                  <c:v>30.999999999999996</c:v>
                </c:pt>
                <c:pt idx="27">
                  <c:v>58.51851851851827</c:v>
                </c:pt>
                <c:pt idx="28">
                  <c:v>57.264957264957069</c:v>
                </c:pt>
                <c:pt idx="29">
                  <c:v>90.499999999999957</c:v>
                </c:pt>
                <c:pt idx="30">
                  <c:v>51.999999999999915</c:v>
                </c:pt>
                <c:pt idx="31">
                  <c:v>51.999999999999972</c:v>
                </c:pt>
                <c:pt idx="32">
                  <c:v>31.000000000000004</c:v>
                </c:pt>
                <c:pt idx="33">
                  <c:v>51.999999999999865</c:v>
                </c:pt>
                <c:pt idx="34">
                  <c:v>52.000000000000043</c:v>
                </c:pt>
                <c:pt idx="35">
                  <c:v>40</c:v>
                </c:pt>
                <c:pt idx="36">
                  <c:v>51.999999999999908</c:v>
                </c:pt>
                <c:pt idx="37">
                  <c:v>51.999999999999979</c:v>
                </c:pt>
                <c:pt idx="38">
                  <c:v>0</c:v>
                </c:pt>
                <c:pt idx="39">
                  <c:v>52</c:v>
                </c:pt>
                <c:pt idx="40">
                  <c:v>34</c:v>
                </c:pt>
                <c:pt idx="41">
                  <c:v>106.7777777777778</c:v>
                </c:pt>
                <c:pt idx="42">
                  <c:v>51.999999999999929</c:v>
                </c:pt>
                <c:pt idx="43">
                  <c:v>51.999999999999908</c:v>
                </c:pt>
                <c:pt idx="44">
                  <c:v>0</c:v>
                </c:pt>
                <c:pt idx="45">
                  <c:v>51.999999999999929</c:v>
                </c:pt>
                <c:pt idx="46">
                  <c:v>51.999999999999986</c:v>
                </c:pt>
                <c:pt idx="47">
                  <c:v>106.7777777777778</c:v>
                </c:pt>
                <c:pt idx="48">
                  <c:v>51.999999999999929</c:v>
                </c:pt>
                <c:pt idx="49">
                  <c:v>51.999999999999936</c:v>
                </c:pt>
                <c:pt idx="50">
                  <c:v>30.999999999999996</c:v>
                </c:pt>
                <c:pt idx="51">
                  <c:v>51.999999999999936</c:v>
                </c:pt>
                <c:pt idx="52">
                  <c:v>49.999999999999986</c:v>
                </c:pt>
                <c:pt idx="53">
                  <c:v>30.999999999999996</c:v>
                </c:pt>
                <c:pt idx="54">
                  <c:v>52</c:v>
                </c:pt>
                <c:pt idx="55">
                  <c:v>49.999999999999986</c:v>
                </c:pt>
                <c:pt idx="56">
                  <c:v>30.999999999999996</c:v>
                </c:pt>
                <c:pt idx="57">
                  <c:v>51.999999999999709</c:v>
                </c:pt>
                <c:pt idx="58">
                  <c:v>31.000000000000004</c:v>
                </c:pt>
                <c:pt idx="59">
                  <c:v>31.000000000000004</c:v>
                </c:pt>
                <c:pt idx="60">
                  <c:v>51.999999999999915</c:v>
                </c:pt>
                <c:pt idx="61">
                  <c:v>51.999999999999986</c:v>
                </c:pt>
                <c:pt idx="62">
                  <c:v>31.000000000000014</c:v>
                </c:pt>
                <c:pt idx="63">
                  <c:v>51.999999999999929</c:v>
                </c:pt>
                <c:pt idx="64">
                  <c:v>51.999999999999986</c:v>
                </c:pt>
                <c:pt idx="65">
                  <c:v>31.000000000000007</c:v>
                </c:pt>
                <c:pt idx="66">
                  <c:v>52.000000000000014</c:v>
                </c:pt>
                <c:pt idx="67">
                  <c:v>52.000000000000014</c:v>
                </c:pt>
                <c:pt idx="68">
                  <c:v>31.000000000000007</c:v>
                </c:pt>
                <c:pt idx="69">
                  <c:v>51.999999999999837</c:v>
                </c:pt>
                <c:pt idx="70">
                  <c:v>49.999999999999993</c:v>
                </c:pt>
                <c:pt idx="71">
                  <c:v>31.000000000000007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D7D-4231-A0D1-853D049395B6}"/>
            </c:ext>
          </c:extLst>
        </c:ser>
        <c:ser>
          <c:idx val="17"/>
          <c:order val="17"/>
          <c:tx>
            <c:strRef>
              <c:f>LRMC!$A$21:$C$21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Node_9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LRMC!$D$21:$BW$21</c:f>
              <c:numCache>
                <c:formatCode>0</c:formatCode>
                <c:ptCount val="72"/>
                <c:pt idx="0">
                  <c:v>51.999999999999915</c:v>
                </c:pt>
                <c:pt idx="1">
                  <c:v>52</c:v>
                </c:pt>
                <c:pt idx="2">
                  <c:v>31.000000000000007</c:v>
                </c:pt>
                <c:pt idx="3">
                  <c:v>51.999999999999936</c:v>
                </c:pt>
                <c:pt idx="4">
                  <c:v>50.000000000000007</c:v>
                </c:pt>
                <c:pt idx="5">
                  <c:v>31.000000000000007</c:v>
                </c:pt>
                <c:pt idx="6">
                  <c:v>51.999999999999943</c:v>
                </c:pt>
                <c:pt idx="7">
                  <c:v>51.999999999999986</c:v>
                </c:pt>
                <c:pt idx="8">
                  <c:v>30.999999999999996</c:v>
                </c:pt>
                <c:pt idx="9">
                  <c:v>51.999999999999943</c:v>
                </c:pt>
                <c:pt idx="10">
                  <c:v>49.999999999999993</c:v>
                </c:pt>
                <c:pt idx="11">
                  <c:v>31.000000000000007</c:v>
                </c:pt>
                <c:pt idx="12">
                  <c:v>34</c:v>
                </c:pt>
                <c:pt idx="13">
                  <c:v>34</c:v>
                </c:pt>
                <c:pt idx="14">
                  <c:v>0</c:v>
                </c:pt>
                <c:pt idx="15">
                  <c:v>10000</c:v>
                </c:pt>
                <c:pt idx="16">
                  <c:v>92.707692307692142</c:v>
                </c:pt>
                <c:pt idx="17">
                  <c:v>79.825000000000003</c:v>
                </c:pt>
                <c:pt idx="18">
                  <c:v>51.999999999999936</c:v>
                </c:pt>
                <c:pt idx="19">
                  <c:v>51.999999999999936</c:v>
                </c:pt>
                <c:pt idx="20">
                  <c:v>0</c:v>
                </c:pt>
                <c:pt idx="21">
                  <c:v>51.999999999999915</c:v>
                </c:pt>
                <c:pt idx="22">
                  <c:v>30.999999999999996</c:v>
                </c:pt>
                <c:pt idx="23">
                  <c:v>76.896103896103895</c:v>
                </c:pt>
                <c:pt idx="24">
                  <c:v>49.999999999999993</c:v>
                </c:pt>
                <c:pt idx="25">
                  <c:v>50.000000000000007</c:v>
                </c:pt>
                <c:pt idx="26">
                  <c:v>30.999999999999996</c:v>
                </c:pt>
                <c:pt idx="27">
                  <c:v>58.51851851851827</c:v>
                </c:pt>
                <c:pt idx="28">
                  <c:v>57.264957264957069</c:v>
                </c:pt>
                <c:pt idx="29">
                  <c:v>90.499999999999957</c:v>
                </c:pt>
                <c:pt idx="30">
                  <c:v>51.999999999999915</c:v>
                </c:pt>
                <c:pt idx="31">
                  <c:v>51.999999999999972</c:v>
                </c:pt>
                <c:pt idx="32">
                  <c:v>31.000000000000004</c:v>
                </c:pt>
                <c:pt idx="33">
                  <c:v>51.999999999999865</c:v>
                </c:pt>
                <c:pt idx="34">
                  <c:v>52.000000000000043</c:v>
                </c:pt>
                <c:pt idx="35">
                  <c:v>40</c:v>
                </c:pt>
                <c:pt idx="36">
                  <c:v>51.999999999999908</c:v>
                </c:pt>
                <c:pt idx="37">
                  <c:v>51.999999999999979</c:v>
                </c:pt>
                <c:pt idx="38">
                  <c:v>0</c:v>
                </c:pt>
                <c:pt idx="39">
                  <c:v>52</c:v>
                </c:pt>
                <c:pt idx="40">
                  <c:v>34</c:v>
                </c:pt>
                <c:pt idx="41">
                  <c:v>106.7777777777778</c:v>
                </c:pt>
                <c:pt idx="42">
                  <c:v>51.999999999999929</c:v>
                </c:pt>
                <c:pt idx="43">
                  <c:v>51.999999999999908</c:v>
                </c:pt>
                <c:pt idx="44">
                  <c:v>0</c:v>
                </c:pt>
                <c:pt idx="45">
                  <c:v>51.999999999999929</c:v>
                </c:pt>
                <c:pt idx="46">
                  <c:v>51.999999999999986</c:v>
                </c:pt>
                <c:pt idx="47">
                  <c:v>106.7777777777778</c:v>
                </c:pt>
                <c:pt idx="48">
                  <c:v>51.999999999999929</c:v>
                </c:pt>
                <c:pt idx="49">
                  <c:v>51.999999999999936</c:v>
                </c:pt>
                <c:pt idx="50">
                  <c:v>30.999999999999996</c:v>
                </c:pt>
                <c:pt idx="51">
                  <c:v>51.999999999999936</c:v>
                </c:pt>
                <c:pt idx="52">
                  <c:v>49.999999999999986</c:v>
                </c:pt>
                <c:pt idx="53">
                  <c:v>30.999999999999996</c:v>
                </c:pt>
                <c:pt idx="54">
                  <c:v>52</c:v>
                </c:pt>
                <c:pt idx="55">
                  <c:v>49.999999999999986</c:v>
                </c:pt>
                <c:pt idx="56">
                  <c:v>30.999999999999996</c:v>
                </c:pt>
                <c:pt idx="57">
                  <c:v>51.999999999999709</c:v>
                </c:pt>
                <c:pt idx="58">
                  <c:v>31.000000000000004</c:v>
                </c:pt>
                <c:pt idx="59">
                  <c:v>31.000000000000004</c:v>
                </c:pt>
                <c:pt idx="60">
                  <c:v>51.999999999999915</c:v>
                </c:pt>
                <c:pt idx="61">
                  <c:v>51.999999999999986</c:v>
                </c:pt>
                <c:pt idx="62">
                  <c:v>31.000000000000014</c:v>
                </c:pt>
                <c:pt idx="63">
                  <c:v>51.999999999999929</c:v>
                </c:pt>
                <c:pt idx="64">
                  <c:v>51.999999999999986</c:v>
                </c:pt>
                <c:pt idx="65">
                  <c:v>31.000000000000007</c:v>
                </c:pt>
                <c:pt idx="66">
                  <c:v>52.000000000000014</c:v>
                </c:pt>
                <c:pt idx="67">
                  <c:v>52.000000000000014</c:v>
                </c:pt>
                <c:pt idx="68">
                  <c:v>31.000000000000007</c:v>
                </c:pt>
                <c:pt idx="69">
                  <c:v>51.999999999999837</c:v>
                </c:pt>
                <c:pt idx="70">
                  <c:v>49.999999999999993</c:v>
                </c:pt>
                <c:pt idx="71">
                  <c:v>31.000000000000007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D7D-4231-A0D1-853D049395B6}"/>
            </c:ext>
          </c:extLst>
        </c:ser>
        <c:ser>
          <c:idx val="18"/>
          <c:order val="18"/>
          <c:tx>
            <c:strRef>
              <c:f>LRMC!$A$22:$C$22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Node_1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LRMC!$D$22:$BW$22</c:f>
              <c:numCache>
                <c:formatCode>0</c:formatCode>
                <c:ptCount val="72"/>
                <c:pt idx="0">
                  <c:v>53.999999999999986</c:v>
                </c:pt>
                <c:pt idx="1">
                  <c:v>49.999999999999993</c:v>
                </c:pt>
                <c:pt idx="2">
                  <c:v>31.000000000000004</c:v>
                </c:pt>
                <c:pt idx="3">
                  <c:v>53.999999999999915</c:v>
                </c:pt>
                <c:pt idx="4">
                  <c:v>31.000000000000025</c:v>
                </c:pt>
                <c:pt idx="5">
                  <c:v>31.000000000000007</c:v>
                </c:pt>
                <c:pt idx="6">
                  <c:v>54</c:v>
                </c:pt>
                <c:pt idx="7">
                  <c:v>49.999999999999993</c:v>
                </c:pt>
                <c:pt idx="8">
                  <c:v>31.000000000000007</c:v>
                </c:pt>
                <c:pt idx="9">
                  <c:v>54.000000000000007</c:v>
                </c:pt>
                <c:pt idx="10">
                  <c:v>30.999999999999993</c:v>
                </c:pt>
                <c:pt idx="11">
                  <c:v>31.000000000000011</c:v>
                </c:pt>
                <c:pt idx="12">
                  <c:v>34</c:v>
                </c:pt>
                <c:pt idx="13">
                  <c:v>34.000000000000007</c:v>
                </c:pt>
                <c:pt idx="14">
                  <c:v>0</c:v>
                </c:pt>
                <c:pt idx="15">
                  <c:v>10000</c:v>
                </c:pt>
                <c:pt idx="16">
                  <c:v>86.184615384615398</c:v>
                </c:pt>
                <c:pt idx="17">
                  <c:v>79.825000000000003</c:v>
                </c:pt>
                <c:pt idx="18">
                  <c:v>31.000000000000004</c:v>
                </c:pt>
                <c:pt idx="19">
                  <c:v>31.000000000000014</c:v>
                </c:pt>
                <c:pt idx="20">
                  <c:v>0</c:v>
                </c:pt>
                <c:pt idx="21">
                  <c:v>10000</c:v>
                </c:pt>
                <c:pt idx="22">
                  <c:v>93.727272727272663</c:v>
                </c:pt>
                <c:pt idx="23">
                  <c:v>76.896103896103924</c:v>
                </c:pt>
                <c:pt idx="24">
                  <c:v>50.000000000000007</c:v>
                </c:pt>
                <c:pt idx="25">
                  <c:v>49.999999999999993</c:v>
                </c:pt>
                <c:pt idx="26">
                  <c:v>31.000000000000004</c:v>
                </c:pt>
                <c:pt idx="27">
                  <c:v>67.037037037036953</c:v>
                </c:pt>
                <c:pt idx="28">
                  <c:v>64.529914529914535</c:v>
                </c:pt>
                <c:pt idx="29">
                  <c:v>31.000000000000007</c:v>
                </c:pt>
                <c:pt idx="30">
                  <c:v>52</c:v>
                </c:pt>
                <c:pt idx="31">
                  <c:v>52.000000000000007</c:v>
                </c:pt>
                <c:pt idx="32">
                  <c:v>31.000000000000007</c:v>
                </c:pt>
                <c:pt idx="33">
                  <c:v>60.222222222222271</c:v>
                </c:pt>
                <c:pt idx="34">
                  <c:v>58.666666666666679</c:v>
                </c:pt>
                <c:pt idx="35">
                  <c:v>31.000000000000007</c:v>
                </c:pt>
                <c:pt idx="36">
                  <c:v>33.999999999999993</c:v>
                </c:pt>
                <c:pt idx="37">
                  <c:v>34.000000000000014</c:v>
                </c:pt>
                <c:pt idx="38">
                  <c:v>0</c:v>
                </c:pt>
                <c:pt idx="39">
                  <c:v>10000</c:v>
                </c:pt>
                <c:pt idx="40">
                  <c:v>95.904761904761884</c:v>
                </c:pt>
                <c:pt idx="41">
                  <c:v>106.77777777777779</c:v>
                </c:pt>
                <c:pt idx="42">
                  <c:v>53.999999999999986</c:v>
                </c:pt>
                <c:pt idx="43">
                  <c:v>54.000000000000007</c:v>
                </c:pt>
                <c:pt idx="44">
                  <c:v>0</c:v>
                </c:pt>
                <c:pt idx="45">
                  <c:v>54</c:v>
                </c:pt>
                <c:pt idx="46">
                  <c:v>31.000000000000007</c:v>
                </c:pt>
                <c:pt idx="47">
                  <c:v>106.77777777777779</c:v>
                </c:pt>
                <c:pt idx="48">
                  <c:v>54.000000000000007</c:v>
                </c:pt>
                <c:pt idx="49">
                  <c:v>34</c:v>
                </c:pt>
                <c:pt idx="50">
                  <c:v>0</c:v>
                </c:pt>
                <c:pt idx="51">
                  <c:v>54.000000000000007</c:v>
                </c:pt>
                <c:pt idx="52">
                  <c:v>31.000000000000007</c:v>
                </c:pt>
                <c:pt idx="53">
                  <c:v>85.25</c:v>
                </c:pt>
                <c:pt idx="54">
                  <c:v>52.000000000000007</c:v>
                </c:pt>
                <c:pt idx="55">
                  <c:v>52.000000000000014</c:v>
                </c:pt>
                <c:pt idx="56">
                  <c:v>29.999999999999986</c:v>
                </c:pt>
                <c:pt idx="57">
                  <c:v>58.888888888888857</c:v>
                </c:pt>
                <c:pt idx="58">
                  <c:v>50.000000000000007</c:v>
                </c:pt>
                <c:pt idx="59">
                  <c:v>29.999999999999996</c:v>
                </c:pt>
                <c:pt idx="60">
                  <c:v>53.999999999999972</c:v>
                </c:pt>
                <c:pt idx="61">
                  <c:v>33.999999999999986</c:v>
                </c:pt>
                <c:pt idx="62">
                  <c:v>31.000000000000007</c:v>
                </c:pt>
                <c:pt idx="63">
                  <c:v>33.999999999999993</c:v>
                </c:pt>
                <c:pt idx="64">
                  <c:v>31.000000000000021</c:v>
                </c:pt>
                <c:pt idx="65">
                  <c:v>30</c:v>
                </c:pt>
                <c:pt idx="66">
                  <c:v>51.999999999999964</c:v>
                </c:pt>
                <c:pt idx="67">
                  <c:v>34</c:v>
                </c:pt>
                <c:pt idx="68">
                  <c:v>29.999999999999986</c:v>
                </c:pt>
                <c:pt idx="69">
                  <c:v>56.428571428571416</c:v>
                </c:pt>
                <c:pt idx="70">
                  <c:v>30.999999999999993</c:v>
                </c:pt>
                <c:pt idx="71">
                  <c:v>29.999999999999986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D7D-4231-A0D1-853D049395B6}"/>
            </c:ext>
          </c:extLst>
        </c:ser>
        <c:ser>
          <c:idx val="19"/>
          <c:order val="19"/>
          <c:tx>
            <c:strRef>
              <c:f>LRMC!$A$23:$C$23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Node_2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LRMC!$D$23:$BW$23</c:f>
              <c:numCache>
                <c:formatCode>0</c:formatCode>
                <c:ptCount val="72"/>
                <c:pt idx="0">
                  <c:v>54</c:v>
                </c:pt>
                <c:pt idx="1">
                  <c:v>50.000000000000007</c:v>
                </c:pt>
                <c:pt idx="2">
                  <c:v>31.000000000000004</c:v>
                </c:pt>
                <c:pt idx="3">
                  <c:v>53.999999999999993</c:v>
                </c:pt>
                <c:pt idx="4">
                  <c:v>31.000000000000004</c:v>
                </c:pt>
                <c:pt idx="5">
                  <c:v>31.000000000000007</c:v>
                </c:pt>
                <c:pt idx="6">
                  <c:v>54</c:v>
                </c:pt>
                <c:pt idx="7">
                  <c:v>49.999999999999993</c:v>
                </c:pt>
                <c:pt idx="8">
                  <c:v>31.000000000000007</c:v>
                </c:pt>
                <c:pt idx="9">
                  <c:v>54.000000000000007</c:v>
                </c:pt>
                <c:pt idx="10">
                  <c:v>31.000000000000004</c:v>
                </c:pt>
                <c:pt idx="11">
                  <c:v>31.000000000000007</c:v>
                </c:pt>
                <c:pt idx="12">
                  <c:v>34</c:v>
                </c:pt>
                <c:pt idx="13">
                  <c:v>34.000000000000007</c:v>
                </c:pt>
                <c:pt idx="14">
                  <c:v>0</c:v>
                </c:pt>
                <c:pt idx="15">
                  <c:v>10000</c:v>
                </c:pt>
                <c:pt idx="16">
                  <c:v>86.184615384615412</c:v>
                </c:pt>
                <c:pt idx="17">
                  <c:v>79.825000000000003</c:v>
                </c:pt>
                <c:pt idx="18">
                  <c:v>30.999999999999996</c:v>
                </c:pt>
                <c:pt idx="19">
                  <c:v>30.999999999999996</c:v>
                </c:pt>
                <c:pt idx="20">
                  <c:v>0</c:v>
                </c:pt>
                <c:pt idx="21">
                  <c:v>10000</c:v>
                </c:pt>
                <c:pt idx="22">
                  <c:v>93.727272727272663</c:v>
                </c:pt>
                <c:pt idx="23">
                  <c:v>76.896103896103924</c:v>
                </c:pt>
                <c:pt idx="24">
                  <c:v>50.000000000000007</c:v>
                </c:pt>
                <c:pt idx="25">
                  <c:v>49.999999999999986</c:v>
                </c:pt>
                <c:pt idx="26">
                  <c:v>31.000000000000004</c:v>
                </c:pt>
                <c:pt idx="27">
                  <c:v>67.037037037036953</c:v>
                </c:pt>
                <c:pt idx="28">
                  <c:v>64.529914529914535</c:v>
                </c:pt>
                <c:pt idx="29">
                  <c:v>31.000000000000007</c:v>
                </c:pt>
                <c:pt idx="30">
                  <c:v>52.000000000000007</c:v>
                </c:pt>
                <c:pt idx="31">
                  <c:v>52.000000000000007</c:v>
                </c:pt>
                <c:pt idx="32">
                  <c:v>31.000000000000007</c:v>
                </c:pt>
                <c:pt idx="33">
                  <c:v>60.222222222222278</c:v>
                </c:pt>
                <c:pt idx="34">
                  <c:v>58.666666666666671</c:v>
                </c:pt>
                <c:pt idx="35">
                  <c:v>31.000000000000007</c:v>
                </c:pt>
                <c:pt idx="36">
                  <c:v>33.999999999999993</c:v>
                </c:pt>
                <c:pt idx="37">
                  <c:v>34.000000000000007</c:v>
                </c:pt>
                <c:pt idx="38">
                  <c:v>0</c:v>
                </c:pt>
                <c:pt idx="39">
                  <c:v>10000</c:v>
                </c:pt>
                <c:pt idx="40">
                  <c:v>95.904761904761884</c:v>
                </c:pt>
                <c:pt idx="41">
                  <c:v>106.7777777777778</c:v>
                </c:pt>
                <c:pt idx="42">
                  <c:v>54</c:v>
                </c:pt>
                <c:pt idx="43">
                  <c:v>54.000000000000007</c:v>
                </c:pt>
                <c:pt idx="44">
                  <c:v>0</c:v>
                </c:pt>
                <c:pt idx="45">
                  <c:v>54</c:v>
                </c:pt>
                <c:pt idx="46">
                  <c:v>31.000000000000007</c:v>
                </c:pt>
                <c:pt idx="47">
                  <c:v>106.7777777777778</c:v>
                </c:pt>
                <c:pt idx="48">
                  <c:v>54.000000000000028</c:v>
                </c:pt>
                <c:pt idx="49">
                  <c:v>34</c:v>
                </c:pt>
                <c:pt idx="50">
                  <c:v>0</c:v>
                </c:pt>
                <c:pt idx="51">
                  <c:v>54.000000000000021</c:v>
                </c:pt>
                <c:pt idx="52">
                  <c:v>31.000000000000007</c:v>
                </c:pt>
                <c:pt idx="53">
                  <c:v>85.25</c:v>
                </c:pt>
                <c:pt idx="54">
                  <c:v>52.000000000000007</c:v>
                </c:pt>
                <c:pt idx="55">
                  <c:v>52.000000000000007</c:v>
                </c:pt>
                <c:pt idx="56">
                  <c:v>29.999999999999996</c:v>
                </c:pt>
                <c:pt idx="57">
                  <c:v>58.888888888888886</c:v>
                </c:pt>
                <c:pt idx="58">
                  <c:v>50.000000000000007</c:v>
                </c:pt>
                <c:pt idx="59">
                  <c:v>30</c:v>
                </c:pt>
                <c:pt idx="60">
                  <c:v>54</c:v>
                </c:pt>
                <c:pt idx="61">
                  <c:v>33.999999999999986</c:v>
                </c:pt>
                <c:pt idx="62">
                  <c:v>31.000000000000004</c:v>
                </c:pt>
                <c:pt idx="63">
                  <c:v>34</c:v>
                </c:pt>
                <c:pt idx="64">
                  <c:v>31.000000000000004</c:v>
                </c:pt>
                <c:pt idx="65">
                  <c:v>30</c:v>
                </c:pt>
                <c:pt idx="66">
                  <c:v>52.000000000000014</c:v>
                </c:pt>
                <c:pt idx="67">
                  <c:v>34</c:v>
                </c:pt>
                <c:pt idx="68">
                  <c:v>30</c:v>
                </c:pt>
                <c:pt idx="69">
                  <c:v>56.428571428571416</c:v>
                </c:pt>
                <c:pt idx="70">
                  <c:v>30.999999999999993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D7D-4231-A0D1-853D049395B6}"/>
            </c:ext>
          </c:extLst>
        </c:ser>
        <c:ser>
          <c:idx val="20"/>
          <c:order val="20"/>
          <c:tx>
            <c:strRef>
              <c:f>LRMC!$A$24:$C$24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Node_3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LRMC!$D$24:$BW$24</c:f>
              <c:numCache>
                <c:formatCode>0</c:formatCode>
                <c:ptCount val="72"/>
                <c:pt idx="0">
                  <c:v>54</c:v>
                </c:pt>
                <c:pt idx="1">
                  <c:v>50.000000000000007</c:v>
                </c:pt>
                <c:pt idx="2">
                  <c:v>31.000000000000004</c:v>
                </c:pt>
                <c:pt idx="3">
                  <c:v>53.999999999999993</c:v>
                </c:pt>
                <c:pt idx="4">
                  <c:v>31.000000000000004</c:v>
                </c:pt>
                <c:pt idx="5">
                  <c:v>31.000000000000007</c:v>
                </c:pt>
                <c:pt idx="6">
                  <c:v>54</c:v>
                </c:pt>
                <c:pt idx="7">
                  <c:v>49.999999999999993</c:v>
                </c:pt>
                <c:pt idx="8">
                  <c:v>31.000000000000007</c:v>
                </c:pt>
                <c:pt idx="9">
                  <c:v>54.000000000000021</c:v>
                </c:pt>
                <c:pt idx="10">
                  <c:v>31.000000000000004</c:v>
                </c:pt>
                <c:pt idx="11">
                  <c:v>31.000000000000007</c:v>
                </c:pt>
                <c:pt idx="12">
                  <c:v>34</c:v>
                </c:pt>
                <c:pt idx="13">
                  <c:v>34.000000000000007</c:v>
                </c:pt>
                <c:pt idx="14">
                  <c:v>0</c:v>
                </c:pt>
                <c:pt idx="15">
                  <c:v>10000</c:v>
                </c:pt>
                <c:pt idx="16">
                  <c:v>86.184615384615398</c:v>
                </c:pt>
                <c:pt idx="17">
                  <c:v>79.825000000000003</c:v>
                </c:pt>
                <c:pt idx="18">
                  <c:v>30.999999999999996</c:v>
                </c:pt>
                <c:pt idx="19">
                  <c:v>30.999999999999996</c:v>
                </c:pt>
                <c:pt idx="20">
                  <c:v>0</c:v>
                </c:pt>
                <c:pt idx="21">
                  <c:v>10000</c:v>
                </c:pt>
                <c:pt idx="22">
                  <c:v>93.727272727272663</c:v>
                </c:pt>
                <c:pt idx="23">
                  <c:v>76.896103896103924</c:v>
                </c:pt>
                <c:pt idx="24">
                  <c:v>50.000000000000007</c:v>
                </c:pt>
                <c:pt idx="25">
                  <c:v>49.999999999999986</c:v>
                </c:pt>
                <c:pt idx="26">
                  <c:v>31.000000000000004</c:v>
                </c:pt>
                <c:pt idx="27">
                  <c:v>67.037037037036953</c:v>
                </c:pt>
                <c:pt idx="28">
                  <c:v>64.529914529914535</c:v>
                </c:pt>
                <c:pt idx="29">
                  <c:v>31.000000000000007</c:v>
                </c:pt>
                <c:pt idx="30">
                  <c:v>52.000000000000007</c:v>
                </c:pt>
                <c:pt idx="31">
                  <c:v>52.000000000000007</c:v>
                </c:pt>
                <c:pt idx="32">
                  <c:v>31.000000000000007</c:v>
                </c:pt>
                <c:pt idx="33">
                  <c:v>60.222222222222271</c:v>
                </c:pt>
                <c:pt idx="34">
                  <c:v>58.666666666666679</c:v>
                </c:pt>
                <c:pt idx="35">
                  <c:v>31.000000000000007</c:v>
                </c:pt>
                <c:pt idx="36">
                  <c:v>33.999999999999993</c:v>
                </c:pt>
                <c:pt idx="37">
                  <c:v>34.000000000000007</c:v>
                </c:pt>
                <c:pt idx="38">
                  <c:v>0</c:v>
                </c:pt>
                <c:pt idx="39">
                  <c:v>10000</c:v>
                </c:pt>
                <c:pt idx="40">
                  <c:v>95.904761904761912</c:v>
                </c:pt>
                <c:pt idx="41">
                  <c:v>106.77777777777779</c:v>
                </c:pt>
                <c:pt idx="42">
                  <c:v>54</c:v>
                </c:pt>
                <c:pt idx="43">
                  <c:v>54.000000000000007</c:v>
                </c:pt>
                <c:pt idx="44">
                  <c:v>0</c:v>
                </c:pt>
                <c:pt idx="45">
                  <c:v>54</c:v>
                </c:pt>
                <c:pt idx="46">
                  <c:v>31.000000000000007</c:v>
                </c:pt>
                <c:pt idx="47">
                  <c:v>106.77777777777779</c:v>
                </c:pt>
                <c:pt idx="48">
                  <c:v>54.000000000000007</c:v>
                </c:pt>
                <c:pt idx="49">
                  <c:v>34</c:v>
                </c:pt>
                <c:pt idx="50">
                  <c:v>0</c:v>
                </c:pt>
                <c:pt idx="51">
                  <c:v>54.000000000000007</c:v>
                </c:pt>
                <c:pt idx="52">
                  <c:v>31.000000000000007</c:v>
                </c:pt>
                <c:pt idx="53">
                  <c:v>85.249999999999986</c:v>
                </c:pt>
                <c:pt idx="54">
                  <c:v>52.000000000000007</c:v>
                </c:pt>
                <c:pt idx="55">
                  <c:v>52.000000000000007</c:v>
                </c:pt>
                <c:pt idx="56">
                  <c:v>29.999999999999996</c:v>
                </c:pt>
                <c:pt idx="57">
                  <c:v>58.888888888888857</c:v>
                </c:pt>
                <c:pt idx="58">
                  <c:v>50.000000000000007</c:v>
                </c:pt>
                <c:pt idx="59">
                  <c:v>30</c:v>
                </c:pt>
                <c:pt idx="60">
                  <c:v>54</c:v>
                </c:pt>
                <c:pt idx="61">
                  <c:v>33.999999999999993</c:v>
                </c:pt>
                <c:pt idx="62">
                  <c:v>31.000000000000004</c:v>
                </c:pt>
                <c:pt idx="63">
                  <c:v>33.999999999999993</c:v>
                </c:pt>
                <c:pt idx="64">
                  <c:v>31.000000000000004</c:v>
                </c:pt>
                <c:pt idx="65">
                  <c:v>30</c:v>
                </c:pt>
                <c:pt idx="66">
                  <c:v>52.000000000000014</c:v>
                </c:pt>
                <c:pt idx="67">
                  <c:v>34</c:v>
                </c:pt>
                <c:pt idx="68">
                  <c:v>30</c:v>
                </c:pt>
                <c:pt idx="69">
                  <c:v>56.428571428571416</c:v>
                </c:pt>
                <c:pt idx="70">
                  <c:v>30.999999999999993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D7D-4231-A0D1-853D049395B6}"/>
            </c:ext>
          </c:extLst>
        </c:ser>
        <c:ser>
          <c:idx val="21"/>
          <c:order val="21"/>
          <c:tx>
            <c:strRef>
              <c:f>LRMC!$A$25:$C$25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Node_4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LRMC!$D$25:$BW$25</c:f>
              <c:numCache>
                <c:formatCode>0</c:formatCode>
                <c:ptCount val="72"/>
                <c:pt idx="0">
                  <c:v>54.000000000000007</c:v>
                </c:pt>
                <c:pt idx="1">
                  <c:v>49.999999999999993</c:v>
                </c:pt>
                <c:pt idx="2">
                  <c:v>31.000000000000004</c:v>
                </c:pt>
                <c:pt idx="3">
                  <c:v>53.999999999999972</c:v>
                </c:pt>
                <c:pt idx="4">
                  <c:v>31.000000000000011</c:v>
                </c:pt>
                <c:pt idx="5">
                  <c:v>31.000000000000007</c:v>
                </c:pt>
                <c:pt idx="6">
                  <c:v>54</c:v>
                </c:pt>
                <c:pt idx="7">
                  <c:v>49.999999999999993</c:v>
                </c:pt>
                <c:pt idx="8">
                  <c:v>31.000000000000007</c:v>
                </c:pt>
                <c:pt idx="9">
                  <c:v>54.000000000000043</c:v>
                </c:pt>
                <c:pt idx="10">
                  <c:v>31.000000000000007</c:v>
                </c:pt>
                <c:pt idx="11">
                  <c:v>31.000000000000011</c:v>
                </c:pt>
                <c:pt idx="12">
                  <c:v>34</c:v>
                </c:pt>
                <c:pt idx="13">
                  <c:v>34</c:v>
                </c:pt>
                <c:pt idx="14">
                  <c:v>0</c:v>
                </c:pt>
                <c:pt idx="15">
                  <c:v>10000</c:v>
                </c:pt>
                <c:pt idx="16">
                  <c:v>86.184615384615398</c:v>
                </c:pt>
                <c:pt idx="17">
                  <c:v>79.825000000000003</c:v>
                </c:pt>
                <c:pt idx="18">
                  <c:v>31.000000000000004</c:v>
                </c:pt>
                <c:pt idx="19">
                  <c:v>31.000000000000007</c:v>
                </c:pt>
                <c:pt idx="20">
                  <c:v>0</c:v>
                </c:pt>
                <c:pt idx="21">
                  <c:v>10000</c:v>
                </c:pt>
                <c:pt idx="22">
                  <c:v>93.727272727272663</c:v>
                </c:pt>
                <c:pt idx="23">
                  <c:v>76.896103896103924</c:v>
                </c:pt>
                <c:pt idx="24">
                  <c:v>50.000000000000007</c:v>
                </c:pt>
                <c:pt idx="25">
                  <c:v>49.999999999999993</c:v>
                </c:pt>
                <c:pt idx="26">
                  <c:v>31.000000000000004</c:v>
                </c:pt>
                <c:pt idx="27">
                  <c:v>67.037037037036953</c:v>
                </c:pt>
                <c:pt idx="28">
                  <c:v>64.529914529914535</c:v>
                </c:pt>
                <c:pt idx="29">
                  <c:v>31.000000000000007</c:v>
                </c:pt>
                <c:pt idx="30">
                  <c:v>52.000000000000007</c:v>
                </c:pt>
                <c:pt idx="31">
                  <c:v>52</c:v>
                </c:pt>
                <c:pt idx="32">
                  <c:v>31.000000000000007</c:v>
                </c:pt>
                <c:pt idx="33">
                  <c:v>60.222222222222271</c:v>
                </c:pt>
                <c:pt idx="34">
                  <c:v>58.666666666666679</c:v>
                </c:pt>
                <c:pt idx="35">
                  <c:v>31.000000000000007</c:v>
                </c:pt>
                <c:pt idx="36">
                  <c:v>33.999999999999993</c:v>
                </c:pt>
                <c:pt idx="37">
                  <c:v>34</c:v>
                </c:pt>
                <c:pt idx="38">
                  <c:v>0</c:v>
                </c:pt>
                <c:pt idx="39">
                  <c:v>10000</c:v>
                </c:pt>
                <c:pt idx="40">
                  <c:v>95.904761904761912</c:v>
                </c:pt>
                <c:pt idx="41">
                  <c:v>106.77777777777779</c:v>
                </c:pt>
                <c:pt idx="42">
                  <c:v>54.000000000000007</c:v>
                </c:pt>
                <c:pt idx="43">
                  <c:v>54.000000000000007</c:v>
                </c:pt>
                <c:pt idx="44">
                  <c:v>0</c:v>
                </c:pt>
                <c:pt idx="45">
                  <c:v>54</c:v>
                </c:pt>
                <c:pt idx="46">
                  <c:v>31.000000000000007</c:v>
                </c:pt>
                <c:pt idx="47">
                  <c:v>106.77777777777779</c:v>
                </c:pt>
                <c:pt idx="48">
                  <c:v>54.000000000000007</c:v>
                </c:pt>
                <c:pt idx="49">
                  <c:v>34</c:v>
                </c:pt>
                <c:pt idx="50">
                  <c:v>0</c:v>
                </c:pt>
                <c:pt idx="51">
                  <c:v>54.000000000000007</c:v>
                </c:pt>
                <c:pt idx="52">
                  <c:v>31.000000000000007</c:v>
                </c:pt>
                <c:pt idx="53">
                  <c:v>85.249999999999986</c:v>
                </c:pt>
                <c:pt idx="54">
                  <c:v>52.000000000000007</c:v>
                </c:pt>
                <c:pt idx="55">
                  <c:v>52.000000000000007</c:v>
                </c:pt>
                <c:pt idx="56">
                  <c:v>30.000000000000028</c:v>
                </c:pt>
                <c:pt idx="57">
                  <c:v>58.888888888888857</c:v>
                </c:pt>
                <c:pt idx="58">
                  <c:v>50.000000000000007</c:v>
                </c:pt>
                <c:pt idx="59">
                  <c:v>30.000000000000028</c:v>
                </c:pt>
                <c:pt idx="60">
                  <c:v>54</c:v>
                </c:pt>
                <c:pt idx="61">
                  <c:v>34</c:v>
                </c:pt>
                <c:pt idx="62">
                  <c:v>31.000000000000007</c:v>
                </c:pt>
                <c:pt idx="63">
                  <c:v>33.999999999999993</c:v>
                </c:pt>
                <c:pt idx="64">
                  <c:v>31.000000000000011</c:v>
                </c:pt>
                <c:pt idx="65">
                  <c:v>30.000000000000011</c:v>
                </c:pt>
                <c:pt idx="66">
                  <c:v>51.999999999999986</c:v>
                </c:pt>
                <c:pt idx="67">
                  <c:v>34</c:v>
                </c:pt>
                <c:pt idx="68">
                  <c:v>30.000000000000004</c:v>
                </c:pt>
                <c:pt idx="69">
                  <c:v>56.428571428571416</c:v>
                </c:pt>
                <c:pt idx="70">
                  <c:v>30.999999999999993</c:v>
                </c:pt>
                <c:pt idx="71">
                  <c:v>30.000000000000004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D7D-4231-A0D1-853D049395B6}"/>
            </c:ext>
          </c:extLst>
        </c:ser>
        <c:ser>
          <c:idx val="22"/>
          <c:order val="22"/>
          <c:tx>
            <c:strRef>
              <c:f>LRMC!$A$26:$C$26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Node_5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LRMC!$D$26:$BW$26</c:f>
              <c:numCache>
                <c:formatCode>0</c:formatCode>
                <c:ptCount val="72"/>
                <c:pt idx="0">
                  <c:v>54.000000000000007</c:v>
                </c:pt>
                <c:pt idx="1">
                  <c:v>49.999999999999993</c:v>
                </c:pt>
                <c:pt idx="2">
                  <c:v>31.000000000000004</c:v>
                </c:pt>
                <c:pt idx="3">
                  <c:v>53.999999999999972</c:v>
                </c:pt>
                <c:pt idx="4">
                  <c:v>31.000000000000011</c:v>
                </c:pt>
                <c:pt idx="5">
                  <c:v>31.000000000000007</c:v>
                </c:pt>
                <c:pt idx="6">
                  <c:v>54</c:v>
                </c:pt>
                <c:pt idx="7">
                  <c:v>49.999999999999993</c:v>
                </c:pt>
                <c:pt idx="8">
                  <c:v>31.000000000000007</c:v>
                </c:pt>
                <c:pt idx="9">
                  <c:v>54.000000000000043</c:v>
                </c:pt>
                <c:pt idx="10">
                  <c:v>31.000000000000007</c:v>
                </c:pt>
                <c:pt idx="11">
                  <c:v>31.000000000000011</c:v>
                </c:pt>
                <c:pt idx="12">
                  <c:v>34</c:v>
                </c:pt>
                <c:pt idx="13">
                  <c:v>34</c:v>
                </c:pt>
                <c:pt idx="14">
                  <c:v>0</c:v>
                </c:pt>
                <c:pt idx="15">
                  <c:v>10000</c:v>
                </c:pt>
                <c:pt idx="16">
                  <c:v>86.184615384615398</c:v>
                </c:pt>
                <c:pt idx="17">
                  <c:v>79.825000000000003</c:v>
                </c:pt>
                <c:pt idx="18">
                  <c:v>31.000000000000004</c:v>
                </c:pt>
                <c:pt idx="19">
                  <c:v>31.000000000000007</c:v>
                </c:pt>
                <c:pt idx="20">
                  <c:v>0</c:v>
                </c:pt>
                <c:pt idx="21">
                  <c:v>10000</c:v>
                </c:pt>
                <c:pt idx="22">
                  <c:v>93.727272727272663</c:v>
                </c:pt>
                <c:pt idx="23">
                  <c:v>76.896103896103924</c:v>
                </c:pt>
                <c:pt idx="24">
                  <c:v>50.000000000000007</c:v>
                </c:pt>
                <c:pt idx="25">
                  <c:v>49.999999999999993</c:v>
                </c:pt>
                <c:pt idx="26">
                  <c:v>31.000000000000004</c:v>
                </c:pt>
                <c:pt idx="27">
                  <c:v>67.037037037036953</c:v>
                </c:pt>
                <c:pt idx="28">
                  <c:v>64.529914529914535</c:v>
                </c:pt>
                <c:pt idx="29">
                  <c:v>31.000000000000007</c:v>
                </c:pt>
                <c:pt idx="30">
                  <c:v>52.000000000000007</c:v>
                </c:pt>
                <c:pt idx="31">
                  <c:v>52</c:v>
                </c:pt>
                <c:pt idx="32">
                  <c:v>31.000000000000007</c:v>
                </c:pt>
                <c:pt idx="33">
                  <c:v>60.222222222222271</c:v>
                </c:pt>
                <c:pt idx="34">
                  <c:v>58.666666666666679</c:v>
                </c:pt>
                <c:pt idx="35">
                  <c:v>31.000000000000007</c:v>
                </c:pt>
                <c:pt idx="36">
                  <c:v>33.999999999999993</c:v>
                </c:pt>
                <c:pt idx="37">
                  <c:v>34</c:v>
                </c:pt>
                <c:pt idx="38">
                  <c:v>0</c:v>
                </c:pt>
                <c:pt idx="39">
                  <c:v>10000</c:v>
                </c:pt>
                <c:pt idx="40">
                  <c:v>95.904761904761912</c:v>
                </c:pt>
                <c:pt idx="41">
                  <c:v>106.77777777777779</c:v>
                </c:pt>
                <c:pt idx="42">
                  <c:v>54.000000000000007</c:v>
                </c:pt>
                <c:pt idx="43">
                  <c:v>54.000000000000007</c:v>
                </c:pt>
                <c:pt idx="44">
                  <c:v>0</c:v>
                </c:pt>
                <c:pt idx="45">
                  <c:v>54</c:v>
                </c:pt>
                <c:pt idx="46">
                  <c:v>31.000000000000007</c:v>
                </c:pt>
                <c:pt idx="47">
                  <c:v>106.77777777777779</c:v>
                </c:pt>
                <c:pt idx="48">
                  <c:v>54.000000000000007</c:v>
                </c:pt>
                <c:pt idx="49">
                  <c:v>34</c:v>
                </c:pt>
                <c:pt idx="50">
                  <c:v>0</c:v>
                </c:pt>
                <c:pt idx="51">
                  <c:v>54.000000000000007</c:v>
                </c:pt>
                <c:pt idx="52">
                  <c:v>31.000000000000007</c:v>
                </c:pt>
                <c:pt idx="53">
                  <c:v>85.249999999999986</c:v>
                </c:pt>
                <c:pt idx="54">
                  <c:v>52.000000000000007</c:v>
                </c:pt>
                <c:pt idx="55">
                  <c:v>52.000000000000007</c:v>
                </c:pt>
                <c:pt idx="56">
                  <c:v>30.000000000000028</c:v>
                </c:pt>
                <c:pt idx="57">
                  <c:v>58.888888888888857</c:v>
                </c:pt>
                <c:pt idx="58">
                  <c:v>50.000000000000007</c:v>
                </c:pt>
                <c:pt idx="59">
                  <c:v>30.000000000000028</c:v>
                </c:pt>
                <c:pt idx="60">
                  <c:v>54</c:v>
                </c:pt>
                <c:pt idx="61">
                  <c:v>34</c:v>
                </c:pt>
                <c:pt idx="62">
                  <c:v>31.000000000000007</c:v>
                </c:pt>
                <c:pt idx="63">
                  <c:v>33.999999999999993</c:v>
                </c:pt>
                <c:pt idx="64">
                  <c:v>31.000000000000011</c:v>
                </c:pt>
                <c:pt idx="65">
                  <c:v>30.000000000000011</c:v>
                </c:pt>
                <c:pt idx="66">
                  <c:v>51.999999999999986</c:v>
                </c:pt>
                <c:pt idx="67">
                  <c:v>34</c:v>
                </c:pt>
                <c:pt idx="68">
                  <c:v>30.000000000000004</c:v>
                </c:pt>
                <c:pt idx="69">
                  <c:v>56.428571428571416</c:v>
                </c:pt>
                <c:pt idx="70">
                  <c:v>30.999999999999993</c:v>
                </c:pt>
                <c:pt idx="71">
                  <c:v>30.000000000000004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D7D-4231-A0D1-853D049395B6}"/>
            </c:ext>
          </c:extLst>
        </c:ser>
        <c:ser>
          <c:idx val="23"/>
          <c:order val="23"/>
          <c:tx>
            <c:strRef>
              <c:f>LRMC!$A$27:$C$27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Node_6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LRMC!$D$27:$BW$27</c:f>
              <c:numCache>
                <c:formatCode>0</c:formatCode>
                <c:ptCount val="72"/>
                <c:pt idx="0">
                  <c:v>53.999999999999986</c:v>
                </c:pt>
                <c:pt idx="1">
                  <c:v>50.000000000000007</c:v>
                </c:pt>
                <c:pt idx="2">
                  <c:v>31.000000000000004</c:v>
                </c:pt>
                <c:pt idx="3">
                  <c:v>53.999999999999993</c:v>
                </c:pt>
                <c:pt idx="4">
                  <c:v>30.999999999999996</c:v>
                </c:pt>
                <c:pt idx="5">
                  <c:v>31.000000000000007</c:v>
                </c:pt>
                <c:pt idx="6">
                  <c:v>54</c:v>
                </c:pt>
                <c:pt idx="7">
                  <c:v>49.999999999999993</c:v>
                </c:pt>
                <c:pt idx="8">
                  <c:v>31.000000000000007</c:v>
                </c:pt>
                <c:pt idx="9">
                  <c:v>53.999999999999993</c:v>
                </c:pt>
                <c:pt idx="10">
                  <c:v>31.000000000000004</c:v>
                </c:pt>
                <c:pt idx="11">
                  <c:v>31.000000000000007</c:v>
                </c:pt>
                <c:pt idx="12">
                  <c:v>34</c:v>
                </c:pt>
                <c:pt idx="13">
                  <c:v>34.000000000000007</c:v>
                </c:pt>
                <c:pt idx="14">
                  <c:v>0</c:v>
                </c:pt>
                <c:pt idx="15">
                  <c:v>10000</c:v>
                </c:pt>
                <c:pt idx="16">
                  <c:v>86.184615384615412</c:v>
                </c:pt>
                <c:pt idx="17">
                  <c:v>79.825000000000003</c:v>
                </c:pt>
                <c:pt idx="18">
                  <c:v>30.999999999999996</c:v>
                </c:pt>
                <c:pt idx="19">
                  <c:v>30.999999999999996</c:v>
                </c:pt>
                <c:pt idx="20">
                  <c:v>0</c:v>
                </c:pt>
                <c:pt idx="21">
                  <c:v>10000</c:v>
                </c:pt>
                <c:pt idx="22">
                  <c:v>93.727272727272663</c:v>
                </c:pt>
                <c:pt idx="23">
                  <c:v>76.896103896103924</c:v>
                </c:pt>
                <c:pt idx="24">
                  <c:v>50.000000000000007</c:v>
                </c:pt>
                <c:pt idx="25">
                  <c:v>49.999999999999986</c:v>
                </c:pt>
                <c:pt idx="26">
                  <c:v>31.000000000000004</c:v>
                </c:pt>
                <c:pt idx="27">
                  <c:v>67.037037037036953</c:v>
                </c:pt>
                <c:pt idx="28">
                  <c:v>64.529914529914535</c:v>
                </c:pt>
                <c:pt idx="29">
                  <c:v>31.000000000000007</c:v>
                </c:pt>
                <c:pt idx="30">
                  <c:v>52.000000000000007</c:v>
                </c:pt>
                <c:pt idx="31">
                  <c:v>52.000000000000007</c:v>
                </c:pt>
                <c:pt idx="32">
                  <c:v>31.000000000000007</c:v>
                </c:pt>
                <c:pt idx="33">
                  <c:v>60.222222222222278</c:v>
                </c:pt>
                <c:pt idx="34">
                  <c:v>58.666666666666679</c:v>
                </c:pt>
                <c:pt idx="35">
                  <c:v>31.000000000000007</c:v>
                </c:pt>
                <c:pt idx="36">
                  <c:v>33.999999999999993</c:v>
                </c:pt>
                <c:pt idx="37">
                  <c:v>34.000000000000007</c:v>
                </c:pt>
                <c:pt idx="38">
                  <c:v>0</c:v>
                </c:pt>
                <c:pt idx="39">
                  <c:v>10000</c:v>
                </c:pt>
                <c:pt idx="40">
                  <c:v>95.904761904761884</c:v>
                </c:pt>
                <c:pt idx="41">
                  <c:v>106.7777777777778</c:v>
                </c:pt>
                <c:pt idx="42">
                  <c:v>53.999999999999986</c:v>
                </c:pt>
                <c:pt idx="43">
                  <c:v>54.000000000000007</c:v>
                </c:pt>
                <c:pt idx="44">
                  <c:v>0</c:v>
                </c:pt>
                <c:pt idx="45">
                  <c:v>54</c:v>
                </c:pt>
                <c:pt idx="46">
                  <c:v>31.000000000000007</c:v>
                </c:pt>
                <c:pt idx="47">
                  <c:v>106.7777777777778</c:v>
                </c:pt>
                <c:pt idx="48">
                  <c:v>54.000000000000028</c:v>
                </c:pt>
                <c:pt idx="49">
                  <c:v>34</c:v>
                </c:pt>
                <c:pt idx="50">
                  <c:v>0</c:v>
                </c:pt>
                <c:pt idx="51">
                  <c:v>54.000000000000021</c:v>
                </c:pt>
                <c:pt idx="52">
                  <c:v>31.000000000000007</c:v>
                </c:pt>
                <c:pt idx="53">
                  <c:v>85.25</c:v>
                </c:pt>
                <c:pt idx="54">
                  <c:v>52.000000000000007</c:v>
                </c:pt>
                <c:pt idx="55">
                  <c:v>52.000000000000007</c:v>
                </c:pt>
                <c:pt idx="56">
                  <c:v>29.999999999999986</c:v>
                </c:pt>
                <c:pt idx="57">
                  <c:v>58.888888888888886</c:v>
                </c:pt>
                <c:pt idx="58">
                  <c:v>50.000000000000007</c:v>
                </c:pt>
                <c:pt idx="59">
                  <c:v>29.999999999999996</c:v>
                </c:pt>
                <c:pt idx="60">
                  <c:v>53.999999999999972</c:v>
                </c:pt>
                <c:pt idx="61">
                  <c:v>33.999999999999986</c:v>
                </c:pt>
                <c:pt idx="62">
                  <c:v>30.999999999999996</c:v>
                </c:pt>
                <c:pt idx="63">
                  <c:v>34</c:v>
                </c:pt>
                <c:pt idx="64">
                  <c:v>31.000000000000004</c:v>
                </c:pt>
                <c:pt idx="65">
                  <c:v>30</c:v>
                </c:pt>
                <c:pt idx="66">
                  <c:v>52.000000000000021</c:v>
                </c:pt>
                <c:pt idx="67">
                  <c:v>34</c:v>
                </c:pt>
                <c:pt idx="68">
                  <c:v>30</c:v>
                </c:pt>
                <c:pt idx="69">
                  <c:v>56.428571428571416</c:v>
                </c:pt>
                <c:pt idx="70">
                  <c:v>31.000000000000004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D7D-4231-A0D1-853D049395B6}"/>
            </c:ext>
          </c:extLst>
        </c:ser>
        <c:ser>
          <c:idx val="24"/>
          <c:order val="24"/>
          <c:tx>
            <c:strRef>
              <c:f>LRMC!$A$28:$C$28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Node_7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LRMC!$D$28:$BW$28</c:f>
              <c:numCache>
                <c:formatCode>0</c:formatCode>
                <c:ptCount val="72"/>
                <c:pt idx="0">
                  <c:v>53.999999999999986</c:v>
                </c:pt>
                <c:pt idx="1">
                  <c:v>50.000000000000007</c:v>
                </c:pt>
                <c:pt idx="2">
                  <c:v>31.000000000000004</c:v>
                </c:pt>
                <c:pt idx="3">
                  <c:v>53.999999999999993</c:v>
                </c:pt>
                <c:pt idx="4">
                  <c:v>30.999999999999996</c:v>
                </c:pt>
                <c:pt idx="5">
                  <c:v>31.000000000000007</c:v>
                </c:pt>
                <c:pt idx="6">
                  <c:v>54</c:v>
                </c:pt>
                <c:pt idx="7">
                  <c:v>49.999999999999993</c:v>
                </c:pt>
                <c:pt idx="8">
                  <c:v>31.000000000000007</c:v>
                </c:pt>
                <c:pt idx="9">
                  <c:v>53.999999999999993</c:v>
                </c:pt>
                <c:pt idx="10">
                  <c:v>31.000000000000004</c:v>
                </c:pt>
                <c:pt idx="11">
                  <c:v>31.000000000000011</c:v>
                </c:pt>
                <c:pt idx="12">
                  <c:v>34</c:v>
                </c:pt>
                <c:pt idx="13">
                  <c:v>34</c:v>
                </c:pt>
                <c:pt idx="14">
                  <c:v>0</c:v>
                </c:pt>
                <c:pt idx="15">
                  <c:v>10000</c:v>
                </c:pt>
                <c:pt idx="16">
                  <c:v>86.184615384615412</c:v>
                </c:pt>
                <c:pt idx="17">
                  <c:v>79.825000000000003</c:v>
                </c:pt>
                <c:pt idx="18">
                  <c:v>30.999999999999996</c:v>
                </c:pt>
                <c:pt idx="19">
                  <c:v>30.999999999999996</c:v>
                </c:pt>
                <c:pt idx="20">
                  <c:v>0</c:v>
                </c:pt>
                <c:pt idx="21">
                  <c:v>10000</c:v>
                </c:pt>
                <c:pt idx="22">
                  <c:v>93.727272727272663</c:v>
                </c:pt>
                <c:pt idx="23">
                  <c:v>76.896103896103924</c:v>
                </c:pt>
                <c:pt idx="24">
                  <c:v>50.000000000000007</c:v>
                </c:pt>
                <c:pt idx="25">
                  <c:v>49.999999999999986</c:v>
                </c:pt>
                <c:pt idx="26">
                  <c:v>31.000000000000004</c:v>
                </c:pt>
                <c:pt idx="27">
                  <c:v>67.037037037036953</c:v>
                </c:pt>
                <c:pt idx="28">
                  <c:v>64.529914529914535</c:v>
                </c:pt>
                <c:pt idx="29">
                  <c:v>31.000000000000007</c:v>
                </c:pt>
                <c:pt idx="30">
                  <c:v>52.000000000000007</c:v>
                </c:pt>
                <c:pt idx="31">
                  <c:v>52.000000000000007</c:v>
                </c:pt>
                <c:pt idx="32">
                  <c:v>31.000000000000007</c:v>
                </c:pt>
                <c:pt idx="33">
                  <c:v>60.222222222222271</c:v>
                </c:pt>
                <c:pt idx="34">
                  <c:v>58.666666666666679</c:v>
                </c:pt>
                <c:pt idx="35">
                  <c:v>31.000000000000007</c:v>
                </c:pt>
                <c:pt idx="36">
                  <c:v>33.999999999999993</c:v>
                </c:pt>
                <c:pt idx="37">
                  <c:v>34</c:v>
                </c:pt>
                <c:pt idx="38">
                  <c:v>0</c:v>
                </c:pt>
                <c:pt idx="39">
                  <c:v>10000</c:v>
                </c:pt>
                <c:pt idx="40">
                  <c:v>95.90476190476187</c:v>
                </c:pt>
                <c:pt idx="41">
                  <c:v>106.7777777777778</c:v>
                </c:pt>
                <c:pt idx="42">
                  <c:v>53.999999999999986</c:v>
                </c:pt>
                <c:pt idx="43">
                  <c:v>54</c:v>
                </c:pt>
                <c:pt idx="44">
                  <c:v>0</c:v>
                </c:pt>
                <c:pt idx="45">
                  <c:v>54</c:v>
                </c:pt>
                <c:pt idx="46">
                  <c:v>31.000000000000007</c:v>
                </c:pt>
                <c:pt idx="47">
                  <c:v>106.7777777777778</c:v>
                </c:pt>
                <c:pt idx="48">
                  <c:v>54.000000000000007</c:v>
                </c:pt>
                <c:pt idx="49">
                  <c:v>34</c:v>
                </c:pt>
                <c:pt idx="50">
                  <c:v>0</c:v>
                </c:pt>
                <c:pt idx="51">
                  <c:v>53.999999999999993</c:v>
                </c:pt>
                <c:pt idx="52">
                  <c:v>31.000000000000007</c:v>
                </c:pt>
                <c:pt idx="53">
                  <c:v>85.25</c:v>
                </c:pt>
                <c:pt idx="54">
                  <c:v>52.000000000000007</c:v>
                </c:pt>
                <c:pt idx="55">
                  <c:v>52.000000000000007</c:v>
                </c:pt>
                <c:pt idx="56">
                  <c:v>29.999999999999986</c:v>
                </c:pt>
                <c:pt idx="57">
                  <c:v>58.888888888888864</c:v>
                </c:pt>
                <c:pt idx="58">
                  <c:v>50.000000000000007</c:v>
                </c:pt>
                <c:pt idx="59">
                  <c:v>29.999999999999996</c:v>
                </c:pt>
                <c:pt idx="60">
                  <c:v>53.999999999999972</c:v>
                </c:pt>
                <c:pt idx="61">
                  <c:v>34</c:v>
                </c:pt>
                <c:pt idx="62">
                  <c:v>30.999999999999996</c:v>
                </c:pt>
                <c:pt idx="63">
                  <c:v>33.999999999999979</c:v>
                </c:pt>
                <c:pt idx="64">
                  <c:v>31.000000000000004</c:v>
                </c:pt>
                <c:pt idx="65">
                  <c:v>30</c:v>
                </c:pt>
                <c:pt idx="66">
                  <c:v>52.000000000000021</c:v>
                </c:pt>
                <c:pt idx="67">
                  <c:v>34</c:v>
                </c:pt>
                <c:pt idx="68">
                  <c:v>30</c:v>
                </c:pt>
                <c:pt idx="69">
                  <c:v>56.428571428571416</c:v>
                </c:pt>
                <c:pt idx="70">
                  <c:v>31.000000000000004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D7D-4231-A0D1-853D049395B6}"/>
            </c:ext>
          </c:extLst>
        </c:ser>
        <c:ser>
          <c:idx val="25"/>
          <c:order val="25"/>
          <c:tx>
            <c:strRef>
              <c:f>LRMC!$A$29:$C$29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Node_8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LRMC!$D$29:$BW$29</c:f>
              <c:numCache>
                <c:formatCode>0</c:formatCode>
                <c:ptCount val="72"/>
                <c:pt idx="0">
                  <c:v>53.999999999999986</c:v>
                </c:pt>
                <c:pt idx="1">
                  <c:v>50.000000000000007</c:v>
                </c:pt>
                <c:pt idx="2">
                  <c:v>31.000000000000004</c:v>
                </c:pt>
                <c:pt idx="3">
                  <c:v>53.999999999999993</c:v>
                </c:pt>
                <c:pt idx="4">
                  <c:v>30.999999999999996</c:v>
                </c:pt>
                <c:pt idx="5">
                  <c:v>31.000000000000007</c:v>
                </c:pt>
                <c:pt idx="6">
                  <c:v>54</c:v>
                </c:pt>
                <c:pt idx="7">
                  <c:v>49.999999999999993</c:v>
                </c:pt>
                <c:pt idx="8">
                  <c:v>31.000000000000007</c:v>
                </c:pt>
                <c:pt idx="9">
                  <c:v>53.999999999999993</c:v>
                </c:pt>
                <c:pt idx="10">
                  <c:v>31.000000000000004</c:v>
                </c:pt>
                <c:pt idx="11">
                  <c:v>31.000000000000011</c:v>
                </c:pt>
                <c:pt idx="12">
                  <c:v>34</c:v>
                </c:pt>
                <c:pt idx="13">
                  <c:v>34</c:v>
                </c:pt>
                <c:pt idx="14">
                  <c:v>0</c:v>
                </c:pt>
                <c:pt idx="15">
                  <c:v>10000</c:v>
                </c:pt>
                <c:pt idx="16">
                  <c:v>86.184615384615412</c:v>
                </c:pt>
                <c:pt idx="17">
                  <c:v>79.825000000000003</c:v>
                </c:pt>
                <c:pt idx="18">
                  <c:v>30.999999999999996</c:v>
                </c:pt>
                <c:pt idx="19">
                  <c:v>30.999999999999996</c:v>
                </c:pt>
                <c:pt idx="20">
                  <c:v>0</c:v>
                </c:pt>
                <c:pt idx="21">
                  <c:v>10000</c:v>
                </c:pt>
                <c:pt idx="22">
                  <c:v>93.727272727272663</c:v>
                </c:pt>
                <c:pt idx="23">
                  <c:v>76.896103896103924</c:v>
                </c:pt>
                <c:pt idx="24">
                  <c:v>50.000000000000007</c:v>
                </c:pt>
                <c:pt idx="25">
                  <c:v>49.999999999999986</c:v>
                </c:pt>
                <c:pt idx="26">
                  <c:v>31.000000000000004</c:v>
                </c:pt>
                <c:pt idx="27">
                  <c:v>67.037037037036953</c:v>
                </c:pt>
                <c:pt idx="28">
                  <c:v>64.529914529914535</c:v>
                </c:pt>
                <c:pt idx="29">
                  <c:v>31.000000000000007</c:v>
                </c:pt>
                <c:pt idx="30">
                  <c:v>52.000000000000007</c:v>
                </c:pt>
                <c:pt idx="31">
                  <c:v>52.000000000000007</c:v>
                </c:pt>
                <c:pt idx="32">
                  <c:v>31.000000000000007</c:v>
                </c:pt>
                <c:pt idx="33">
                  <c:v>60.222222222222271</c:v>
                </c:pt>
                <c:pt idx="34">
                  <c:v>58.666666666666679</c:v>
                </c:pt>
                <c:pt idx="35">
                  <c:v>31.000000000000007</c:v>
                </c:pt>
                <c:pt idx="36">
                  <c:v>33.999999999999993</c:v>
                </c:pt>
                <c:pt idx="37">
                  <c:v>34</c:v>
                </c:pt>
                <c:pt idx="38">
                  <c:v>0</c:v>
                </c:pt>
                <c:pt idx="39">
                  <c:v>10000</c:v>
                </c:pt>
                <c:pt idx="40">
                  <c:v>95.90476190476187</c:v>
                </c:pt>
                <c:pt idx="41">
                  <c:v>106.7777777777778</c:v>
                </c:pt>
                <c:pt idx="42">
                  <c:v>53.999999999999986</c:v>
                </c:pt>
                <c:pt idx="43">
                  <c:v>54</c:v>
                </c:pt>
                <c:pt idx="44">
                  <c:v>0</c:v>
                </c:pt>
                <c:pt idx="45">
                  <c:v>54</c:v>
                </c:pt>
                <c:pt idx="46">
                  <c:v>31.000000000000007</c:v>
                </c:pt>
                <c:pt idx="47">
                  <c:v>106.7777777777778</c:v>
                </c:pt>
                <c:pt idx="48">
                  <c:v>54.000000000000007</c:v>
                </c:pt>
                <c:pt idx="49">
                  <c:v>34</c:v>
                </c:pt>
                <c:pt idx="50">
                  <c:v>0</c:v>
                </c:pt>
                <c:pt idx="51">
                  <c:v>53.999999999999993</c:v>
                </c:pt>
                <c:pt idx="52">
                  <c:v>31.000000000000007</c:v>
                </c:pt>
                <c:pt idx="53">
                  <c:v>85.25</c:v>
                </c:pt>
                <c:pt idx="54">
                  <c:v>52.000000000000007</c:v>
                </c:pt>
                <c:pt idx="55">
                  <c:v>52.000000000000007</c:v>
                </c:pt>
                <c:pt idx="56">
                  <c:v>29.999999999999986</c:v>
                </c:pt>
                <c:pt idx="57">
                  <c:v>58.888888888888864</c:v>
                </c:pt>
                <c:pt idx="58">
                  <c:v>50.000000000000007</c:v>
                </c:pt>
                <c:pt idx="59">
                  <c:v>29.999999999999996</c:v>
                </c:pt>
                <c:pt idx="60">
                  <c:v>53.999999999999972</c:v>
                </c:pt>
                <c:pt idx="61">
                  <c:v>34</c:v>
                </c:pt>
                <c:pt idx="62">
                  <c:v>30.999999999999996</c:v>
                </c:pt>
                <c:pt idx="63">
                  <c:v>33.999999999999979</c:v>
                </c:pt>
                <c:pt idx="64">
                  <c:v>31.000000000000004</c:v>
                </c:pt>
                <c:pt idx="65">
                  <c:v>30</c:v>
                </c:pt>
                <c:pt idx="66">
                  <c:v>52.000000000000021</c:v>
                </c:pt>
                <c:pt idx="67">
                  <c:v>34</c:v>
                </c:pt>
                <c:pt idx="68">
                  <c:v>30</c:v>
                </c:pt>
                <c:pt idx="69">
                  <c:v>56.428571428571416</c:v>
                </c:pt>
                <c:pt idx="70">
                  <c:v>31.000000000000004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D7D-4231-A0D1-853D049395B6}"/>
            </c:ext>
          </c:extLst>
        </c:ser>
        <c:ser>
          <c:idx val="26"/>
          <c:order val="26"/>
          <c:tx>
            <c:strRef>
              <c:f>LRMC!$A$30:$C$30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Node_9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LRMC!$D$30:$BW$30</c:f>
              <c:numCache>
                <c:formatCode>0</c:formatCode>
                <c:ptCount val="72"/>
                <c:pt idx="0">
                  <c:v>53.999999999999986</c:v>
                </c:pt>
                <c:pt idx="1">
                  <c:v>50.000000000000007</c:v>
                </c:pt>
                <c:pt idx="2">
                  <c:v>31.000000000000004</c:v>
                </c:pt>
                <c:pt idx="3">
                  <c:v>53.999999999999993</c:v>
                </c:pt>
                <c:pt idx="4">
                  <c:v>30.999999999999996</c:v>
                </c:pt>
                <c:pt idx="5">
                  <c:v>31.000000000000007</c:v>
                </c:pt>
                <c:pt idx="6">
                  <c:v>54</c:v>
                </c:pt>
                <c:pt idx="7">
                  <c:v>49.999999999999993</c:v>
                </c:pt>
                <c:pt idx="8">
                  <c:v>31.000000000000007</c:v>
                </c:pt>
                <c:pt idx="9">
                  <c:v>53.999999999999993</c:v>
                </c:pt>
                <c:pt idx="10">
                  <c:v>31.000000000000004</c:v>
                </c:pt>
                <c:pt idx="11">
                  <c:v>31.000000000000011</c:v>
                </c:pt>
                <c:pt idx="12">
                  <c:v>34</c:v>
                </c:pt>
                <c:pt idx="13">
                  <c:v>34</c:v>
                </c:pt>
                <c:pt idx="14">
                  <c:v>0</c:v>
                </c:pt>
                <c:pt idx="15">
                  <c:v>10000</c:v>
                </c:pt>
                <c:pt idx="16">
                  <c:v>86.184615384615412</c:v>
                </c:pt>
                <c:pt idx="17">
                  <c:v>79.825000000000003</c:v>
                </c:pt>
                <c:pt idx="18">
                  <c:v>30.999999999999996</c:v>
                </c:pt>
                <c:pt idx="19">
                  <c:v>30.999999999999996</c:v>
                </c:pt>
                <c:pt idx="20">
                  <c:v>0</c:v>
                </c:pt>
                <c:pt idx="21">
                  <c:v>10000</c:v>
                </c:pt>
                <c:pt idx="22">
                  <c:v>93.727272727272663</c:v>
                </c:pt>
                <c:pt idx="23">
                  <c:v>76.896103896103924</c:v>
                </c:pt>
                <c:pt idx="24">
                  <c:v>50.000000000000007</c:v>
                </c:pt>
                <c:pt idx="25">
                  <c:v>49.999999999999986</c:v>
                </c:pt>
                <c:pt idx="26">
                  <c:v>31.000000000000004</c:v>
                </c:pt>
                <c:pt idx="27">
                  <c:v>67.037037037036953</c:v>
                </c:pt>
                <c:pt idx="28">
                  <c:v>64.529914529914535</c:v>
                </c:pt>
                <c:pt idx="29">
                  <c:v>31.000000000000007</c:v>
                </c:pt>
                <c:pt idx="30">
                  <c:v>52.000000000000007</c:v>
                </c:pt>
                <c:pt idx="31">
                  <c:v>52.000000000000007</c:v>
                </c:pt>
                <c:pt idx="32">
                  <c:v>31.000000000000007</c:v>
                </c:pt>
                <c:pt idx="33">
                  <c:v>60.222222222222271</c:v>
                </c:pt>
                <c:pt idx="34">
                  <c:v>58.666666666666679</c:v>
                </c:pt>
                <c:pt idx="35">
                  <c:v>31.000000000000007</c:v>
                </c:pt>
                <c:pt idx="36">
                  <c:v>33.999999999999993</c:v>
                </c:pt>
                <c:pt idx="37">
                  <c:v>34</c:v>
                </c:pt>
                <c:pt idx="38">
                  <c:v>0</c:v>
                </c:pt>
                <c:pt idx="39">
                  <c:v>10000</c:v>
                </c:pt>
                <c:pt idx="40">
                  <c:v>95.90476190476187</c:v>
                </c:pt>
                <c:pt idx="41">
                  <c:v>106.7777777777778</c:v>
                </c:pt>
                <c:pt idx="42">
                  <c:v>53.999999999999986</c:v>
                </c:pt>
                <c:pt idx="43">
                  <c:v>54</c:v>
                </c:pt>
                <c:pt idx="44">
                  <c:v>0</c:v>
                </c:pt>
                <c:pt idx="45">
                  <c:v>54</c:v>
                </c:pt>
                <c:pt idx="46">
                  <c:v>31.000000000000007</c:v>
                </c:pt>
                <c:pt idx="47">
                  <c:v>106.7777777777778</c:v>
                </c:pt>
                <c:pt idx="48">
                  <c:v>54.000000000000007</c:v>
                </c:pt>
                <c:pt idx="49">
                  <c:v>34</c:v>
                </c:pt>
                <c:pt idx="50">
                  <c:v>0</c:v>
                </c:pt>
                <c:pt idx="51">
                  <c:v>53.999999999999993</c:v>
                </c:pt>
                <c:pt idx="52">
                  <c:v>31.000000000000007</c:v>
                </c:pt>
                <c:pt idx="53">
                  <c:v>85.25</c:v>
                </c:pt>
                <c:pt idx="54">
                  <c:v>52.000000000000007</c:v>
                </c:pt>
                <c:pt idx="55">
                  <c:v>52.000000000000007</c:v>
                </c:pt>
                <c:pt idx="56">
                  <c:v>29.999999999999986</c:v>
                </c:pt>
                <c:pt idx="57">
                  <c:v>58.888888888888864</c:v>
                </c:pt>
                <c:pt idx="58">
                  <c:v>50.000000000000007</c:v>
                </c:pt>
                <c:pt idx="59">
                  <c:v>29.999999999999996</c:v>
                </c:pt>
                <c:pt idx="60">
                  <c:v>53.999999999999972</c:v>
                </c:pt>
                <c:pt idx="61">
                  <c:v>34</c:v>
                </c:pt>
                <c:pt idx="62">
                  <c:v>30.999999999999996</c:v>
                </c:pt>
                <c:pt idx="63">
                  <c:v>33.999999999999979</c:v>
                </c:pt>
                <c:pt idx="64">
                  <c:v>31.000000000000004</c:v>
                </c:pt>
                <c:pt idx="65">
                  <c:v>30</c:v>
                </c:pt>
                <c:pt idx="66">
                  <c:v>52.000000000000021</c:v>
                </c:pt>
                <c:pt idx="67">
                  <c:v>34</c:v>
                </c:pt>
                <c:pt idx="68">
                  <c:v>30</c:v>
                </c:pt>
                <c:pt idx="69">
                  <c:v>56.428571428571416</c:v>
                </c:pt>
                <c:pt idx="70">
                  <c:v>31.000000000000004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D7D-4231-A0D1-853D049395B6}"/>
            </c:ext>
          </c:extLst>
        </c:ser>
        <c:ser>
          <c:idx val="27"/>
          <c:order val="27"/>
          <c:tx>
            <c:strRef>
              <c:f>LRMC!$A$31:$C$31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Node_1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LRMC!$D$31:$BW$31</c:f>
              <c:numCache>
                <c:formatCode>0</c:formatCode>
                <c:ptCount val="72"/>
                <c:pt idx="0">
                  <c:v>54.000000000000028</c:v>
                </c:pt>
                <c:pt idx="1">
                  <c:v>50.000000000000014</c:v>
                </c:pt>
                <c:pt idx="2">
                  <c:v>30.999999999999996</c:v>
                </c:pt>
                <c:pt idx="3">
                  <c:v>53.999999999999972</c:v>
                </c:pt>
                <c:pt idx="4">
                  <c:v>49.999999999999986</c:v>
                </c:pt>
                <c:pt idx="5">
                  <c:v>31</c:v>
                </c:pt>
                <c:pt idx="6">
                  <c:v>50</c:v>
                </c:pt>
                <c:pt idx="7">
                  <c:v>50</c:v>
                </c:pt>
                <c:pt idx="8">
                  <c:v>30.999999999999996</c:v>
                </c:pt>
                <c:pt idx="9">
                  <c:v>63.999999999999943</c:v>
                </c:pt>
                <c:pt idx="10">
                  <c:v>49.999999999999993</c:v>
                </c:pt>
                <c:pt idx="11">
                  <c:v>31</c:v>
                </c:pt>
                <c:pt idx="12">
                  <c:v>53.999999999999993</c:v>
                </c:pt>
                <c:pt idx="13">
                  <c:v>50.000000000000007</c:v>
                </c:pt>
                <c:pt idx="14">
                  <c:v>30.999999999999996</c:v>
                </c:pt>
                <c:pt idx="15">
                  <c:v>53.999999999999972</c:v>
                </c:pt>
                <c:pt idx="16">
                  <c:v>49.999999999999993</c:v>
                </c:pt>
                <c:pt idx="17">
                  <c:v>31</c:v>
                </c:pt>
                <c:pt idx="18">
                  <c:v>54.000000000000036</c:v>
                </c:pt>
                <c:pt idx="19">
                  <c:v>49.999999999999986</c:v>
                </c:pt>
                <c:pt idx="20">
                  <c:v>30.999999999999993</c:v>
                </c:pt>
                <c:pt idx="21">
                  <c:v>53.999999999999943</c:v>
                </c:pt>
                <c:pt idx="22">
                  <c:v>50.000000000000014</c:v>
                </c:pt>
                <c:pt idx="23">
                  <c:v>30.999999999999993</c:v>
                </c:pt>
                <c:pt idx="24">
                  <c:v>50</c:v>
                </c:pt>
                <c:pt idx="25">
                  <c:v>50</c:v>
                </c:pt>
                <c:pt idx="26">
                  <c:v>30.999999999999996</c:v>
                </c:pt>
                <c:pt idx="27">
                  <c:v>67.037037037036953</c:v>
                </c:pt>
                <c:pt idx="28">
                  <c:v>64.529914529914436</c:v>
                </c:pt>
                <c:pt idx="29">
                  <c:v>84.8333333333333</c:v>
                </c:pt>
                <c:pt idx="30">
                  <c:v>53.999999999999993</c:v>
                </c:pt>
                <c:pt idx="31">
                  <c:v>49.999999999999993</c:v>
                </c:pt>
                <c:pt idx="32">
                  <c:v>0</c:v>
                </c:pt>
                <c:pt idx="33">
                  <c:v>54</c:v>
                </c:pt>
                <c:pt idx="34">
                  <c:v>49.999999999999986</c:v>
                </c:pt>
                <c:pt idx="35">
                  <c:v>93</c:v>
                </c:pt>
                <c:pt idx="36">
                  <c:v>53.999999999999986</c:v>
                </c:pt>
                <c:pt idx="37">
                  <c:v>49.999999999999986</c:v>
                </c:pt>
                <c:pt idx="38">
                  <c:v>0</c:v>
                </c:pt>
                <c:pt idx="39">
                  <c:v>49.999999999999986</c:v>
                </c:pt>
                <c:pt idx="40">
                  <c:v>34</c:v>
                </c:pt>
                <c:pt idx="41">
                  <c:v>106.77777777777777</c:v>
                </c:pt>
                <c:pt idx="42">
                  <c:v>54.000000000000007</c:v>
                </c:pt>
                <c:pt idx="43">
                  <c:v>53.999999999999993</c:v>
                </c:pt>
                <c:pt idx="44">
                  <c:v>0</c:v>
                </c:pt>
                <c:pt idx="45">
                  <c:v>53.999999999999908</c:v>
                </c:pt>
                <c:pt idx="46">
                  <c:v>53.999999999999986</c:v>
                </c:pt>
                <c:pt idx="47">
                  <c:v>117.11111111111113</c:v>
                </c:pt>
                <c:pt idx="48">
                  <c:v>53.999999999999993</c:v>
                </c:pt>
                <c:pt idx="49">
                  <c:v>53.999999999999979</c:v>
                </c:pt>
                <c:pt idx="50">
                  <c:v>0</c:v>
                </c:pt>
                <c:pt idx="51">
                  <c:v>53.999999999999979</c:v>
                </c:pt>
                <c:pt idx="52">
                  <c:v>49.999999999999993</c:v>
                </c:pt>
                <c:pt idx="53">
                  <c:v>85.250000000000014</c:v>
                </c:pt>
                <c:pt idx="54">
                  <c:v>53.999999999999972</c:v>
                </c:pt>
                <c:pt idx="55">
                  <c:v>53.999999999999993</c:v>
                </c:pt>
                <c:pt idx="56">
                  <c:v>29.999999999999996</c:v>
                </c:pt>
                <c:pt idx="57">
                  <c:v>54</c:v>
                </c:pt>
                <c:pt idx="58">
                  <c:v>49.999999999999986</c:v>
                </c:pt>
                <c:pt idx="59">
                  <c:v>29.999999999999996</c:v>
                </c:pt>
                <c:pt idx="60">
                  <c:v>53.999999999999922</c:v>
                </c:pt>
                <c:pt idx="61">
                  <c:v>54.000000000000043</c:v>
                </c:pt>
                <c:pt idx="62">
                  <c:v>30.999999999999996</c:v>
                </c:pt>
                <c:pt idx="63">
                  <c:v>54.000000000000014</c:v>
                </c:pt>
                <c:pt idx="64">
                  <c:v>34</c:v>
                </c:pt>
                <c:pt idx="65">
                  <c:v>30.999999999999996</c:v>
                </c:pt>
                <c:pt idx="66">
                  <c:v>52.000000000000021</c:v>
                </c:pt>
                <c:pt idx="67">
                  <c:v>50</c:v>
                </c:pt>
                <c:pt idx="68">
                  <c:v>31.000000000000007</c:v>
                </c:pt>
                <c:pt idx="69">
                  <c:v>56.428571428571395</c:v>
                </c:pt>
                <c:pt idx="70">
                  <c:v>49.999999999999972</c:v>
                </c:pt>
                <c:pt idx="71">
                  <c:v>29.999999999999982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D7D-4231-A0D1-853D049395B6}"/>
            </c:ext>
          </c:extLst>
        </c:ser>
        <c:ser>
          <c:idx val="28"/>
          <c:order val="28"/>
          <c:tx>
            <c:strRef>
              <c:f>LRMC!$A$32:$C$32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Node_2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LRMC!$D$32:$BW$32</c:f>
              <c:numCache>
                <c:formatCode>0</c:formatCode>
                <c:ptCount val="72"/>
                <c:pt idx="0">
                  <c:v>54</c:v>
                </c:pt>
                <c:pt idx="1">
                  <c:v>50.000000000000014</c:v>
                </c:pt>
                <c:pt idx="2">
                  <c:v>30.999999999999996</c:v>
                </c:pt>
                <c:pt idx="3">
                  <c:v>53.999999999999972</c:v>
                </c:pt>
                <c:pt idx="4">
                  <c:v>49.999999999999986</c:v>
                </c:pt>
                <c:pt idx="5">
                  <c:v>31</c:v>
                </c:pt>
                <c:pt idx="6">
                  <c:v>50.000000000000007</c:v>
                </c:pt>
                <c:pt idx="7">
                  <c:v>50</c:v>
                </c:pt>
                <c:pt idx="8">
                  <c:v>30.999999999999996</c:v>
                </c:pt>
                <c:pt idx="9">
                  <c:v>63.999999999999943</c:v>
                </c:pt>
                <c:pt idx="10">
                  <c:v>49.999999999999993</c:v>
                </c:pt>
                <c:pt idx="11">
                  <c:v>31</c:v>
                </c:pt>
                <c:pt idx="12">
                  <c:v>53.999999999999993</c:v>
                </c:pt>
                <c:pt idx="13">
                  <c:v>50.000000000000021</c:v>
                </c:pt>
                <c:pt idx="14">
                  <c:v>31</c:v>
                </c:pt>
                <c:pt idx="15">
                  <c:v>53.999999999999972</c:v>
                </c:pt>
                <c:pt idx="16">
                  <c:v>49.999999999999993</c:v>
                </c:pt>
                <c:pt idx="17">
                  <c:v>31</c:v>
                </c:pt>
                <c:pt idx="18">
                  <c:v>54</c:v>
                </c:pt>
                <c:pt idx="19">
                  <c:v>49.999999999999986</c:v>
                </c:pt>
                <c:pt idx="20">
                  <c:v>31</c:v>
                </c:pt>
                <c:pt idx="21">
                  <c:v>53.999999999999943</c:v>
                </c:pt>
                <c:pt idx="22">
                  <c:v>50.000000000000007</c:v>
                </c:pt>
                <c:pt idx="23">
                  <c:v>31</c:v>
                </c:pt>
                <c:pt idx="24">
                  <c:v>50.000000000000014</c:v>
                </c:pt>
                <c:pt idx="25">
                  <c:v>50</c:v>
                </c:pt>
                <c:pt idx="26">
                  <c:v>30.999999999999996</c:v>
                </c:pt>
                <c:pt idx="27">
                  <c:v>67.037037037036995</c:v>
                </c:pt>
                <c:pt idx="28">
                  <c:v>64.529914529914436</c:v>
                </c:pt>
                <c:pt idx="29">
                  <c:v>84.8333333333333</c:v>
                </c:pt>
                <c:pt idx="30">
                  <c:v>53.999999999999993</c:v>
                </c:pt>
                <c:pt idx="31">
                  <c:v>49.999999999999993</c:v>
                </c:pt>
                <c:pt idx="32">
                  <c:v>0</c:v>
                </c:pt>
                <c:pt idx="33">
                  <c:v>54</c:v>
                </c:pt>
                <c:pt idx="34">
                  <c:v>49.999999999999993</c:v>
                </c:pt>
                <c:pt idx="35">
                  <c:v>93</c:v>
                </c:pt>
                <c:pt idx="36">
                  <c:v>53.999999999999986</c:v>
                </c:pt>
                <c:pt idx="37">
                  <c:v>49.999999999999986</c:v>
                </c:pt>
                <c:pt idx="38">
                  <c:v>0</c:v>
                </c:pt>
                <c:pt idx="39">
                  <c:v>49.999999999999993</c:v>
                </c:pt>
                <c:pt idx="40">
                  <c:v>34</c:v>
                </c:pt>
                <c:pt idx="41">
                  <c:v>106.7777777777778</c:v>
                </c:pt>
                <c:pt idx="42">
                  <c:v>54</c:v>
                </c:pt>
                <c:pt idx="43">
                  <c:v>53.999999999999993</c:v>
                </c:pt>
                <c:pt idx="44">
                  <c:v>0</c:v>
                </c:pt>
                <c:pt idx="45">
                  <c:v>53.999999999999886</c:v>
                </c:pt>
                <c:pt idx="46">
                  <c:v>53.999999999999979</c:v>
                </c:pt>
                <c:pt idx="47">
                  <c:v>117.11111111111113</c:v>
                </c:pt>
                <c:pt idx="48">
                  <c:v>53.999999999999993</c:v>
                </c:pt>
                <c:pt idx="49">
                  <c:v>53.999999999999979</c:v>
                </c:pt>
                <c:pt idx="50">
                  <c:v>0</c:v>
                </c:pt>
                <c:pt idx="51">
                  <c:v>53.999999999999979</c:v>
                </c:pt>
                <c:pt idx="52">
                  <c:v>49.999999999999993</c:v>
                </c:pt>
                <c:pt idx="53">
                  <c:v>85.250000000000014</c:v>
                </c:pt>
                <c:pt idx="54">
                  <c:v>53.999999999999972</c:v>
                </c:pt>
                <c:pt idx="55">
                  <c:v>53.999999999999993</c:v>
                </c:pt>
                <c:pt idx="56">
                  <c:v>30.000000000000007</c:v>
                </c:pt>
                <c:pt idx="57">
                  <c:v>54</c:v>
                </c:pt>
                <c:pt idx="58">
                  <c:v>49.999999999999986</c:v>
                </c:pt>
                <c:pt idx="59">
                  <c:v>29.999999999999989</c:v>
                </c:pt>
                <c:pt idx="60">
                  <c:v>53.999999999999993</c:v>
                </c:pt>
                <c:pt idx="61">
                  <c:v>54.000000000000007</c:v>
                </c:pt>
                <c:pt idx="62">
                  <c:v>31.000000000000004</c:v>
                </c:pt>
                <c:pt idx="63">
                  <c:v>54.000000000000021</c:v>
                </c:pt>
                <c:pt idx="64">
                  <c:v>34</c:v>
                </c:pt>
                <c:pt idx="65">
                  <c:v>31.000000000000004</c:v>
                </c:pt>
                <c:pt idx="66">
                  <c:v>52.000000000000007</c:v>
                </c:pt>
                <c:pt idx="67">
                  <c:v>50</c:v>
                </c:pt>
                <c:pt idx="68">
                  <c:v>31</c:v>
                </c:pt>
                <c:pt idx="69">
                  <c:v>56.428571428571416</c:v>
                </c:pt>
                <c:pt idx="70">
                  <c:v>49.999999999999972</c:v>
                </c:pt>
                <c:pt idx="7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D7D-4231-A0D1-853D049395B6}"/>
            </c:ext>
          </c:extLst>
        </c:ser>
        <c:ser>
          <c:idx val="29"/>
          <c:order val="29"/>
          <c:tx>
            <c:strRef>
              <c:f>LRMC!$A$33:$C$33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Node_3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LRMC!$D$33:$BW$33</c:f>
              <c:numCache>
                <c:formatCode>0</c:formatCode>
                <c:ptCount val="72"/>
                <c:pt idx="0">
                  <c:v>54.000000000000007</c:v>
                </c:pt>
                <c:pt idx="1">
                  <c:v>50.000000000000014</c:v>
                </c:pt>
                <c:pt idx="2">
                  <c:v>30.999999999999996</c:v>
                </c:pt>
                <c:pt idx="3">
                  <c:v>53.999999999999972</c:v>
                </c:pt>
                <c:pt idx="4">
                  <c:v>49.999999999999986</c:v>
                </c:pt>
                <c:pt idx="5">
                  <c:v>31</c:v>
                </c:pt>
                <c:pt idx="6">
                  <c:v>50.000000000000014</c:v>
                </c:pt>
                <c:pt idx="7">
                  <c:v>50</c:v>
                </c:pt>
                <c:pt idx="8">
                  <c:v>30.999999999999996</c:v>
                </c:pt>
                <c:pt idx="9">
                  <c:v>63.999999999999943</c:v>
                </c:pt>
                <c:pt idx="10">
                  <c:v>49.999999999999993</c:v>
                </c:pt>
                <c:pt idx="11">
                  <c:v>31</c:v>
                </c:pt>
                <c:pt idx="12">
                  <c:v>53.999999999999993</c:v>
                </c:pt>
                <c:pt idx="13">
                  <c:v>50.000000000000007</c:v>
                </c:pt>
                <c:pt idx="14">
                  <c:v>31</c:v>
                </c:pt>
                <c:pt idx="15">
                  <c:v>53.999999999999972</c:v>
                </c:pt>
                <c:pt idx="16">
                  <c:v>49.999999999999993</c:v>
                </c:pt>
                <c:pt idx="17">
                  <c:v>31</c:v>
                </c:pt>
                <c:pt idx="18">
                  <c:v>54.000000000000014</c:v>
                </c:pt>
                <c:pt idx="19">
                  <c:v>49.999999999999986</c:v>
                </c:pt>
                <c:pt idx="20">
                  <c:v>31</c:v>
                </c:pt>
                <c:pt idx="21">
                  <c:v>53.999999999999943</c:v>
                </c:pt>
                <c:pt idx="22">
                  <c:v>50</c:v>
                </c:pt>
                <c:pt idx="23">
                  <c:v>31</c:v>
                </c:pt>
                <c:pt idx="24">
                  <c:v>50.000000000000021</c:v>
                </c:pt>
                <c:pt idx="25">
                  <c:v>50.000000000000007</c:v>
                </c:pt>
                <c:pt idx="26">
                  <c:v>30.999999999999996</c:v>
                </c:pt>
                <c:pt idx="27">
                  <c:v>67.037037037036953</c:v>
                </c:pt>
                <c:pt idx="28">
                  <c:v>64.529914529914436</c:v>
                </c:pt>
                <c:pt idx="29">
                  <c:v>84.8333333333333</c:v>
                </c:pt>
                <c:pt idx="30">
                  <c:v>53.999999999999993</c:v>
                </c:pt>
                <c:pt idx="31">
                  <c:v>49.999999999999993</c:v>
                </c:pt>
                <c:pt idx="32">
                  <c:v>0</c:v>
                </c:pt>
                <c:pt idx="33">
                  <c:v>54</c:v>
                </c:pt>
                <c:pt idx="34">
                  <c:v>49.999999999999993</c:v>
                </c:pt>
                <c:pt idx="35">
                  <c:v>93</c:v>
                </c:pt>
                <c:pt idx="36">
                  <c:v>53.999999999999986</c:v>
                </c:pt>
                <c:pt idx="37">
                  <c:v>49.999999999999986</c:v>
                </c:pt>
                <c:pt idx="38">
                  <c:v>0</c:v>
                </c:pt>
                <c:pt idx="39">
                  <c:v>49.999999999999993</c:v>
                </c:pt>
                <c:pt idx="40">
                  <c:v>34</c:v>
                </c:pt>
                <c:pt idx="41">
                  <c:v>106.77777777777777</c:v>
                </c:pt>
                <c:pt idx="42">
                  <c:v>54</c:v>
                </c:pt>
                <c:pt idx="43">
                  <c:v>53.999999999999993</c:v>
                </c:pt>
                <c:pt idx="44">
                  <c:v>0</c:v>
                </c:pt>
                <c:pt idx="45">
                  <c:v>53.999999999999886</c:v>
                </c:pt>
                <c:pt idx="46">
                  <c:v>53.999999999999979</c:v>
                </c:pt>
                <c:pt idx="47">
                  <c:v>117.11111111111113</c:v>
                </c:pt>
                <c:pt idx="48">
                  <c:v>53.999999999999993</c:v>
                </c:pt>
                <c:pt idx="49">
                  <c:v>53.999999999999979</c:v>
                </c:pt>
                <c:pt idx="50">
                  <c:v>0</c:v>
                </c:pt>
                <c:pt idx="51">
                  <c:v>53.999999999999979</c:v>
                </c:pt>
                <c:pt idx="52">
                  <c:v>49.999999999999993</c:v>
                </c:pt>
                <c:pt idx="53">
                  <c:v>85.25</c:v>
                </c:pt>
                <c:pt idx="54">
                  <c:v>53.999999999999972</c:v>
                </c:pt>
                <c:pt idx="55">
                  <c:v>53.999999999999993</c:v>
                </c:pt>
                <c:pt idx="56">
                  <c:v>30.000000000000007</c:v>
                </c:pt>
                <c:pt idx="57">
                  <c:v>54</c:v>
                </c:pt>
                <c:pt idx="58">
                  <c:v>49.999999999999986</c:v>
                </c:pt>
                <c:pt idx="59">
                  <c:v>29.999999999999989</c:v>
                </c:pt>
                <c:pt idx="60">
                  <c:v>53.999999999999993</c:v>
                </c:pt>
                <c:pt idx="61">
                  <c:v>54.000000000000014</c:v>
                </c:pt>
                <c:pt idx="62">
                  <c:v>31.000000000000004</c:v>
                </c:pt>
                <c:pt idx="63">
                  <c:v>54.000000000000014</c:v>
                </c:pt>
                <c:pt idx="64">
                  <c:v>34</c:v>
                </c:pt>
                <c:pt idx="65">
                  <c:v>31.000000000000004</c:v>
                </c:pt>
                <c:pt idx="66">
                  <c:v>52.000000000000007</c:v>
                </c:pt>
                <c:pt idx="67">
                  <c:v>50</c:v>
                </c:pt>
                <c:pt idx="68">
                  <c:v>31</c:v>
                </c:pt>
                <c:pt idx="69">
                  <c:v>56.428571428571395</c:v>
                </c:pt>
                <c:pt idx="70">
                  <c:v>49.999999999999972</c:v>
                </c:pt>
                <c:pt idx="7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D7D-4231-A0D1-853D049395B6}"/>
            </c:ext>
          </c:extLst>
        </c:ser>
        <c:ser>
          <c:idx val="30"/>
          <c:order val="30"/>
          <c:tx>
            <c:strRef>
              <c:f>LRMC!$A$34:$C$34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Node_4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LRMC!$D$34:$BW$34</c:f>
              <c:numCache>
                <c:formatCode>0</c:formatCode>
                <c:ptCount val="72"/>
                <c:pt idx="0">
                  <c:v>54.000000000000028</c:v>
                </c:pt>
                <c:pt idx="1">
                  <c:v>50.000000000000014</c:v>
                </c:pt>
                <c:pt idx="2">
                  <c:v>30.999999999999996</c:v>
                </c:pt>
                <c:pt idx="3">
                  <c:v>53.999999999999972</c:v>
                </c:pt>
                <c:pt idx="4">
                  <c:v>49.999999999999986</c:v>
                </c:pt>
                <c:pt idx="5">
                  <c:v>31</c:v>
                </c:pt>
                <c:pt idx="6">
                  <c:v>50</c:v>
                </c:pt>
                <c:pt idx="7">
                  <c:v>50</c:v>
                </c:pt>
                <c:pt idx="8">
                  <c:v>30.999999999999996</c:v>
                </c:pt>
                <c:pt idx="9">
                  <c:v>63.999999999999943</c:v>
                </c:pt>
                <c:pt idx="10">
                  <c:v>49.999999999999993</c:v>
                </c:pt>
                <c:pt idx="11">
                  <c:v>31</c:v>
                </c:pt>
                <c:pt idx="12">
                  <c:v>53.999999999999993</c:v>
                </c:pt>
                <c:pt idx="13">
                  <c:v>50.000000000000007</c:v>
                </c:pt>
                <c:pt idx="14">
                  <c:v>30.999999999999996</c:v>
                </c:pt>
                <c:pt idx="15">
                  <c:v>53.999999999999972</c:v>
                </c:pt>
                <c:pt idx="16">
                  <c:v>49.999999999999993</c:v>
                </c:pt>
                <c:pt idx="17">
                  <c:v>31</c:v>
                </c:pt>
                <c:pt idx="18">
                  <c:v>54.000000000000036</c:v>
                </c:pt>
                <c:pt idx="19">
                  <c:v>49.999999999999986</c:v>
                </c:pt>
                <c:pt idx="20">
                  <c:v>30.999999999999989</c:v>
                </c:pt>
                <c:pt idx="21">
                  <c:v>53.999999999999943</c:v>
                </c:pt>
                <c:pt idx="22">
                  <c:v>50.000000000000007</c:v>
                </c:pt>
                <c:pt idx="23">
                  <c:v>30.999999999999993</c:v>
                </c:pt>
                <c:pt idx="24">
                  <c:v>50.000000000000021</c:v>
                </c:pt>
                <c:pt idx="25">
                  <c:v>50</c:v>
                </c:pt>
                <c:pt idx="26">
                  <c:v>30.999999999999996</c:v>
                </c:pt>
                <c:pt idx="27">
                  <c:v>67.037037037036953</c:v>
                </c:pt>
                <c:pt idx="28">
                  <c:v>64.529914529914436</c:v>
                </c:pt>
                <c:pt idx="29">
                  <c:v>84.8333333333333</c:v>
                </c:pt>
                <c:pt idx="30">
                  <c:v>53.999999999999993</c:v>
                </c:pt>
                <c:pt idx="31">
                  <c:v>49.999999999999993</c:v>
                </c:pt>
                <c:pt idx="32">
                  <c:v>0</c:v>
                </c:pt>
                <c:pt idx="33">
                  <c:v>54</c:v>
                </c:pt>
                <c:pt idx="34">
                  <c:v>49.999999999999993</c:v>
                </c:pt>
                <c:pt idx="35">
                  <c:v>93</c:v>
                </c:pt>
                <c:pt idx="36">
                  <c:v>53.999999999999986</c:v>
                </c:pt>
                <c:pt idx="37">
                  <c:v>49.999999999999986</c:v>
                </c:pt>
                <c:pt idx="38">
                  <c:v>0</c:v>
                </c:pt>
                <c:pt idx="39">
                  <c:v>49.999999999999993</c:v>
                </c:pt>
                <c:pt idx="40">
                  <c:v>34</c:v>
                </c:pt>
                <c:pt idx="41">
                  <c:v>106.77777777777777</c:v>
                </c:pt>
                <c:pt idx="42">
                  <c:v>53.999999999999986</c:v>
                </c:pt>
                <c:pt idx="43">
                  <c:v>53.999999999999993</c:v>
                </c:pt>
                <c:pt idx="44">
                  <c:v>0</c:v>
                </c:pt>
                <c:pt idx="45">
                  <c:v>53.999999999999886</c:v>
                </c:pt>
                <c:pt idx="46">
                  <c:v>53.999999999999986</c:v>
                </c:pt>
                <c:pt idx="47">
                  <c:v>117.11111111111113</c:v>
                </c:pt>
                <c:pt idx="48">
                  <c:v>53.999999999999993</c:v>
                </c:pt>
                <c:pt idx="49">
                  <c:v>53.999999999999979</c:v>
                </c:pt>
                <c:pt idx="50">
                  <c:v>0</c:v>
                </c:pt>
                <c:pt idx="51">
                  <c:v>53.999999999999979</c:v>
                </c:pt>
                <c:pt idx="52">
                  <c:v>49.999999999999993</c:v>
                </c:pt>
                <c:pt idx="53">
                  <c:v>85.25</c:v>
                </c:pt>
                <c:pt idx="54">
                  <c:v>53.999999999999972</c:v>
                </c:pt>
                <c:pt idx="55">
                  <c:v>53.999999999999993</c:v>
                </c:pt>
                <c:pt idx="56">
                  <c:v>30.000000000000007</c:v>
                </c:pt>
                <c:pt idx="57">
                  <c:v>54</c:v>
                </c:pt>
                <c:pt idx="58">
                  <c:v>49.999999999999986</c:v>
                </c:pt>
                <c:pt idx="59">
                  <c:v>29.999999999999996</c:v>
                </c:pt>
                <c:pt idx="60">
                  <c:v>53.999999999999993</c:v>
                </c:pt>
                <c:pt idx="61">
                  <c:v>54.000000000000043</c:v>
                </c:pt>
                <c:pt idx="62">
                  <c:v>31.000000000000011</c:v>
                </c:pt>
                <c:pt idx="63">
                  <c:v>54.000000000000014</c:v>
                </c:pt>
                <c:pt idx="64">
                  <c:v>34</c:v>
                </c:pt>
                <c:pt idx="65">
                  <c:v>31.000000000000011</c:v>
                </c:pt>
                <c:pt idx="66">
                  <c:v>52.000000000000007</c:v>
                </c:pt>
                <c:pt idx="67">
                  <c:v>50</c:v>
                </c:pt>
                <c:pt idx="68">
                  <c:v>31.000000000000007</c:v>
                </c:pt>
                <c:pt idx="69">
                  <c:v>56.428571428571395</c:v>
                </c:pt>
                <c:pt idx="70">
                  <c:v>49.999999999999972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8D7D-4231-A0D1-853D049395B6}"/>
            </c:ext>
          </c:extLst>
        </c:ser>
        <c:ser>
          <c:idx val="31"/>
          <c:order val="31"/>
          <c:tx>
            <c:strRef>
              <c:f>LRMC!$A$35:$C$35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Node_5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LRMC!$D$35:$BW$35</c:f>
              <c:numCache>
                <c:formatCode>0</c:formatCode>
                <c:ptCount val="72"/>
                <c:pt idx="0">
                  <c:v>54.000000000000028</c:v>
                </c:pt>
                <c:pt idx="1">
                  <c:v>50.000000000000014</c:v>
                </c:pt>
                <c:pt idx="2">
                  <c:v>30.999999999999996</c:v>
                </c:pt>
                <c:pt idx="3">
                  <c:v>53.999999999999972</c:v>
                </c:pt>
                <c:pt idx="4">
                  <c:v>49.999999999999986</c:v>
                </c:pt>
                <c:pt idx="5">
                  <c:v>31</c:v>
                </c:pt>
                <c:pt idx="6">
                  <c:v>50</c:v>
                </c:pt>
                <c:pt idx="7">
                  <c:v>50</c:v>
                </c:pt>
                <c:pt idx="8">
                  <c:v>30.999999999999996</c:v>
                </c:pt>
                <c:pt idx="9">
                  <c:v>63.999999999999943</c:v>
                </c:pt>
                <c:pt idx="10">
                  <c:v>49.999999999999993</c:v>
                </c:pt>
                <c:pt idx="11">
                  <c:v>31</c:v>
                </c:pt>
                <c:pt idx="12">
                  <c:v>53.999999999999993</c:v>
                </c:pt>
                <c:pt idx="13">
                  <c:v>50.000000000000007</c:v>
                </c:pt>
                <c:pt idx="14">
                  <c:v>30.999999999999996</c:v>
                </c:pt>
                <c:pt idx="15">
                  <c:v>53.999999999999972</c:v>
                </c:pt>
                <c:pt idx="16">
                  <c:v>49.999999999999993</c:v>
                </c:pt>
                <c:pt idx="17">
                  <c:v>31</c:v>
                </c:pt>
                <c:pt idx="18">
                  <c:v>54.000000000000036</c:v>
                </c:pt>
                <c:pt idx="19">
                  <c:v>49.999999999999986</c:v>
                </c:pt>
                <c:pt idx="20">
                  <c:v>30.999999999999989</c:v>
                </c:pt>
                <c:pt idx="21">
                  <c:v>53.999999999999943</c:v>
                </c:pt>
                <c:pt idx="22">
                  <c:v>50.000000000000007</c:v>
                </c:pt>
                <c:pt idx="23">
                  <c:v>30.999999999999993</c:v>
                </c:pt>
                <c:pt idx="24">
                  <c:v>50.000000000000021</c:v>
                </c:pt>
                <c:pt idx="25">
                  <c:v>50</c:v>
                </c:pt>
                <c:pt idx="26">
                  <c:v>30.999999999999996</c:v>
                </c:pt>
                <c:pt idx="27">
                  <c:v>67.037037037036953</c:v>
                </c:pt>
                <c:pt idx="28">
                  <c:v>64.529914529914436</c:v>
                </c:pt>
                <c:pt idx="29">
                  <c:v>84.8333333333333</c:v>
                </c:pt>
                <c:pt idx="30">
                  <c:v>53.999999999999993</c:v>
                </c:pt>
                <c:pt idx="31">
                  <c:v>49.999999999999993</c:v>
                </c:pt>
                <c:pt idx="32">
                  <c:v>0</c:v>
                </c:pt>
                <c:pt idx="33">
                  <c:v>54</c:v>
                </c:pt>
                <c:pt idx="34">
                  <c:v>49.999999999999993</c:v>
                </c:pt>
                <c:pt idx="35">
                  <c:v>93</c:v>
                </c:pt>
                <c:pt idx="36">
                  <c:v>53.999999999999986</c:v>
                </c:pt>
                <c:pt idx="37">
                  <c:v>49.999999999999986</c:v>
                </c:pt>
                <c:pt idx="38">
                  <c:v>0</c:v>
                </c:pt>
                <c:pt idx="39">
                  <c:v>49.999999999999993</c:v>
                </c:pt>
                <c:pt idx="40">
                  <c:v>34</c:v>
                </c:pt>
                <c:pt idx="41">
                  <c:v>106.77777777777777</c:v>
                </c:pt>
                <c:pt idx="42">
                  <c:v>53.999999999999986</c:v>
                </c:pt>
                <c:pt idx="43">
                  <c:v>53.999999999999993</c:v>
                </c:pt>
                <c:pt idx="44">
                  <c:v>0</c:v>
                </c:pt>
                <c:pt idx="45">
                  <c:v>53.999999999999886</c:v>
                </c:pt>
                <c:pt idx="46">
                  <c:v>53.999999999999986</c:v>
                </c:pt>
                <c:pt idx="47">
                  <c:v>117.11111111111113</c:v>
                </c:pt>
                <c:pt idx="48">
                  <c:v>53.999999999999993</c:v>
                </c:pt>
                <c:pt idx="49">
                  <c:v>53.999999999999979</c:v>
                </c:pt>
                <c:pt idx="50">
                  <c:v>0</c:v>
                </c:pt>
                <c:pt idx="51">
                  <c:v>53.999999999999979</c:v>
                </c:pt>
                <c:pt idx="52">
                  <c:v>49.999999999999993</c:v>
                </c:pt>
                <c:pt idx="53">
                  <c:v>85.25</c:v>
                </c:pt>
                <c:pt idx="54">
                  <c:v>53.999999999999972</c:v>
                </c:pt>
                <c:pt idx="55">
                  <c:v>53.999999999999993</c:v>
                </c:pt>
                <c:pt idx="56">
                  <c:v>30.000000000000007</c:v>
                </c:pt>
                <c:pt idx="57">
                  <c:v>54</c:v>
                </c:pt>
                <c:pt idx="58">
                  <c:v>49.999999999999986</c:v>
                </c:pt>
                <c:pt idx="59">
                  <c:v>29.999999999999996</c:v>
                </c:pt>
                <c:pt idx="60">
                  <c:v>53.999999999999993</c:v>
                </c:pt>
                <c:pt idx="61">
                  <c:v>54.000000000000043</c:v>
                </c:pt>
                <c:pt idx="62">
                  <c:v>31.000000000000011</c:v>
                </c:pt>
                <c:pt idx="63">
                  <c:v>54.000000000000014</c:v>
                </c:pt>
                <c:pt idx="64">
                  <c:v>34</c:v>
                </c:pt>
                <c:pt idx="65">
                  <c:v>31.000000000000011</c:v>
                </c:pt>
                <c:pt idx="66">
                  <c:v>52.000000000000007</c:v>
                </c:pt>
                <c:pt idx="67">
                  <c:v>50</c:v>
                </c:pt>
                <c:pt idx="68">
                  <c:v>31.000000000000007</c:v>
                </c:pt>
                <c:pt idx="69">
                  <c:v>56.428571428571395</c:v>
                </c:pt>
                <c:pt idx="70">
                  <c:v>49.999999999999972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8D7D-4231-A0D1-853D049395B6}"/>
            </c:ext>
          </c:extLst>
        </c:ser>
        <c:ser>
          <c:idx val="32"/>
          <c:order val="32"/>
          <c:tx>
            <c:strRef>
              <c:f>LRMC!$A$36:$C$36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Node_6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LRMC!$D$36:$BW$36</c:f>
              <c:numCache>
                <c:formatCode>0</c:formatCode>
                <c:ptCount val="72"/>
                <c:pt idx="0">
                  <c:v>53.999999999999986</c:v>
                </c:pt>
                <c:pt idx="1">
                  <c:v>50.000000000000014</c:v>
                </c:pt>
                <c:pt idx="2">
                  <c:v>30.999999999999996</c:v>
                </c:pt>
                <c:pt idx="3">
                  <c:v>53.999999999999972</c:v>
                </c:pt>
                <c:pt idx="4">
                  <c:v>49.999999999999986</c:v>
                </c:pt>
                <c:pt idx="5">
                  <c:v>31</c:v>
                </c:pt>
                <c:pt idx="6">
                  <c:v>50.000000000000007</c:v>
                </c:pt>
                <c:pt idx="7">
                  <c:v>50</c:v>
                </c:pt>
                <c:pt idx="8">
                  <c:v>30.999999999999996</c:v>
                </c:pt>
                <c:pt idx="9">
                  <c:v>63.999999999999943</c:v>
                </c:pt>
                <c:pt idx="10">
                  <c:v>49.999999999999993</c:v>
                </c:pt>
                <c:pt idx="11">
                  <c:v>31</c:v>
                </c:pt>
                <c:pt idx="12">
                  <c:v>53.999999999999993</c:v>
                </c:pt>
                <c:pt idx="13">
                  <c:v>50.000000000000021</c:v>
                </c:pt>
                <c:pt idx="14">
                  <c:v>31</c:v>
                </c:pt>
                <c:pt idx="15">
                  <c:v>53.999999999999972</c:v>
                </c:pt>
                <c:pt idx="16">
                  <c:v>49.999999999999993</c:v>
                </c:pt>
                <c:pt idx="17">
                  <c:v>31</c:v>
                </c:pt>
                <c:pt idx="18">
                  <c:v>53.999999999999993</c:v>
                </c:pt>
                <c:pt idx="19">
                  <c:v>49.999999999999986</c:v>
                </c:pt>
                <c:pt idx="20">
                  <c:v>31</c:v>
                </c:pt>
                <c:pt idx="21">
                  <c:v>53.999999999999943</c:v>
                </c:pt>
                <c:pt idx="22">
                  <c:v>50.000000000000007</c:v>
                </c:pt>
                <c:pt idx="23">
                  <c:v>31</c:v>
                </c:pt>
                <c:pt idx="24">
                  <c:v>50.000000000000021</c:v>
                </c:pt>
                <c:pt idx="25">
                  <c:v>50</c:v>
                </c:pt>
                <c:pt idx="26">
                  <c:v>30.999999999999996</c:v>
                </c:pt>
                <c:pt idx="27">
                  <c:v>67.037037037036953</c:v>
                </c:pt>
                <c:pt idx="28">
                  <c:v>64.529914529914436</c:v>
                </c:pt>
                <c:pt idx="29">
                  <c:v>84.8333333333333</c:v>
                </c:pt>
                <c:pt idx="30">
                  <c:v>53.999999999999993</c:v>
                </c:pt>
                <c:pt idx="31">
                  <c:v>49.999999999999993</c:v>
                </c:pt>
                <c:pt idx="32">
                  <c:v>0</c:v>
                </c:pt>
                <c:pt idx="33">
                  <c:v>54</c:v>
                </c:pt>
                <c:pt idx="34">
                  <c:v>49.999999999999993</c:v>
                </c:pt>
                <c:pt idx="35">
                  <c:v>93</c:v>
                </c:pt>
                <c:pt idx="36">
                  <c:v>53.999999999999986</c:v>
                </c:pt>
                <c:pt idx="37">
                  <c:v>49.999999999999986</c:v>
                </c:pt>
                <c:pt idx="38">
                  <c:v>0</c:v>
                </c:pt>
                <c:pt idx="39">
                  <c:v>49.999999999999993</c:v>
                </c:pt>
                <c:pt idx="40">
                  <c:v>34</c:v>
                </c:pt>
                <c:pt idx="41">
                  <c:v>106.7777777777778</c:v>
                </c:pt>
                <c:pt idx="42">
                  <c:v>54</c:v>
                </c:pt>
                <c:pt idx="43">
                  <c:v>53.999999999999993</c:v>
                </c:pt>
                <c:pt idx="44">
                  <c:v>0</c:v>
                </c:pt>
                <c:pt idx="45">
                  <c:v>53.999999999999886</c:v>
                </c:pt>
                <c:pt idx="46">
                  <c:v>53.999999999999979</c:v>
                </c:pt>
                <c:pt idx="47">
                  <c:v>117.11111111111113</c:v>
                </c:pt>
                <c:pt idx="48">
                  <c:v>53.999999999999993</c:v>
                </c:pt>
                <c:pt idx="49">
                  <c:v>53.999999999999979</c:v>
                </c:pt>
                <c:pt idx="50">
                  <c:v>0</c:v>
                </c:pt>
                <c:pt idx="51">
                  <c:v>53.999999999999979</c:v>
                </c:pt>
                <c:pt idx="52">
                  <c:v>49.999999999999993</c:v>
                </c:pt>
                <c:pt idx="53">
                  <c:v>85.250000000000014</c:v>
                </c:pt>
                <c:pt idx="54">
                  <c:v>53.999999999999972</c:v>
                </c:pt>
                <c:pt idx="55">
                  <c:v>53.999999999999993</c:v>
                </c:pt>
                <c:pt idx="56">
                  <c:v>30.000000000000007</c:v>
                </c:pt>
                <c:pt idx="57">
                  <c:v>54</c:v>
                </c:pt>
                <c:pt idx="58">
                  <c:v>49.999999999999986</c:v>
                </c:pt>
                <c:pt idx="59">
                  <c:v>29.999999999999996</c:v>
                </c:pt>
                <c:pt idx="60">
                  <c:v>53.999999999999993</c:v>
                </c:pt>
                <c:pt idx="61">
                  <c:v>53.999999999999993</c:v>
                </c:pt>
                <c:pt idx="62">
                  <c:v>30.999999999999996</c:v>
                </c:pt>
                <c:pt idx="63">
                  <c:v>54.000000000000021</c:v>
                </c:pt>
                <c:pt idx="64">
                  <c:v>34</c:v>
                </c:pt>
                <c:pt idx="65">
                  <c:v>30.999999999999996</c:v>
                </c:pt>
                <c:pt idx="66">
                  <c:v>52.000000000000007</c:v>
                </c:pt>
                <c:pt idx="67">
                  <c:v>50</c:v>
                </c:pt>
                <c:pt idx="68">
                  <c:v>31</c:v>
                </c:pt>
                <c:pt idx="69">
                  <c:v>56.428571428571395</c:v>
                </c:pt>
                <c:pt idx="70">
                  <c:v>49.999999999999972</c:v>
                </c:pt>
                <c:pt idx="7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8D7D-4231-A0D1-853D049395B6}"/>
            </c:ext>
          </c:extLst>
        </c:ser>
        <c:ser>
          <c:idx val="33"/>
          <c:order val="33"/>
          <c:tx>
            <c:strRef>
              <c:f>LRMC!$A$37:$C$37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Node_7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LRMC!$D$37:$BW$37</c:f>
              <c:numCache>
                <c:formatCode>0</c:formatCode>
                <c:ptCount val="72"/>
                <c:pt idx="0">
                  <c:v>53.999999999999986</c:v>
                </c:pt>
                <c:pt idx="1">
                  <c:v>50.000000000000014</c:v>
                </c:pt>
                <c:pt idx="2">
                  <c:v>30.999999999999996</c:v>
                </c:pt>
                <c:pt idx="3">
                  <c:v>53.999999999999972</c:v>
                </c:pt>
                <c:pt idx="4">
                  <c:v>49.999999999999986</c:v>
                </c:pt>
                <c:pt idx="5">
                  <c:v>31</c:v>
                </c:pt>
                <c:pt idx="6">
                  <c:v>50.000000000000007</c:v>
                </c:pt>
                <c:pt idx="7">
                  <c:v>50</c:v>
                </c:pt>
                <c:pt idx="8">
                  <c:v>30.999999999999996</c:v>
                </c:pt>
                <c:pt idx="9">
                  <c:v>63.999999999999943</c:v>
                </c:pt>
                <c:pt idx="10">
                  <c:v>49.999999999999993</c:v>
                </c:pt>
                <c:pt idx="11">
                  <c:v>31</c:v>
                </c:pt>
                <c:pt idx="12">
                  <c:v>53.999999999999993</c:v>
                </c:pt>
                <c:pt idx="13">
                  <c:v>50.000000000000021</c:v>
                </c:pt>
                <c:pt idx="14">
                  <c:v>31</c:v>
                </c:pt>
                <c:pt idx="15">
                  <c:v>53.999999999999972</c:v>
                </c:pt>
                <c:pt idx="16">
                  <c:v>49.999999999999993</c:v>
                </c:pt>
                <c:pt idx="17">
                  <c:v>31</c:v>
                </c:pt>
                <c:pt idx="18">
                  <c:v>53.999999999999993</c:v>
                </c:pt>
                <c:pt idx="19">
                  <c:v>49.999999999999986</c:v>
                </c:pt>
                <c:pt idx="20">
                  <c:v>31</c:v>
                </c:pt>
                <c:pt idx="21">
                  <c:v>53.999999999999943</c:v>
                </c:pt>
                <c:pt idx="22">
                  <c:v>50.000000000000007</c:v>
                </c:pt>
                <c:pt idx="23">
                  <c:v>31</c:v>
                </c:pt>
                <c:pt idx="24">
                  <c:v>50.000000000000021</c:v>
                </c:pt>
                <c:pt idx="25">
                  <c:v>50</c:v>
                </c:pt>
                <c:pt idx="26">
                  <c:v>30.999999999999996</c:v>
                </c:pt>
                <c:pt idx="27">
                  <c:v>67.037037037036953</c:v>
                </c:pt>
                <c:pt idx="28">
                  <c:v>64.529914529914436</c:v>
                </c:pt>
                <c:pt idx="29">
                  <c:v>84.8333333333333</c:v>
                </c:pt>
                <c:pt idx="30">
                  <c:v>53.999999999999993</c:v>
                </c:pt>
                <c:pt idx="31">
                  <c:v>49.999999999999993</c:v>
                </c:pt>
                <c:pt idx="32">
                  <c:v>0</c:v>
                </c:pt>
                <c:pt idx="33">
                  <c:v>54</c:v>
                </c:pt>
                <c:pt idx="34">
                  <c:v>49.999999999999993</c:v>
                </c:pt>
                <c:pt idx="35">
                  <c:v>93</c:v>
                </c:pt>
                <c:pt idx="36">
                  <c:v>53.999999999999986</c:v>
                </c:pt>
                <c:pt idx="37">
                  <c:v>49.999999999999986</c:v>
                </c:pt>
                <c:pt idx="38">
                  <c:v>0</c:v>
                </c:pt>
                <c:pt idx="39">
                  <c:v>49.999999999999993</c:v>
                </c:pt>
                <c:pt idx="40">
                  <c:v>34</c:v>
                </c:pt>
                <c:pt idx="41">
                  <c:v>106.77777777777777</c:v>
                </c:pt>
                <c:pt idx="42">
                  <c:v>54</c:v>
                </c:pt>
                <c:pt idx="43">
                  <c:v>53.999999999999993</c:v>
                </c:pt>
                <c:pt idx="44">
                  <c:v>0</c:v>
                </c:pt>
                <c:pt idx="45">
                  <c:v>53.999999999999886</c:v>
                </c:pt>
                <c:pt idx="46">
                  <c:v>53.999999999999979</c:v>
                </c:pt>
                <c:pt idx="47">
                  <c:v>117.11111111111113</c:v>
                </c:pt>
                <c:pt idx="48">
                  <c:v>53.999999999999993</c:v>
                </c:pt>
                <c:pt idx="49">
                  <c:v>53.999999999999979</c:v>
                </c:pt>
                <c:pt idx="50">
                  <c:v>0</c:v>
                </c:pt>
                <c:pt idx="51">
                  <c:v>53.999999999999979</c:v>
                </c:pt>
                <c:pt idx="52">
                  <c:v>49.999999999999993</c:v>
                </c:pt>
                <c:pt idx="53">
                  <c:v>85.250000000000014</c:v>
                </c:pt>
                <c:pt idx="54">
                  <c:v>53.999999999999972</c:v>
                </c:pt>
                <c:pt idx="55">
                  <c:v>53.999999999999993</c:v>
                </c:pt>
                <c:pt idx="56">
                  <c:v>30.000000000000007</c:v>
                </c:pt>
                <c:pt idx="57">
                  <c:v>54</c:v>
                </c:pt>
                <c:pt idx="58">
                  <c:v>49.999999999999986</c:v>
                </c:pt>
                <c:pt idx="59">
                  <c:v>29.999999999999996</c:v>
                </c:pt>
                <c:pt idx="60">
                  <c:v>53.999999999999993</c:v>
                </c:pt>
                <c:pt idx="61">
                  <c:v>53.999999999999993</c:v>
                </c:pt>
                <c:pt idx="62">
                  <c:v>30.999999999999996</c:v>
                </c:pt>
                <c:pt idx="63">
                  <c:v>54.000000000000007</c:v>
                </c:pt>
                <c:pt idx="64">
                  <c:v>34</c:v>
                </c:pt>
                <c:pt idx="65">
                  <c:v>30.999999999999996</c:v>
                </c:pt>
                <c:pt idx="66">
                  <c:v>52.000000000000007</c:v>
                </c:pt>
                <c:pt idx="67">
                  <c:v>50</c:v>
                </c:pt>
                <c:pt idx="68">
                  <c:v>31</c:v>
                </c:pt>
                <c:pt idx="69">
                  <c:v>56.428571428571395</c:v>
                </c:pt>
                <c:pt idx="70">
                  <c:v>49.999999999999972</c:v>
                </c:pt>
                <c:pt idx="7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8D7D-4231-A0D1-853D049395B6}"/>
            </c:ext>
          </c:extLst>
        </c:ser>
        <c:ser>
          <c:idx val="34"/>
          <c:order val="34"/>
          <c:tx>
            <c:strRef>
              <c:f>LRMC!$A$38:$C$38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Node_8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LRMC!$D$38:$BW$38</c:f>
              <c:numCache>
                <c:formatCode>0</c:formatCode>
                <c:ptCount val="72"/>
                <c:pt idx="0">
                  <c:v>53.999999999999986</c:v>
                </c:pt>
                <c:pt idx="1">
                  <c:v>50.000000000000014</c:v>
                </c:pt>
                <c:pt idx="2">
                  <c:v>30.999999999999996</c:v>
                </c:pt>
                <c:pt idx="3">
                  <c:v>53.999999999999972</c:v>
                </c:pt>
                <c:pt idx="4">
                  <c:v>49.999999999999986</c:v>
                </c:pt>
                <c:pt idx="5">
                  <c:v>31</c:v>
                </c:pt>
                <c:pt idx="6">
                  <c:v>50.000000000000007</c:v>
                </c:pt>
                <c:pt idx="7">
                  <c:v>50</c:v>
                </c:pt>
                <c:pt idx="8">
                  <c:v>30.999999999999996</c:v>
                </c:pt>
                <c:pt idx="9">
                  <c:v>63.999999999999943</c:v>
                </c:pt>
                <c:pt idx="10">
                  <c:v>49.999999999999993</c:v>
                </c:pt>
                <c:pt idx="11">
                  <c:v>31</c:v>
                </c:pt>
                <c:pt idx="12">
                  <c:v>53.999999999999993</c:v>
                </c:pt>
                <c:pt idx="13">
                  <c:v>50.000000000000021</c:v>
                </c:pt>
                <c:pt idx="14">
                  <c:v>31</c:v>
                </c:pt>
                <c:pt idx="15">
                  <c:v>53.999999999999972</c:v>
                </c:pt>
                <c:pt idx="16">
                  <c:v>49.999999999999993</c:v>
                </c:pt>
                <c:pt idx="17">
                  <c:v>31</c:v>
                </c:pt>
                <c:pt idx="18">
                  <c:v>53.999999999999993</c:v>
                </c:pt>
                <c:pt idx="19">
                  <c:v>49.999999999999986</c:v>
                </c:pt>
                <c:pt idx="20">
                  <c:v>31</c:v>
                </c:pt>
                <c:pt idx="21">
                  <c:v>53.999999999999943</c:v>
                </c:pt>
                <c:pt idx="22">
                  <c:v>50.000000000000007</c:v>
                </c:pt>
                <c:pt idx="23">
                  <c:v>31</c:v>
                </c:pt>
                <c:pt idx="24">
                  <c:v>50.000000000000021</c:v>
                </c:pt>
                <c:pt idx="25">
                  <c:v>50</c:v>
                </c:pt>
                <c:pt idx="26">
                  <c:v>30.999999999999996</c:v>
                </c:pt>
                <c:pt idx="27">
                  <c:v>67.037037037036953</c:v>
                </c:pt>
                <c:pt idx="28">
                  <c:v>64.529914529914436</c:v>
                </c:pt>
                <c:pt idx="29">
                  <c:v>84.8333333333333</c:v>
                </c:pt>
                <c:pt idx="30">
                  <c:v>53.999999999999993</c:v>
                </c:pt>
                <c:pt idx="31">
                  <c:v>49.999999999999993</c:v>
                </c:pt>
                <c:pt idx="32">
                  <c:v>0</c:v>
                </c:pt>
                <c:pt idx="33">
                  <c:v>54</c:v>
                </c:pt>
                <c:pt idx="34">
                  <c:v>49.999999999999993</c:v>
                </c:pt>
                <c:pt idx="35">
                  <c:v>93</c:v>
                </c:pt>
                <c:pt idx="36">
                  <c:v>53.999999999999986</c:v>
                </c:pt>
                <c:pt idx="37">
                  <c:v>49.999999999999986</c:v>
                </c:pt>
                <c:pt idx="38">
                  <c:v>0</c:v>
                </c:pt>
                <c:pt idx="39">
                  <c:v>49.999999999999993</c:v>
                </c:pt>
                <c:pt idx="40">
                  <c:v>34</c:v>
                </c:pt>
                <c:pt idx="41">
                  <c:v>106.77777777777777</c:v>
                </c:pt>
                <c:pt idx="42">
                  <c:v>54</c:v>
                </c:pt>
                <c:pt idx="43">
                  <c:v>53.999999999999993</c:v>
                </c:pt>
                <c:pt idx="44">
                  <c:v>0</c:v>
                </c:pt>
                <c:pt idx="45">
                  <c:v>53.999999999999886</c:v>
                </c:pt>
                <c:pt idx="46">
                  <c:v>53.999999999999979</c:v>
                </c:pt>
                <c:pt idx="47">
                  <c:v>117.11111111111113</c:v>
                </c:pt>
                <c:pt idx="48">
                  <c:v>53.999999999999993</c:v>
                </c:pt>
                <c:pt idx="49">
                  <c:v>53.999999999999979</c:v>
                </c:pt>
                <c:pt idx="50">
                  <c:v>0</c:v>
                </c:pt>
                <c:pt idx="51">
                  <c:v>53.999999999999979</c:v>
                </c:pt>
                <c:pt idx="52">
                  <c:v>49.999999999999993</c:v>
                </c:pt>
                <c:pt idx="53">
                  <c:v>85.250000000000014</c:v>
                </c:pt>
                <c:pt idx="54">
                  <c:v>53.999999999999972</c:v>
                </c:pt>
                <c:pt idx="55">
                  <c:v>53.999999999999993</c:v>
                </c:pt>
                <c:pt idx="56">
                  <c:v>30.000000000000007</c:v>
                </c:pt>
                <c:pt idx="57">
                  <c:v>54</c:v>
                </c:pt>
                <c:pt idx="58">
                  <c:v>49.999999999999986</c:v>
                </c:pt>
                <c:pt idx="59">
                  <c:v>29.999999999999996</c:v>
                </c:pt>
                <c:pt idx="60">
                  <c:v>53.999999999999993</c:v>
                </c:pt>
                <c:pt idx="61">
                  <c:v>53.999999999999993</c:v>
                </c:pt>
                <c:pt idx="62">
                  <c:v>30.999999999999996</c:v>
                </c:pt>
                <c:pt idx="63">
                  <c:v>54.000000000000007</c:v>
                </c:pt>
                <c:pt idx="64">
                  <c:v>34</c:v>
                </c:pt>
                <c:pt idx="65">
                  <c:v>30.999999999999996</c:v>
                </c:pt>
                <c:pt idx="66">
                  <c:v>52.000000000000007</c:v>
                </c:pt>
                <c:pt idx="67">
                  <c:v>50</c:v>
                </c:pt>
                <c:pt idx="68">
                  <c:v>31</c:v>
                </c:pt>
                <c:pt idx="69">
                  <c:v>56.428571428571395</c:v>
                </c:pt>
                <c:pt idx="70">
                  <c:v>49.999999999999972</c:v>
                </c:pt>
                <c:pt idx="7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8D7D-4231-A0D1-853D049395B6}"/>
            </c:ext>
          </c:extLst>
        </c:ser>
        <c:ser>
          <c:idx val="35"/>
          <c:order val="35"/>
          <c:tx>
            <c:strRef>
              <c:f>LRMC!$A$39:$C$39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Node_9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LRMC!$D$39:$BW$39</c:f>
              <c:numCache>
                <c:formatCode>0</c:formatCode>
                <c:ptCount val="72"/>
                <c:pt idx="0">
                  <c:v>53.999999999999986</c:v>
                </c:pt>
                <c:pt idx="1">
                  <c:v>50.000000000000014</c:v>
                </c:pt>
                <c:pt idx="2">
                  <c:v>30.999999999999996</c:v>
                </c:pt>
                <c:pt idx="3">
                  <c:v>53.999999999999972</c:v>
                </c:pt>
                <c:pt idx="4">
                  <c:v>49.999999999999986</c:v>
                </c:pt>
                <c:pt idx="5">
                  <c:v>31</c:v>
                </c:pt>
                <c:pt idx="6">
                  <c:v>50.000000000000007</c:v>
                </c:pt>
                <c:pt idx="7">
                  <c:v>50</c:v>
                </c:pt>
                <c:pt idx="8">
                  <c:v>30.999999999999996</c:v>
                </c:pt>
                <c:pt idx="9">
                  <c:v>63.999999999999943</c:v>
                </c:pt>
                <c:pt idx="10">
                  <c:v>49.999999999999993</c:v>
                </c:pt>
                <c:pt idx="11">
                  <c:v>31</c:v>
                </c:pt>
                <c:pt idx="12">
                  <c:v>53.999999999999993</c:v>
                </c:pt>
                <c:pt idx="13">
                  <c:v>50.000000000000021</c:v>
                </c:pt>
                <c:pt idx="14">
                  <c:v>31</c:v>
                </c:pt>
                <c:pt idx="15">
                  <c:v>53.999999999999972</c:v>
                </c:pt>
                <c:pt idx="16">
                  <c:v>49.999999999999993</c:v>
                </c:pt>
                <c:pt idx="17">
                  <c:v>31</c:v>
                </c:pt>
                <c:pt idx="18">
                  <c:v>53.999999999999993</c:v>
                </c:pt>
                <c:pt idx="19">
                  <c:v>49.999999999999986</c:v>
                </c:pt>
                <c:pt idx="20">
                  <c:v>31</c:v>
                </c:pt>
                <c:pt idx="21">
                  <c:v>53.999999999999943</c:v>
                </c:pt>
                <c:pt idx="22">
                  <c:v>50.000000000000007</c:v>
                </c:pt>
                <c:pt idx="23">
                  <c:v>31</c:v>
                </c:pt>
                <c:pt idx="24">
                  <c:v>50.000000000000021</c:v>
                </c:pt>
                <c:pt idx="25">
                  <c:v>50</c:v>
                </c:pt>
                <c:pt idx="26">
                  <c:v>30.999999999999996</c:v>
                </c:pt>
                <c:pt idx="27">
                  <c:v>67.037037037036953</c:v>
                </c:pt>
                <c:pt idx="28">
                  <c:v>64.529914529914436</c:v>
                </c:pt>
                <c:pt idx="29">
                  <c:v>84.8333333333333</c:v>
                </c:pt>
                <c:pt idx="30">
                  <c:v>53.999999999999993</c:v>
                </c:pt>
                <c:pt idx="31">
                  <c:v>49.999999999999993</c:v>
                </c:pt>
                <c:pt idx="32">
                  <c:v>0</c:v>
                </c:pt>
                <c:pt idx="33">
                  <c:v>54</c:v>
                </c:pt>
                <c:pt idx="34">
                  <c:v>49.999999999999993</c:v>
                </c:pt>
                <c:pt idx="35">
                  <c:v>93</c:v>
                </c:pt>
                <c:pt idx="36">
                  <c:v>53.999999999999986</c:v>
                </c:pt>
                <c:pt idx="37">
                  <c:v>49.999999999999986</c:v>
                </c:pt>
                <c:pt idx="38">
                  <c:v>0</c:v>
                </c:pt>
                <c:pt idx="39">
                  <c:v>49.999999999999993</c:v>
                </c:pt>
                <c:pt idx="40">
                  <c:v>34</c:v>
                </c:pt>
                <c:pt idx="41">
                  <c:v>106.77777777777777</c:v>
                </c:pt>
                <c:pt idx="42">
                  <c:v>54</c:v>
                </c:pt>
                <c:pt idx="43">
                  <c:v>53.999999999999993</c:v>
                </c:pt>
                <c:pt idx="44">
                  <c:v>0</c:v>
                </c:pt>
                <c:pt idx="45">
                  <c:v>53.999999999999886</c:v>
                </c:pt>
                <c:pt idx="46">
                  <c:v>53.999999999999979</c:v>
                </c:pt>
                <c:pt idx="47">
                  <c:v>117.11111111111113</c:v>
                </c:pt>
                <c:pt idx="48">
                  <c:v>53.999999999999993</c:v>
                </c:pt>
                <c:pt idx="49">
                  <c:v>53.999999999999979</c:v>
                </c:pt>
                <c:pt idx="50">
                  <c:v>0</c:v>
                </c:pt>
                <c:pt idx="51">
                  <c:v>53.999999999999979</c:v>
                </c:pt>
                <c:pt idx="52">
                  <c:v>49.999999999999993</c:v>
                </c:pt>
                <c:pt idx="53">
                  <c:v>85.250000000000014</c:v>
                </c:pt>
                <c:pt idx="54">
                  <c:v>53.999999999999972</c:v>
                </c:pt>
                <c:pt idx="55">
                  <c:v>53.999999999999993</c:v>
                </c:pt>
                <c:pt idx="56">
                  <c:v>30.000000000000007</c:v>
                </c:pt>
                <c:pt idx="57">
                  <c:v>54</c:v>
                </c:pt>
                <c:pt idx="58">
                  <c:v>49.999999999999986</c:v>
                </c:pt>
                <c:pt idx="59">
                  <c:v>29.999999999999996</c:v>
                </c:pt>
                <c:pt idx="60">
                  <c:v>53.999999999999993</c:v>
                </c:pt>
                <c:pt idx="61">
                  <c:v>53.999999999999993</c:v>
                </c:pt>
                <c:pt idx="62">
                  <c:v>30.999999999999996</c:v>
                </c:pt>
                <c:pt idx="63">
                  <c:v>54.000000000000007</c:v>
                </c:pt>
                <c:pt idx="64">
                  <c:v>34</c:v>
                </c:pt>
                <c:pt idx="65">
                  <c:v>30.999999999999996</c:v>
                </c:pt>
                <c:pt idx="66">
                  <c:v>52.000000000000007</c:v>
                </c:pt>
                <c:pt idx="67">
                  <c:v>50</c:v>
                </c:pt>
                <c:pt idx="68">
                  <c:v>31</c:v>
                </c:pt>
                <c:pt idx="69">
                  <c:v>56.428571428571395</c:v>
                </c:pt>
                <c:pt idx="70">
                  <c:v>49.999999999999972</c:v>
                </c:pt>
                <c:pt idx="7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8D7D-4231-A0D1-853D049395B6}"/>
            </c:ext>
          </c:extLst>
        </c:ser>
        <c:ser>
          <c:idx val="36"/>
          <c:order val="36"/>
          <c:tx>
            <c:strRef>
              <c:f>LRMC!$A$40:$C$40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Node_1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LRMC!$D$40:$BW$40</c:f>
              <c:numCache>
                <c:formatCode>0</c:formatCode>
                <c:ptCount val="72"/>
                <c:pt idx="0">
                  <c:v>52</c:v>
                </c:pt>
                <c:pt idx="1">
                  <c:v>52</c:v>
                </c:pt>
                <c:pt idx="2">
                  <c:v>30.999999999999986</c:v>
                </c:pt>
                <c:pt idx="3">
                  <c:v>52.000000000000007</c:v>
                </c:pt>
                <c:pt idx="4">
                  <c:v>52.000000000000007</c:v>
                </c:pt>
                <c:pt idx="5">
                  <c:v>30.999999999999989</c:v>
                </c:pt>
                <c:pt idx="6">
                  <c:v>52.000000000000007</c:v>
                </c:pt>
                <c:pt idx="7">
                  <c:v>52.000000000000007</c:v>
                </c:pt>
                <c:pt idx="8">
                  <c:v>30.999999999999975</c:v>
                </c:pt>
                <c:pt idx="9">
                  <c:v>52.000000000000007</c:v>
                </c:pt>
                <c:pt idx="10">
                  <c:v>52.000000000000007</c:v>
                </c:pt>
                <c:pt idx="11">
                  <c:v>31.000000000000004</c:v>
                </c:pt>
                <c:pt idx="12">
                  <c:v>52.000000000000007</c:v>
                </c:pt>
                <c:pt idx="13">
                  <c:v>52.000000000000014</c:v>
                </c:pt>
                <c:pt idx="14">
                  <c:v>31.000000000000007</c:v>
                </c:pt>
                <c:pt idx="15">
                  <c:v>52.000000000000007</c:v>
                </c:pt>
                <c:pt idx="16">
                  <c:v>52.000000000000021</c:v>
                </c:pt>
                <c:pt idx="17">
                  <c:v>31.000000000000004</c:v>
                </c:pt>
                <c:pt idx="18">
                  <c:v>52</c:v>
                </c:pt>
                <c:pt idx="19">
                  <c:v>52.000000000000007</c:v>
                </c:pt>
                <c:pt idx="20">
                  <c:v>30.999999999999996</c:v>
                </c:pt>
                <c:pt idx="21">
                  <c:v>51.999999999999986</c:v>
                </c:pt>
                <c:pt idx="22">
                  <c:v>52.000000000000014</c:v>
                </c:pt>
                <c:pt idx="23">
                  <c:v>30.999999999999996</c:v>
                </c:pt>
                <c:pt idx="24">
                  <c:v>52</c:v>
                </c:pt>
                <c:pt idx="25">
                  <c:v>52.000000000000014</c:v>
                </c:pt>
                <c:pt idx="26">
                  <c:v>0</c:v>
                </c:pt>
                <c:pt idx="27">
                  <c:v>52.000000000000007</c:v>
                </c:pt>
                <c:pt idx="28">
                  <c:v>31.000000000000004</c:v>
                </c:pt>
                <c:pt idx="29">
                  <c:v>87.833333333333329</c:v>
                </c:pt>
                <c:pt idx="30">
                  <c:v>51.999999999999986</c:v>
                </c:pt>
                <c:pt idx="31">
                  <c:v>52</c:v>
                </c:pt>
                <c:pt idx="32">
                  <c:v>31.000000000000004</c:v>
                </c:pt>
                <c:pt idx="33">
                  <c:v>52.000000000000021</c:v>
                </c:pt>
                <c:pt idx="34">
                  <c:v>51.999999999999986</c:v>
                </c:pt>
                <c:pt idx="35">
                  <c:v>40</c:v>
                </c:pt>
                <c:pt idx="36">
                  <c:v>52</c:v>
                </c:pt>
                <c:pt idx="37">
                  <c:v>52</c:v>
                </c:pt>
                <c:pt idx="38">
                  <c:v>0</c:v>
                </c:pt>
                <c:pt idx="39">
                  <c:v>52</c:v>
                </c:pt>
                <c:pt idx="40">
                  <c:v>34.000000000000014</c:v>
                </c:pt>
                <c:pt idx="41">
                  <c:v>106.77777777777779</c:v>
                </c:pt>
                <c:pt idx="42">
                  <c:v>52.000000000000021</c:v>
                </c:pt>
                <c:pt idx="43">
                  <c:v>52.000000000000007</c:v>
                </c:pt>
                <c:pt idx="44">
                  <c:v>30.999999999999986</c:v>
                </c:pt>
                <c:pt idx="45">
                  <c:v>52</c:v>
                </c:pt>
                <c:pt idx="46">
                  <c:v>52</c:v>
                </c:pt>
                <c:pt idx="47">
                  <c:v>30.999999999999993</c:v>
                </c:pt>
                <c:pt idx="48">
                  <c:v>52.000000000000014</c:v>
                </c:pt>
                <c:pt idx="49">
                  <c:v>52.000000000000007</c:v>
                </c:pt>
                <c:pt idx="50">
                  <c:v>30.999999999999996</c:v>
                </c:pt>
                <c:pt idx="51">
                  <c:v>52.000000000000007</c:v>
                </c:pt>
                <c:pt idx="52">
                  <c:v>31.000000000000004</c:v>
                </c:pt>
                <c:pt idx="53">
                  <c:v>30.999999999999979</c:v>
                </c:pt>
                <c:pt idx="54">
                  <c:v>51.999999999999986</c:v>
                </c:pt>
                <c:pt idx="55">
                  <c:v>52.000000000000014</c:v>
                </c:pt>
                <c:pt idx="56">
                  <c:v>29.999999999999996</c:v>
                </c:pt>
                <c:pt idx="57">
                  <c:v>52</c:v>
                </c:pt>
                <c:pt idx="58">
                  <c:v>52.000000000000021</c:v>
                </c:pt>
                <c:pt idx="59">
                  <c:v>29.999999999999996</c:v>
                </c:pt>
                <c:pt idx="60">
                  <c:v>52</c:v>
                </c:pt>
                <c:pt idx="61">
                  <c:v>50.000000000000007</c:v>
                </c:pt>
                <c:pt idx="62">
                  <c:v>31.000000000000014</c:v>
                </c:pt>
                <c:pt idx="63">
                  <c:v>51.999999999999986</c:v>
                </c:pt>
                <c:pt idx="64">
                  <c:v>57.384615384615365</c:v>
                </c:pt>
                <c:pt idx="65">
                  <c:v>31.000000000000014</c:v>
                </c:pt>
                <c:pt idx="66">
                  <c:v>52.000000000000021</c:v>
                </c:pt>
                <c:pt idx="67">
                  <c:v>52.000000000000014</c:v>
                </c:pt>
                <c:pt idx="68">
                  <c:v>30.999999999999986</c:v>
                </c:pt>
                <c:pt idx="69">
                  <c:v>51.999999999999972</c:v>
                </c:pt>
                <c:pt idx="70">
                  <c:v>51.999999999999979</c:v>
                </c:pt>
                <c:pt idx="71">
                  <c:v>30.999999999999993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D7D-4231-A0D1-853D049395B6}"/>
            </c:ext>
          </c:extLst>
        </c:ser>
        <c:ser>
          <c:idx val="37"/>
          <c:order val="37"/>
          <c:tx>
            <c:strRef>
              <c:f>LRMC!$A$41:$C$41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Node_2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LRMC!$D$41:$BW$41</c:f>
              <c:numCache>
                <c:formatCode>0</c:formatCode>
                <c:ptCount val="72"/>
                <c:pt idx="0">
                  <c:v>52.000000000000007</c:v>
                </c:pt>
                <c:pt idx="1">
                  <c:v>52.000000000000007</c:v>
                </c:pt>
                <c:pt idx="2">
                  <c:v>30.999999999999996</c:v>
                </c:pt>
                <c:pt idx="3">
                  <c:v>51.999999999999943</c:v>
                </c:pt>
                <c:pt idx="4">
                  <c:v>52.000000000000007</c:v>
                </c:pt>
                <c:pt idx="5">
                  <c:v>31.000000000000004</c:v>
                </c:pt>
                <c:pt idx="6">
                  <c:v>52.000000000000014</c:v>
                </c:pt>
                <c:pt idx="7">
                  <c:v>52.000000000000007</c:v>
                </c:pt>
                <c:pt idx="8">
                  <c:v>30.999999999999996</c:v>
                </c:pt>
                <c:pt idx="9">
                  <c:v>52.000000000000036</c:v>
                </c:pt>
                <c:pt idx="10">
                  <c:v>52.000000000000007</c:v>
                </c:pt>
                <c:pt idx="11">
                  <c:v>31.000000000000004</c:v>
                </c:pt>
                <c:pt idx="12">
                  <c:v>52</c:v>
                </c:pt>
                <c:pt idx="13">
                  <c:v>52.000000000000043</c:v>
                </c:pt>
                <c:pt idx="14">
                  <c:v>31.000000000000004</c:v>
                </c:pt>
                <c:pt idx="15">
                  <c:v>52.000000000000014</c:v>
                </c:pt>
                <c:pt idx="16">
                  <c:v>52.000000000000014</c:v>
                </c:pt>
                <c:pt idx="17">
                  <c:v>30.999999999999996</c:v>
                </c:pt>
                <c:pt idx="18">
                  <c:v>51.999999999999986</c:v>
                </c:pt>
                <c:pt idx="19">
                  <c:v>52.000000000000021</c:v>
                </c:pt>
                <c:pt idx="20">
                  <c:v>30.999999999999996</c:v>
                </c:pt>
                <c:pt idx="21">
                  <c:v>52</c:v>
                </c:pt>
                <c:pt idx="22">
                  <c:v>52.000000000000014</c:v>
                </c:pt>
                <c:pt idx="23">
                  <c:v>31.000000000000004</c:v>
                </c:pt>
                <c:pt idx="24">
                  <c:v>52</c:v>
                </c:pt>
                <c:pt idx="25">
                  <c:v>52.000000000000021</c:v>
                </c:pt>
                <c:pt idx="26">
                  <c:v>0</c:v>
                </c:pt>
                <c:pt idx="27">
                  <c:v>52.000000000000021</c:v>
                </c:pt>
                <c:pt idx="28">
                  <c:v>31.000000000000004</c:v>
                </c:pt>
                <c:pt idx="29">
                  <c:v>87.833333333333329</c:v>
                </c:pt>
                <c:pt idx="30">
                  <c:v>51.999999999999986</c:v>
                </c:pt>
                <c:pt idx="31">
                  <c:v>52.000000000000014</c:v>
                </c:pt>
                <c:pt idx="32">
                  <c:v>31.000000000000004</c:v>
                </c:pt>
                <c:pt idx="33">
                  <c:v>52.000000000000021</c:v>
                </c:pt>
                <c:pt idx="34">
                  <c:v>52.000000000000014</c:v>
                </c:pt>
                <c:pt idx="35">
                  <c:v>40</c:v>
                </c:pt>
                <c:pt idx="36">
                  <c:v>52.000000000000021</c:v>
                </c:pt>
                <c:pt idx="37">
                  <c:v>52.000000000000007</c:v>
                </c:pt>
                <c:pt idx="38">
                  <c:v>0</c:v>
                </c:pt>
                <c:pt idx="39">
                  <c:v>52</c:v>
                </c:pt>
                <c:pt idx="40">
                  <c:v>34</c:v>
                </c:pt>
                <c:pt idx="41">
                  <c:v>106.7777777777778</c:v>
                </c:pt>
                <c:pt idx="42">
                  <c:v>52.000000000000021</c:v>
                </c:pt>
                <c:pt idx="43">
                  <c:v>52.000000000000014</c:v>
                </c:pt>
                <c:pt idx="44">
                  <c:v>30.999999999999996</c:v>
                </c:pt>
                <c:pt idx="45">
                  <c:v>52</c:v>
                </c:pt>
                <c:pt idx="46">
                  <c:v>51.999999999999986</c:v>
                </c:pt>
                <c:pt idx="47">
                  <c:v>31.000000000000004</c:v>
                </c:pt>
                <c:pt idx="48">
                  <c:v>52</c:v>
                </c:pt>
                <c:pt idx="49">
                  <c:v>52.000000000000043</c:v>
                </c:pt>
                <c:pt idx="50">
                  <c:v>30.999999999999996</c:v>
                </c:pt>
                <c:pt idx="51">
                  <c:v>52.000000000000043</c:v>
                </c:pt>
                <c:pt idx="52">
                  <c:v>31.000000000000004</c:v>
                </c:pt>
                <c:pt idx="53">
                  <c:v>30.999999999999996</c:v>
                </c:pt>
                <c:pt idx="54">
                  <c:v>52</c:v>
                </c:pt>
                <c:pt idx="55">
                  <c:v>52</c:v>
                </c:pt>
                <c:pt idx="56">
                  <c:v>29.999999999999996</c:v>
                </c:pt>
                <c:pt idx="57">
                  <c:v>52.000000000000021</c:v>
                </c:pt>
                <c:pt idx="58">
                  <c:v>52.000000000000014</c:v>
                </c:pt>
                <c:pt idx="59">
                  <c:v>29.999999999999996</c:v>
                </c:pt>
                <c:pt idx="60">
                  <c:v>52.000000000000007</c:v>
                </c:pt>
                <c:pt idx="61">
                  <c:v>50.000000000000014</c:v>
                </c:pt>
                <c:pt idx="62">
                  <c:v>31.000000000000014</c:v>
                </c:pt>
                <c:pt idx="63">
                  <c:v>51.999999999999986</c:v>
                </c:pt>
                <c:pt idx="64">
                  <c:v>57.384615384615365</c:v>
                </c:pt>
                <c:pt idx="65">
                  <c:v>31.000000000000007</c:v>
                </c:pt>
                <c:pt idx="66">
                  <c:v>52.000000000000014</c:v>
                </c:pt>
                <c:pt idx="67">
                  <c:v>52.000000000000014</c:v>
                </c:pt>
                <c:pt idx="68">
                  <c:v>31.000000000000004</c:v>
                </c:pt>
                <c:pt idx="69">
                  <c:v>51.999999999999972</c:v>
                </c:pt>
                <c:pt idx="70">
                  <c:v>51.999999999999979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8D7D-4231-A0D1-853D049395B6}"/>
            </c:ext>
          </c:extLst>
        </c:ser>
        <c:ser>
          <c:idx val="38"/>
          <c:order val="38"/>
          <c:tx>
            <c:strRef>
              <c:f>LRMC!$A$42:$C$42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Node_3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LRMC!$D$42:$BW$42</c:f>
              <c:numCache>
                <c:formatCode>0</c:formatCode>
                <c:ptCount val="72"/>
                <c:pt idx="0">
                  <c:v>52.000000000000007</c:v>
                </c:pt>
                <c:pt idx="1">
                  <c:v>52.000000000000007</c:v>
                </c:pt>
                <c:pt idx="2">
                  <c:v>30.999999999999996</c:v>
                </c:pt>
                <c:pt idx="3">
                  <c:v>52.000000000000007</c:v>
                </c:pt>
                <c:pt idx="4">
                  <c:v>52.000000000000007</c:v>
                </c:pt>
                <c:pt idx="5">
                  <c:v>31.000000000000004</c:v>
                </c:pt>
                <c:pt idx="6">
                  <c:v>52.000000000000007</c:v>
                </c:pt>
                <c:pt idx="7">
                  <c:v>52.000000000000007</c:v>
                </c:pt>
                <c:pt idx="8">
                  <c:v>30.999999999999996</c:v>
                </c:pt>
                <c:pt idx="9">
                  <c:v>52.000000000000007</c:v>
                </c:pt>
                <c:pt idx="10">
                  <c:v>52.000000000000007</c:v>
                </c:pt>
                <c:pt idx="11">
                  <c:v>31.000000000000004</c:v>
                </c:pt>
                <c:pt idx="12">
                  <c:v>52.000000000000007</c:v>
                </c:pt>
                <c:pt idx="13">
                  <c:v>52.000000000000014</c:v>
                </c:pt>
                <c:pt idx="14">
                  <c:v>31.000000000000004</c:v>
                </c:pt>
                <c:pt idx="15">
                  <c:v>52.000000000000007</c:v>
                </c:pt>
                <c:pt idx="16">
                  <c:v>52.000000000000021</c:v>
                </c:pt>
                <c:pt idx="17">
                  <c:v>30.999999999999996</c:v>
                </c:pt>
                <c:pt idx="18">
                  <c:v>52</c:v>
                </c:pt>
                <c:pt idx="19">
                  <c:v>52.000000000000007</c:v>
                </c:pt>
                <c:pt idx="20">
                  <c:v>30.999999999999996</c:v>
                </c:pt>
                <c:pt idx="21">
                  <c:v>51.999999999999986</c:v>
                </c:pt>
                <c:pt idx="22">
                  <c:v>52.000000000000014</c:v>
                </c:pt>
                <c:pt idx="23">
                  <c:v>31.000000000000004</c:v>
                </c:pt>
                <c:pt idx="24">
                  <c:v>52</c:v>
                </c:pt>
                <c:pt idx="25">
                  <c:v>52.000000000000014</c:v>
                </c:pt>
                <c:pt idx="26">
                  <c:v>0</c:v>
                </c:pt>
                <c:pt idx="27">
                  <c:v>52.000000000000021</c:v>
                </c:pt>
                <c:pt idx="28">
                  <c:v>31.000000000000004</c:v>
                </c:pt>
                <c:pt idx="29">
                  <c:v>87.833333333333329</c:v>
                </c:pt>
                <c:pt idx="30">
                  <c:v>51.999999999999986</c:v>
                </c:pt>
                <c:pt idx="31">
                  <c:v>52.000000000000014</c:v>
                </c:pt>
                <c:pt idx="32">
                  <c:v>31.000000000000004</c:v>
                </c:pt>
                <c:pt idx="33">
                  <c:v>52.000000000000021</c:v>
                </c:pt>
                <c:pt idx="34">
                  <c:v>52.000000000000014</c:v>
                </c:pt>
                <c:pt idx="35">
                  <c:v>40</c:v>
                </c:pt>
                <c:pt idx="36">
                  <c:v>52</c:v>
                </c:pt>
                <c:pt idx="37">
                  <c:v>52.000000000000007</c:v>
                </c:pt>
                <c:pt idx="38">
                  <c:v>0</c:v>
                </c:pt>
                <c:pt idx="39">
                  <c:v>52</c:v>
                </c:pt>
                <c:pt idx="40">
                  <c:v>34</c:v>
                </c:pt>
                <c:pt idx="41">
                  <c:v>106.77777777777779</c:v>
                </c:pt>
                <c:pt idx="42">
                  <c:v>52.000000000000021</c:v>
                </c:pt>
                <c:pt idx="43">
                  <c:v>52.000000000000007</c:v>
                </c:pt>
                <c:pt idx="44">
                  <c:v>30.999999999999996</c:v>
                </c:pt>
                <c:pt idx="45">
                  <c:v>52</c:v>
                </c:pt>
                <c:pt idx="46">
                  <c:v>51.999999999999986</c:v>
                </c:pt>
                <c:pt idx="47">
                  <c:v>31.000000000000004</c:v>
                </c:pt>
                <c:pt idx="48">
                  <c:v>52.000000000000014</c:v>
                </c:pt>
                <c:pt idx="49">
                  <c:v>52.000000000000007</c:v>
                </c:pt>
                <c:pt idx="50">
                  <c:v>30.999999999999996</c:v>
                </c:pt>
                <c:pt idx="51">
                  <c:v>52.000000000000007</c:v>
                </c:pt>
                <c:pt idx="52">
                  <c:v>31.000000000000004</c:v>
                </c:pt>
                <c:pt idx="53">
                  <c:v>30.999999999999996</c:v>
                </c:pt>
                <c:pt idx="54">
                  <c:v>51.999999999999986</c:v>
                </c:pt>
                <c:pt idx="55">
                  <c:v>52.000000000000014</c:v>
                </c:pt>
                <c:pt idx="56">
                  <c:v>29.999999999999996</c:v>
                </c:pt>
                <c:pt idx="57">
                  <c:v>52</c:v>
                </c:pt>
                <c:pt idx="58">
                  <c:v>52.000000000000021</c:v>
                </c:pt>
                <c:pt idx="59">
                  <c:v>29.999999999999996</c:v>
                </c:pt>
                <c:pt idx="60">
                  <c:v>52.000000000000007</c:v>
                </c:pt>
                <c:pt idx="61">
                  <c:v>50.000000000000014</c:v>
                </c:pt>
                <c:pt idx="62">
                  <c:v>31.000000000000014</c:v>
                </c:pt>
                <c:pt idx="63">
                  <c:v>51.999999999999986</c:v>
                </c:pt>
                <c:pt idx="64">
                  <c:v>57.384615384615365</c:v>
                </c:pt>
                <c:pt idx="65">
                  <c:v>30.999999999999975</c:v>
                </c:pt>
                <c:pt idx="66">
                  <c:v>52.000000000000007</c:v>
                </c:pt>
                <c:pt idx="67">
                  <c:v>52.000000000000014</c:v>
                </c:pt>
                <c:pt idx="68">
                  <c:v>31.000000000000004</c:v>
                </c:pt>
                <c:pt idx="69">
                  <c:v>51.999999999999972</c:v>
                </c:pt>
                <c:pt idx="70">
                  <c:v>51.999999999999979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8D7D-4231-A0D1-853D049395B6}"/>
            </c:ext>
          </c:extLst>
        </c:ser>
        <c:ser>
          <c:idx val="39"/>
          <c:order val="39"/>
          <c:tx>
            <c:strRef>
              <c:f>LRMC!$A$43:$C$43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Node_4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LRMC!$D$43:$BW$43</c:f>
              <c:numCache>
                <c:formatCode>0</c:formatCode>
                <c:ptCount val="72"/>
                <c:pt idx="0">
                  <c:v>52</c:v>
                </c:pt>
                <c:pt idx="1">
                  <c:v>52</c:v>
                </c:pt>
                <c:pt idx="2">
                  <c:v>30.999999999999996</c:v>
                </c:pt>
                <c:pt idx="3">
                  <c:v>52.000000000000007</c:v>
                </c:pt>
                <c:pt idx="4">
                  <c:v>52.000000000000007</c:v>
                </c:pt>
                <c:pt idx="5">
                  <c:v>30.999999999999996</c:v>
                </c:pt>
                <c:pt idx="6">
                  <c:v>52.000000000000007</c:v>
                </c:pt>
                <c:pt idx="7">
                  <c:v>52.000000000000007</c:v>
                </c:pt>
                <c:pt idx="8">
                  <c:v>30.999999999999989</c:v>
                </c:pt>
                <c:pt idx="9">
                  <c:v>52.000000000000007</c:v>
                </c:pt>
                <c:pt idx="10">
                  <c:v>52.000000000000007</c:v>
                </c:pt>
                <c:pt idx="11">
                  <c:v>31.000000000000004</c:v>
                </c:pt>
                <c:pt idx="12">
                  <c:v>52.000000000000007</c:v>
                </c:pt>
                <c:pt idx="13">
                  <c:v>52.000000000000014</c:v>
                </c:pt>
                <c:pt idx="14">
                  <c:v>31.000000000000004</c:v>
                </c:pt>
                <c:pt idx="15">
                  <c:v>52.000000000000007</c:v>
                </c:pt>
                <c:pt idx="16">
                  <c:v>52.000000000000021</c:v>
                </c:pt>
                <c:pt idx="17">
                  <c:v>30.999999999999993</c:v>
                </c:pt>
                <c:pt idx="18">
                  <c:v>52</c:v>
                </c:pt>
                <c:pt idx="19">
                  <c:v>52.000000000000007</c:v>
                </c:pt>
                <c:pt idx="20">
                  <c:v>30.999999999999993</c:v>
                </c:pt>
                <c:pt idx="21">
                  <c:v>51.999999999999986</c:v>
                </c:pt>
                <c:pt idx="22">
                  <c:v>52.000000000000014</c:v>
                </c:pt>
                <c:pt idx="23">
                  <c:v>30.999999999999996</c:v>
                </c:pt>
                <c:pt idx="24">
                  <c:v>52</c:v>
                </c:pt>
                <c:pt idx="25">
                  <c:v>52.000000000000014</c:v>
                </c:pt>
                <c:pt idx="26">
                  <c:v>0</c:v>
                </c:pt>
                <c:pt idx="27">
                  <c:v>52.000000000000007</c:v>
                </c:pt>
                <c:pt idx="28">
                  <c:v>31.000000000000004</c:v>
                </c:pt>
                <c:pt idx="29">
                  <c:v>87.833333333333329</c:v>
                </c:pt>
                <c:pt idx="30">
                  <c:v>51.999999999999986</c:v>
                </c:pt>
                <c:pt idx="31">
                  <c:v>52.000000000000021</c:v>
                </c:pt>
                <c:pt idx="32">
                  <c:v>31.000000000000004</c:v>
                </c:pt>
                <c:pt idx="33">
                  <c:v>52.000000000000021</c:v>
                </c:pt>
                <c:pt idx="34">
                  <c:v>52.000000000000014</c:v>
                </c:pt>
                <c:pt idx="35">
                  <c:v>40</c:v>
                </c:pt>
                <c:pt idx="36">
                  <c:v>52</c:v>
                </c:pt>
                <c:pt idx="37">
                  <c:v>52.000000000000007</c:v>
                </c:pt>
                <c:pt idx="38">
                  <c:v>0</c:v>
                </c:pt>
                <c:pt idx="39">
                  <c:v>52.000000000000007</c:v>
                </c:pt>
                <c:pt idx="40">
                  <c:v>34</c:v>
                </c:pt>
                <c:pt idx="41">
                  <c:v>106.77777777777779</c:v>
                </c:pt>
                <c:pt idx="42">
                  <c:v>52.000000000000021</c:v>
                </c:pt>
                <c:pt idx="43">
                  <c:v>52.000000000000007</c:v>
                </c:pt>
                <c:pt idx="44">
                  <c:v>30.999999999999993</c:v>
                </c:pt>
                <c:pt idx="45">
                  <c:v>52</c:v>
                </c:pt>
                <c:pt idx="46">
                  <c:v>52</c:v>
                </c:pt>
                <c:pt idx="47">
                  <c:v>31.000000000000004</c:v>
                </c:pt>
                <c:pt idx="48">
                  <c:v>52.000000000000014</c:v>
                </c:pt>
                <c:pt idx="49">
                  <c:v>52.000000000000007</c:v>
                </c:pt>
                <c:pt idx="50">
                  <c:v>30.999999999999993</c:v>
                </c:pt>
                <c:pt idx="51">
                  <c:v>52.000000000000007</c:v>
                </c:pt>
                <c:pt idx="52">
                  <c:v>31.000000000000004</c:v>
                </c:pt>
                <c:pt idx="53">
                  <c:v>30.999999999999993</c:v>
                </c:pt>
                <c:pt idx="54">
                  <c:v>51.999999999999986</c:v>
                </c:pt>
                <c:pt idx="55">
                  <c:v>52.000000000000014</c:v>
                </c:pt>
                <c:pt idx="56">
                  <c:v>29.999999999999996</c:v>
                </c:pt>
                <c:pt idx="57">
                  <c:v>52</c:v>
                </c:pt>
                <c:pt idx="58">
                  <c:v>52.000000000000021</c:v>
                </c:pt>
                <c:pt idx="59">
                  <c:v>30</c:v>
                </c:pt>
                <c:pt idx="60">
                  <c:v>52.000000000000007</c:v>
                </c:pt>
                <c:pt idx="61">
                  <c:v>50.000000000000007</c:v>
                </c:pt>
                <c:pt idx="62">
                  <c:v>31.000000000000014</c:v>
                </c:pt>
                <c:pt idx="63">
                  <c:v>51.999999999999986</c:v>
                </c:pt>
                <c:pt idx="64">
                  <c:v>57.384615384615365</c:v>
                </c:pt>
                <c:pt idx="65">
                  <c:v>31.000000000000004</c:v>
                </c:pt>
                <c:pt idx="66">
                  <c:v>52.000000000000014</c:v>
                </c:pt>
                <c:pt idx="67">
                  <c:v>52.000000000000014</c:v>
                </c:pt>
                <c:pt idx="68">
                  <c:v>30.999999999999996</c:v>
                </c:pt>
                <c:pt idx="69">
                  <c:v>51.999999999999972</c:v>
                </c:pt>
                <c:pt idx="70">
                  <c:v>51.999999999999979</c:v>
                </c:pt>
                <c:pt idx="71">
                  <c:v>30.999999999999993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8D7D-4231-A0D1-853D049395B6}"/>
            </c:ext>
          </c:extLst>
        </c:ser>
        <c:ser>
          <c:idx val="40"/>
          <c:order val="40"/>
          <c:tx>
            <c:strRef>
              <c:f>LRMC!$A$44:$C$44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Node_5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LRMC!$D$44:$BW$44</c:f>
              <c:numCache>
                <c:formatCode>0</c:formatCode>
                <c:ptCount val="72"/>
                <c:pt idx="0">
                  <c:v>52</c:v>
                </c:pt>
                <c:pt idx="1">
                  <c:v>52</c:v>
                </c:pt>
                <c:pt idx="2">
                  <c:v>30.999999999999996</c:v>
                </c:pt>
                <c:pt idx="3">
                  <c:v>52.000000000000007</c:v>
                </c:pt>
                <c:pt idx="4">
                  <c:v>52.000000000000007</c:v>
                </c:pt>
                <c:pt idx="5">
                  <c:v>30.999999999999996</c:v>
                </c:pt>
                <c:pt idx="6">
                  <c:v>52.000000000000007</c:v>
                </c:pt>
                <c:pt idx="7">
                  <c:v>52.000000000000007</c:v>
                </c:pt>
                <c:pt idx="8">
                  <c:v>30.999999999999989</c:v>
                </c:pt>
                <c:pt idx="9">
                  <c:v>52.000000000000007</c:v>
                </c:pt>
                <c:pt idx="10">
                  <c:v>52.000000000000007</c:v>
                </c:pt>
                <c:pt idx="11">
                  <c:v>31.000000000000004</c:v>
                </c:pt>
                <c:pt idx="12">
                  <c:v>52.000000000000007</c:v>
                </c:pt>
                <c:pt idx="13">
                  <c:v>52.000000000000014</c:v>
                </c:pt>
                <c:pt idx="14">
                  <c:v>31.000000000000004</c:v>
                </c:pt>
                <c:pt idx="15">
                  <c:v>52.000000000000007</c:v>
                </c:pt>
                <c:pt idx="16">
                  <c:v>52.000000000000021</c:v>
                </c:pt>
                <c:pt idx="17">
                  <c:v>30.999999999999993</c:v>
                </c:pt>
                <c:pt idx="18">
                  <c:v>52</c:v>
                </c:pt>
                <c:pt idx="19">
                  <c:v>52.000000000000007</c:v>
                </c:pt>
                <c:pt idx="20">
                  <c:v>30.999999999999993</c:v>
                </c:pt>
                <c:pt idx="21">
                  <c:v>51.999999999999986</c:v>
                </c:pt>
                <c:pt idx="22">
                  <c:v>52.000000000000014</c:v>
                </c:pt>
                <c:pt idx="23">
                  <c:v>30.999999999999996</c:v>
                </c:pt>
                <c:pt idx="24">
                  <c:v>52</c:v>
                </c:pt>
                <c:pt idx="25">
                  <c:v>52.000000000000014</c:v>
                </c:pt>
                <c:pt idx="26">
                  <c:v>0</c:v>
                </c:pt>
                <c:pt idx="27">
                  <c:v>52.000000000000007</c:v>
                </c:pt>
                <c:pt idx="28">
                  <c:v>31.000000000000004</c:v>
                </c:pt>
                <c:pt idx="29">
                  <c:v>87.833333333333329</c:v>
                </c:pt>
                <c:pt idx="30">
                  <c:v>51.999999999999986</c:v>
                </c:pt>
                <c:pt idx="31">
                  <c:v>52.000000000000021</c:v>
                </c:pt>
                <c:pt idx="32">
                  <c:v>31.000000000000004</c:v>
                </c:pt>
                <c:pt idx="33">
                  <c:v>52.000000000000021</c:v>
                </c:pt>
                <c:pt idx="34">
                  <c:v>52.000000000000014</c:v>
                </c:pt>
                <c:pt idx="35">
                  <c:v>40</c:v>
                </c:pt>
                <c:pt idx="36">
                  <c:v>52</c:v>
                </c:pt>
                <c:pt idx="37">
                  <c:v>52.000000000000007</c:v>
                </c:pt>
                <c:pt idx="38">
                  <c:v>0</c:v>
                </c:pt>
                <c:pt idx="39">
                  <c:v>52.000000000000007</c:v>
                </c:pt>
                <c:pt idx="40">
                  <c:v>34</c:v>
                </c:pt>
                <c:pt idx="41">
                  <c:v>106.77777777777779</c:v>
                </c:pt>
                <c:pt idx="42">
                  <c:v>52.000000000000021</c:v>
                </c:pt>
                <c:pt idx="43">
                  <c:v>52.000000000000007</c:v>
                </c:pt>
                <c:pt idx="44">
                  <c:v>30.999999999999993</c:v>
                </c:pt>
                <c:pt idx="45">
                  <c:v>52</c:v>
                </c:pt>
                <c:pt idx="46">
                  <c:v>52</c:v>
                </c:pt>
                <c:pt idx="47">
                  <c:v>31.000000000000004</c:v>
                </c:pt>
                <c:pt idx="48">
                  <c:v>52.000000000000014</c:v>
                </c:pt>
                <c:pt idx="49">
                  <c:v>52.000000000000007</c:v>
                </c:pt>
                <c:pt idx="50">
                  <c:v>30.999999999999993</c:v>
                </c:pt>
                <c:pt idx="51">
                  <c:v>52.000000000000007</c:v>
                </c:pt>
                <c:pt idx="52">
                  <c:v>31.000000000000004</c:v>
                </c:pt>
                <c:pt idx="53">
                  <c:v>30.999999999999993</c:v>
                </c:pt>
                <c:pt idx="54">
                  <c:v>51.999999999999986</c:v>
                </c:pt>
                <c:pt idx="55">
                  <c:v>52.000000000000014</c:v>
                </c:pt>
                <c:pt idx="56">
                  <c:v>29.999999999999996</c:v>
                </c:pt>
                <c:pt idx="57">
                  <c:v>52</c:v>
                </c:pt>
                <c:pt idx="58">
                  <c:v>52.000000000000021</c:v>
                </c:pt>
                <c:pt idx="59">
                  <c:v>30</c:v>
                </c:pt>
                <c:pt idx="60">
                  <c:v>52.000000000000007</c:v>
                </c:pt>
                <c:pt idx="61">
                  <c:v>50.000000000000007</c:v>
                </c:pt>
                <c:pt idx="62">
                  <c:v>31.000000000000014</c:v>
                </c:pt>
                <c:pt idx="63">
                  <c:v>51.999999999999986</c:v>
                </c:pt>
                <c:pt idx="64">
                  <c:v>57.384615384615365</c:v>
                </c:pt>
                <c:pt idx="65">
                  <c:v>31.000000000000004</c:v>
                </c:pt>
                <c:pt idx="66">
                  <c:v>52.000000000000014</c:v>
                </c:pt>
                <c:pt idx="67">
                  <c:v>52.000000000000014</c:v>
                </c:pt>
                <c:pt idx="68">
                  <c:v>30.999999999999996</c:v>
                </c:pt>
                <c:pt idx="69">
                  <c:v>51.999999999999972</c:v>
                </c:pt>
                <c:pt idx="70">
                  <c:v>51.999999999999979</c:v>
                </c:pt>
                <c:pt idx="71">
                  <c:v>30.999999999999993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8D7D-4231-A0D1-853D049395B6}"/>
            </c:ext>
          </c:extLst>
        </c:ser>
        <c:ser>
          <c:idx val="41"/>
          <c:order val="41"/>
          <c:tx>
            <c:strRef>
              <c:f>LRMC!$A$45:$C$45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Node_6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LRMC!$D$45:$BW$45</c:f>
              <c:numCache>
                <c:formatCode>0</c:formatCode>
                <c:ptCount val="72"/>
                <c:pt idx="0">
                  <c:v>52.000000000000021</c:v>
                </c:pt>
                <c:pt idx="1">
                  <c:v>52.000000000000014</c:v>
                </c:pt>
                <c:pt idx="2">
                  <c:v>31.000000000000007</c:v>
                </c:pt>
                <c:pt idx="3">
                  <c:v>51.999999999999943</c:v>
                </c:pt>
                <c:pt idx="4">
                  <c:v>52.000000000000007</c:v>
                </c:pt>
                <c:pt idx="5">
                  <c:v>31.000000000000007</c:v>
                </c:pt>
                <c:pt idx="6">
                  <c:v>52.000000000000014</c:v>
                </c:pt>
                <c:pt idx="7">
                  <c:v>52.000000000000007</c:v>
                </c:pt>
                <c:pt idx="8">
                  <c:v>31.000000000000004</c:v>
                </c:pt>
                <c:pt idx="9">
                  <c:v>52.000000000000036</c:v>
                </c:pt>
                <c:pt idx="10">
                  <c:v>52.000000000000007</c:v>
                </c:pt>
                <c:pt idx="11">
                  <c:v>31.000000000000007</c:v>
                </c:pt>
                <c:pt idx="12">
                  <c:v>52</c:v>
                </c:pt>
                <c:pt idx="13">
                  <c:v>52.000000000000043</c:v>
                </c:pt>
                <c:pt idx="14">
                  <c:v>31.000000000000007</c:v>
                </c:pt>
                <c:pt idx="15">
                  <c:v>52.000000000000014</c:v>
                </c:pt>
                <c:pt idx="16">
                  <c:v>52.000000000000014</c:v>
                </c:pt>
                <c:pt idx="17">
                  <c:v>31.000000000000004</c:v>
                </c:pt>
                <c:pt idx="18">
                  <c:v>51.999999999999986</c:v>
                </c:pt>
                <c:pt idx="19">
                  <c:v>52.000000000000021</c:v>
                </c:pt>
                <c:pt idx="20">
                  <c:v>31.000000000000004</c:v>
                </c:pt>
                <c:pt idx="21">
                  <c:v>52</c:v>
                </c:pt>
                <c:pt idx="22">
                  <c:v>52.000000000000014</c:v>
                </c:pt>
                <c:pt idx="23">
                  <c:v>31.000000000000004</c:v>
                </c:pt>
                <c:pt idx="24">
                  <c:v>52</c:v>
                </c:pt>
                <c:pt idx="25">
                  <c:v>52.000000000000021</c:v>
                </c:pt>
                <c:pt idx="26">
                  <c:v>0</c:v>
                </c:pt>
                <c:pt idx="27">
                  <c:v>52.000000000000021</c:v>
                </c:pt>
                <c:pt idx="28">
                  <c:v>31.000000000000007</c:v>
                </c:pt>
                <c:pt idx="29">
                  <c:v>87.833333333333329</c:v>
                </c:pt>
                <c:pt idx="30">
                  <c:v>51.999999999999986</c:v>
                </c:pt>
                <c:pt idx="31">
                  <c:v>52.000000000000014</c:v>
                </c:pt>
                <c:pt idx="32">
                  <c:v>31.000000000000004</c:v>
                </c:pt>
                <c:pt idx="33">
                  <c:v>52.000000000000021</c:v>
                </c:pt>
                <c:pt idx="34">
                  <c:v>52.000000000000014</c:v>
                </c:pt>
                <c:pt idx="35">
                  <c:v>40</c:v>
                </c:pt>
                <c:pt idx="36">
                  <c:v>52.000000000000021</c:v>
                </c:pt>
                <c:pt idx="37">
                  <c:v>52.000000000000007</c:v>
                </c:pt>
                <c:pt idx="38">
                  <c:v>0</c:v>
                </c:pt>
                <c:pt idx="39">
                  <c:v>52</c:v>
                </c:pt>
                <c:pt idx="40">
                  <c:v>34</c:v>
                </c:pt>
                <c:pt idx="41">
                  <c:v>106.7777777777778</c:v>
                </c:pt>
                <c:pt idx="42">
                  <c:v>52.000000000000021</c:v>
                </c:pt>
                <c:pt idx="43">
                  <c:v>52.000000000000014</c:v>
                </c:pt>
                <c:pt idx="44">
                  <c:v>30.999999999999996</c:v>
                </c:pt>
                <c:pt idx="45">
                  <c:v>52</c:v>
                </c:pt>
                <c:pt idx="46">
                  <c:v>51.999999999999986</c:v>
                </c:pt>
                <c:pt idx="47">
                  <c:v>31.000000000000007</c:v>
                </c:pt>
                <c:pt idx="48">
                  <c:v>52</c:v>
                </c:pt>
                <c:pt idx="49">
                  <c:v>52.000000000000043</c:v>
                </c:pt>
                <c:pt idx="50">
                  <c:v>31.000000000000007</c:v>
                </c:pt>
                <c:pt idx="51">
                  <c:v>52.000000000000043</c:v>
                </c:pt>
                <c:pt idx="52">
                  <c:v>31.000000000000004</c:v>
                </c:pt>
                <c:pt idx="53">
                  <c:v>31.000000000000004</c:v>
                </c:pt>
                <c:pt idx="54">
                  <c:v>52</c:v>
                </c:pt>
                <c:pt idx="55">
                  <c:v>52</c:v>
                </c:pt>
                <c:pt idx="56">
                  <c:v>29.999999999999996</c:v>
                </c:pt>
                <c:pt idx="57">
                  <c:v>52.000000000000021</c:v>
                </c:pt>
                <c:pt idx="58">
                  <c:v>52.000000000000014</c:v>
                </c:pt>
                <c:pt idx="59">
                  <c:v>29.999999999999996</c:v>
                </c:pt>
                <c:pt idx="60">
                  <c:v>52.000000000000007</c:v>
                </c:pt>
                <c:pt idx="61">
                  <c:v>50.000000000000014</c:v>
                </c:pt>
                <c:pt idx="62">
                  <c:v>31.000000000000014</c:v>
                </c:pt>
                <c:pt idx="63">
                  <c:v>51.999999999999986</c:v>
                </c:pt>
                <c:pt idx="64">
                  <c:v>57.384615384615365</c:v>
                </c:pt>
                <c:pt idx="65">
                  <c:v>31.000000000000007</c:v>
                </c:pt>
                <c:pt idx="66">
                  <c:v>52.000000000000014</c:v>
                </c:pt>
                <c:pt idx="67">
                  <c:v>52.000000000000014</c:v>
                </c:pt>
                <c:pt idx="68">
                  <c:v>31.000000000000007</c:v>
                </c:pt>
                <c:pt idx="69">
                  <c:v>51.999999999999972</c:v>
                </c:pt>
                <c:pt idx="70">
                  <c:v>51.999999999999979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8D7D-4231-A0D1-853D049395B6}"/>
            </c:ext>
          </c:extLst>
        </c:ser>
        <c:ser>
          <c:idx val="42"/>
          <c:order val="42"/>
          <c:tx>
            <c:strRef>
              <c:f>LRMC!$A$46:$C$46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Node_7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LRMC!$D$46:$BW$46</c:f>
              <c:numCache>
                <c:formatCode>0</c:formatCode>
                <c:ptCount val="72"/>
                <c:pt idx="0">
                  <c:v>52.000000000000021</c:v>
                </c:pt>
                <c:pt idx="1">
                  <c:v>52.000000000000007</c:v>
                </c:pt>
                <c:pt idx="2">
                  <c:v>31.000000000000007</c:v>
                </c:pt>
                <c:pt idx="3">
                  <c:v>51.999999999999943</c:v>
                </c:pt>
                <c:pt idx="4">
                  <c:v>52.000000000000007</c:v>
                </c:pt>
                <c:pt idx="5">
                  <c:v>31.000000000000007</c:v>
                </c:pt>
                <c:pt idx="6">
                  <c:v>52.000000000000014</c:v>
                </c:pt>
                <c:pt idx="7">
                  <c:v>52.000000000000007</c:v>
                </c:pt>
                <c:pt idx="8">
                  <c:v>31.000000000000004</c:v>
                </c:pt>
                <c:pt idx="9">
                  <c:v>52.000000000000036</c:v>
                </c:pt>
                <c:pt idx="10">
                  <c:v>52.000000000000007</c:v>
                </c:pt>
                <c:pt idx="11">
                  <c:v>31.000000000000007</c:v>
                </c:pt>
                <c:pt idx="12">
                  <c:v>52</c:v>
                </c:pt>
                <c:pt idx="13">
                  <c:v>52.000000000000043</c:v>
                </c:pt>
                <c:pt idx="14">
                  <c:v>31.000000000000007</c:v>
                </c:pt>
                <c:pt idx="15">
                  <c:v>52.000000000000014</c:v>
                </c:pt>
                <c:pt idx="16">
                  <c:v>52.000000000000014</c:v>
                </c:pt>
                <c:pt idx="17">
                  <c:v>31.000000000000004</c:v>
                </c:pt>
                <c:pt idx="18">
                  <c:v>51.999999999999986</c:v>
                </c:pt>
                <c:pt idx="19">
                  <c:v>52.000000000000021</c:v>
                </c:pt>
                <c:pt idx="20">
                  <c:v>31.000000000000004</c:v>
                </c:pt>
                <c:pt idx="21">
                  <c:v>52</c:v>
                </c:pt>
                <c:pt idx="22">
                  <c:v>52.000000000000014</c:v>
                </c:pt>
                <c:pt idx="23">
                  <c:v>31.000000000000004</c:v>
                </c:pt>
                <c:pt idx="24">
                  <c:v>52</c:v>
                </c:pt>
                <c:pt idx="25">
                  <c:v>52.000000000000021</c:v>
                </c:pt>
                <c:pt idx="26">
                  <c:v>0</c:v>
                </c:pt>
                <c:pt idx="27">
                  <c:v>52.000000000000021</c:v>
                </c:pt>
                <c:pt idx="28">
                  <c:v>31.000000000000007</c:v>
                </c:pt>
                <c:pt idx="29">
                  <c:v>87.833333333333329</c:v>
                </c:pt>
                <c:pt idx="30">
                  <c:v>51.999999999999986</c:v>
                </c:pt>
                <c:pt idx="31">
                  <c:v>52.000000000000014</c:v>
                </c:pt>
                <c:pt idx="32">
                  <c:v>31.000000000000004</c:v>
                </c:pt>
                <c:pt idx="33">
                  <c:v>52.000000000000021</c:v>
                </c:pt>
                <c:pt idx="34">
                  <c:v>52.000000000000014</c:v>
                </c:pt>
                <c:pt idx="35">
                  <c:v>40</c:v>
                </c:pt>
                <c:pt idx="36">
                  <c:v>52.000000000000021</c:v>
                </c:pt>
                <c:pt idx="37">
                  <c:v>52.000000000000007</c:v>
                </c:pt>
                <c:pt idx="38">
                  <c:v>0</c:v>
                </c:pt>
                <c:pt idx="39">
                  <c:v>52</c:v>
                </c:pt>
                <c:pt idx="40">
                  <c:v>34</c:v>
                </c:pt>
                <c:pt idx="41">
                  <c:v>106.7777777777778</c:v>
                </c:pt>
                <c:pt idx="42">
                  <c:v>52.000000000000021</c:v>
                </c:pt>
                <c:pt idx="43">
                  <c:v>52.000000000000007</c:v>
                </c:pt>
                <c:pt idx="44">
                  <c:v>30.999999999999996</c:v>
                </c:pt>
                <c:pt idx="45">
                  <c:v>52</c:v>
                </c:pt>
                <c:pt idx="46">
                  <c:v>51.999999999999986</c:v>
                </c:pt>
                <c:pt idx="47">
                  <c:v>31.000000000000007</c:v>
                </c:pt>
                <c:pt idx="48">
                  <c:v>52</c:v>
                </c:pt>
                <c:pt idx="49">
                  <c:v>52.000000000000043</c:v>
                </c:pt>
                <c:pt idx="50">
                  <c:v>31.000000000000007</c:v>
                </c:pt>
                <c:pt idx="51">
                  <c:v>52.000000000000043</c:v>
                </c:pt>
                <c:pt idx="52">
                  <c:v>31.000000000000004</c:v>
                </c:pt>
                <c:pt idx="53">
                  <c:v>31.000000000000004</c:v>
                </c:pt>
                <c:pt idx="54">
                  <c:v>52</c:v>
                </c:pt>
                <c:pt idx="55">
                  <c:v>52</c:v>
                </c:pt>
                <c:pt idx="56">
                  <c:v>29.999999999999996</c:v>
                </c:pt>
                <c:pt idx="57">
                  <c:v>52.000000000000021</c:v>
                </c:pt>
                <c:pt idx="58">
                  <c:v>52.000000000000014</c:v>
                </c:pt>
                <c:pt idx="59">
                  <c:v>29.999999999999996</c:v>
                </c:pt>
                <c:pt idx="60">
                  <c:v>52.000000000000007</c:v>
                </c:pt>
                <c:pt idx="61">
                  <c:v>50.000000000000014</c:v>
                </c:pt>
                <c:pt idx="62">
                  <c:v>31.000000000000014</c:v>
                </c:pt>
                <c:pt idx="63">
                  <c:v>51.999999999999986</c:v>
                </c:pt>
                <c:pt idx="64">
                  <c:v>57.384615384615365</c:v>
                </c:pt>
                <c:pt idx="65">
                  <c:v>31.000000000000007</c:v>
                </c:pt>
                <c:pt idx="66">
                  <c:v>52.000000000000014</c:v>
                </c:pt>
                <c:pt idx="67">
                  <c:v>52.000000000000014</c:v>
                </c:pt>
                <c:pt idx="68">
                  <c:v>31.000000000000007</c:v>
                </c:pt>
                <c:pt idx="69">
                  <c:v>51.999999999999972</c:v>
                </c:pt>
                <c:pt idx="70">
                  <c:v>51.999999999999979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8D7D-4231-A0D1-853D049395B6}"/>
            </c:ext>
          </c:extLst>
        </c:ser>
        <c:ser>
          <c:idx val="43"/>
          <c:order val="43"/>
          <c:tx>
            <c:strRef>
              <c:f>LRMC!$A$47:$C$47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Node_8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LRMC!$D$47:$BW$47</c:f>
              <c:numCache>
                <c:formatCode>0</c:formatCode>
                <c:ptCount val="72"/>
                <c:pt idx="0">
                  <c:v>52.000000000000021</c:v>
                </c:pt>
                <c:pt idx="1">
                  <c:v>52.000000000000007</c:v>
                </c:pt>
                <c:pt idx="2">
                  <c:v>31.000000000000007</c:v>
                </c:pt>
                <c:pt idx="3">
                  <c:v>51.999999999999943</c:v>
                </c:pt>
                <c:pt idx="4">
                  <c:v>52.000000000000007</c:v>
                </c:pt>
                <c:pt idx="5">
                  <c:v>31.000000000000007</c:v>
                </c:pt>
                <c:pt idx="6">
                  <c:v>52.000000000000014</c:v>
                </c:pt>
                <c:pt idx="7">
                  <c:v>52.000000000000007</c:v>
                </c:pt>
                <c:pt idx="8">
                  <c:v>31.000000000000004</c:v>
                </c:pt>
                <c:pt idx="9">
                  <c:v>52.000000000000036</c:v>
                </c:pt>
                <c:pt idx="10">
                  <c:v>52.000000000000007</c:v>
                </c:pt>
                <c:pt idx="11">
                  <c:v>31.000000000000007</c:v>
                </c:pt>
                <c:pt idx="12">
                  <c:v>52</c:v>
                </c:pt>
                <c:pt idx="13">
                  <c:v>52.000000000000043</c:v>
                </c:pt>
                <c:pt idx="14">
                  <c:v>31.000000000000007</c:v>
                </c:pt>
                <c:pt idx="15">
                  <c:v>52.000000000000014</c:v>
                </c:pt>
                <c:pt idx="16">
                  <c:v>52.000000000000014</c:v>
                </c:pt>
                <c:pt idx="17">
                  <c:v>31.000000000000004</c:v>
                </c:pt>
                <c:pt idx="18">
                  <c:v>51.999999999999986</c:v>
                </c:pt>
                <c:pt idx="19">
                  <c:v>52.000000000000021</c:v>
                </c:pt>
                <c:pt idx="20">
                  <c:v>31.000000000000004</c:v>
                </c:pt>
                <c:pt idx="21">
                  <c:v>52</c:v>
                </c:pt>
                <c:pt idx="22">
                  <c:v>52.000000000000014</c:v>
                </c:pt>
                <c:pt idx="23">
                  <c:v>31.000000000000004</c:v>
                </c:pt>
                <c:pt idx="24">
                  <c:v>52</c:v>
                </c:pt>
                <c:pt idx="25">
                  <c:v>52.000000000000021</c:v>
                </c:pt>
                <c:pt idx="26">
                  <c:v>0</c:v>
                </c:pt>
                <c:pt idx="27">
                  <c:v>52.000000000000021</c:v>
                </c:pt>
                <c:pt idx="28">
                  <c:v>31.000000000000007</c:v>
                </c:pt>
                <c:pt idx="29">
                  <c:v>87.833333333333329</c:v>
                </c:pt>
                <c:pt idx="30">
                  <c:v>51.999999999999986</c:v>
                </c:pt>
                <c:pt idx="31">
                  <c:v>52.000000000000014</c:v>
                </c:pt>
                <c:pt idx="32">
                  <c:v>31.000000000000004</c:v>
                </c:pt>
                <c:pt idx="33">
                  <c:v>52.000000000000021</c:v>
                </c:pt>
                <c:pt idx="34">
                  <c:v>52.000000000000014</c:v>
                </c:pt>
                <c:pt idx="35">
                  <c:v>40</c:v>
                </c:pt>
                <c:pt idx="36">
                  <c:v>52.000000000000021</c:v>
                </c:pt>
                <c:pt idx="37">
                  <c:v>52.000000000000007</c:v>
                </c:pt>
                <c:pt idx="38">
                  <c:v>0</c:v>
                </c:pt>
                <c:pt idx="39">
                  <c:v>52</c:v>
                </c:pt>
                <c:pt idx="40">
                  <c:v>34</c:v>
                </c:pt>
                <c:pt idx="41">
                  <c:v>106.7777777777778</c:v>
                </c:pt>
                <c:pt idx="42">
                  <c:v>52.000000000000021</c:v>
                </c:pt>
                <c:pt idx="43">
                  <c:v>52.000000000000007</c:v>
                </c:pt>
                <c:pt idx="44">
                  <c:v>30.999999999999996</c:v>
                </c:pt>
                <c:pt idx="45">
                  <c:v>52</c:v>
                </c:pt>
                <c:pt idx="46">
                  <c:v>51.999999999999986</c:v>
                </c:pt>
                <c:pt idx="47">
                  <c:v>31.000000000000007</c:v>
                </c:pt>
                <c:pt idx="48">
                  <c:v>52</c:v>
                </c:pt>
                <c:pt idx="49">
                  <c:v>52.000000000000043</c:v>
                </c:pt>
                <c:pt idx="50">
                  <c:v>31.000000000000007</c:v>
                </c:pt>
                <c:pt idx="51">
                  <c:v>52.000000000000043</c:v>
                </c:pt>
                <c:pt idx="52">
                  <c:v>31.000000000000004</c:v>
                </c:pt>
                <c:pt idx="53">
                  <c:v>31.000000000000004</c:v>
                </c:pt>
                <c:pt idx="54">
                  <c:v>52</c:v>
                </c:pt>
                <c:pt idx="55">
                  <c:v>52</c:v>
                </c:pt>
                <c:pt idx="56">
                  <c:v>29.999999999999996</c:v>
                </c:pt>
                <c:pt idx="57">
                  <c:v>52.000000000000021</c:v>
                </c:pt>
                <c:pt idx="58">
                  <c:v>52.000000000000014</c:v>
                </c:pt>
                <c:pt idx="59">
                  <c:v>29.999999999999996</c:v>
                </c:pt>
                <c:pt idx="60">
                  <c:v>52.000000000000007</c:v>
                </c:pt>
                <c:pt idx="61">
                  <c:v>50.000000000000014</c:v>
                </c:pt>
                <c:pt idx="62">
                  <c:v>31.000000000000014</c:v>
                </c:pt>
                <c:pt idx="63">
                  <c:v>51.999999999999986</c:v>
                </c:pt>
                <c:pt idx="64">
                  <c:v>57.384615384615365</c:v>
                </c:pt>
                <c:pt idx="65">
                  <c:v>31.000000000000007</c:v>
                </c:pt>
                <c:pt idx="66">
                  <c:v>52.000000000000014</c:v>
                </c:pt>
                <c:pt idx="67">
                  <c:v>52.000000000000014</c:v>
                </c:pt>
                <c:pt idx="68">
                  <c:v>31.000000000000007</c:v>
                </c:pt>
                <c:pt idx="69">
                  <c:v>51.999999999999972</c:v>
                </c:pt>
                <c:pt idx="70">
                  <c:v>51.999999999999979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8D7D-4231-A0D1-853D049395B6}"/>
            </c:ext>
          </c:extLst>
        </c:ser>
        <c:ser>
          <c:idx val="44"/>
          <c:order val="44"/>
          <c:tx>
            <c:strRef>
              <c:f>LRMC!$A$48:$C$48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Node_9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LRMC!$D$48:$BW$48</c:f>
              <c:numCache>
                <c:formatCode>0</c:formatCode>
                <c:ptCount val="72"/>
                <c:pt idx="0">
                  <c:v>52.000000000000021</c:v>
                </c:pt>
                <c:pt idx="1">
                  <c:v>52.000000000000007</c:v>
                </c:pt>
                <c:pt idx="2">
                  <c:v>31.000000000000007</c:v>
                </c:pt>
                <c:pt idx="3">
                  <c:v>51.999999999999943</c:v>
                </c:pt>
                <c:pt idx="4">
                  <c:v>52.000000000000007</c:v>
                </c:pt>
                <c:pt idx="5">
                  <c:v>31.000000000000007</c:v>
                </c:pt>
                <c:pt idx="6">
                  <c:v>52.000000000000014</c:v>
                </c:pt>
                <c:pt idx="7">
                  <c:v>52.000000000000007</c:v>
                </c:pt>
                <c:pt idx="8">
                  <c:v>31.000000000000004</c:v>
                </c:pt>
                <c:pt idx="9">
                  <c:v>52.000000000000036</c:v>
                </c:pt>
                <c:pt idx="10">
                  <c:v>52.000000000000007</c:v>
                </c:pt>
                <c:pt idx="11">
                  <c:v>31.000000000000007</c:v>
                </c:pt>
                <c:pt idx="12">
                  <c:v>52</c:v>
                </c:pt>
                <c:pt idx="13">
                  <c:v>52.000000000000043</c:v>
                </c:pt>
                <c:pt idx="14">
                  <c:v>31.000000000000007</c:v>
                </c:pt>
                <c:pt idx="15">
                  <c:v>52.000000000000014</c:v>
                </c:pt>
                <c:pt idx="16">
                  <c:v>52.000000000000014</c:v>
                </c:pt>
                <c:pt idx="17">
                  <c:v>31.000000000000004</c:v>
                </c:pt>
                <c:pt idx="18">
                  <c:v>51.999999999999986</c:v>
                </c:pt>
                <c:pt idx="19">
                  <c:v>52.000000000000021</c:v>
                </c:pt>
                <c:pt idx="20">
                  <c:v>31.000000000000004</c:v>
                </c:pt>
                <c:pt idx="21">
                  <c:v>52</c:v>
                </c:pt>
                <c:pt idx="22">
                  <c:v>52.000000000000014</c:v>
                </c:pt>
                <c:pt idx="23">
                  <c:v>31.000000000000004</c:v>
                </c:pt>
                <c:pt idx="24">
                  <c:v>52</c:v>
                </c:pt>
                <c:pt idx="25">
                  <c:v>52.000000000000021</c:v>
                </c:pt>
                <c:pt idx="26">
                  <c:v>0</c:v>
                </c:pt>
                <c:pt idx="27">
                  <c:v>52.000000000000021</c:v>
                </c:pt>
                <c:pt idx="28">
                  <c:v>31.000000000000007</c:v>
                </c:pt>
                <c:pt idx="29">
                  <c:v>87.833333333333329</c:v>
                </c:pt>
                <c:pt idx="30">
                  <c:v>51.999999999999986</c:v>
                </c:pt>
                <c:pt idx="31">
                  <c:v>52.000000000000014</c:v>
                </c:pt>
                <c:pt idx="32">
                  <c:v>31.000000000000004</c:v>
                </c:pt>
                <c:pt idx="33">
                  <c:v>52.000000000000021</c:v>
                </c:pt>
                <c:pt idx="34">
                  <c:v>52.000000000000014</c:v>
                </c:pt>
                <c:pt idx="35">
                  <c:v>40</c:v>
                </c:pt>
                <c:pt idx="36">
                  <c:v>52.000000000000021</c:v>
                </c:pt>
                <c:pt idx="37">
                  <c:v>52.000000000000007</c:v>
                </c:pt>
                <c:pt idx="38">
                  <c:v>0</c:v>
                </c:pt>
                <c:pt idx="39">
                  <c:v>52</c:v>
                </c:pt>
                <c:pt idx="40">
                  <c:v>34</c:v>
                </c:pt>
                <c:pt idx="41">
                  <c:v>106.7777777777778</c:v>
                </c:pt>
                <c:pt idx="42">
                  <c:v>52.000000000000021</c:v>
                </c:pt>
                <c:pt idx="43">
                  <c:v>52.000000000000007</c:v>
                </c:pt>
                <c:pt idx="44">
                  <c:v>30.999999999999996</c:v>
                </c:pt>
                <c:pt idx="45">
                  <c:v>52</c:v>
                </c:pt>
                <c:pt idx="46">
                  <c:v>51.999999999999986</c:v>
                </c:pt>
                <c:pt idx="47">
                  <c:v>31.000000000000007</c:v>
                </c:pt>
                <c:pt idx="48">
                  <c:v>52</c:v>
                </c:pt>
                <c:pt idx="49">
                  <c:v>52.000000000000043</c:v>
                </c:pt>
                <c:pt idx="50">
                  <c:v>31.000000000000007</c:v>
                </c:pt>
                <c:pt idx="51">
                  <c:v>52.000000000000043</c:v>
                </c:pt>
                <c:pt idx="52">
                  <c:v>31.000000000000004</c:v>
                </c:pt>
                <c:pt idx="53">
                  <c:v>31.000000000000004</c:v>
                </c:pt>
                <c:pt idx="54">
                  <c:v>52</c:v>
                </c:pt>
                <c:pt idx="55">
                  <c:v>52</c:v>
                </c:pt>
                <c:pt idx="56">
                  <c:v>29.999999999999996</c:v>
                </c:pt>
                <c:pt idx="57">
                  <c:v>52.000000000000021</c:v>
                </c:pt>
                <c:pt idx="58">
                  <c:v>52.000000000000014</c:v>
                </c:pt>
                <c:pt idx="59">
                  <c:v>29.999999999999996</c:v>
                </c:pt>
                <c:pt idx="60">
                  <c:v>52.000000000000007</c:v>
                </c:pt>
                <c:pt idx="61">
                  <c:v>50.000000000000014</c:v>
                </c:pt>
                <c:pt idx="62">
                  <c:v>31.000000000000014</c:v>
                </c:pt>
                <c:pt idx="63">
                  <c:v>51.999999999999986</c:v>
                </c:pt>
                <c:pt idx="64">
                  <c:v>57.384615384615365</c:v>
                </c:pt>
                <c:pt idx="65">
                  <c:v>31.000000000000007</c:v>
                </c:pt>
                <c:pt idx="66">
                  <c:v>52.000000000000014</c:v>
                </c:pt>
                <c:pt idx="67">
                  <c:v>52.000000000000014</c:v>
                </c:pt>
                <c:pt idx="68">
                  <c:v>31.000000000000007</c:v>
                </c:pt>
                <c:pt idx="69">
                  <c:v>51.999999999999972</c:v>
                </c:pt>
                <c:pt idx="70">
                  <c:v>51.999999999999979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8D7D-4231-A0D1-853D049395B6}"/>
            </c:ext>
          </c:extLst>
        </c:ser>
        <c:ser>
          <c:idx val="45"/>
          <c:order val="45"/>
          <c:tx>
            <c:strRef>
              <c:f>LRMC!$A$49:$C$49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Node_1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LRMC!$D$49:$BW$49</c:f>
              <c:numCache>
                <c:formatCode>0</c:formatCode>
                <c:ptCount val="72"/>
                <c:pt idx="0">
                  <c:v>52.000000000000021</c:v>
                </c:pt>
                <c:pt idx="1">
                  <c:v>34</c:v>
                </c:pt>
                <c:pt idx="2">
                  <c:v>30.999999999999993</c:v>
                </c:pt>
                <c:pt idx="3">
                  <c:v>58.888888888888829</c:v>
                </c:pt>
                <c:pt idx="4">
                  <c:v>30.999999999999993</c:v>
                </c:pt>
                <c:pt idx="5">
                  <c:v>30.999999999999996</c:v>
                </c:pt>
                <c:pt idx="6">
                  <c:v>50.000000000000007</c:v>
                </c:pt>
                <c:pt idx="7">
                  <c:v>34</c:v>
                </c:pt>
                <c:pt idx="8">
                  <c:v>30.999999999999993</c:v>
                </c:pt>
                <c:pt idx="9">
                  <c:v>63.999999999999986</c:v>
                </c:pt>
                <c:pt idx="10">
                  <c:v>30.999999999999979</c:v>
                </c:pt>
                <c:pt idx="11">
                  <c:v>30.999999999999996</c:v>
                </c:pt>
                <c:pt idx="12">
                  <c:v>54</c:v>
                </c:pt>
                <c:pt idx="13">
                  <c:v>34</c:v>
                </c:pt>
                <c:pt idx="14">
                  <c:v>30.999999999999989</c:v>
                </c:pt>
                <c:pt idx="15">
                  <c:v>54.000000000000007</c:v>
                </c:pt>
                <c:pt idx="16">
                  <c:v>30.999999999999979</c:v>
                </c:pt>
                <c:pt idx="17">
                  <c:v>29.999999999999986</c:v>
                </c:pt>
                <c:pt idx="18">
                  <c:v>31.000000000000014</c:v>
                </c:pt>
                <c:pt idx="19">
                  <c:v>49.999999999999993</c:v>
                </c:pt>
                <c:pt idx="20">
                  <c:v>30.999999999999993</c:v>
                </c:pt>
                <c:pt idx="21">
                  <c:v>106.96969696969698</c:v>
                </c:pt>
                <c:pt idx="22">
                  <c:v>60.909090909090921</c:v>
                </c:pt>
                <c:pt idx="23">
                  <c:v>30.999999999999989</c:v>
                </c:pt>
                <c:pt idx="24">
                  <c:v>50.000000000000007</c:v>
                </c:pt>
                <c:pt idx="25">
                  <c:v>49.999999999999993</c:v>
                </c:pt>
                <c:pt idx="26">
                  <c:v>30.999999999999993</c:v>
                </c:pt>
                <c:pt idx="27">
                  <c:v>67.037037037037038</c:v>
                </c:pt>
                <c:pt idx="28">
                  <c:v>64.529914529914549</c:v>
                </c:pt>
                <c:pt idx="29">
                  <c:v>30.999999999999996</c:v>
                </c:pt>
                <c:pt idx="30">
                  <c:v>34</c:v>
                </c:pt>
                <c:pt idx="31">
                  <c:v>34</c:v>
                </c:pt>
                <c:pt idx="32">
                  <c:v>30.999999999999993</c:v>
                </c:pt>
                <c:pt idx="33">
                  <c:v>116.22222222222224</c:v>
                </c:pt>
                <c:pt idx="34">
                  <c:v>100.66666666666669</c:v>
                </c:pt>
                <c:pt idx="35">
                  <c:v>30.999999999999993</c:v>
                </c:pt>
                <c:pt idx="36">
                  <c:v>53.999999999999993</c:v>
                </c:pt>
                <c:pt idx="37">
                  <c:v>50.000000000000007</c:v>
                </c:pt>
                <c:pt idx="38">
                  <c:v>31.000000000000004</c:v>
                </c:pt>
                <c:pt idx="39">
                  <c:v>53.999999999999972</c:v>
                </c:pt>
                <c:pt idx="40">
                  <c:v>50.000000000000007</c:v>
                </c:pt>
                <c:pt idx="41">
                  <c:v>31.000000000000007</c:v>
                </c:pt>
                <c:pt idx="42">
                  <c:v>53.999999999999993</c:v>
                </c:pt>
                <c:pt idx="43">
                  <c:v>54</c:v>
                </c:pt>
                <c:pt idx="44">
                  <c:v>0</c:v>
                </c:pt>
                <c:pt idx="45">
                  <c:v>53.999999999999993</c:v>
                </c:pt>
                <c:pt idx="46">
                  <c:v>51.999999999999979</c:v>
                </c:pt>
                <c:pt idx="47">
                  <c:v>106.77777777777779</c:v>
                </c:pt>
                <c:pt idx="48">
                  <c:v>54</c:v>
                </c:pt>
                <c:pt idx="49">
                  <c:v>53.999999999999993</c:v>
                </c:pt>
                <c:pt idx="50">
                  <c:v>0</c:v>
                </c:pt>
                <c:pt idx="51">
                  <c:v>53.999999999999993</c:v>
                </c:pt>
                <c:pt idx="52">
                  <c:v>31.000000000000007</c:v>
                </c:pt>
                <c:pt idx="53">
                  <c:v>85.25</c:v>
                </c:pt>
                <c:pt idx="54">
                  <c:v>53.999999999999993</c:v>
                </c:pt>
                <c:pt idx="55">
                  <c:v>54</c:v>
                </c:pt>
                <c:pt idx="56">
                  <c:v>29.999999999999996</c:v>
                </c:pt>
                <c:pt idx="57">
                  <c:v>53.999999999999993</c:v>
                </c:pt>
                <c:pt idx="58">
                  <c:v>50.000000000000007</c:v>
                </c:pt>
                <c:pt idx="59">
                  <c:v>29.999999999999996</c:v>
                </c:pt>
                <c:pt idx="60">
                  <c:v>53.999999999999972</c:v>
                </c:pt>
                <c:pt idx="61">
                  <c:v>33.999999999999986</c:v>
                </c:pt>
                <c:pt idx="62">
                  <c:v>30.999999999999996</c:v>
                </c:pt>
                <c:pt idx="63">
                  <c:v>33.999999999999993</c:v>
                </c:pt>
                <c:pt idx="64">
                  <c:v>30.999999999999996</c:v>
                </c:pt>
                <c:pt idx="65">
                  <c:v>30</c:v>
                </c:pt>
                <c:pt idx="66">
                  <c:v>52.000000000000014</c:v>
                </c:pt>
                <c:pt idx="67">
                  <c:v>34</c:v>
                </c:pt>
                <c:pt idx="68">
                  <c:v>29.999999999999986</c:v>
                </c:pt>
                <c:pt idx="69">
                  <c:v>56.428571428571381</c:v>
                </c:pt>
                <c:pt idx="70">
                  <c:v>30.999999999999993</c:v>
                </c:pt>
                <c:pt idx="71">
                  <c:v>29.999999999999986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8D7D-4231-A0D1-853D049395B6}"/>
            </c:ext>
          </c:extLst>
        </c:ser>
        <c:ser>
          <c:idx val="46"/>
          <c:order val="46"/>
          <c:tx>
            <c:strRef>
              <c:f>LRMC!$A$50:$C$50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Node_2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LRMC!$D$50:$BW$50</c:f>
              <c:numCache>
                <c:formatCode>0</c:formatCode>
                <c:ptCount val="72"/>
                <c:pt idx="0">
                  <c:v>52.000000000000007</c:v>
                </c:pt>
                <c:pt idx="1">
                  <c:v>34</c:v>
                </c:pt>
                <c:pt idx="2">
                  <c:v>30.999999999999993</c:v>
                </c:pt>
                <c:pt idx="3">
                  <c:v>58.888888888888857</c:v>
                </c:pt>
                <c:pt idx="4">
                  <c:v>31.000000000000004</c:v>
                </c:pt>
                <c:pt idx="5">
                  <c:v>30.999999999999996</c:v>
                </c:pt>
                <c:pt idx="6">
                  <c:v>50.000000000000014</c:v>
                </c:pt>
                <c:pt idx="7">
                  <c:v>34</c:v>
                </c:pt>
                <c:pt idx="8">
                  <c:v>30.999999999999993</c:v>
                </c:pt>
                <c:pt idx="9">
                  <c:v>63.999999999999986</c:v>
                </c:pt>
                <c:pt idx="10">
                  <c:v>31.000000000000004</c:v>
                </c:pt>
                <c:pt idx="11">
                  <c:v>30.999999999999993</c:v>
                </c:pt>
                <c:pt idx="12">
                  <c:v>54</c:v>
                </c:pt>
                <c:pt idx="13">
                  <c:v>34.000000000000007</c:v>
                </c:pt>
                <c:pt idx="14">
                  <c:v>30.999999999999989</c:v>
                </c:pt>
                <c:pt idx="15">
                  <c:v>54.000000000000007</c:v>
                </c:pt>
                <c:pt idx="16">
                  <c:v>31.000000000000004</c:v>
                </c:pt>
                <c:pt idx="17">
                  <c:v>30</c:v>
                </c:pt>
                <c:pt idx="18">
                  <c:v>30.999999999999996</c:v>
                </c:pt>
                <c:pt idx="19">
                  <c:v>50.000000000000007</c:v>
                </c:pt>
                <c:pt idx="20">
                  <c:v>30.999999999999993</c:v>
                </c:pt>
                <c:pt idx="21">
                  <c:v>106.96969696969698</c:v>
                </c:pt>
                <c:pt idx="22">
                  <c:v>60.909090909090921</c:v>
                </c:pt>
                <c:pt idx="23">
                  <c:v>30.999999999999996</c:v>
                </c:pt>
                <c:pt idx="24">
                  <c:v>49.999999999999993</c:v>
                </c:pt>
                <c:pt idx="25">
                  <c:v>50.000000000000007</c:v>
                </c:pt>
                <c:pt idx="26">
                  <c:v>30.999999999999993</c:v>
                </c:pt>
                <c:pt idx="27">
                  <c:v>67.037037037037038</c:v>
                </c:pt>
                <c:pt idx="28">
                  <c:v>64.529914529914549</c:v>
                </c:pt>
                <c:pt idx="29">
                  <c:v>30.999999999999996</c:v>
                </c:pt>
                <c:pt idx="30">
                  <c:v>33.999999999999986</c:v>
                </c:pt>
                <c:pt idx="31">
                  <c:v>34</c:v>
                </c:pt>
                <c:pt idx="32">
                  <c:v>30.999999999999993</c:v>
                </c:pt>
                <c:pt idx="33">
                  <c:v>116.22222222222224</c:v>
                </c:pt>
                <c:pt idx="34">
                  <c:v>100.66666666666669</c:v>
                </c:pt>
                <c:pt idx="35">
                  <c:v>30.999999999999993</c:v>
                </c:pt>
                <c:pt idx="36">
                  <c:v>53.999999999999993</c:v>
                </c:pt>
                <c:pt idx="37">
                  <c:v>50.000000000000007</c:v>
                </c:pt>
                <c:pt idx="38">
                  <c:v>31.000000000000004</c:v>
                </c:pt>
                <c:pt idx="39">
                  <c:v>53.999999999999972</c:v>
                </c:pt>
                <c:pt idx="40">
                  <c:v>50.000000000000007</c:v>
                </c:pt>
                <c:pt idx="41">
                  <c:v>31.000000000000007</c:v>
                </c:pt>
                <c:pt idx="42">
                  <c:v>53.999999999999993</c:v>
                </c:pt>
                <c:pt idx="43">
                  <c:v>54</c:v>
                </c:pt>
                <c:pt idx="44">
                  <c:v>0</c:v>
                </c:pt>
                <c:pt idx="45">
                  <c:v>53.999999999999993</c:v>
                </c:pt>
                <c:pt idx="46">
                  <c:v>52.000000000000007</c:v>
                </c:pt>
                <c:pt idx="47">
                  <c:v>106.7777777777778</c:v>
                </c:pt>
                <c:pt idx="48">
                  <c:v>54</c:v>
                </c:pt>
                <c:pt idx="49">
                  <c:v>53.999999999999993</c:v>
                </c:pt>
                <c:pt idx="50">
                  <c:v>0</c:v>
                </c:pt>
                <c:pt idx="51">
                  <c:v>53.999999999999993</c:v>
                </c:pt>
                <c:pt idx="52">
                  <c:v>31.000000000000007</c:v>
                </c:pt>
                <c:pt idx="53">
                  <c:v>85.25</c:v>
                </c:pt>
                <c:pt idx="54">
                  <c:v>53.999999999999993</c:v>
                </c:pt>
                <c:pt idx="55">
                  <c:v>54</c:v>
                </c:pt>
                <c:pt idx="56">
                  <c:v>29.999999999999996</c:v>
                </c:pt>
                <c:pt idx="57">
                  <c:v>53.999999999999993</c:v>
                </c:pt>
                <c:pt idx="58">
                  <c:v>50.000000000000007</c:v>
                </c:pt>
                <c:pt idx="59">
                  <c:v>29.999999999999996</c:v>
                </c:pt>
                <c:pt idx="60">
                  <c:v>54</c:v>
                </c:pt>
                <c:pt idx="61">
                  <c:v>33.999999999999986</c:v>
                </c:pt>
                <c:pt idx="62">
                  <c:v>31.000000000000004</c:v>
                </c:pt>
                <c:pt idx="63">
                  <c:v>34</c:v>
                </c:pt>
                <c:pt idx="64">
                  <c:v>30.999999999999996</c:v>
                </c:pt>
                <c:pt idx="65">
                  <c:v>30</c:v>
                </c:pt>
                <c:pt idx="66">
                  <c:v>52.000000000000014</c:v>
                </c:pt>
                <c:pt idx="67">
                  <c:v>34</c:v>
                </c:pt>
                <c:pt idx="68">
                  <c:v>30</c:v>
                </c:pt>
                <c:pt idx="69">
                  <c:v>56.428571428571409</c:v>
                </c:pt>
                <c:pt idx="70">
                  <c:v>30.999999999999993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8D7D-4231-A0D1-853D049395B6}"/>
            </c:ext>
          </c:extLst>
        </c:ser>
        <c:ser>
          <c:idx val="47"/>
          <c:order val="47"/>
          <c:tx>
            <c:strRef>
              <c:f>LRMC!$A$51:$C$51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Node_3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LRMC!$D$51:$BW$51</c:f>
              <c:numCache>
                <c:formatCode>0</c:formatCode>
                <c:ptCount val="72"/>
                <c:pt idx="0">
                  <c:v>52.000000000000007</c:v>
                </c:pt>
                <c:pt idx="1">
                  <c:v>34</c:v>
                </c:pt>
                <c:pt idx="2">
                  <c:v>30.999999999999993</c:v>
                </c:pt>
                <c:pt idx="3">
                  <c:v>58.888888888888829</c:v>
                </c:pt>
                <c:pt idx="4">
                  <c:v>31.000000000000004</c:v>
                </c:pt>
                <c:pt idx="5">
                  <c:v>30.999999999999996</c:v>
                </c:pt>
                <c:pt idx="6">
                  <c:v>50.000000000000014</c:v>
                </c:pt>
                <c:pt idx="7">
                  <c:v>34</c:v>
                </c:pt>
                <c:pt idx="8">
                  <c:v>30.999999999999993</c:v>
                </c:pt>
                <c:pt idx="9">
                  <c:v>63.999999999999986</c:v>
                </c:pt>
                <c:pt idx="10">
                  <c:v>31.000000000000004</c:v>
                </c:pt>
                <c:pt idx="11">
                  <c:v>30.999999999999993</c:v>
                </c:pt>
                <c:pt idx="12">
                  <c:v>54</c:v>
                </c:pt>
                <c:pt idx="13">
                  <c:v>34</c:v>
                </c:pt>
                <c:pt idx="14">
                  <c:v>30.999999999999989</c:v>
                </c:pt>
                <c:pt idx="15">
                  <c:v>54.000000000000007</c:v>
                </c:pt>
                <c:pt idx="16">
                  <c:v>31.000000000000004</c:v>
                </c:pt>
                <c:pt idx="17">
                  <c:v>30</c:v>
                </c:pt>
                <c:pt idx="18">
                  <c:v>30.999999999999996</c:v>
                </c:pt>
                <c:pt idx="19">
                  <c:v>50.000000000000007</c:v>
                </c:pt>
                <c:pt idx="20">
                  <c:v>30.999999999999993</c:v>
                </c:pt>
                <c:pt idx="21">
                  <c:v>106.96969696969698</c:v>
                </c:pt>
                <c:pt idx="22">
                  <c:v>60.909090909090921</c:v>
                </c:pt>
                <c:pt idx="23">
                  <c:v>30.999999999999996</c:v>
                </c:pt>
                <c:pt idx="24">
                  <c:v>49.999999999999993</c:v>
                </c:pt>
                <c:pt idx="25">
                  <c:v>50.000000000000007</c:v>
                </c:pt>
                <c:pt idx="26">
                  <c:v>30.999999999999993</c:v>
                </c:pt>
                <c:pt idx="27">
                  <c:v>67.037037037037038</c:v>
                </c:pt>
                <c:pt idx="28">
                  <c:v>64.529914529914549</c:v>
                </c:pt>
                <c:pt idx="29">
                  <c:v>30.999999999999996</c:v>
                </c:pt>
                <c:pt idx="30">
                  <c:v>34</c:v>
                </c:pt>
                <c:pt idx="31">
                  <c:v>34</c:v>
                </c:pt>
                <c:pt idx="32">
                  <c:v>30.999999999999993</c:v>
                </c:pt>
                <c:pt idx="33">
                  <c:v>116.22222222222224</c:v>
                </c:pt>
                <c:pt idx="34">
                  <c:v>100.66666666666669</c:v>
                </c:pt>
                <c:pt idx="35">
                  <c:v>30.999999999999993</c:v>
                </c:pt>
                <c:pt idx="36">
                  <c:v>53.999999999999993</c:v>
                </c:pt>
                <c:pt idx="37">
                  <c:v>50.000000000000007</c:v>
                </c:pt>
                <c:pt idx="38">
                  <c:v>31.000000000000004</c:v>
                </c:pt>
                <c:pt idx="39">
                  <c:v>53.999999999999972</c:v>
                </c:pt>
                <c:pt idx="40">
                  <c:v>50.000000000000007</c:v>
                </c:pt>
                <c:pt idx="41">
                  <c:v>31.000000000000004</c:v>
                </c:pt>
                <c:pt idx="42">
                  <c:v>53.999999999999993</c:v>
                </c:pt>
                <c:pt idx="43">
                  <c:v>54</c:v>
                </c:pt>
                <c:pt idx="44">
                  <c:v>0</c:v>
                </c:pt>
                <c:pt idx="45">
                  <c:v>53.999999999999993</c:v>
                </c:pt>
                <c:pt idx="46">
                  <c:v>52.000000000000007</c:v>
                </c:pt>
                <c:pt idx="47">
                  <c:v>106.77777777777779</c:v>
                </c:pt>
                <c:pt idx="48">
                  <c:v>54</c:v>
                </c:pt>
                <c:pt idx="49">
                  <c:v>53.999999999999993</c:v>
                </c:pt>
                <c:pt idx="50">
                  <c:v>0</c:v>
                </c:pt>
                <c:pt idx="51">
                  <c:v>53.999999999999993</c:v>
                </c:pt>
                <c:pt idx="52">
                  <c:v>31.000000000000007</c:v>
                </c:pt>
                <c:pt idx="53">
                  <c:v>85.249999999999986</c:v>
                </c:pt>
                <c:pt idx="54">
                  <c:v>53.999999999999993</c:v>
                </c:pt>
                <c:pt idx="55">
                  <c:v>54</c:v>
                </c:pt>
                <c:pt idx="56">
                  <c:v>29.999999999999996</c:v>
                </c:pt>
                <c:pt idx="57">
                  <c:v>53.999999999999993</c:v>
                </c:pt>
                <c:pt idx="58">
                  <c:v>50.000000000000007</c:v>
                </c:pt>
                <c:pt idx="59">
                  <c:v>29.999999999999996</c:v>
                </c:pt>
                <c:pt idx="60">
                  <c:v>54</c:v>
                </c:pt>
                <c:pt idx="61">
                  <c:v>33.999999999999993</c:v>
                </c:pt>
                <c:pt idx="62">
                  <c:v>31.000000000000004</c:v>
                </c:pt>
                <c:pt idx="63">
                  <c:v>33.999999999999993</c:v>
                </c:pt>
                <c:pt idx="64">
                  <c:v>30.999999999999996</c:v>
                </c:pt>
                <c:pt idx="65">
                  <c:v>30</c:v>
                </c:pt>
                <c:pt idx="66">
                  <c:v>52.000000000000014</c:v>
                </c:pt>
                <c:pt idx="67">
                  <c:v>34</c:v>
                </c:pt>
                <c:pt idx="68">
                  <c:v>30</c:v>
                </c:pt>
                <c:pt idx="69">
                  <c:v>56.428571428571381</c:v>
                </c:pt>
                <c:pt idx="70">
                  <c:v>30.999999999999993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8D7D-4231-A0D1-853D049395B6}"/>
            </c:ext>
          </c:extLst>
        </c:ser>
        <c:ser>
          <c:idx val="48"/>
          <c:order val="48"/>
          <c:tx>
            <c:strRef>
              <c:f>LRMC!$A$52:$C$52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Node_4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LRMC!$D$52:$BW$52</c:f>
              <c:numCache>
                <c:formatCode>0</c:formatCode>
                <c:ptCount val="72"/>
                <c:pt idx="0">
                  <c:v>52.000000000000007</c:v>
                </c:pt>
                <c:pt idx="1">
                  <c:v>34</c:v>
                </c:pt>
                <c:pt idx="2">
                  <c:v>30.999999999999993</c:v>
                </c:pt>
                <c:pt idx="3">
                  <c:v>58.888888888888829</c:v>
                </c:pt>
                <c:pt idx="4">
                  <c:v>31.000000000000004</c:v>
                </c:pt>
                <c:pt idx="5">
                  <c:v>30.999999999999996</c:v>
                </c:pt>
                <c:pt idx="6">
                  <c:v>50.000000000000007</c:v>
                </c:pt>
                <c:pt idx="7">
                  <c:v>34</c:v>
                </c:pt>
                <c:pt idx="8">
                  <c:v>30.999999999999993</c:v>
                </c:pt>
                <c:pt idx="9">
                  <c:v>63.999999999999986</c:v>
                </c:pt>
                <c:pt idx="10">
                  <c:v>30.999999999999993</c:v>
                </c:pt>
                <c:pt idx="11">
                  <c:v>30.999999999999996</c:v>
                </c:pt>
                <c:pt idx="12">
                  <c:v>54</c:v>
                </c:pt>
                <c:pt idx="13">
                  <c:v>34</c:v>
                </c:pt>
                <c:pt idx="14">
                  <c:v>30.999999999999989</c:v>
                </c:pt>
                <c:pt idx="15">
                  <c:v>54.000000000000007</c:v>
                </c:pt>
                <c:pt idx="16">
                  <c:v>30.999999999999993</c:v>
                </c:pt>
                <c:pt idx="17">
                  <c:v>30</c:v>
                </c:pt>
                <c:pt idx="18">
                  <c:v>31.000000000000004</c:v>
                </c:pt>
                <c:pt idx="19">
                  <c:v>49.999999999999993</c:v>
                </c:pt>
                <c:pt idx="20">
                  <c:v>30.999999999999993</c:v>
                </c:pt>
                <c:pt idx="21">
                  <c:v>106.96969696969698</c:v>
                </c:pt>
                <c:pt idx="22">
                  <c:v>60.909090909090921</c:v>
                </c:pt>
                <c:pt idx="23">
                  <c:v>30.999999999999993</c:v>
                </c:pt>
                <c:pt idx="24">
                  <c:v>50.000000000000007</c:v>
                </c:pt>
                <c:pt idx="25">
                  <c:v>49.999999999999993</c:v>
                </c:pt>
                <c:pt idx="26">
                  <c:v>30.999999999999993</c:v>
                </c:pt>
                <c:pt idx="27">
                  <c:v>67.037037037037038</c:v>
                </c:pt>
                <c:pt idx="28">
                  <c:v>64.529914529914549</c:v>
                </c:pt>
                <c:pt idx="29">
                  <c:v>30.999999999999996</c:v>
                </c:pt>
                <c:pt idx="30">
                  <c:v>34</c:v>
                </c:pt>
                <c:pt idx="31">
                  <c:v>34</c:v>
                </c:pt>
                <c:pt idx="32">
                  <c:v>30.999999999999993</c:v>
                </c:pt>
                <c:pt idx="33">
                  <c:v>116.22222222222224</c:v>
                </c:pt>
                <c:pt idx="34">
                  <c:v>100.66666666666669</c:v>
                </c:pt>
                <c:pt idx="35">
                  <c:v>30.999999999999993</c:v>
                </c:pt>
                <c:pt idx="36">
                  <c:v>53.999999999999993</c:v>
                </c:pt>
                <c:pt idx="37">
                  <c:v>50.000000000000007</c:v>
                </c:pt>
                <c:pt idx="38">
                  <c:v>31.000000000000004</c:v>
                </c:pt>
                <c:pt idx="39">
                  <c:v>53.999999999999972</c:v>
                </c:pt>
                <c:pt idx="40">
                  <c:v>50.000000000000007</c:v>
                </c:pt>
                <c:pt idx="41">
                  <c:v>31.000000000000007</c:v>
                </c:pt>
                <c:pt idx="42">
                  <c:v>53.999999999999993</c:v>
                </c:pt>
                <c:pt idx="43">
                  <c:v>54</c:v>
                </c:pt>
                <c:pt idx="44">
                  <c:v>0</c:v>
                </c:pt>
                <c:pt idx="45">
                  <c:v>53.999999999999993</c:v>
                </c:pt>
                <c:pt idx="46">
                  <c:v>52</c:v>
                </c:pt>
                <c:pt idx="47">
                  <c:v>106.77777777777779</c:v>
                </c:pt>
                <c:pt idx="48">
                  <c:v>54</c:v>
                </c:pt>
                <c:pt idx="49">
                  <c:v>53.999999999999993</c:v>
                </c:pt>
                <c:pt idx="50">
                  <c:v>0</c:v>
                </c:pt>
                <c:pt idx="51">
                  <c:v>53.999999999999993</c:v>
                </c:pt>
                <c:pt idx="52">
                  <c:v>31.000000000000007</c:v>
                </c:pt>
                <c:pt idx="53">
                  <c:v>85.249999999999986</c:v>
                </c:pt>
                <c:pt idx="54">
                  <c:v>53.999999999999993</c:v>
                </c:pt>
                <c:pt idx="55">
                  <c:v>54</c:v>
                </c:pt>
                <c:pt idx="56">
                  <c:v>29.999999999999996</c:v>
                </c:pt>
                <c:pt idx="57">
                  <c:v>53.999999999999993</c:v>
                </c:pt>
                <c:pt idx="58">
                  <c:v>50.000000000000007</c:v>
                </c:pt>
                <c:pt idx="59">
                  <c:v>30</c:v>
                </c:pt>
                <c:pt idx="60">
                  <c:v>54</c:v>
                </c:pt>
                <c:pt idx="61">
                  <c:v>34</c:v>
                </c:pt>
                <c:pt idx="62">
                  <c:v>30.999999999999996</c:v>
                </c:pt>
                <c:pt idx="63">
                  <c:v>33.999999999999993</c:v>
                </c:pt>
                <c:pt idx="64">
                  <c:v>30.999999999999996</c:v>
                </c:pt>
                <c:pt idx="65">
                  <c:v>30.000000000000011</c:v>
                </c:pt>
                <c:pt idx="66">
                  <c:v>52.000000000000014</c:v>
                </c:pt>
                <c:pt idx="67">
                  <c:v>34</c:v>
                </c:pt>
                <c:pt idx="68">
                  <c:v>30.000000000000004</c:v>
                </c:pt>
                <c:pt idx="69">
                  <c:v>56.428571428571381</c:v>
                </c:pt>
                <c:pt idx="70">
                  <c:v>30.999999999999993</c:v>
                </c:pt>
                <c:pt idx="71">
                  <c:v>30.000000000000004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8D7D-4231-A0D1-853D049395B6}"/>
            </c:ext>
          </c:extLst>
        </c:ser>
        <c:ser>
          <c:idx val="49"/>
          <c:order val="49"/>
          <c:tx>
            <c:strRef>
              <c:f>LRMC!$A$53:$C$53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Node_5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LRMC!$D$53:$BW$53</c:f>
              <c:numCache>
                <c:formatCode>0</c:formatCode>
                <c:ptCount val="72"/>
                <c:pt idx="0">
                  <c:v>52.000000000000007</c:v>
                </c:pt>
                <c:pt idx="1">
                  <c:v>34</c:v>
                </c:pt>
                <c:pt idx="2">
                  <c:v>30.999999999999993</c:v>
                </c:pt>
                <c:pt idx="3">
                  <c:v>58.888888888888829</c:v>
                </c:pt>
                <c:pt idx="4">
                  <c:v>31.000000000000004</c:v>
                </c:pt>
                <c:pt idx="5">
                  <c:v>30.999999999999996</c:v>
                </c:pt>
                <c:pt idx="6">
                  <c:v>50.000000000000007</c:v>
                </c:pt>
                <c:pt idx="7">
                  <c:v>34</c:v>
                </c:pt>
                <c:pt idx="8">
                  <c:v>30.999999999999993</c:v>
                </c:pt>
                <c:pt idx="9">
                  <c:v>63.999999999999986</c:v>
                </c:pt>
                <c:pt idx="10">
                  <c:v>30.999999999999993</c:v>
                </c:pt>
                <c:pt idx="11">
                  <c:v>30.999999999999996</c:v>
                </c:pt>
                <c:pt idx="12">
                  <c:v>54</c:v>
                </c:pt>
                <c:pt idx="13">
                  <c:v>34</c:v>
                </c:pt>
                <c:pt idx="14">
                  <c:v>30.999999999999989</c:v>
                </c:pt>
                <c:pt idx="15">
                  <c:v>54.000000000000007</c:v>
                </c:pt>
                <c:pt idx="16">
                  <c:v>30.999999999999993</c:v>
                </c:pt>
                <c:pt idx="17">
                  <c:v>30</c:v>
                </c:pt>
                <c:pt idx="18">
                  <c:v>31.000000000000004</c:v>
                </c:pt>
                <c:pt idx="19">
                  <c:v>49.999999999999993</c:v>
                </c:pt>
                <c:pt idx="20">
                  <c:v>30.999999999999993</c:v>
                </c:pt>
                <c:pt idx="21">
                  <c:v>106.96969696969698</c:v>
                </c:pt>
                <c:pt idx="22">
                  <c:v>60.909090909090921</c:v>
                </c:pt>
                <c:pt idx="23">
                  <c:v>30.999999999999993</c:v>
                </c:pt>
                <c:pt idx="24">
                  <c:v>50.000000000000007</c:v>
                </c:pt>
                <c:pt idx="25">
                  <c:v>49.999999999999993</c:v>
                </c:pt>
                <c:pt idx="26">
                  <c:v>30.999999999999993</c:v>
                </c:pt>
                <c:pt idx="27">
                  <c:v>67.037037037037038</c:v>
                </c:pt>
                <c:pt idx="28">
                  <c:v>64.529914529914549</c:v>
                </c:pt>
                <c:pt idx="29">
                  <c:v>30.999999999999996</c:v>
                </c:pt>
                <c:pt idx="30">
                  <c:v>34</c:v>
                </c:pt>
                <c:pt idx="31">
                  <c:v>34</c:v>
                </c:pt>
                <c:pt idx="32">
                  <c:v>30.999999999999993</c:v>
                </c:pt>
                <c:pt idx="33">
                  <c:v>116.22222222222224</c:v>
                </c:pt>
                <c:pt idx="34">
                  <c:v>100.66666666666669</c:v>
                </c:pt>
                <c:pt idx="35">
                  <c:v>30.999999999999993</c:v>
                </c:pt>
                <c:pt idx="36">
                  <c:v>53.999999999999993</c:v>
                </c:pt>
                <c:pt idx="37">
                  <c:v>50.000000000000007</c:v>
                </c:pt>
                <c:pt idx="38">
                  <c:v>31.000000000000004</c:v>
                </c:pt>
                <c:pt idx="39">
                  <c:v>53.999999999999972</c:v>
                </c:pt>
                <c:pt idx="40">
                  <c:v>50.000000000000007</c:v>
                </c:pt>
                <c:pt idx="41">
                  <c:v>31.000000000000007</c:v>
                </c:pt>
                <c:pt idx="42">
                  <c:v>53.999999999999993</c:v>
                </c:pt>
                <c:pt idx="43">
                  <c:v>54</c:v>
                </c:pt>
                <c:pt idx="44">
                  <c:v>0</c:v>
                </c:pt>
                <c:pt idx="45">
                  <c:v>53.999999999999993</c:v>
                </c:pt>
                <c:pt idx="46">
                  <c:v>52</c:v>
                </c:pt>
                <c:pt idx="47">
                  <c:v>106.77777777777779</c:v>
                </c:pt>
                <c:pt idx="48">
                  <c:v>54</c:v>
                </c:pt>
                <c:pt idx="49">
                  <c:v>53.999999999999993</c:v>
                </c:pt>
                <c:pt idx="50">
                  <c:v>0</c:v>
                </c:pt>
                <c:pt idx="51">
                  <c:v>53.999999999999993</c:v>
                </c:pt>
                <c:pt idx="52">
                  <c:v>31.000000000000007</c:v>
                </c:pt>
                <c:pt idx="53">
                  <c:v>85.249999999999986</c:v>
                </c:pt>
                <c:pt idx="54">
                  <c:v>53.999999999999993</c:v>
                </c:pt>
                <c:pt idx="55">
                  <c:v>54</c:v>
                </c:pt>
                <c:pt idx="56">
                  <c:v>29.999999999999996</c:v>
                </c:pt>
                <c:pt idx="57">
                  <c:v>53.999999999999993</c:v>
                </c:pt>
                <c:pt idx="58">
                  <c:v>50.000000000000007</c:v>
                </c:pt>
                <c:pt idx="59">
                  <c:v>30</c:v>
                </c:pt>
                <c:pt idx="60">
                  <c:v>54</c:v>
                </c:pt>
                <c:pt idx="61">
                  <c:v>34</c:v>
                </c:pt>
                <c:pt idx="62">
                  <c:v>30.999999999999996</c:v>
                </c:pt>
                <c:pt idx="63">
                  <c:v>33.999999999999993</c:v>
                </c:pt>
                <c:pt idx="64">
                  <c:v>30.999999999999996</c:v>
                </c:pt>
                <c:pt idx="65">
                  <c:v>30.000000000000011</c:v>
                </c:pt>
                <c:pt idx="66">
                  <c:v>52.000000000000014</c:v>
                </c:pt>
                <c:pt idx="67">
                  <c:v>34</c:v>
                </c:pt>
                <c:pt idx="68">
                  <c:v>30.000000000000004</c:v>
                </c:pt>
                <c:pt idx="69">
                  <c:v>56.428571428571381</c:v>
                </c:pt>
                <c:pt idx="70">
                  <c:v>30.999999999999993</c:v>
                </c:pt>
                <c:pt idx="71">
                  <c:v>30.000000000000004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8D7D-4231-A0D1-853D049395B6}"/>
            </c:ext>
          </c:extLst>
        </c:ser>
        <c:ser>
          <c:idx val="50"/>
          <c:order val="50"/>
          <c:tx>
            <c:strRef>
              <c:f>LRMC!$A$54:$C$54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Node_6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LRMC!$D$54:$BW$54</c:f>
              <c:numCache>
                <c:formatCode>0</c:formatCode>
                <c:ptCount val="72"/>
                <c:pt idx="0">
                  <c:v>52.000000000000007</c:v>
                </c:pt>
                <c:pt idx="1">
                  <c:v>34</c:v>
                </c:pt>
                <c:pt idx="2">
                  <c:v>30.999999999999993</c:v>
                </c:pt>
                <c:pt idx="3">
                  <c:v>58.888888888888829</c:v>
                </c:pt>
                <c:pt idx="4">
                  <c:v>31.000000000000007</c:v>
                </c:pt>
                <c:pt idx="5">
                  <c:v>30.999999999999996</c:v>
                </c:pt>
                <c:pt idx="6">
                  <c:v>50.000000000000014</c:v>
                </c:pt>
                <c:pt idx="7">
                  <c:v>34</c:v>
                </c:pt>
                <c:pt idx="8">
                  <c:v>30.999999999999993</c:v>
                </c:pt>
                <c:pt idx="9">
                  <c:v>63.999999999999986</c:v>
                </c:pt>
                <c:pt idx="10">
                  <c:v>31.000000000000007</c:v>
                </c:pt>
                <c:pt idx="11">
                  <c:v>30.999999999999993</c:v>
                </c:pt>
                <c:pt idx="12">
                  <c:v>54</c:v>
                </c:pt>
                <c:pt idx="13">
                  <c:v>34.000000000000007</c:v>
                </c:pt>
                <c:pt idx="14">
                  <c:v>30.999999999999989</c:v>
                </c:pt>
                <c:pt idx="15">
                  <c:v>54.000000000000007</c:v>
                </c:pt>
                <c:pt idx="16">
                  <c:v>31.000000000000007</c:v>
                </c:pt>
                <c:pt idx="17">
                  <c:v>29.999999999999993</c:v>
                </c:pt>
                <c:pt idx="18">
                  <c:v>30.999999999999993</c:v>
                </c:pt>
                <c:pt idx="19">
                  <c:v>50.000000000000007</c:v>
                </c:pt>
                <c:pt idx="20">
                  <c:v>30.999999999999993</c:v>
                </c:pt>
                <c:pt idx="21">
                  <c:v>106.96969696969698</c:v>
                </c:pt>
                <c:pt idx="22">
                  <c:v>60.909090909090921</c:v>
                </c:pt>
                <c:pt idx="23">
                  <c:v>30.999999999999996</c:v>
                </c:pt>
                <c:pt idx="24">
                  <c:v>49.999999999999993</c:v>
                </c:pt>
                <c:pt idx="25">
                  <c:v>50.000000000000007</c:v>
                </c:pt>
                <c:pt idx="26">
                  <c:v>30.999999999999993</c:v>
                </c:pt>
                <c:pt idx="27">
                  <c:v>67.037037037037038</c:v>
                </c:pt>
                <c:pt idx="28">
                  <c:v>64.529914529914549</c:v>
                </c:pt>
                <c:pt idx="29">
                  <c:v>30.999999999999996</c:v>
                </c:pt>
                <c:pt idx="30">
                  <c:v>34</c:v>
                </c:pt>
                <c:pt idx="31">
                  <c:v>34</c:v>
                </c:pt>
                <c:pt idx="32">
                  <c:v>30.999999999999993</c:v>
                </c:pt>
                <c:pt idx="33">
                  <c:v>116.22222222222224</c:v>
                </c:pt>
                <c:pt idx="34">
                  <c:v>100.66666666666669</c:v>
                </c:pt>
                <c:pt idx="35">
                  <c:v>30.999999999999993</c:v>
                </c:pt>
                <c:pt idx="36">
                  <c:v>53.999999999999993</c:v>
                </c:pt>
                <c:pt idx="37">
                  <c:v>50.000000000000007</c:v>
                </c:pt>
                <c:pt idx="38">
                  <c:v>31.000000000000004</c:v>
                </c:pt>
                <c:pt idx="39">
                  <c:v>53.999999999999972</c:v>
                </c:pt>
                <c:pt idx="40">
                  <c:v>50.000000000000007</c:v>
                </c:pt>
                <c:pt idx="41">
                  <c:v>31.000000000000007</c:v>
                </c:pt>
                <c:pt idx="42">
                  <c:v>53.999999999999993</c:v>
                </c:pt>
                <c:pt idx="43">
                  <c:v>54</c:v>
                </c:pt>
                <c:pt idx="44">
                  <c:v>0</c:v>
                </c:pt>
                <c:pt idx="45">
                  <c:v>53.999999999999993</c:v>
                </c:pt>
                <c:pt idx="46">
                  <c:v>52.000000000000014</c:v>
                </c:pt>
                <c:pt idx="47">
                  <c:v>106.7777777777778</c:v>
                </c:pt>
                <c:pt idx="48">
                  <c:v>54</c:v>
                </c:pt>
                <c:pt idx="49">
                  <c:v>53.999999999999993</c:v>
                </c:pt>
                <c:pt idx="50">
                  <c:v>0</c:v>
                </c:pt>
                <c:pt idx="51">
                  <c:v>53.999999999999993</c:v>
                </c:pt>
                <c:pt idx="52">
                  <c:v>31.000000000000007</c:v>
                </c:pt>
                <c:pt idx="53">
                  <c:v>85.25</c:v>
                </c:pt>
                <c:pt idx="54">
                  <c:v>53.999999999999993</c:v>
                </c:pt>
                <c:pt idx="55">
                  <c:v>54</c:v>
                </c:pt>
                <c:pt idx="56">
                  <c:v>29.999999999999996</c:v>
                </c:pt>
                <c:pt idx="57">
                  <c:v>53.999999999999993</c:v>
                </c:pt>
                <c:pt idx="58">
                  <c:v>50.000000000000007</c:v>
                </c:pt>
                <c:pt idx="59">
                  <c:v>29.999999999999996</c:v>
                </c:pt>
                <c:pt idx="60">
                  <c:v>53.999999999999972</c:v>
                </c:pt>
                <c:pt idx="61">
                  <c:v>33.999999999999986</c:v>
                </c:pt>
                <c:pt idx="62">
                  <c:v>31.000000000000004</c:v>
                </c:pt>
                <c:pt idx="63">
                  <c:v>34</c:v>
                </c:pt>
                <c:pt idx="64">
                  <c:v>30.999999999999996</c:v>
                </c:pt>
                <c:pt idx="65">
                  <c:v>30</c:v>
                </c:pt>
                <c:pt idx="66">
                  <c:v>52.000000000000014</c:v>
                </c:pt>
                <c:pt idx="67">
                  <c:v>34</c:v>
                </c:pt>
                <c:pt idx="68">
                  <c:v>30</c:v>
                </c:pt>
                <c:pt idx="69">
                  <c:v>56.428571428571381</c:v>
                </c:pt>
                <c:pt idx="70">
                  <c:v>31.000000000000004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8D7D-4231-A0D1-853D049395B6}"/>
            </c:ext>
          </c:extLst>
        </c:ser>
        <c:ser>
          <c:idx val="51"/>
          <c:order val="51"/>
          <c:tx>
            <c:strRef>
              <c:f>LRMC!$A$55:$C$55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Node_7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LRMC!$D$55:$BW$55</c:f>
              <c:numCache>
                <c:formatCode>0</c:formatCode>
                <c:ptCount val="72"/>
                <c:pt idx="0">
                  <c:v>52.000000000000007</c:v>
                </c:pt>
                <c:pt idx="1">
                  <c:v>34</c:v>
                </c:pt>
                <c:pt idx="2">
                  <c:v>30.999999999999993</c:v>
                </c:pt>
                <c:pt idx="3">
                  <c:v>58.888888888888829</c:v>
                </c:pt>
                <c:pt idx="4">
                  <c:v>31.000000000000007</c:v>
                </c:pt>
                <c:pt idx="5">
                  <c:v>30.999999999999996</c:v>
                </c:pt>
                <c:pt idx="6">
                  <c:v>50.000000000000014</c:v>
                </c:pt>
                <c:pt idx="7">
                  <c:v>34</c:v>
                </c:pt>
                <c:pt idx="8">
                  <c:v>30.999999999999993</c:v>
                </c:pt>
                <c:pt idx="9">
                  <c:v>63.999999999999986</c:v>
                </c:pt>
                <c:pt idx="10">
                  <c:v>31.000000000000007</c:v>
                </c:pt>
                <c:pt idx="11">
                  <c:v>30.999999999999996</c:v>
                </c:pt>
                <c:pt idx="12">
                  <c:v>54</c:v>
                </c:pt>
                <c:pt idx="13">
                  <c:v>34.000000000000007</c:v>
                </c:pt>
                <c:pt idx="14">
                  <c:v>30.999999999999989</c:v>
                </c:pt>
                <c:pt idx="15">
                  <c:v>54.000000000000007</c:v>
                </c:pt>
                <c:pt idx="16">
                  <c:v>31.000000000000007</c:v>
                </c:pt>
                <c:pt idx="17">
                  <c:v>29.999999999999993</c:v>
                </c:pt>
                <c:pt idx="18">
                  <c:v>30.999999999999993</c:v>
                </c:pt>
                <c:pt idx="19">
                  <c:v>50.000000000000007</c:v>
                </c:pt>
                <c:pt idx="20">
                  <c:v>30.999999999999993</c:v>
                </c:pt>
                <c:pt idx="21">
                  <c:v>106.96969696969698</c:v>
                </c:pt>
                <c:pt idx="22">
                  <c:v>60.909090909090921</c:v>
                </c:pt>
                <c:pt idx="23">
                  <c:v>30.999999999999996</c:v>
                </c:pt>
                <c:pt idx="24">
                  <c:v>49.999999999999993</c:v>
                </c:pt>
                <c:pt idx="25">
                  <c:v>50.000000000000007</c:v>
                </c:pt>
                <c:pt idx="26">
                  <c:v>30.999999999999993</c:v>
                </c:pt>
                <c:pt idx="27">
                  <c:v>67.037037037037038</c:v>
                </c:pt>
                <c:pt idx="28">
                  <c:v>64.529914529914549</c:v>
                </c:pt>
                <c:pt idx="29">
                  <c:v>30.999999999999996</c:v>
                </c:pt>
                <c:pt idx="30">
                  <c:v>34</c:v>
                </c:pt>
                <c:pt idx="31">
                  <c:v>34</c:v>
                </c:pt>
                <c:pt idx="32">
                  <c:v>30.999999999999993</c:v>
                </c:pt>
                <c:pt idx="33">
                  <c:v>116.22222222222224</c:v>
                </c:pt>
                <c:pt idx="34">
                  <c:v>100.66666666666669</c:v>
                </c:pt>
                <c:pt idx="35">
                  <c:v>30.999999999999993</c:v>
                </c:pt>
                <c:pt idx="36">
                  <c:v>53.999999999999993</c:v>
                </c:pt>
                <c:pt idx="37">
                  <c:v>50.000000000000007</c:v>
                </c:pt>
                <c:pt idx="38">
                  <c:v>31.000000000000004</c:v>
                </c:pt>
                <c:pt idx="39">
                  <c:v>53.999999999999972</c:v>
                </c:pt>
                <c:pt idx="40">
                  <c:v>50.000000000000007</c:v>
                </c:pt>
                <c:pt idx="41">
                  <c:v>31.000000000000007</c:v>
                </c:pt>
                <c:pt idx="42">
                  <c:v>53.999999999999993</c:v>
                </c:pt>
                <c:pt idx="43">
                  <c:v>54</c:v>
                </c:pt>
                <c:pt idx="44">
                  <c:v>0</c:v>
                </c:pt>
                <c:pt idx="45">
                  <c:v>53.999999999999993</c:v>
                </c:pt>
                <c:pt idx="46">
                  <c:v>52.000000000000014</c:v>
                </c:pt>
                <c:pt idx="47">
                  <c:v>106.7777777777778</c:v>
                </c:pt>
                <c:pt idx="48">
                  <c:v>54</c:v>
                </c:pt>
                <c:pt idx="49">
                  <c:v>53.999999999999993</c:v>
                </c:pt>
                <c:pt idx="50">
                  <c:v>0</c:v>
                </c:pt>
                <c:pt idx="51">
                  <c:v>53.999999999999993</c:v>
                </c:pt>
                <c:pt idx="52">
                  <c:v>31.000000000000007</c:v>
                </c:pt>
                <c:pt idx="53">
                  <c:v>85.25</c:v>
                </c:pt>
                <c:pt idx="54">
                  <c:v>53.999999999999993</c:v>
                </c:pt>
                <c:pt idx="55">
                  <c:v>54</c:v>
                </c:pt>
                <c:pt idx="56">
                  <c:v>29.999999999999996</c:v>
                </c:pt>
                <c:pt idx="57">
                  <c:v>53.999999999999993</c:v>
                </c:pt>
                <c:pt idx="58">
                  <c:v>50.000000000000007</c:v>
                </c:pt>
                <c:pt idx="59">
                  <c:v>29.999999999999996</c:v>
                </c:pt>
                <c:pt idx="60">
                  <c:v>53.999999999999972</c:v>
                </c:pt>
                <c:pt idx="61">
                  <c:v>34</c:v>
                </c:pt>
                <c:pt idx="62">
                  <c:v>31.000000000000004</c:v>
                </c:pt>
                <c:pt idx="63">
                  <c:v>33.999999999999979</c:v>
                </c:pt>
                <c:pt idx="64">
                  <c:v>30.999999999999996</c:v>
                </c:pt>
                <c:pt idx="65">
                  <c:v>30</c:v>
                </c:pt>
                <c:pt idx="66">
                  <c:v>52.000000000000014</c:v>
                </c:pt>
                <c:pt idx="67">
                  <c:v>34</c:v>
                </c:pt>
                <c:pt idx="68">
                  <c:v>30</c:v>
                </c:pt>
                <c:pt idx="69">
                  <c:v>56.428571428571381</c:v>
                </c:pt>
                <c:pt idx="70">
                  <c:v>31.000000000000004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8D7D-4231-A0D1-853D049395B6}"/>
            </c:ext>
          </c:extLst>
        </c:ser>
        <c:ser>
          <c:idx val="52"/>
          <c:order val="52"/>
          <c:tx>
            <c:strRef>
              <c:f>LRMC!$A$56:$C$56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Node_8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LRMC!$D$56:$BW$56</c:f>
              <c:numCache>
                <c:formatCode>0</c:formatCode>
                <c:ptCount val="72"/>
                <c:pt idx="0">
                  <c:v>52.000000000000007</c:v>
                </c:pt>
                <c:pt idx="1">
                  <c:v>34</c:v>
                </c:pt>
                <c:pt idx="2">
                  <c:v>30.999999999999993</c:v>
                </c:pt>
                <c:pt idx="3">
                  <c:v>58.888888888888829</c:v>
                </c:pt>
                <c:pt idx="4">
                  <c:v>31.000000000000007</c:v>
                </c:pt>
                <c:pt idx="5">
                  <c:v>30.999999999999996</c:v>
                </c:pt>
                <c:pt idx="6">
                  <c:v>50.000000000000014</c:v>
                </c:pt>
                <c:pt idx="7">
                  <c:v>34</c:v>
                </c:pt>
                <c:pt idx="8">
                  <c:v>30.999999999999993</c:v>
                </c:pt>
                <c:pt idx="9">
                  <c:v>63.999999999999986</c:v>
                </c:pt>
                <c:pt idx="10">
                  <c:v>31.000000000000007</c:v>
                </c:pt>
                <c:pt idx="11">
                  <c:v>30.999999999999996</c:v>
                </c:pt>
                <c:pt idx="12">
                  <c:v>54</c:v>
                </c:pt>
                <c:pt idx="13">
                  <c:v>34.000000000000007</c:v>
                </c:pt>
                <c:pt idx="14">
                  <c:v>30.999999999999989</c:v>
                </c:pt>
                <c:pt idx="15">
                  <c:v>54.000000000000007</c:v>
                </c:pt>
                <c:pt idx="16">
                  <c:v>31.000000000000007</c:v>
                </c:pt>
                <c:pt idx="17">
                  <c:v>29.999999999999993</c:v>
                </c:pt>
                <c:pt idx="18">
                  <c:v>30.999999999999993</c:v>
                </c:pt>
                <c:pt idx="19">
                  <c:v>50.000000000000007</c:v>
                </c:pt>
                <c:pt idx="20">
                  <c:v>30.999999999999993</c:v>
                </c:pt>
                <c:pt idx="21">
                  <c:v>106.96969696969698</c:v>
                </c:pt>
                <c:pt idx="22">
                  <c:v>60.909090909090921</c:v>
                </c:pt>
                <c:pt idx="23">
                  <c:v>30.999999999999996</c:v>
                </c:pt>
                <c:pt idx="24">
                  <c:v>49.999999999999993</c:v>
                </c:pt>
                <c:pt idx="25">
                  <c:v>50.000000000000007</c:v>
                </c:pt>
                <c:pt idx="26">
                  <c:v>30.999999999999993</c:v>
                </c:pt>
                <c:pt idx="27">
                  <c:v>67.037037037037038</c:v>
                </c:pt>
                <c:pt idx="28">
                  <c:v>64.529914529914549</c:v>
                </c:pt>
                <c:pt idx="29">
                  <c:v>30.999999999999996</c:v>
                </c:pt>
                <c:pt idx="30">
                  <c:v>34</c:v>
                </c:pt>
                <c:pt idx="31">
                  <c:v>34</c:v>
                </c:pt>
                <c:pt idx="32">
                  <c:v>30.999999999999993</c:v>
                </c:pt>
                <c:pt idx="33">
                  <c:v>116.22222222222224</c:v>
                </c:pt>
                <c:pt idx="34">
                  <c:v>100.66666666666669</c:v>
                </c:pt>
                <c:pt idx="35">
                  <c:v>30.999999999999993</c:v>
                </c:pt>
                <c:pt idx="36">
                  <c:v>53.999999999999993</c:v>
                </c:pt>
                <c:pt idx="37">
                  <c:v>50.000000000000007</c:v>
                </c:pt>
                <c:pt idx="38">
                  <c:v>31.000000000000004</c:v>
                </c:pt>
                <c:pt idx="39">
                  <c:v>53.999999999999972</c:v>
                </c:pt>
                <c:pt idx="40">
                  <c:v>50.000000000000007</c:v>
                </c:pt>
                <c:pt idx="41">
                  <c:v>31.000000000000007</c:v>
                </c:pt>
                <c:pt idx="42">
                  <c:v>53.999999999999993</c:v>
                </c:pt>
                <c:pt idx="43">
                  <c:v>54</c:v>
                </c:pt>
                <c:pt idx="44">
                  <c:v>0</c:v>
                </c:pt>
                <c:pt idx="45">
                  <c:v>53.999999999999993</c:v>
                </c:pt>
                <c:pt idx="46">
                  <c:v>52.000000000000014</c:v>
                </c:pt>
                <c:pt idx="47">
                  <c:v>106.7777777777778</c:v>
                </c:pt>
                <c:pt idx="48">
                  <c:v>54</c:v>
                </c:pt>
                <c:pt idx="49">
                  <c:v>53.999999999999993</c:v>
                </c:pt>
                <c:pt idx="50">
                  <c:v>0</c:v>
                </c:pt>
                <c:pt idx="51">
                  <c:v>53.999999999999993</c:v>
                </c:pt>
                <c:pt idx="52">
                  <c:v>31.000000000000007</c:v>
                </c:pt>
                <c:pt idx="53">
                  <c:v>85.25</c:v>
                </c:pt>
                <c:pt idx="54">
                  <c:v>53.999999999999993</c:v>
                </c:pt>
                <c:pt idx="55">
                  <c:v>54</c:v>
                </c:pt>
                <c:pt idx="56">
                  <c:v>29.999999999999996</c:v>
                </c:pt>
                <c:pt idx="57">
                  <c:v>53.999999999999993</c:v>
                </c:pt>
                <c:pt idx="58">
                  <c:v>50.000000000000007</c:v>
                </c:pt>
                <c:pt idx="59">
                  <c:v>29.999999999999996</c:v>
                </c:pt>
                <c:pt idx="60">
                  <c:v>53.999999999999972</c:v>
                </c:pt>
                <c:pt idx="61">
                  <c:v>34</c:v>
                </c:pt>
                <c:pt idx="62">
                  <c:v>31.000000000000004</c:v>
                </c:pt>
                <c:pt idx="63">
                  <c:v>33.999999999999979</c:v>
                </c:pt>
                <c:pt idx="64">
                  <c:v>30.999999999999996</c:v>
                </c:pt>
                <c:pt idx="65">
                  <c:v>30</c:v>
                </c:pt>
                <c:pt idx="66">
                  <c:v>52.000000000000014</c:v>
                </c:pt>
                <c:pt idx="67">
                  <c:v>34</c:v>
                </c:pt>
                <c:pt idx="68">
                  <c:v>30</c:v>
                </c:pt>
                <c:pt idx="69">
                  <c:v>56.428571428571381</c:v>
                </c:pt>
                <c:pt idx="70">
                  <c:v>31.000000000000004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8D7D-4231-A0D1-853D049395B6}"/>
            </c:ext>
          </c:extLst>
        </c:ser>
        <c:ser>
          <c:idx val="53"/>
          <c:order val="53"/>
          <c:tx>
            <c:strRef>
              <c:f>LRMC!$A$57:$C$57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Node_9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LRMC!$D$57:$BW$57</c:f>
              <c:numCache>
                <c:formatCode>0</c:formatCode>
                <c:ptCount val="72"/>
                <c:pt idx="0">
                  <c:v>52.000000000000007</c:v>
                </c:pt>
                <c:pt idx="1">
                  <c:v>34</c:v>
                </c:pt>
                <c:pt idx="2">
                  <c:v>30.999999999999993</c:v>
                </c:pt>
                <c:pt idx="3">
                  <c:v>58.888888888888829</c:v>
                </c:pt>
                <c:pt idx="4">
                  <c:v>31.000000000000007</c:v>
                </c:pt>
                <c:pt idx="5">
                  <c:v>30.999999999999996</c:v>
                </c:pt>
                <c:pt idx="6">
                  <c:v>50.000000000000014</c:v>
                </c:pt>
                <c:pt idx="7">
                  <c:v>34</c:v>
                </c:pt>
                <c:pt idx="8">
                  <c:v>30.999999999999993</c:v>
                </c:pt>
                <c:pt idx="9">
                  <c:v>63.999999999999986</c:v>
                </c:pt>
                <c:pt idx="10">
                  <c:v>31.000000000000007</c:v>
                </c:pt>
                <c:pt idx="11">
                  <c:v>30.999999999999996</c:v>
                </c:pt>
                <c:pt idx="12">
                  <c:v>54</c:v>
                </c:pt>
                <c:pt idx="13">
                  <c:v>34.000000000000007</c:v>
                </c:pt>
                <c:pt idx="14">
                  <c:v>30.999999999999989</c:v>
                </c:pt>
                <c:pt idx="15">
                  <c:v>54.000000000000007</c:v>
                </c:pt>
                <c:pt idx="16">
                  <c:v>31.000000000000007</c:v>
                </c:pt>
                <c:pt idx="17">
                  <c:v>29.999999999999993</c:v>
                </c:pt>
                <c:pt idx="18">
                  <c:v>30.999999999999993</c:v>
                </c:pt>
                <c:pt idx="19">
                  <c:v>50.000000000000007</c:v>
                </c:pt>
                <c:pt idx="20">
                  <c:v>30.999999999999993</c:v>
                </c:pt>
                <c:pt idx="21">
                  <c:v>106.96969696969698</c:v>
                </c:pt>
                <c:pt idx="22">
                  <c:v>60.909090909090921</c:v>
                </c:pt>
                <c:pt idx="23">
                  <c:v>30.999999999999996</c:v>
                </c:pt>
                <c:pt idx="24">
                  <c:v>49.999999999999993</c:v>
                </c:pt>
                <c:pt idx="25">
                  <c:v>50.000000000000007</c:v>
                </c:pt>
                <c:pt idx="26">
                  <c:v>30.999999999999993</c:v>
                </c:pt>
                <c:pt idx="27">
                  <c:v>67.037037037037038</c:v>
                </c:pt>
                <c:pt idx="28">
                  <c:v>64.529914529914549</c:v>
                </c:pt>
                <c:pt idx="29">
                  <c:v>30.999999999999996</c:v>
                </c:pt>
                <c:pt idx="30">
                  <c:v>34</c:v>
                </c:pt>
                <c:pt idx="31">
                  <c:v>34</c:v>
                </c:pt>
                <c:pt idx="32">
                  <c:v>30.999999999999993</c:v>
                </c:pt>
                <c:pt idx="33">
                  <c:v>116.22222222222224</c:v>
                </c:pt>
                <c:pt idx="34">
                  <c:v>100.66666666666669</c:v>
                </c:pt>
                <c:pt idx="35">
                  <c:v>30.999999999999993</c:v>
                </c:pt>
                <c:pt idx="36">
                  <c:v>53.999999999999993</c:v>
                </c:pt>
                <c:pt idx="37">
                  <c:v>50.000000000000007</c:v>
                </c:pt>
                <c:pt idx="38">
                  <c:v>31.000000000000004</c:v>
                </c:pt>
                <c:pt idx="39">
                  <c:v>53.999999999999972</c:v>
                </c:pt>
                <c:pt idx="40">
                  <c:v>50.000000000000007</c:v>
                </c:pt>
                <c:pt idx="41">
                  <c:v>31.000000000000007</c:v>
                </c:pt>
                <c:pt idx="42">
                  <c:v>53.999999999999993</c:v>
                </c:pt>
                <c:pt idx="43">
                  <c:v>54</c:v>
                </c:pt>
                <c:pt idx="44">
                  <c:v>0</c:v>
                </c:pt>
                <c:pt idx="45">
                  <c:v>53.999999999999993</c:v>
                </c:pt>
                <c:pt idx="46">
                  <c:v>52.000000000000014</c:v>
                </c:pt>
                <c:pt idx="47">
                  <c:v>106.7777777777778</c:v>
                </c:pt>
                <c:pt idx="48">
                  <c:v>54</c:v>
                </c:pt>
                <c:pt idx="49">
                  <c:v>53.999999999999993</c:v>
                </c:pt>
                <c:pt idx="50">
                  <c:v>0</c:v>
                </c:pt>
                <c:pt idx="51">
                  <c:v>53.999999999999993</c:v>
                </c:pt>
                <c:pt idx="52">
                  <c:v>31.000000000000007</c:v>
                </c:pt>
                <c:pt idx="53">
                  <c:v>85.25</c:v>
                </c:pt>
                <c:pt idx="54">
                  <c:v>53.999999999999993</c:v>
                </c:pt>
                <c:pt idx="55">
                  <c:v>54</c:v>
                </c:pt>
                <c:pt idx="56">
                  <c:v>29.999999999999996</c:v>
                </c:pt>
                <c:pt idx="57">
                  <c:v>53.999999999999993</c:v>
                </c:pt>
                <c:pt idx="58">
                  <c:v>50.000000000000007</c:v>
                </c:pt>
                <c:pt idx="59">
                  <c:v>29.999999999999996</c:v>
                </c:pt>
                <c:pt idx="60">
                  <c:v>53.999999999999972</c:v>
                </c:pt>
                <c:pt idx="61">
                  <c:v>34</c:v>
                </c:pt>
                <c:pt idx="62">
                  <c:v>31.000000000000004</c:v>
                </c:pt>
                <c:pt idx="63">
                  <c:v>33.999999999999979</c:v>
                </c:pt>
                <c:pt idx="64">
                  <c:v>30.999999999999996</c:v>
                </c:pt>
                <c:pt idx="65">
                  <c:v>30</c:v>
                </c:pt>
                <c:pt idx="66">
                  <c:v>52.000000000000014</c:v>
                </c:pt>
                <c:pt idx="67">
                  <c:v>34</c:v>
                </c:pt>
                <c:pt idx="68">
                  <c:v>30</c:v>
                </c:pt>
                <c:pt idx="69">
                  <c:v>56.428571428571381</c:v>
                </c:pt>
                <c:pt idx="70">
                  <c:v>31.000000000000004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8D7D-4231-A0D1-853D049395B6}"/>
            </c:ext>
          </c:extLst>
        </c:ser>
        <c:ser>
          <c:idx val="54"/>
          <c:order val="54"/>
          <c:tx>
            <c:strRef>
              <c:f>LRMC!$A$58:$C$58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Node_1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LRMC!$D$58:$BW$58</c:f>
              <c:numCache>
                <c:formatCode>0</c:formatCode>
                <c:ptCount val="72"/>
                <c:pt idx="0">
                  <c:v>52.000000000000007</c:v>
                </c:pt>
                <c:pt idx="1">
                  <c:v>51.999999999999964</c:v>
                </c:pt>
                <c:pt idx="2">
                  <c:v>30.999999999999975</c:v>
                </c:pt>
                <c:pt idx="3">
                  <c:v>58.888888888888864</c:v>
                </c:pt>
                <c:pt idx="4">
                  <c:v>49.999999999999993</c:v>
                </c:pt>
                <c:pt idx="5">
                  <c:v>30.999999999999982</c:v>
                </c:pt>
                <c:pt idx="6">
                  <c:v>53.999999999999986</c:v>
                </c:pt>
                <c:pt idx="7">
                  <c:v>50</c:v>
                </c:pt>
                <c:pt idx="8">
                  <c:v>30.999999999999989</c:v>
                </c:pt>
                <c:pt idx="9">
                  <c:v>53.999999999999986</c:v>
                </c:pt>
                <c:pt idx="10">
                  <c:v>49.999999999999993</c:v>
                </c:pt>
                <c:pt idx="11">
                  <c:v>30.999999999999982</c:v>
                </c:pt>
                <c:pt idx="12">
                  <c:v>53.999999999999986</c:v>
                </c:pt>
                <c:pt idx="13">
                  <c:v>52</c:v>
                </c:pt>
                <c:pt idx="14">
                  <c:v>31.000000000000004</c:v>
                </c:pt>
                <c:pt idx="15">
                  <c:v>54.000000000000036</c:v>
                </c:pt>
                <c:pt idx="16">
                  <c:v>49.999999999999993</c:v>
                </c:pt>
                <c:pt idx="17">
                  <c:v>31.000000000000007</c:v>
                </c:pt>
                <c:pt idx="18">
                  <c:v>30.999999999999993</c:v>
                </c:pt>
                <c:pt idx="19">
                  <c:v>50</c:v>
                </c:pt>
                <c:pt idx="20">
                  <c:v>30.000000000000004</c:v>
                </c:pt>
                <c:pt idx="21">
                  <c:v>106.96969696969698</c:v>
                </c:pt>
                <c:pt idx="22">
                  <c:v>55.454545454545475</c:v>
                </c:pt>
                <c:pt idx="23">
                  <c:v>30.000000000000004</c:v>
                </c:pt>
                <c:pt idx="24">
                  <c:v>50</c:v>
                </c:pt>
                <c:pt idx="25">
                  <c:v>50</c:v>
                </c:pt>
                <c:pt idx="26">
                  <c:v>0</c:v>
                </c:pt>
                <c:pt idx="27">
                  <c:v>58.518518518518519</c:v>
                </c:pt>
                <c:pt idx="28">
                  <c:v>49.999999999999993</c:v>
                </c:pt>
                <c:pt idx="29">
                  <c:v>87.833333333333329</c:v>
                </c:pt>
                <c:pt idx="30">
                  <c:v>54.000000000000007</c:v>
                </c:pt>
                <c:pt idx="31">
                  <c:v>52.000000000000021</c:v>
                </c:pt>
                <c:pt idx="32">
                  <c:v>30.999999999999996</c:v>
                </c:pt>
                <c:pt idx="33">
                  <c:v>53.999999999999993</c:v>
                </c:pt>
                <c:pt idx="34">
                  <c:v>49.999999999999993</c:v>
                </c:pt>
                <c:pt idx="35">
                  <c:v>30.999999999999996</c:v>
                </c:pt>
                <c:pt idx="36">
                  <c:v>53.999999999999993</c:v>
                </c:pt>
                <c:pt idx="37">
                  <c:v>52.000000000000014</c:v>
                </c:pt>
                <c:pt idx="38">
                  <c:v>0</c:v>
                </c:pt>
                <c:pt idx="39">
                  <c:v>52.000000000000007</c:v>
                </c:pt>
                <c:pt idx="40">
                  <c:v>49.999999999999993</c:v>
                </c:pt>
                <c:pt idx="41">
                  <c:v>106.77777777777777</c:v>
                </c:pt>
                <c:pt idx="42">
                  <c:v>31.000000000000007</c:v>
                </c:pt>
                <c:pt idx="43">
                  <c:v>52.000000000000007</c:v>
                </c:pt>
                <c:pt idx="44">
                  <c:v>31.000000000000007</c:v>
                </c:pt>
                <c:pt idx="45">
                  <c:v>128.96296296296296</c:v>
                </c:pt>
                <c:pt idx="46">
                  <c:v>58.539682539682573</c:v>
                </c:pt>
                <c:pt idx="47">
                  <c:v>96.444444444444443</c:v>
                </c:pt>
                <c:pt idx="48">
                  <c:v>66.999999999999972</c:v>
                </c:pt>
                <c:pt idx="49">
                  <c:v>54.000000000000007</c:v>
                </c:pt>
                <c:pt idx="50">
                  <c:v>31.000000000000007</c:v>
                </c:pt>
                <c:pt idx="51">
                  <c:v>54.000000000000007</c:v>
                </c:pt>
                <c:pt idx="52">
                  <c:v>50</c:v>
                </c:pt>
                <c:pt idx="53">
                  <c:v>39.250000000000007</c:v>
                </c:pt>
                <c:pt idx="54">
                  <c:v>51.999999999999986</c:v>
                </c:pt>
                <c:pt idx="55">
                  <c:v>54.000000000000007</c:v>
                </c:pt>
                <c:pt idx="56">
                  <c:v>29.999999999999996</c:v>
                </c:pt>
                <c:pt idx="57">
                  <c:v>58.88888888888885</c:v>
                </c:pt>
                <c:pt idx="58">
                  <c:v>50</c:v>
                </c:pt>
                <c:pt idx="59">
                  <c:v>29.999999999999996</c:v>
                </c:pt>
                <c:pt idx="60">
                  <c:v>52.000000000000028</c:v>
                </c:pt>
                <c:pt idx="61">
                  <c:v>50.000000000000014</c:v>
                </c:pt>
                <c:pt idx="62">
                  <c:v>30.999999999999986</c:v>
                </c:pt>
                <c:pt idx="63">
                  <c:v>57.111111111111072</c:v>
                </c:pt>
                <c:pt idx="64">
                  <c:v>50.000000000000007</c:v>
                </c:pt>
                <c:pt idx="65">
                  <c:v>31.000000000000004</c:v>
                </c:pt>
                <c:pt idx="66">
                  <c:v>52.000000000000007</c:v>
                </c:pt>
                <c:pt idx="67">
                  <c:v>50</c:v>
                </c:pt>
                <c:pt idx="68">
                  <c:v>30.999999999999989</c:v>
                </c:pt>
                <c:pt idx="69">
                  <c:v>56.428571428571381</c:v>
                </c:pt>
                <c:pt idx="70">
                  <c:v>50.000000000000014</c:v>
                </c:pt>
                <c:pt idx="71">
                  <c:v>30.999999999999986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8D7D-4231-A0D1-853D049395B6}"/>
            </c:ext>
          </c:extLst>
        </c:ser>
        <c:ser>
          <c:idx val="55"/>
          <c:order val="55"/>
          <c:tx>
            <c:strRef>
              <c:f>LRMC!$A$59:$C$59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Node_2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LRMC!$D$59:$BW$59</c:f>
              <c:numCache>
                <c:formatCode>0</c:formatCode>
                <c:ptCount val="72"/>
                <c:pt idx="0">
                  <c:v>52.000000000000007</c:v>
                </c:pt>
                <c:pt idx="1">
                  <c:v>52.000000000000007</c:v>
                </c:pt>
                <c:pt idx="2">
                  <c:v>30.999999999999996</c:v>
                </c:pt>
                <c:pt idx="3">
                  <c:v>58.888888888888864</c:v>
                </c:pt>
                <c:pt idx="4">
                  <c:v>49.999999999999993</c:v>
                </c:pt>
                <c:pt idx="5">
                  <c:v>31</c:v>
                </c:pt>
                <c:pt idx="6">
                  <c:v>53.999999999999986</c:v>
                </c:pt>
                <c:pt idx="7">
                  <c:v>49.999999999999993</c:v>
                </c:pt>
                <c:pt idx="8">
                  <c:v>30.999999999999996</c:v>
                </c:pt>
                <c:pt idx="9">
                  <c:v>53.999999999999986</c:v>
                </c:pt>
                <c:pt idx="10">
                  <c:v>49.999999999999993</c:v>
                </c:pt>
                <c:pt idx="11">
                  <c:v>31</c:v>
                </c:pt>
                <c:pt idx="12">
                  <c:v>53.999999999999986</c:v>
                </c:pt>
                <c:pt idx="13">
                  <c:v>52.000000000000007</c:v>
                </c:pt>
                <c:pt idx="14">
                  <c:v>31.000000000000004</c:v>
                </c:pt>
                <c:pt idx="15">
                  <c:v>54.000000000000036</c:v>
                </c:pt>
                <c:pt idx="16">
                  <c:v>49.999999999999993</c:v>
                </c:pt>
                <c:pt idx="17">
                  <c:v>31.000000000000007</c:v>
                </c:pt>
                <c:pt idx="18">
                  <c:v>31</c:v>
                </c:pt>
                <c:pt idx="19">
                  <c:v>50</c:v>
                </c:pt>
                <c:pt idx="20">
                  <c:v>30.000000000000004</c:v>
                </c:pt>
                <c:pt idx="21">
                  <c:v>106.96969696969698</c:v>
                </c:pt>
                <c:pt idx="22">
                  <c:v>55.454545454545475</c:v>
                </c:pt>
                <c:pt idx="23">
                  <c:v>30.000000000000004</c:v>
                </c:pt>
                <c:pt idx="24">
                  <c:v>50</c:v>
                </c:pt>
                <c:pt idx="25">
                  <c:v>50</c:v>
                </c:pt>
                <c:pt idx="26">
                  <c:v>0</c:v>
                </c:pt>
                <c:pt idx="27">
                  <c:v>58.518518518518519</c:v>
                </c:pt>
                <c:pt idx="28">
                  <c:v>49.999999999999993</c:v>
                </c:pt>
                <c:pt idx="29">
                  <c:v>87.833333333333343</c:v>
                </c:pt>
                <c:pt idx="30">
                  <c:v>54.000000000000007</c:v>
                </c:pt>
                <c:pt idx="31">
                  <c:v>52.000000000000007</c:v>
                </c:pt>
                <c:pt idx="32">
                  <c:v>31</c:v>
                </c:pt>
                <c:pt idx="33">
                  <c:v>53.999999999999993</c:v>
                </c:pt>
                <c:pt idx="34">
                  <c:v>49.999999999999993</c:v>
                </c:pt>
                <c:pt idx="35">
                  <c:v>31</c:v>
                </c:pt>
                <c:pt idx="36">
                  <c:v>53.999999999999993</c:v>
                </c:pt>
                <c:pt idx="37">
                  <c:v>52.000000000000007</c:v>
                </c:pt>
                <c:pt idx="38">
                  <c:v>0</c:v>
                </c:pt>
                <c:pt idx="39">
                  <c:v>52.000000000000014</c:v>
                </c:pt>
                <c:pt idx="40">
                  <c:v>49.999999999999993</c:v>
                </c:pt>
                <c:pt idx="41">
                  <c:v>106.7777777777778</c:v>
                </c:pt>
                <c:pt idx="42">
                  <c:v>30.999999999999996</c:v>
                </c:pt>
                <c:pt idx="43">
                  <c:v>51.999999999999993</c:v>
                </c:pt>
                <c:pt idx="44">
                  <c:v>31</c:v>
                </c:pt>
                <c:pt idx="45">
                  <c:v>128.96296296296299</c:v>
                </c:pt>
                <c:pt idx="46">
                  <c:v>58.539682539682552</c:v>
                </c:pt>
                <c:pt idx="47">
                  <c:v>96.444444444444443</c:v>
                </c:pt>
                <c:pt idx="48">
                  <c:v>67</c:v>
                </c:pt>
                <c:pt idx="49">
                  <c:v>54.000000000000007</c:v>
                </c:pt>
                <c:pt idx="50">
                  <c:v>31</c:v>
                </c:pt>
                <c:pt idx="51">
                  <c:v>54.000000000000007</c:v>
                </c:pt>
                <c:pt idx="52">
                  <c:v>49.999999999999993</c:v>
                </c:pt>
                <c:pt idx="53">
                  <c:v>39.250000000000007</c:v>
                </c:pt>
                <c:pt idx="54">
                  <c:v>52.000000000000007</c:v>
                </c:pt>
                <c:pt idx="55">
                  <c:v>54.000000000000014</c:v>
                </c:pt>
                <c:pt idx="56">
                  <c:v>30.000000000000007</c:v>
                </c:pt>
                <c:pt idx="57">
                  <c:v>58.888888888888857</c:v>
                </c:pt>
                <c:pt idx="58">
                  <c:v>50</c:v>
                </c:pt>
                <c:pt idx="59">
                  <c:v>29.999999999999989</c:v>
                </c:pt>
                <c:pt idx="60">
                  <c:v>52.000000000000014</c:v>
                </c:pt>
                <c:pt idx="61">
                  <c:v>50</c:v>
                </c:pt>
                <c:pt idx="62">
                  <c:v>31.000000000000004</c:v>
                </c:pt>
                <c:pt idx="63">
                  <c:v>57.111111111111086</c:v>
                </c:pt>
                <c:pt idx="64">
                  <c:v>50.000000000000007</c:v>
                </c:pt>
                <c:pt idx="65">
                  <c:v>31.000000000000004</c:v>
                </c:pt>
                <c:pt idx="66">
                  <c:v>52.000000000000007</c:v>
                </c:pt>
                <c:pt idx="67">
                  <c:v>50</c:v>
                </c:pt>
                <c:pt idx="68">
                  <c:v>31</c:v>
                </c:pt>
                <c:pt idx="69">
                  <c:v>56.428571428571431</c:v>
                </c:pt>
                <c:pt idx="70">
                  <c:v>50.000000000000014</c:v>
                </c:pt>
                <c:pt idx="7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8D7D-4231-A0D1-853D049395B6}"/>
            </c:ext>
          </c:extLst>
        </c:ser>
        <c:ser>
          <c:idx val="56"/>
          <c:order val="56"/>
          <c:tx>
            <c:strRef>
              <c:f>LRMC!$A$60:$C$60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Node_3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LRMC!$D$60:$BW$60</c:f>
              <c:numCache>
                <c:formatCode>0</c:formatCode>
                <c:ptCount val="72"/>
                <c:pt idx="0">
                  <c:v>52.000000000000007</c:v>
                </c:pt>
                <c:pt idx="1">
                  <c:v>52.000000000000007</c:v>
                </c:pt>
                <c:pt idx="2">
                  <c:v>30.999999999999996</c:v>
                </c:pt>
                <c:pt idx="3">
                  <c:v>58.888888888888864</c:v>
                </c:pt>
                <c:pt idx="4">
                  <c:v>49.999999999999993</c:v>
                </c:pt>
                <c:pt idx="5">
                  <c:v>31</c:v>
                </c:pt>
                <c:pt idx="6">
                  <c:v>53.999999999999986</c:v>
                </c:pt>
                <c:pt idx="7">
                  <c:v>49.999999999999993</c:v>
                </c:pt>
                <c:pt idx="8">
                  <c:v>30.999999999999996</c:v>
                </c:pt>
                <c:pt idx="9">
                  <c:v>53.999999999999986</c:v>
                </c:pt>
                <c:pt idx="10">
                  <c:v>49.999999999999993</c:v>
                </c:pt>
                <c:pt idx="11">
                  <c:v>31</c:v>
                </c:pt>
                <c:pt idx="12">
                  <c:v>53.999999999999986</c:v>
                </c:pt>
                <c:pt idx="13">
                  <c:v>52.000000000000007</c:v>
                </c:pt>
                <c:pt idx="14">
                  <c:v>31.000000000000004</c:v>
                </c:pt>
                <c:pt idx="15">
                  <c:v>54.000000000000036</c:v>
                </c:pt>
                <c:pt idx="16">
                  <c:v>49.999999999999993</c:v>
                </c:pt>
                <c:pt idx="17">
                  <c:v>30.999999999999993</c:v>
                </c:pt>
                <c:pt idx="18">
                  <c:v>31</c:v>
                </c:pt>
                <c:pt idx="19">
                  <c:v>50</c:v>
                </c:pt>
                <c:pt idx="20">
                  <c:v>30.000000000000004</c:v>
                </c:pt>
                <c:pt idx="21">
                  <c:v>106.96969696969698</c:v>
                </c:pt>
                <c:pt idx="22">
                  <c:v>55.454545454545475</c:v>
                </c:pt>
                <c:pt idx="23">
                  <c:v>30.000000000000004</c:v>
                </c:pt>
                <c:pt idx="24">
                  <c:v>50</c:v>
                </c:pt>
                <c:pt idx="25">
                  <c:v>50</c:v>
                </c:pt>
                <c:pt idx="26">
                  <c:v>0</c:v>
                </c:pt>
                <c:pt idx="27">
                  <c:v>58.518518518518519</c:v>
                </c:pt>
                <c:pt idx="28">
                  <c:v>49.999999999999993</c:v>
                </c:pt>
                <c:pt idx="29">
                  <c:v>87.833333333333329</c:v>
                </c:pt>
                <c:pt idx="30">
                  <c:v>54.000000000000007</c:v>
                </c:pt>
                <c:pt idx="31">
                  <c:v>52.000000000000007</c:v>
                </c:pt>
                <c:pt idx="32">
                  <c:v>31</c:v>
                </c:pt>
                <c:pt idx="33">
                  <c:v>53.999999999999993</c:v>
                </c:pt>
                <c:pt idx="34">
                  <c:v>49.999999999999993</c:v>
                </c:pt>
                <c:pt idx="35">
                  <c:v>31</c:v>
                </c:pt>
                <c:pt idx="36">
                  <c:v>53.999999999999993</c:v>
                </c:pt>
                <c:pt idx="37">
                  <c:v>52.000000000000007</c:v>
                </c:pt>
                <c:pt idx="38">
                  <c:v>0</c:v>
                </c:pt>
                <c:pt idx="39">
                  <c:v>52.000000000000014</c:v>
                </c:pt>
                <c:pt idx="40">
                  <c:v>49.999999999999993</c:v>
                </c:pt>
                <c:pt idx="41">
                  <c:v>106.77777777777777</c:v>
                </c:pt>
                <c:pt idx="42">
                  <c:v>30.999999999999996</c:v>
                </c:pt>
                <c:pt idx="43">
                  <c:v>52</c:v>
                </c:pt>
                <c:pt idx="44">
                  <c:v>31</c:v>
                </c:pt>
                <c:pt idx="45">
                  <c:v>128.96296296296299</c:v>
                </c:pt>
                <c:pt idx="46">
                  <c:v>58.539682539682552</c:v>
                </c:pt>
                <c:pt idx="47">
                  <c:v>96.444444444444443</c:v>
                </c:pt>
                <c:pt idx="48">
                  <c:v>67</c:v>
                </c:pt>
                <c:pt idx="49">
                  <c:v>54.000000000000007</c:v>
                </c:pt>
                <c:pt idx="50">
                  <c:v>31</c:v>
                </c:pt>
                <c:pt idx="51">
                  <c:v>54.000000000000007</c:v>
                </c:pt>
                <c:pt idx="52">
                  <c:v>49.999999999999993</c:v>
                </c:pt>
                <c:pt idx="53">
                  <c:v>39.250000000000007</c:v>
                </c:pt>
                <c:pt idx="54">
                  <c:v>52.000000000000007</c:v>
                </c:pt>
                <c:pt idx="55">
                  <c:v>54.000000000000007</c:v>
                </c:pt>
                <c:pt idx="56">
                  <c:v>30.000000000000007</c:v>
                </c:pt>
                <c:pt idx="57">
                  <c:v>58.88888888888885</c:v>
                </c:pt>
                <c:pt idx="58">
                  <c:v>50</c:v>
                </c:pt>
                <c:pt idx="59">
                  <c:v>29.999999999999989</c:v>
                </c:pt>
                <c:pt idx="60">
                  <c:v>52.000000000000007</c:v>
                </c:pt>
                <c:pt idx="61">
                  <c:v>50.000000000000014</c:v>
                </c:pt>
                <c:pt idx="62">
                  <c:v>31.000000000000004</c:v>
                </c:pt>
                <c:pt idx="63">
                  <c:v>57.111111111111072</c:v>
                </c:pt>
                <c:pt idx="64">
                  <c:v>50.000000000000007</c:v>
                </c:pt>
                <c:pt idx="65">
                  <c:v>31.000000000000004</c:v>
                </c:pt>
                <c:pt idx="66">
                  <c:v>52.000000000000007</c:v>
                </c:pt>
                <c:pt idx="67">
                  <c:v>50.000000000000007</c:v>
                </c:pt>
                <c:pt idx="68">
                  <c:v>31</c:v>
                </c:pt>
                <c:pt idx="69">
                  <c:v>56.428571428571381</c:v>
                </c:pt>
                <c:pt idx="70">
                  <c:v>50.000000000000014</c:v>
                </c:pt>
                <c:pt idx="7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8D7D-4231-A0D1-853D049395B6}"/>
            </c:ext>
          </c:extLst>
        </c:ser>
        <c:ser>
          <c:idx val="57"/>
          <c:order val="57"/>
          <c:tx>
            <c:strRef>
              <c:f>LRMC!$A$61:$C$61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Node_4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LRMC!$D$61:$BW$61</c:f>
              <c:numCache>
                <c:formatCode>0</c:formatCode>
                <c:ptCount val="72"/>
                <c:pt idx="0">
                  <c:v>52.000000000000007</c:v>
                </c:pt>
                <c:pt idx="1">
                  <c:v>52</c:v>
                </c:pt>
                <c:pt idx="2">
                  <c:v>30.999999999999989</c:v>
                </c:pt>
                <c:pt idx="3">
                  <c:v>58.888888888888864</c:v>
                </c:pt>
                <c:pt idx="4">
                  <c:v>49.999999999999993</c:v>
                </c:pt>
                <c:pt idx="5">
                  <c:v>30.999999999999989</c:v>
                </c:pt>
                <c:pt idx="6">
                  <c:v>53.999999999999986</c:v>
                </c:pt>
                <c:pt idx="7">
                  <c:v>50</c:v>
                </c:pt>
                <c:pt idx="8">
                  <c:v>30.999999999999989</c:v>
                </c:pt>
                <c:pt idx="9">
                  <c:v>53.999999999999986</c:v>
                </c:pt>
                <c:pt idx="10">
                  <c:v>49.999999999999993</c:v>
                </c:pt>
                <c:pt idx="11">
                  <c:v>30.999999999999993</c:v>
                </c:pt>
                <c:pt idx="12">
                  <c:v>53.999999999999986</c:v>
                </c:pt>
                <c:pt idx="13">
                  <c:v>52</c:v>
                </c:pt>
                <c:pt idx="14">
                  <c:v>31.000000000000004</c:v>
                </c:pt>
                <c:pt idx="15">
                  <c:v>54.000000000000036</c:v>
                </c:pt>
                <c:pt idx="16">
                  <c:v>49.999999999999993</c:v>
                </c:pt>
                <c:pt idx="17">
                  <c:v>31.000000000000007</c:v>
                </c:pt>
                <c:pt idx="18">
                  <c:v>30.999999999999993</c:v>
                </c:pt>
                <c:pt idx="19">
                  <c:v>50</c:v>
                </c:pt>
                <c:pt idx="20">
                  <c:v>30</c:v>
                </c:pt>
                <c:pt idx="21">
                  <c:v>106.96969696969698</c:v>
                </c:pt>
                <c:pt idx="22">
                  <c:v>55.454545454545475</c:v>
                </c:pt>
                <c:pt idx="23">
                  <c:v>30.000000000000021</c:v>
                </c:pt>
                <c:pt idx="24">
                  <c:v>50</c:v>
                </c:pt>
                <c:pt idx="25">
                  <c:v>50</c:v>
                </c:pt>
                <c:pt idx="26">
                  <c:v>0</c:v>
                </c:pt>
                <c:pt idx="27">
                  <c:v>58.518518518518519</c:v>
                </c:pt>
                <c:pt idx="28">
                  <c:v>49.999999999999993</c:v>
                </c:pt>
                <c:pt idx="29">
                  <c:v>87.833333333333329</c:v>
                </c:pt>
                <c:pt idx="30">
                  <c:v>54.000000000000007</c:v>
                </c:pt>
                <c:pt idx="31">
                  <c:v>52.000000000000007</c:v>
                </c:pt>
                <c:pt idx="32">
                  <c:v>30.999999999999996</c:v>
                </c:pt>
                <c:pt idx="33">
                  <c:v>53.999999999999993</c:v>
                </c:pt>
                <c:pt idx="34">
                  <c:v>49.999999999999993</c:v>
                </c:pt>
                <c:pt idx="35">
                  <c:v>30.999999999999996</c:v>
                </c:pt>
                <c:pt idx="36">
                  <c:v>53.999999999999993</c:v>
                </c:pt>
                <c:pt idx="37">
                  <c:v>52.000000000000007</c:v>
                </c:pt>
                <c:pt idx="38">
                  <c:v>0</c:v>
                </c:pt>
                <c:pt idx="39">
                  <c:v>52.000000000000014</c:v>
                </c:pt>
                <c:pt idx="40">
                  <c:v>49.999999999999993</c:v>
                </c:pt>
                <c:pt idx="41">
                  <c:v>106.77777777777777</c:v>
                </c:pt>
                <c:pt idx="42">
                  <c:v>30.999999999999986</c:v>
                </c:pt>
                <c:pt idx="43">
                  <c:v>52.000000000000007</c:v>
                </c:pt>
                <c:pt idx="44">
                  <c:v>31.000000000000007</c:v>
                </c:pt>
                <c:pt idx="45">
                  <c:v>128.96296296296299</c:v>
                </c:pt>
                <c:pt idx="46">
                  <c:v>58.539682539682566</c:v>
                </c:pt>
                <c:pt idx="47">
                  <c:v>96.444444444444443</c:v>
                </c:pt>
                <c:pt idx="48">
                  <c:v>66.999999999999986</c:v>
                </c:pt>
                <c:pt idx="49">
                  <c:v>54.000000000000007</c:v>
                </c:pt>
                <c:pt idx="50">
                  <c:v>31</c:v>
                </c:pt>
                <c:pt idx="51">
                  <c:v>54.000000000000007</c:v>
                </c:pt>
                <c:pt idx="52">
                  <c:v>50</c:v>
                </c:pt>
                <c:pt idx="53">
                  <c:v>39.250000000000007</c:v>
                </c:pt>
                <c:pt idx="54">
                  <c:v>52.000000000000007</c:v>
                </c:pt>
                <c:pt idx="55">
                  <c:v>54.000000000000007</c:v>
                </c:pt>
                <c:pt idx="56">
                  <c:v>30.000000000000007</c:v>
                </c:pt>
                <c:pt idx="57">
                  <c:v>58.88888888888885</c:v>
                </c:pt>
                <c:pt idx="58">
                  <c:v>50</c:v>
                </c:pt>
                <c:pt idx="59">
                  <c:v>29.999999999999996</c:v>
                </c:pt>
                <c:pt idx="60">
                  <c:v>52.000000000000007</c:v>
                </c:pt>
                <c:pt idx="61">
                  <c:v>50.000000000000014</c:v>
                </c:pt>
                <c:pt idx="62">
                  <c:v>30.999999999999996</c:v>
                </c:pt>
                <c:pt idx="63">
                  <c:v>57.111111111111072</c:v>
                </c:pt>
                <c:pt idx="64">
                  <c:v>50.000000000000007</c:v>
                </c:pt>
                <c:pt idx="65">
                  <c:v>31.000000000000004</c:v>
                </c:pt>
                <c:pt idx="66">
                  <c:v>52.000000000000007</c:v>
                </c:pt>
                <c:pt idx="67">
                  <c:v>50</c:v>
                </c:pt>
                <c:pt idx="68">
                  <c:v>31</c:v>
                </c:pt>
                <c:pt idx="69">
                  <c:v>56.428571428571381</c:v>
                </c:pt>
                <c:pt idx="70">
                  <c:v>50.000000000000014</c:v>
                </c:pt>
                <c:pt idx="71">
                  <c:v>30.999999999999993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8D7D-4231-A0D1-853D049395B6}"/>
            </c:ext>
          </c:extLst>
        </c:ser>
        <c:ser>
          <c:idx val="58"/>
          <c:order val="58"/>
          <c:tx>
            <c:strRef>
              <c:f>LRMC!$A$62:$C$62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Node_5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LRMC!$D$62:$BW$62</c:f>
              <c:numCache>
                <c:formatCode>0</c:formatCode>
                <c:ptCount val="72"/>
                <c:pt idx="0">
                  <c:v>52.000000000000007</c:v>
                </c:pt>
                <c:pt idx="1">
                  <c:v>52</c:v>
                </c:pt>
                <c:pt idx="2">
                  <c:v>30.999999999999989</c:v>
                </c:pt>
                <c:pt idx="3">
                  <c:v>58.888888888888864</c:v>
                </c:pt>
                <c:pt idx="4">
                  <c:v>49.999999999999993</c:v>
                </c:pt>
                <c:pt idx="5">
                  <c:v>30.999999999999989</c:v>
                </c:pt>
                <c:pt idx="6">
                  <c:v>53.999999999999986</c:v>
                </c:pt>
                <c:pt idx="7">
                  <c:v>50</c:v>
                </c:pt>
                <c:pt idx="8">
                  <c:v>30.999999999999989</c:v>
                </c:pt>
                <c:pt idx="9">
                  <c:v>53.999999999999986</c:v>
                </c:pt>
                <c:pt idx="10">
                  <c:v>49.999999999999993</c:v>
                </c:pt>
                <c:pt idx="11">
                  <c:v>30.999999999999993</c:v>
                </c:pt>
                <c:pt idx="12">
                  <c:v>53.999999999999986</c:v>
                </c:pt>
                <c:pt idx="13">
                  <c:v>52</c:v>
                </c:pt>
                <c:pt idx="14">
                  <c:v>31.000000000000004</c:v>
                </c:pt>
                <c:pt idx="15">
                  <c:v>54.000000000000036</c:v>
                </c:pt>
                <c:pt idx="16">
                  <c:v>49.999999999999993</c:v>
                </c:pt>
                <c:pt idx="17">
                  <c:v>31.000000000000007</c:v>
                </c:pt>
                <c:pt idx="18">
                  <c:v>30.999999999999993</c:v>
                </c:pt>
                <c:pt idx="19">
                  <c:v>50</c:v>
                </c:pt>
                <c:pt idx="20">
                  <c:v>30</c:v>
                </c:pt>
                <c:pt idx="21">
                  <c:v>106.96969696969698</c:v>
                </c:pt>
                <c:pt idx="22">
                  <c:v>55.454545454545475</c:v>
                </c:pt>
                <c:pt idx="23">
                  <c:v>30.000000000000021</c:v>
                </c:pt>
                <c:pt idx="24">
                  <c:v>50</c:v>
                </c:pt>
                <c:pt idx="25">
                  <c:v>50</c:v>
                </c:pt>
                <c:pt idx="26">
                  <c:v>0</c:v>
                </c:pt>
                <c:pt idx="27">
                  <c:v>58.518518518518519</c:v>
                </c:pt>
                <c:pt idx="28">
                  <c:v>49.999999999999993</c:v>
                </c:pt>
                <c:pt idx="29">
                  <c:v>87.833333333333329</c:v>
                </c:pt>
                <c:pt idx="30">
                  <c:v>54.000000000000007</c:v>
                </c:pt>
                <c:pt idx="31">
                  <c:v>52.000000000000007</c:v>
                </c:pt>
                <c:pt idx="32">
                  <c:v>30.999999999999996</c:v>
                </c:pt>
                <c:pt idx="33">
                  <c:v>53.999999999999993</c:v>
                </c:pt>
                <c:pt idx="34">
                  <c:v>49.999999999999993</c:v>
                </c:pt>
                <c:pt idx="35">
                  <c:v>30.999999999999996</c:v>
                </c:pt>
                <c:pt idx="36">
                  <c:v>53.999999999999993</c:v>
                </c:pt>
                <c:pt idx="37">
                  <c:v>52.000000000000007</c:v>
                </c:pt>
                <c:pt idx="38">
                  <c:v>0</c:v>
                </c:pt>
                <c:pt idx="39">
                  <c:v>52.000000000000014</c:v>
                </c:pt>
                <c:pt idx="40">
                  <c:v>49.999999999999993</c:v>
                </c:pt>
                <c:pt idx="41">
                  <c:v>106.77777777777777</c:v>
                </c:pt>
                <c:pt idx="42">
                  <c:v>30.999999999999986</c:v>
                </c:pt>
                <c:pt idx="43">
                  <c:v>52.000000000000007</c:v>
                </c:pt>
                <c:pt idx="44">
                  <c:v>31.000000000000007</c:v>
                </c:pt>
                <c:pt idx="45">
                  <c:v>128.96296296296299</c:v>
                </c:pt>
                <c:pt idx="46">
                  <c:v>58.539682539682566</c:v>
                </c:pt>
                <c:pt idx="47">
                  <c:v>96.444444444444443</c:v>
                </c:pt>
                <c:pt idx="48">
                  <c:v>66.999999999999986</c:v>
                </c:pt>
                <c:pt idx="49">
                  <c:v>54.000000000000007</c:v>
                </c:pt>
                <c:pt idx="50">
                  <c:v>31</c:v>
                </c:pt>
                <c:pt idx="51">
                  <c:v>54.000000000000007</c:v>
                </c:pt>
                <c:pt idx="52">
                  <c:v>50</c:v>
                </c:pt>
                <c:pt idx="53">
                  <c:v>39.250000000000007</c:v>
                </c:pt>
                <c:pt idx="54">
                  <c:v>52.000000000000007</c:v>
                </c:pt>
                <c:pt idx="55">
                  <c:v>54.000000000000007</c:v>
                </c:pt>
                <c:pt idx="56">
                  <c:v>30.000000000000007</c:v>
                </c:pt>
                <c:pt idx="57">
                  <c:v>58.88888888888885</c:v>
                </c:pt>
                <c:pt idx="58">
                  <c:v>50</c:v>
                </c:pt>
                <c:pt idx="59">
                  <c:v>29.999999999999996</c:v>
                </c:pt>
                <c:pt idx="60">
                  <c:v>52.000000000000007</c:v>
                </c:pt>
                <c:pt idx="61">
                  <c:v>50.000000000000014</c:v>
                </c:pt>
                <c:pt idx="62">
                  <c:v>30.999999999999996</c:v>
                </c:pt>
                <c:pt idx="63">
                  <c:v>57.111111111111072</c:v>
                </c:pt>
                <c:pt idx="64">
                  <c:v>50.000000000000007</c:v>
                </c:pt>
                <c:pt idx="65">
                  <c:v>31.000000000000004</c:v>
                </c:pt>
                <c:pt idx="66">
                  <c:v>52.000000000000007</c:v>
                </c:pt>
                <c:pt idx="67">
                  <c:v>50</c:v>
                </c:pt>
                <c:pt idx="68">
                  <c:v>31</c:v>
                </c:pt>
                <c:pt idx="69">
                  <c:v>56.428571428571381</c:v>
                </c:pt>
                <c:pt idx="70">
                  <c:v>50.000000000000014</c:v>
                </c:pt>
                <c:pt idx="71">
                  <c:v>30.999999999999993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8D7D-4231-A0D1-853D049395B6}"/>
            </c:ext>
          </c:extLst>
        </c:ser>
        <c:ser>
          <c:idx val="59"/>
          <c:order val="59"/>
          <c:tx>
            <c:strRef>
              <c:f>LRMC!$A$63:$C$63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Node_6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LRMC!$D$63:$BW$63</c:f>
              <c:numCache>
                <c:formatCode>0</c:formatCode>
                <c:ptCount val="72"/>
                <c:pt idx="0">
                  <c:v>52.000000000000007</c:v>
                </c:pt>
                <c:pt idx="1">
                  <c:v>52.000000000000021</c:v>
                </c:pt>
                <c:pt idx="2">
                  <c:v>31.000000000000004</c:v>
                </c:pt>
                <c:pt idx="3">
                  <c:v>58.888888888888864</c:v>
                </c:pt>
                <c:pt idx="4">
                  <c:v>49.999999999999993</c:v>
                </c:pt>
                <c:pt idx="5">
                  <c:v>31.000000000000004</c:v>
                </c:pt>
                <c:pt idx="6">
                  <c:v>53.999999999999986</c:v>
                </c:pt>
                <c:pt idx="7">
                  <c:v>49.999999999999993</c:v>
                </c:pt>
                <c:pt idx="8">
                  <c:v>31.000000000000004</c:v>
                </c:pt>
                <c:pt idx="9">
                  <c:v>53.999999999999986</c:v>
                </c:pt>
                <c:pt idx="10">
                  <c:v>49.999999999999993</c:v>
                </c:pt>
                <c:pt idx="11">
                  <c:v>31.000000000000004</c:v>
                </c:pt>
                <c:pt idx="12">
                  <c:v>53.999999999999986</c:v>
                </c:pt>
                <c:pt idx="13">
                  <c:v>52.000000000000014</c:v>
                </c:pt>
                <c:pt idx="14">
                  <c:v>31.000000000000004</c:v>
                </c:pt>
                <c:pt idx="15">
                  <c:v>54.000000000000036</c:v>
                </c:pt>
                <c:pt idx="16">
                  <c:v>49.999999999999993</c:v>
                </c:pt>
                <c:pt idx="17">
                  <c:v>31.000000000000007</c:v>
                </c:pt>
                <c:pt idx="18">
                  <c:v>31</c:v>
                </c:pt>
                <c:pt idx="19">
                  <c:v>50</c:v>
                </c:pt>
                <c:pt idx="20">
                  <c:v>30.000000000000004</c:v>
                </c:pt>
                <c:pt idx="21">
                  <c:v>106.96969696969698</c:v>
                </c:pt>
                <c:pt idx="22">
                  <c:v>55.454545454545475</c:v>
                </c:pt>
                <c:pt idx="23">
                  <c:v>29.999999999999996</c:v>
                </c:pt>
                <c:pt idx="24">
                  <c:v>50</c:v>
                </c:pt>
                <c:pt idx="25">
                  <c:v>50</c:v>
                </c:pt>
                <c:pt idx="26">
                  <c:v>0</c:v>
                </c:pt>
                <c:pt idx="27">
                  <c:v>58.518518518518519</c:v>
                </c:pt>
                <c:pt idx="28">
                  <c:v>49.999999999999993</c:v>
                </c:pt>
                <c:pt idx="29">
                  <c:v>87.833333333333343</c:v>
                </c:pt>
                <c:pt idx="30">
                  <c:v>54.000000000000007</c:v>
                </c:pt>
                <c:pt idx="31">
                  <c:v>52.000000000000007</c:v>
                </c:pt>
                <c:pt idx="32">
                  <c:v>31</c:v>
                </c:pt>
                <c:pt idx="33">
                  <c:v>53.999999999999993</c:v>
                </c:pt>
                <c:pt idx="34">
                  <c:v>49.999999999999993</c:v>
                </c:pt>
                <c:pt idx="35">
                  <c:v>31</c:v>
                </c:pt>
                <c:pt idx="36">
                  <c:v>53.999999999999993</c:v>
                </c:pt>
                <c:pt idx="37">
                  <c:v>52.000000000000021</c:v>
                </c:pt>
                <c:pt idx="38">
                  <c:v>0</c:v>
                </c:pt>
                <c:pt idx="39">
                  <c:v>52.000000000000014</c:v>
                </c:pt>
                <c:pt idx="40">
                  <c:v>49.999999999999993</c:v>
                </c:pt>
                <c:pt idx="41">
                  <c:v>106.7777777777778</c:v>
                </c:pt>
                <c:pt idx="42">
                  <c:v>31.000000000000004</c:v>
                </c:pt>
                <c:pt idx="43">
                  <c:v>51.999999999999993</c:v>
                </c:pt>
                <c:pt idx="44">
                  <c:v>31</c:v>
                </c:pt>
                <c:pt idx="45">
                  <c:v>128.96296296296299</c:v>
                </c:pt>
                <c:pt idx="46">
                  <c:v>58.539682539682552</c:v>
                </c:pt>
                <c:pt idx="47">
                  <c:v>96.444444444444443</c:v>
                </c:pt>
                <c:pt idx="48">
                  <c:v>67</c:v>
                </c:pt>
                <c:pt idx="49">
                  <c:v>54.000000000000007</c:v>
                </c:pt>
                <c:pt idx="50">
                  <c:v>31.000000000000007</c:v>
                </c:pt>
                <c:pt idx="51">
                  <c:v>54.000000000000007</c:v>
                </c:pt>
                <c:pt idx="52">
                  <c:v>49.999999999999993</c:v>
                </c:pt>
                <c:pt idx="53">
                  <c:v>39.250000000000007</c:v>
                </c:pt>
                <c:pt idx="54">
                  <c:v>52.000000000000021</c:v>
                </c:pt>
                <c:pt idx="55">
                  <c:v>54.000000000000014</c:v>
                </c:pt>
                <c:pt idx="56">
                  <c:v>30.000000000000007</c:v>
                </c:pt>
                <c:pt idx="57">
                  <c:v>58.888888888888857</c:v>
                </c:pt>
                <c:pt idx="58">
                  <c:v>50</c:v>
                </c:pt>
                <c:pt idx="59">
                  <c:v>29.999999999999996</c:v>
                </c:pt>
                <c:pt idx="60">
                  <c:v>52.000000000000014</c:v>
                </c:pt>
                <c:pt idx="61">
                  <c:v>50</c:v>
                </c:pt>
                <c:pt idx="62">
                  <c:v>31.000000000000004</c:v>
                </c:pt>
                <c:pt idx="63">
                  <c:v>57.111111111111086</c:v>
                </c:pt>
                <c:pt idx="64">
                  <c:v>50.000000000000007</c:v>
                </c:pt>
                <c:pt idx="65">
                  <c:v>31.000000000000004</c:v>
                </c:pt>
                <c:pt idx="66">
                  <c:v>52.000000000000021</c:v>
                </c:pt>
                <c:pt idx="67">
                  <c:v>50</c:v>
                </c:pt>
                <c:pt idx="68">
                  <c:v>31.000000000000004</c:v>
                </c:pt>
                <c:pt idx="69">
                  <c:v>56.428571428571431</c:v>
                </c:pt>
                <c:pt idx="70">
                  <c:v>50.000000000000014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8D7D-4231-A0D1-853D049395B6}"/>
            </c:ext>
          </c:extLst>
        </c:ser>
        <c:ser>
          <c:idx val="60"/>
          <c:order val="60"/>
          <c:tx>
            <c:strRef>
              <c:f>LRMC!$A$64:$C$64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Node_7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LRMC!$D$64:$BW$64</c:f>
              <c:numCache>
                <c:formatCode>0</c:formatCode>
                <c:ptCount val="72"/>
                <c:pt idx="0">
                  <c:v>52.000000000000007</c:v>
                </c:pt>
                <c:pt idx="1">
                  <c:v>52.000000000000021</c:v>
                </c:pt>
                <c:pt idx="2">
                  <c:v>31.000000000000004</c:v>
                </c:pt>
                <c:pt idx="3">
                  <c:v>58.888888888888864</c:v>
                </c:pt>
                <c:pt idx="4">
                  <c:v>49.999999999999993</c:v>
                </c:pt>
                <c:pt idx="5">
                  <c:v>31.000000000000004</c:v>
                </c:pt>
                <c:pt idx="6">
                  <c:v>53.999999999999986</c:v>
                </c:pt>
                <c:pt idx="7">
                  <c:v>49.999999999999993</c:v>
                </c:pt>
                <c:pt idx="8">
                  <c:v>31.000000000000004</c:v>
                </c:pt>
                <c:pt idx="9">
                  <c:v>53.999999999999986</c:v>
                </c:pt>
                <c:pt idx="10">
                  <c:v>49.999999999999993</c:v>
                </c:pt>
                <c:pt idx="11">
                  <c:v>31.000000000000004</c:v>
                </c:pt>
                <c:pt idx="12">
                  <c:v>53.999999999999986</c:v>
                </c:pt>
                <c:pt idx="13">
                  <c:v>52.000000000000014</c:v>
                </c:pt>
                <c:pt idx="14">
                  <c:v>31.000000000000004</c:v>
                </c:pt>
                <c:pt idx="15">
                  <c:v>54.000000000000036</c:v>
                </c:pt>
                <c:pt idx="16">
                  <c:v>49.999999999999993</c:v>
                </c:pt>
                <c:pt idx="17">
                  <c:v>31.000000000000007</c:v>
                </c:pt>
                <c:pt idx="18">
                  <c:v>31</c:v>
                </c:pt>
                <c:pt idx="19">
                  <c:v>50</c:v>
                </c:pt>
                <c:pt idx="20">
                  <c:v>30.000000000000004</c:v>
                </c:pt>
                <c:pt idx="21">
                  <c:v>106.96969696969698</c:v>
                </c:pt>
                <c:pt idx="22">
                  <c:v>55.454545454545475</c:v>
                </c:pt>
                <c:pt idx="23">
                  <c:v>29.999999999999996</c:v>
                </c:pt>
                <c:pt idx="24">
                  <c:v>50</c:v>
                </c:pt>
                <c:pt idx="25">
                  <c:v>50</c:v>
                </c:pt>
                <c:pt idx="26">
                  <c:v>0</c:v>
                </c:pt>
                <c:pt idx="27">
                  <c:v>58.518518518518519</c:v>
                </c:pt>
                <c:pt idx="28">
                  <c:v>49.999999999999993</c:v>
                </c:pt>
                <c:pt idx="29">
                  <c:v>87.833333333333329</c:v>
                </c:pt>
                <c:pt idx="30">
                  <c:v>53.999999999999993</c:v>
                </c:pt>
                <c:pt idx="31">
                  <c:v>52.000000000000007</c:v>
                </c:pt>
                <c:pt idx="32">
                  <c:v>31</c:v>
                </c:pt>
                <c:pt idx="33">
                  <c:v>53.999999999999993</c:v>
                </c:pt>
                <c:pt idx="34">
                  <c:v>49.999999999999993</c:v>
                </c:pt>
                <c:pt idx="35">
                  <c:v>31</c:v>
                </c:pt>
                <c:pt idx="36">
                  <c:v>53.999999999999993</c:v>
                </c:pt>
                <c:pt idx="37">
                  <c:v>52.000000000000021</c:v>
                </c:pt>
                <c:pt idx="38">
                  <c:v>0</c:v>
                </c:pt>
                <c:pt idx="39">
                  <c:v>52.000000000000014</c:v>
                </c:pt>
                <c:pt idx="40">
                  <c:v>49.999999999999993</c:v>
                </c:pt>
                <c:pt idx="41">
                  <c:v>106.7777777777778</c:v>
                </c:pt>
                <c:pt idx="42">
                  <c:v>31.000000000000004</c:v>
                </c:pt>
                <c:pt idx="43">
                  <c:v>52.000000000000007</c:v>
                </c:pt>
                <c:pt idx="44">
                  <c:v>31</c:v>
                </c:pt>
                <c:pt idx="45">
                  <c:v>128.96296296296299</c:v>
                </c:pt>
                <c:pt idx="46">
                  <c:v>58.539682539682467</c:v>
                </c:pt>
                <c:pt idx="47">
                  <c:v>96.444444444444443</c:v>
                </c:pt>
                <c:pt idx="48">
                  <c:v>67</c:v>
                </c:pt>
                <c:pt idx="49">
                  <c:v>53.999999999999986</c:v>
                </c:pt>
                <c:pt idx="50">
                  <c:v>31.000000000000007</c:v>
                </c:pt>
                <c:pt idx="51">
                  <c:v>53.999999999999986</c:v>
                </c:pt>
                <c:pt idx="52">
                  <c:v>49.999999999999993</c:v>
                </c:pt>
                <c:pt idx="53">
                  <c:v>39.250000000000007</c:v>
                </c:pt>
                <c:pt idx="54">
                  <c:v>52.000000000000021</c:v>
                </c:pt>
                <c:pt idx="55">
                  <c:v>53.999999999999993</c:v>
                </c:pt>
                <c:pt idx="56">
                  <c:v>30.000000000000007</c:v>
                </c:pt>
                <c:pt idx="57">
                  <c:v>58.88888888888885</c:v>
                </c:pt>
                <c:pt idx="58">
                  <c:v>50</c:v>
                </c:pt>
                <c:pt idx="59">
                  <c:v>29.999999999999996</c:v>
                </c:pt>
                <c:pt idx="60">
                  <c:v>52.000000000000007</c:v>
                </c:pt>
                <c:pt idx="61">
                  <c:v>50</c:v>
                </c:pt>
                <c:pt idx="62">
                  <c:v>31.000000000000004</c:v>
                </c:pt>
                <c:pt idx="63">
                  <c:v>57.111111111111086</c:v>
                </c:pt>
                <c:pt idx="64">
                  <c:v>50.000000000000007</c:v>
                </c:pt>
                <c:pt idx="65">
                  <c:v>31.000000000000004</c:v>
                </c:pt>
                <c:pt idx="66">
                  <c:v>52.000000000000021</c:v>
                </c:pt>
                <c:pt idx="67">
                  <c:v>50</c:v>
                </c:pt>
                <c:pt idx="68">
                  <c:v>31.000000000000004</c:v>
                </c:pt>
                <c:pt idx="69">
                  <c:v>56.428571428571431</c:v>
                </c:pt>
                <c:pt idx="70">
                  <c:v>50.000000000000014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8D7D-4231-A0D1-853D049395B6}"/>
            </c:ext>
          </c:extLst>
        </c:ser>
        <c:ser>
          <c:idx val="61"/>
          <c:order val="61"/>
          <c:tx>
            <c:strRef>
              <c:f>LRMC!$A$65:$C$65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Node_8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LRMC!$D$65:$BW$65</c:f>
              <c:numCache>
                <c:formatCode>0</c:formatCode>
                <c:ptCount val="72"/>
                <c:pt idx="0">
                  <c:v>52.000000000000007</c:v>
                </c:pt>
                <c:pt idx="1">
                  <c:v>52.000000000000021</c:v>
                </c:pt>
                <c:pt idx="2">
                  <c:v>31.000000000000004</c:v>
                </c:pt>
                <c:pt idx="3">
                  <c:v>58.888888888888864</c:v>
                </c:pt>
                <c:pt idx="4">
                  <c:v>49.999999999999993</c:v>
                </c:pt>
                <c:pt idx="5">
                  <c:v>31.000000000000004</c:v>
                </c:pt>
                <c:pt idx="6">
                  <c:v>53.999999999999986</c:v>
                </c:pt>
                <c:pt idx="7">
                  <c:v>49.999999999999993</c:v>
                </c:pt>
                <c:pt idx="8">
                  <c:v>31.000000000000004</c:v>
                </c:pt>
                <c:pt idx="9">
                  <c:v>53.999999999999986</c:v>
                </c:pt>
                <c:pt idx="10">
                  <c:v>49.999999999999993</c:v>
                </c:pt>
                <c:pt idx="11">
                  <c:v>31.000000000000004</c:v>
                </c:pt>
                <c:pt idx="12">
                  <c:v>53.999999999999986</c:v>
                </c:pt>
                <c:pt idx="13">
                  <c:v>52.000000000000014</c:v>
                </c:pt>
                <c:pt idx="14">
                  <c:v>31.000000000000004</c:v>
                </c:pt>
                <c:pt idx="15">
                  <c:v>54.000000000000036</c:v>
                </c:pt>
                <c:pt idx="16">
                  <c:v>49.999999999999993</c:v>
                </c:pt>
                <c:pt idx="17">
                  <c:v>31.000000000000007</c:v>
                </c:pt>
                <c:pt idx="18">
                  <c:v>31</c:v>
                </c:pt>
                <c:pt idx="19">
                  <c:v>50</c:v>
                </c:pt>
                <c:pt idx="20">
                  <c:v>30.000000000000004</c:v>
                </c:pt>
                <c:pt idx="21">
                  <c:v>106.96969696969698</c:v>
                </c:pt>
                <c:pt idx="22">
                  <c:v>55.454545454545475</c:v>
                </c:pt>
                <c:pt idx="23">
                  <c:v>29.999999999999996</c:v>
                </c:pt>
                <c:pt idx="24">
                  <c:v>50</c:v>
                </c:pt>
                <c:pt idx="25">
                  <c:v>50</c:v>
                </c:pt>
                <c:pt idx="26">
                  <c:v>0</c:v>
                </c:pt>
                <c:pt idx="27">
                  <c:v>58.518518518518519</c:v>
                </c:pt>
                <c:pt idx="28">
                  <c:v>49.999999999999993</c:v>
                </c:pt>
                <c:pt idx="29">
                  <c:v>87.833333333333329</c:v>
                </c:pt>
                <c:pt idx="30">
                  <c:v>53.999999999999993</c:v>
                </c:pt>
                <c:pt idx="31">
                  <c:v>52.000000000000007</c:v>
                </c:pt>
                <c:pt idx="32">
                  <c:v>31</c:v>
                </c:pt>
                <c:pt idx="33">
                  <c:v>53.999999999999993</c:v>
                </c:pt>
                <c:pt idx="34">
                  <c:v>49.999999999999993</c:v>
                </c:pt>
                <c:pt idx="35">
                  <c:v>31</c:v>
                </c:pt>
                <c:pt idx="36">
                  <c:v>53.999999999999993</c:v>
                </c:pt>
                <c:pt idx="37">
                  <c:v>52.000000000000021</c:v>
                </c:pt>
                <c:pt idx="38">
                  <c:v>0</c:v>
                </c:pt>
                <c:pt idx="39">
                  <c:v>52.000000000000014</c:v>
                </c:pt>
                <c:pt idx="40">
                  <c:v>49.999999999999993</c:v>
                </c:pt>
                <c:pt idx="41">
                  <c:v>106.7777777777778</c:v>
                </c:pt>
                <c:pt idx="42">
                  <c:v>31.000000000000004</c:v>
                </c:pt>
                <c:pt idx="43">
                  <c:v>52.000000000000007</c:v>
                </c:pt>
                <c:pt idx="44">
                  <c:v>31</c:v>
                </c:pt>
                <c:pt idx="45">
                  <c:v>128.96296296296299</c:v>
                </c:pt>
                <c:pt idx="46">
                  <c:v>58.539682539682467</c:v>
                </c:pt>
                <c:pt idx="47">
                  <c:v>96.444444444444443</c:v>
                </c:pt>
                <c:pt idx="48">
                  <c:v>67</c:v>
                </c:pt>
                <c:pt idx="49">
                  <c:v>53.999999999999986</c:v>
                </c:pt>
                <c:pt idx="50">
                  <c:v>31.000000000000007</c:v>
                </c:pt>
                <c:pt idx="51">
                  <c:v>53.999999999999986</c:v>
                </c:pt>
                <c:pt idx="52">
                  <c:v>49.999999999999993</c:v>
                </c:pt>
                <c:pt idx="53">
                  <c:v>39.250000000000007</c:v>
                </c:pt>
                <c:pt idx="54">
                  <c:v>52.000000000000021</c:v>
                </c:pt>
                <c:pt idx="55">
                  <c:v>53.999999999999993</c:v>
                </c:pt>
                <c:pt idx="56">
                  <c:v>30.000000000000007</c:v>
                </c:pt>
                <c:pt idx="57">
                  <c:v>58.88888888888885</c:v>
                </c:pt>
                <c:pt idx="58">
                  <c:v>50</c:v>
                </c:pt>
                <c:pt idx="59">
                  <c:v>29.999999999999996</c:v>
                </c:pt>
                <c:pt idx="60">
                  <c:v>52.000000000000007</c:v>
                </c:pt>
                <c:pt idx="61">
                  <c:v>50</c:v>
                </c:pt>
                <c:pt idx="62">
                  <c:v>31.000000000000004</c:v>
                </c:pt>
                <c:pt idx="63">
                  <c:v>57.111111111111086</c:v>
                </c:pt>
                <c:pt idx="64">
                  <c:v>50.000000000000007</c:v>
                </c:pt>
                <c:pt idx="65">
                  <c:v>31.000000000000004</c:v>
                </c:pt>
                <c:pt idx="66">
                  <c:v>52.000000000000021</c:v>
                </c:pt>
                <c:pt idx="67">
                  <c:v>50</c:v>
                </c:pt>
                <c:pt idx="68">
                  <c:v>31.000000000000004</c:v>
                </c:pt>
                <c:pt idx="69">
                  <c:v>56.428571428571431</c:v>
                </c:pt>
                <c:pt idx="70">
                  <c:v>50.000000000000014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8D7D-4231-A0D1-853D049395B6}"/>
            </c:ext>
          </c:extLst>
        </c:ser>
        <c:ser>
          <c:idx val="62"/>
          <c:order val="62"/>
          <c:tx>
            <c:strRef>
              <c:f>LRMC!$A$66:$C$66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Node_9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LRMC!$D$66:$BW$66</c:f>
              <c:numCache>
                <c:formatCode>0</c:formatCode>
                <c:ptCount val="72"/>
                <c:pt idx="0">
                  <c:v>52.000000000000007</c:v>
                </c:pt>
                <c:pt idx="1">
                  <c:v>52.000000000000021</c:v>
                </c:pt>
                <c:pt idx="2">
                  <c:v>31.000000000000004</c:v>
                </c:pt>
                <c:pt idx="3">
                  <c:v>58.888888888888864</c:v>
                </c:pt>
                <c:pt idx="4">
                  <c:v>49.999999999999993</c:v>
                </c:pt>
                <c:pt idx="5">
                  <c:v>31.000000000000004</c:v>
                </c:pt>
                <c:pt idx="6">
                  <c:v>53.999999999999986</c:v>
                </c:pt>
                <c:pt idx="7">
                  <c:v>49.999999999999993</c:v>
                </c:pt>
                <c:pt idx="8">
                  <c:v>31.000000000000004</c:v>
                </c:pt>
                <c:pt idx="9">
                  <c:v>53.999999999999986</c:v>
                </c:pt>
                <c:pt idx="10">
                  <c:v>49.999999999999993</c:v>
                </c:pt>
                <c:pt idx="11">
                  <c:v>31.000000000000004</c:v>
                </c:pt>
                <c:pt idx="12">
                  <c:v>53.999999999999986</c:v>
                </c:pt>
                <c:pt idx="13">
                  <c:v>52.000000000000014</c:v>
                </c:pt>
                <c:pt idx="14">
                  <c:v>31.000000000000004</c:v>
                </c:pt>
                <c:pt idx="15">
                  <c:v>54.000000000000036</c:v>
                </c:pt>
                <c:pt idx="16">
                  <c:v>49.999999999999993</c:v>
                </c:pt>
                <c:pt idx="17">
                  <c:v>31.000000000000007</c:v>
                </c:pt>
                <c:pt idx="18">
                  <c:v>31</c:v>
                </c:pt>
                <c:pt idx="19">
                  <c:v>50</c:v>
                </c:pt>
                <c:pt idx="20">
                  <c:v>30.000000000000004</c:v>
                </c:pt>
                <c:pt idx="21">
                  <c:v>106.96969696969698</c:v>
                </c:pt>
                <c:pt idx="22">
                  <c:v>55.454545454545475</c:v>
                </c:pt>
                <c:pt idx="23">
                  <c:v>29.999999999999996</c:v>
                </c:pt>
                <c:pt idx="24">
                  <c:v>50</c:v>
                </c:pt>
                <c:pt idx="25">
                  <c:v>50</c:v>
                </c:pt>
                <c:pt idx="26">
                  <c:v>0</c:v>
                </c:pt>
                <c:pt idx="27">
                  <c:v>58.518518518518519</c:v>
                </c:pt>
                <c:pt idx="28">
                  <c:v>49.999999999999993</c:v>
                </c:pt>
                <c:pt idx="29">
                  <c:v>87.833333333333329</c:v>
                </c:pt>
                <c:pt idx="30">
                  <c:v>53.999999999999993</c:v>
                </c:pt>
                <c:pt idx="31">
                  <c:v>52.000000000000007</c:v>
                </c:pt>
                <c:pt idx="32">
                  <c:v>31</c:v>
                </c:pt>
                <c:pt idx="33">
                  <c:v>53.999999999999993</c:v>
                </c:pt>
                <c:pt idx="34">
                  <c:v>49.999999999999993</c:v>
                </c:pt>
                <c:pt idx="35">
                  <c:v>31</c:v>
                </c:pt>
                <c:pt idx="36">
                  <c:v>53.999999999999993</c:v>
                </c:pt>
                <c:pt idx="37">
                  <c:v>52.000000000000021</c:v>
                </c:pt>
                <c:pt idx="38">
                  <c:v>0</c:v>
                </c:pt>
                <c:pt idx="39">
                  <c:v>52.000000000000014</c:v>
                </c:pt>
                <c:pt idx="40">
                  <c:v>49.999999999999993</c:v>
                </c:pt>
                <c:pt idx="41">
                  <c:v>106.7777777777778</c:v>
                </c:pt>
                <c:pt idx="42">
                  <c:v>31.000000000000004</c:v>
                </c:pt>
                <c:pt idx="43">
                  <c:v>52.000000000000007</c:v>
                </c:pt>
                <c:pt idx="44">
                  <c:v>31</c:v>
                </c:pt>
                <c:pt idx="45">
                  <c:v>128.96296296296299</c:v>
                </c:pt>
                <c:pt idx="46">
                  <c:v>58.539682539682467</c:v>
                </c:pt>
                <c:pt idx="47">
                  <c:v>96.444444444444443</c:v>
                </c:pt>
                <c:pt idx="48">
                  <c:v>67</c:v>
                </c:pt>
                <c:pt idx="49">
                  <c:v>53.999999999999986</c:v>
                </c:pt>
                <c:pt idx="50">
                  <c:v>31.000000000000007</c:v>
                </c:pt>
                <c:pt idx="51">
                  <c:v>53.999999999999986</c:v>
                </c:pt>
                <c:pt idx="52">
                  <c:v>49.999999999999993</c:v>
                </c:pt>
                <c:pt idx="53">
                  <c:v>39.250000000000007</c:v>
                </c:pt>
                <c:pt idx="54">
                  <c:v>52.000000000000021</c:v>
                </c:pt>
                <c:pt idx="55">
                  <c:v>53.999999999999993</c:v>
                </c:pt>
                <c:pt idx="56">
                  <c:v>30.000000000000007</c:v>
                </c:pt>
                <c:pt idx="57">
                  <c:v>58.88888888888885</c:v>
                </c:pt>
                <c:pt idx="58">
                  <c:v>50</c:v>
                </c:pt>
                <c:pt idx="59">
                  <c:v>29.999999999999996</c:v>
                </c:pt>
                <c:pt idx="60">
                  <c:v>52.000000000000007</c:v>
                </c:pt>
                <c:pt idx="61">
                  <c:v>50</c:v>
                </c:pt>
                <c:pt idx="62">
                  <c:v>31.000000000000004</c:v>
                </c:pt>
                <c:pt idx="63">
                  <c:v>57.111111111111086</c:v>
                </c:pt>
                <c:pt idx="64">
                  <c:v>50.000000000000007</c:v>
                </c:pt>
                <c:pt idx="65">
                  <c:v>31.000000000000004</c:v>
                </c:pt>
                <c:pt idx="66">
                  <c:v>52.000000000000021</c:v>
                </c:pt>
                <c:pt idx="67">
                  <c:v>50</c:v>
                </c:pt>
                <c:pt idx="68">
                  <c:v>31.000000000000004</c:v>
                </c:pt>
                <c:pt idx="69">
                  <c:v>56.428571428571431</c:v>
                </c:pt>
                <c:pt idx="70">
                  <c:v>50.000000000000014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8D7D-4231-A0D1-853D049395B6}"/>
            </c:ext>
          </c:extLst>
        </c:ser>
        <c:ser>
          <c:idx val="63"/>
          <c:order val="63"/>
          <c:tx>
            <c:strRef>
              <c:f>LRMC!$A$67:$C$67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Node_1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LRMC!$D$67:$BW$67</c:f>
              <c:numCache>
                <c:formatCode>0</c:formatCode>
                <c:ptCount val="72"/>
                <c:pt idx="0">
                  <c:v>51.99999999999995</c:v>
                </c:pt>
                <c:pt idx="1">
                  <c:v>49.999999999999979</c:v>
                </c:pt>
                <c:pt idx="2">
                  <c:v>31.000000000000007</c:v>
                </c:pt>
                <c:pt idx="3">
                  <c:v>58.888888888888843</c:v>
                </c:pt>
                <c:pt idx="4">
                  <c:v>50.000000000000007</c:v>
                </c:pt>
                <c:pt idx="5">
                  <c:v>31.000000000000007</c:v>
                </c:pt>
                <c:pt idx="6">
                  <c:v>54</c:v>
                </c:pt>
                <c:pt idx="7">
                  <c:v>49.999999999999993</c:v>
                </c:pt>
                <c:pt idx="8">
                  <c:v>30.999999999999989</c:v>
                </c:pt>
                <c:pt idx="9">
                  <c:v>54.000000000000021</c:v>
                </c:pt>
                <c:pt idx="10">
                  <c:v>49.999999999999993</c:v>
                </c:pt>
                <c:pt idx="11">
                  <c:v>31.000000000000004</c:v>
                </c:pt>
                <c:pt idx="12">
                  <c:v>49.999999999999993</c:v>
                </c:pt>
                <c:pt idx="13">
                  <c:v>50.000000000000007</c:v>
                </c:pt>
                <c:pt idx="14">
                  <c:v>31.000000000000007</c:v>
                </c:pt>
                <c:pt idx="15">
                  <c:v>65.199999999999946</c:v>
                </c:pt>
                <c:pt idx="16">
                  <c:v>49.999999999999922</c:v>
                </c:pt>
                <c:pt idx="17">
                  <c:v>31.000000000000007</c:v>
                </c:pt>
                <c:pt idx="18">
                  <c:v>50.000000000000007</c:v>
                </c:pt>
                <c:pt idx="19">
                  <c:v>49.999999999999993</c:v>
                </c:pt>
                <c:pt idx="20">
                  <c:v>30.999999999999993</c:v>
                </c:pt>
                <c:pt idx="21">
                  <c:v>49.999999999999908</c:v>
                </c:pt>
                <c:pt idx="22">
                  <c:v>30.999999999999993</c:v>
                </c:pt>
                <c:pt idx="23">
                  <c:v>30.999999999999986</c:v>
                </c:pt>
                <c:pt idx="24">
                  <c:v>50.000000000000007</c:v>
                </c:pt>
                <c:pt idx="25">
                  <c:v>49.999999999999993</c:v>
                </c:pt>
                <c:pt idx="26">
                  <c:v>30.999999999999986</c:v>
                </c:pt>
                <c:pt idx="27">
                  <c:v>49.999999999999993</c:v>
                </c:pt>
                <c:pt idx="28">
                  <c:v>31.000000000000004</c:v>
                </c:pt>
                <c:pt idx="29">
                  <c:v>30.999999999999989</c:v>
                </c:pt>
                <c:pt idx="30">
                  <c:v>51.999999999999986</c:v>
                </c:pt>
                <c:pt idx="31">
                  <c:v>52</c:v>
                </c:pt>
                <c:pt idx="32">
                  <c:v>0</c:v>
                </c:pt>
                <c:pt idx="33">
                  <c:v>52.000000000000043</c:v>
                </c:pt>
                <c:pt idx="34">
                  <c:v>52</c:v>
                </c:pt>
                <c:pt idx="35">
                  <c:v>102.00000000000001</c:v>
                </c:pt>
                <c:pt idx="36">
                  <c:v>52.000000000000014</c:v>
                </c:pt>
                <c:pt idx="37">
                  <c:v>52.000000000000007</c:v>
                </c:pt>
                <c:pt idx="38">
                  <c:v>0</c:v>
                </c:pt>
                <c:pt idx="39">
                  <c:v>52.000000000000007</c:v>
                </c:pt>
                <c:pt idx="40">
                  <c:v>52.000000000000007</c:v>
                </c:pt>
                <c:pt idx="41">
                  <c:v>106.77777777777779</c:v>
                </c:pt>
                <c:pt idx="42">
                  <c:v>31.000000000000011</c:v>
                </c:pt>
                <c:pt idx="43">
                  <c:v>52.000000000000007</c:v>
                </c:pt>
                <c:pt idx="44">
                  <c:v>30.999999999999993</c:v>
                </c:pt>
                <c:pt idx="45">
                  <c:v>120.44444444444461</c:v>
                </c:pt>
                <c:pt idx="46">
                  <c:v>52.000000000000178</c:v>
                </c:pt>
                <c:pt idx="47">
                  <c:v>96.444444444444443</c:v>
                </c:pt>
                <c:pt idx="48">
                  <c:v>52.000000000000021</c:v>
                </c:pt>
                <c:pt idx="49">
                  <c:v>52.000000000000043</c:v>
                </c:pt>
                <c:pt idx="50">
                  <c:v>0</c:v>
                </c:pt>
                <c:pt idx="51">
                  <c:v>52.000000000000014</c:v>
                </c:pt>
                <c:pt idx="52">
                  <c:v>49.999999999999993</c:v>
                </c:pt>
                <c:pt idx="53">
                  <c:v>85.249999999999986</c:v>
                </c:pt>
                <c:pt idx="54">
                  <c:v>52.000000000000021</c:v>
                </c:pt>
                <c:pt idx="55">
                  <c:v>52.000000000000036</c:v>
                </c:pt>
                <c:pt idx="56">
                  <c:v>30.999999999999993</c:v>
                </c:pt>
                <c:pt idx="57">
                  <c:v>51.999999999999979</c:v>
                </c:pt>
                <c:pt idx="58">
                  <c:v>52</c:v>
                </c:pt>
                <c:pt idx="59">
                  <c:v>30.999999999999993</c:v>
                </c:pt>
                <c:pt idx="60">
                  <c:v>52</c:v>
                </c:pt>
                <c:pt idx="61">
                  <c:v>50.000000000000007</c:v>
                </c:pt>
                <c:pt idx="62">
                  <c:v>31.000000000000014</c:v>
                </c:pt>
                <c:pt idx="63">
                  <c:v>52.000000000000078</c:v>
                </c:pt>
                <c:pt idx="64">
                  <c:v>57.384615384615323</c:v>
                </c:pt>
                <c:pt idx="65">
                  <c:v>31.000000000000014</c:v>
                </c:pt>
                <c:pt idx="66">
                  <c:v>52.000000000000021</c:v>
                </c:pt>
                <c:pt idx="67">
                  <c:v>51.999999999999979</c:v>
                </c:pt>
                <c:pt idx="68">
                  <c:v>31.000000000000007</c:v>
                </c:pt>
                <c:pt idx="69">
                  <c:v>52.000000000000021</c:v>
                </c:pt>
                <c:pt idx="70">
                  <c:v>52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8D7D-4231-A0D1-853D049395B6}"/>
            </c:ext>
          </c:extLst>
        </c:ser>
        <c:ser>
          <c:idx val="64"/>
          <c:order val="64"/>
          <c:tx>
            <c:strRef>
              <c:f>LRMC!$A$68:$C$68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Node_2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LRMC!$D$68:$BW$68</c:f>
              <c:numCache>
                <c:formatCode>0</c:formatCode>
                <c:ptCount val="72"/>
                <c:pt idx="0">
                  <c:v>52.000000000000007</c:v>
                </c:pt>
                <c:pt idx="1">
                  <c:v>49.999999999999979</c:v>
                </c:pt>
                <c:pt idx="2">
                  <c:v>30.999999999999996</c:v>
                </c:pt>
                <c:pt idx="3">
                  <c:v>58.888888888888857</c:v>
                </c:pt>
                <c:pt idx="4">
                  <c:v>50.000000000000007</c:v>
                </c:pt>
                <c:pt idx="5">
                  <c:v>31.000000000000007</c:v>
                </c:pt>
                <c:pt idx="6">
                  <c:v>54</c:v>
                </c:pt>
                <c:pt idx="7">
                  <c:v>49.999999999999993</c:v>
                </c:pt>
                <c:pt idx="8">
                  <c:v>30.999999999999996</c:v>
                </c:pt>
                <c:pt idx="9">
                  <c:v>54.000000000000021</c:v>
                </c:pt>
                <c:pt idx="10">
                  <c:v>49.999999999999993</c:v>
                </c:pt>
                <c:pt idx="11">
                  <c:v>31.000000000000004</c:v>
                </c:pt>
                <c:pt idx="12">
                  <c:v>49.999999999999993</c:v>
                </c:pt>
                <c:pt idx="13">
                  <c:v>50.000000000000014</c:v>
                </c:pt>
                <c:pt idx="14">
                  <c:v>31.000000000000007</c:v>
                </c:pt>
                <c:pt idx="15">
                  <c:v>65.199999999999932</c:v>
                </c:pt>
                <c:pt idx="16">
                  <c:v>49.999999999999957</c:v>
                </c:pt>
                <c:pt idx="17">
                  <c:v>31.000000000000004</c:v>
                </c:pt>
                <c:pt idx="18">
                  <c:v>50.000000000000014</c:v>
                </c:pt>
                <c:pt idx="19">
                  <c:v>49.999999999999993</c:v>
                </c:pt>
                <c:pt idx="20">
                  <c:v>30.999999999999996</c:v>
                </c:pt>
                <c:pt idx="21">
                  <c:v>49.999999999999908</c:v>
                </c:pt>
                <c:pt idx="22">
                  <c:v>30.999999999999993</c:v>
                </c:pt>
                <c:pt idx="23">
                  <c:v>30.999999999999996</c:v>
                </c:pt>
                <c:pt idx="24">
                  <c:v>50.000000000000007</c:v>
                </c:pt>
                <c:pt idx="25">
                  <c:v>49.999999999999986</c:v>
                </c:pt>
                <c:pt idx="26">
                  <c:v>30.999999999999996</c:v>
                </c:pt>
                <c:pt idx="27">
                  <c:v>49.999999999999993</c:v>
                </c:pt>
                <c:pt idx="28">
                  <c:v>31.000000000000004</c:v>
                </c:pt>
                <c:pt idx="29">
                  <c:v>31.000000000000004</c:v>
                </c:pt>
                <c:pt idx="30">
                  <c:v>52.000000000000007</c:v>
                </c:pt>
                <c:pt idx="31">
                  <c:v>52</c:v>
                </c:pt>
                <c:pt idx="32">
                  <c:v>0</c:v>
                </c:pt>
                <c:pt idx="33">
                  <c:v>52.000000000000036</c:v>
                </c:pt>
                <c:pt idx="34">
                  <c:v>52</c:v>
                </c:pt>
                <c:pt idx="35">
                  <c:v>102.00000000000001</c:v>
                </c:pt>
                <c:pt idx="36">
                  <c:v>52.000000000000021</c:v>
                </c:pt>
                <c:pt idx="37">
                  <c:v>52.000000000000007</c:v>
                </c:pt>
                <c:pt idx="38">
                  <c:v>0</c:v>
                </c:pt>
                <c:pt idx="39">
                  <c:v>52.000000000000036</c:v>
                </c:pt>
                <c:pt idx="40">
                  <c:v>52.000000000000007</c:v>
                </c:pt>
                <c:pt idx="41">
                  <c:v>106.7777777777778</c:v>
                </c:pt>
                <c:pt idx="42">
                  <c:v>31.000000000000004</c:v>
                </c:pt>
                <c:pt idx="43">
                  <c:v>52.000000000000014</c:v>
                </c:pt>
                <c:pt idx="44">
                  <c:v>30.999999999999996</c:v>
                </c:pt>
                <c:pt idx="45">
                  <c:v>120.44444444444461</c:v>
                </c:pt>
                <c:pt idx="46">
                  <c:v>52.000000000000121</c:v>
                </c:pt>
                <c:pt idx="47">
                  <c:v>96.444444444444457</c:v>
                </c:pt>
                <c:pt idx="48">
                  <c:v>52.000000000000036</c:v>
                </c:pt>
                <c:pt idx="49">
                  <c:v>52</c:v>
                </c:pt>
                <c:pt idx="50">
                  <c:v>0</c:v>
                </c:pt>
                <c:pt idx="51">
                  <c:v>52.000000000000014</c:v>
                </c:pt>
                <c:pt idx="52">
                  <c:v>49.999999999999986</c:v>
                </c:pt>
                <c:pt idx="53">
                  <c:v>85.25</c:v>
                </c:pt>
                <c:pt idx="54">
                  <c:v>52.000000000000007</c:v>
                </c:pt>
                <c:pt idx="55">
                  <c:v>52.000000000000043</c:v>
                </c:pt>
                <c:pt idx="56">
                  <c:v>30.999999999999996</c:v>
                </c:pt>
                <c:pt idx="57">
                  <c:v>51.999999999999972</c:v>
                </c:pt>
                <c:pt idx="58">
                  <c:v>52</c:v>
                </c:pt>
                <c:pt idx="59">
                  <c:v>31.000000000000004</c:v>
                </c:pt>
                <c:pt idx="60">
                  <c:v>52.000000000000007</c:v>
                </c:pt>
                <c:pt idx="61">
                  <c:v>50.000000000000007</c:v>
                </c:pt>
                <c:pt idx="62">
                  <c:v>31.000000000000014</c:v>
                </c:pt>
                <c:pt idx="63">
                  <c:v>52.000000000000099</c:v>
                </c:pt>
                <c:pt idx="64">
                  <c:v>57.384615384615323</c:v>
                </c:pt>
                <c:pt idx="65">
                  <c:v>31.000000000000007</c:v>
                </c:pt>
                <c:pt idx="66">
                  <c:v>52.000000000000014</c:v>
                </c:pt>
                <c:pt idx="67">
                  <c:v>51.999999999999986</c:v>
                </c:pt>
                <c:pt idx="68">
                  <c:v>31.000000000000004</c:v>
                </c:pt>
                <c:pt idx="69">
                  <c:v>52.000000000000036</c:v>
                </c:pt>
                <c:pt idx="70">
                  <c:v>52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8D7D-4231-A0D1-853D049395B6}"/>
            </c:ext>
          </c:extLst>
        </c:ser>
        <c:ser>
          <c:idx val="65"/>
          <c:order val="65"/>
          <c:tx>
            <c:strRef>
              <c:f>LRMC!$A$69:$C$69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Node_3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LRMC!$D$69:$BW$69</c:f>
              <c:numCache>
                <c:formatCode>0</c:formatCode>
                <c:ptCount val="72"/>
                <c:pt idx="0">
                  <c:v>52.000000000000007</c:v>
                </c:pt>
                <c:pt idx="1">
                  <c:v>49.999999999999979</c:v>
                </c:pt>
                <c:pt idx="2">
                  <c:v>30.999999999999996</c:v>
                </c:pt>
                <c:pt idx="3">
                  <c:v>58.888888888888843</c:v>
                </c:pt>
                <c:pt idx="4">
                  <c:v>50.000000000000007</c:v>
                </c:pt>
                <c:pt idx="5">
                  <c:v>31.000000000000007</c:v>
                </c:pt>
                <c:pt idx="6">
                  <c:v>54</c:v>
                </c:pt>
                <c:pt idx="7">
                  <c:v>49.999999999999993</c:v>
                </c:pt>
                <c:pt idx="8">
                  <c:v>30.999999999999996</c:v>
                </c:pt>
                <c:pt idx="9">
                  <c:v>54.000000000000021</c:v>
                </c:pt>
                <c:pt idx="10">
                  <c:v>49.999999999999993</c:v>
                </c:pt>
                <c:pt idx="11">
                  <c:v>31.000000000000004</c:v>
                </c:pt>
                <c:pt idx="12">
                  <c:v>49.999999999999993</c:v>
                </c:pt>
                <c:pt idx="13">
                  <c:v>50.000000000000014</c:v>
                </c:pt>
                <c:pt idx="14">
                  <c:v>31.000000000000007</c:v>
                </c:pt>
                <c:pt idx="15">
                  <c:v>65.199999999999946</c:v>
                </c:pt>
                <c:pt idx="16">
                  <c:v>49.999999999999922</c:v>
                </c:pt>
                <c:pt idx="17">
                  <c:v>30.999999999999993</c:v>
                </c:pt>
                <c:pt idx="18">
                  <c:v>50.000000000000014</c:v>
                </c:pt>
                <c:pt idx="19">
                  <c:v>49.999999999999993</c:v>
                </c:pt>
                <c:pt idx="20">
                  <c:v>30.999999999999996</c:v>
                </c:pt>
                <c:pt idx="21">
                  <c:v>49.999999999999908</c:v>
                </c:pt>
                <c:pt idx="22">
                  <c:v>30.999999999999993</c:v>
                </c:pt>
                <c:pt idx="23">
                  <c:v>30.999999999999996</c:v>
                </c:pt>
                <c:pt idx="24">
                  <c:v>50.000000000000007</c:v>
                </c:pt>
                <c:pt idx="25">
                  <c:v>49.999999999999986</c:v>
                </c:pt>
                <c:pt idx="26">
                  <c:v>30.999999999999996</c:v>
                </c:pt>
                <c:pt idx="27">
                  <c:v>49.999999999999993</c:v>
                </c:pt>
                <c:pt idx="28">
                  <c:v>31.000000000000004</c:v>
                </c:pt>
                <c:pt idx="29">
                  <c:v>31.000000000000004</c:v>
                </c:pt>
                <c:pt idx="30">
                  <c:v>51.999999999999986</c:v>
                </c:pt>
                <c:pt idx="31">
                  <c:v>52</c:v>
                </c:pt>
                <c:pt idx="32">
                  <c:v>0</c:v>
                </c:pt>
                <c:pt idx="33">
                  <c:v>52.000000000000043</c:v>
                </c:pt>
                <c:pt idx="34">
                  <c:v>52.000000000000007</c:v>
                </c:pt>
                <c:pt idx="35">
                  <c:v>102.00000000000001</c:v>
                </c:pt>
                <c:pt idx="36">
                  <c:v>52.000000000000014</c:v>
                </c:pt>
                <c:pt idx="37">
                  <c:v>52.000000000000007</c:v>
                </c:pt>
                <c:pt idx="38">
                  <c:v>0</c:v>
                </c:pt>
                <c:pt idx="39">
                  <c:v>52.000000000000021</c:v>
                </c:pt>
                <c:pt idx="40">
                  <c:v>52.000000000000007</c:v>
                </c:pt>
                <c:pt idx="41">
                  <c:v>106.77777777777779</c:v>
                </c:pt>
                <c:pt idx="42">
                  <c:v>31.000000000000004</c:v>
                </c:pt>
                <c:pt idx="43">
                  <c:v>52.000000000000007</c:v>
                </c:pt>
                <c:pt idx="44">
                  <c:v>30.999999999999996</c:v>
                </c:pt>
                <c:pt idx="45">
                  <c:v>120.44444444444461</c:v>
                </c:pt>
                <c:pt idx="46">
                  <c:v>52.000000000000107</c:v>
                </c:pt>
                <c:pt idx="47">
                  <c:v>96.444444444444457</c:v>
                </c:pt>
                <c:pt idx="48">
                  <c:v>52.000000000000021</c:v>
                </c:pt>
                <c:pt idx="49">
                  <c:v>52.000000000000014</c:v>
                </c:pt>
                <c:pt idx="50">
                  <c:v>0</c:v>
                </c:pt>
                <c:pt idx="51">
                  <c:v>52.000000000000014</c:v>
                </c:pt>
                <c:pt idx="52">
                  <c:v>49.999999999999986</c:v>
                </c:pt>
                <c:pt idx="53">
                  <c:v>85.249999999999986</c:v>
                </c:pt>
                <c:pt idx="54">
                  <c:v>52.000000000000007</c:v>
                </c:pt>
                <c:pt idx="55">
                  <c:v>52.000000000000036</c:v>
                </c:pt>
                <c:pt idx="56">
                  <c:v>30.999999999999996</c:v>
                </c:pt>
                <c:pt idx="57">
                  <c:v>51.999999999999979</c:v>
                </c:pt>
                <c:pt idx="58">
                  <c:v>52</c:v>
                </c:pt>
                <c:pt idx="59">
                  <c:v>31.000000000000004</c:v>
                </c:pt>
                <c:pt idx="60">
                  <c:v>52.000000000000007</c:v>
                </c:pt>
                <c:pt idx="61">
                  <c:v>50.000000000000007</c:v>
                </c:pt>
                <c:pt idx="62">
                  <c:v>31.000000000000014</c:v>
                </c:pt>
                <c:pt idx="63">
                  <c:v>52.000000000000078</c:v>
                </c:pt>
                <c:pt idx="64">
                  <c:v>57.384615384615323</c:v>
                </c:pt>
                <c:pt idx="65">
                  <c:v>30.999999999999975</c:v>
                </c:pt>
                <c:pt idx="66">
                  <c:v>52.000000000000007</c:v>
                </c:pt>
                <c:pt idx="67">
                  <c:v>52</c:v>
                </c:pt>
                <c:pt idx="68">
                  <c:v>31.000000000000004</c:v>
                </c:pt>
                <c:pt idx="69">
                  <c:v>52.000000000000021</c:v>
                </c:pt>
                <c:pt idx="70">
                  <c:v>52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8D7D-4231-A0D1-853D049395B6}"/>
            </c:ext>
          </c:extLst>
        </c:ser>
        <c:ser>
          <c:idx val="66"/>
          <c:order val="66"/>
          <c:tx>
            <c:strRef>
              <c:f>LRMC!$A$70:$C$70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Node_4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LRMC!$D$70:$BW$70</c:f>
              <c:numCache>
                <c:formatCode>0</c:formatCode>
                <c:ptCount val="72"/>
                <c:pt idx="0">
                  <c:v>51.999999999999972</c:v>
                </c:pt>
                <c:pt idx="1">
                  <c:v>49.999999999999979</c:v>
                </c:pt>
                <c:pt idx="2">
                  <c:v>30.999999999999996</c:v>
                </c:pt>
                <c:pt idx="3">
                  <c:v>58.888888888888843</c:v>
                </c:pt>
                <c:pt idx="4">
                  <c:v>50.000000000000007</c:v>
                </c:pt>
                <c:pt idx="5">
                  <c:v>31.000000000000007</c:v>
                </c:pt>
                <c:pt idx="6">
                  <c:v>54</c:v>
                </c:pt>
                <c:pt idx="7">
                  <c:v>49.999999999999993</c:v>
                </c:pt>
                <c:pt idx="8">
                  <c:v>30.999999999999996</c:v>
                </c:pt>
                <c:pt idx="9">
                  <c:v>54.000000000000021</c:v>
                </c:pt>
                <c:pt idx="10">
                  <c:v>49.999999999999993</c:v>
                </c:pt>
                <c:pt idx="11">
                  <c:v>31.000000000000004</c:v>
                </c:pt>
                <c:pt idx="12">
                  <c:v>49.999999999999993</c:v>
                </c:pt>
                <c:pt idx="13">
                  <c:v>50.000000000000007</c:v>
                </c:pt>
                <c:pt idx="14">
                  <c:v>31.000000000000007</c:v>
                </c:pt>
                <c:pt idx="15">
                  <c:v>65.199999999999946</c:v>
                </c:pt>
                <c:pt idx="16">
                  <c:v>49.999999999999922</c:v>
                </c:pt>
                <c:pt idx="17">
                  <c:v>31.000000000000004</c:v>
                </c:pt>
                <c:pt idx="18">
                  <c:v>50.000000000000007</c:v>
                </c:pt>
                <c:pt idx="19">
                  <c:v>49.999999999999993</c:v>
                </c:pt>
                <c:pt idx="20">
                  <c:v>30.999999999999993</c:v>
                </c:pt>
                <c:pt idx="21">
                  <c:v>49.999999999999908</c:v>
                </c:pt>
                <c:pt idx="22">
                  <c:v>30.999999999999993</c:v>
                </c:pt>
                <c:pt idx="23">
                  <c:v>30.999999999999993</c:v>
                </c:pt>
                <c:pt idx="24">
                  <c:v>50.000000000000007</c:v>
                </c:pt>
                <c:pt idx="25">
                  <c:v>49.999999999999993</c:v>
                </c:pt>
                <c:pt idx="26">
                  <c:v>30.999999999999996</c:v>
                </c:pt>
                <c:pt idx="27">
                  <c:v>49.999999999999993</c:v>
                </c:pt>
                <c:pt idx="28">
                  <c:v>31.000000000000004</c:v>
                </c:pt>
                <c:pt idx="29">
                  <c:v>31.000000000000004</c:v>
                </c:pt>
                <c:pt idx="30">
                  <c:v>51.999999999999986</c:v>
                </c:pt>
                <c:pt idx="31">
                  <c:v>52</c:v>
                </c:pt>
                <c:pt idx="32">
                  <c:v>0</c:v>
                </c:pt>
                <c:pt idx="33">
                  <c:v>52.000000000000043</c:v>
                </c:pt>
                <c:pt idx="34">
                  <c:v>52.000000000000007</c:v>
                </c:pt>
                <c:pt idx="35">
                  <c:v>102.00000000000001</c:v>
                </c:pt>
                <c:pt idx="36">
                  <c:v>52.000000000000014</c:v>
                </c:pt>
                <c:pt idx="37">
                  <c:v>52.000000000000007</c:v>
                </c:pt>
                <c:pt idx="38">
                  <c:v>0</c:v>
                </c:pt>
                <c:pt idx="39">
                  <c:v>52.000000000000007</c:v>
                </c:pt>
                <c:pt idx="40">
                  <c:v>52.000000000000007</c:v>
                </c:pt>
                <c:pt idx="41">
                  <c:v>106.77777777777779</c:v>
                </c:pt>
                <c:pt idx="42">
                  <c:v>31.000000000000004</c:v>
                </c:pt>
                <c:pt idx="43">
                  <c:v>52.000000000000007</c:v>
                </c:pt>
                <c:pt idx="44">
                  <c:v>30.999999999999993</c:v>
                </c:pt>
                <c:pt idx="45">
                  <c:v>120.44444444444464</c:v>
                </c:pt>
                <c:pt idx="46">
                  <c:v>52.000000000000121</c:v>
                </c:pt>
                <c:pt idx="47">
                  <c:v>96.444444444444457</c:v>
                </c:pt>
                <c:pt idx="48">
                  <c:v>52.000000000000021</c:v>
                </c:pt>
                <c:pt idx="49">
                  <c:v>52.000000000000043</c:v>
                </c:pt>
                <c:pt idx="50">
                  <c:v>0</c:v>
                </c:pt>
                <c:pt idx="51">
                  <c:v>52.000000000000014</c:v>
                </c:pt>
                <c:pt idx="52">
                  <c:v>49.999999999999993</c:v>
                </c:pt>
                <c:pt idx="53">
                  <c:v>85.249999999999986</c:v>
                </c:pt>
                <c:pt idx="54">
                  <c:v>52.000000000000021</c:v>
                </c:pt>
                <c:pt idx="55">
                  <c:v>52.000000000000036</c:v>
                </c:pt>
                <c:pt idx="56">
                  <c:v>30.999999999999993</c:v>
                </c:pt>
                <c:pt idx="57">
                  <c:v>51.999999999999979</c:v>
                </c:pt>
                <c:pt idx="58">
                  <c:v>52</c:v>
                </c:pt>
                <c:pt idx="59">
                  <c:v>30.999999999999993</c:v>
                </c:pt>
                <c:pt idx="60">
                  <c:v>52.000000000000007</c:v>
                </c:pt>
                <c:pt idx="61">
                  <c:v>50.000000000000007</c:v>
                </c:pt>
                <c:pt idx="62">
                  <c:v>31.000000000000014</c:v>
                </c:pt>
                <c:pt idx="63">
                  <c:v>52.000000000000078</c:v>
                </c:pt>
                <c:pt idx="64">
                  <c:v>57.384615384615323</c:v>
                </c:pt>
                <c:pt idx="65">
                  <c:v>31.000000000000004</c:v>
                </c:pt>
                <c:pt idx="66">
                  <c:v>52.000000000000014</c:v>
                </c:pt>
                <c:pt idx="67">
                  <c:v>51.999999999999979</c:v>
                </c:pt>
                <c:pt idx="68">
                  <c:v>30.999999999999996</c:v>
                </c:pt>
                <c:pt idx="69">
                  <c:v>52.000000000000021</c:v>
                </c:pt>
                <c:pt idx="70">
                  <c:v>52</c:v>
                </c:pt>
                <c:pt idx="71">
                  <c:v>30.999999999999993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8D7D-4231-A0D1-853D049395B6}"/>
            </c:ext>
          </c:extLst>
        </c:ser>
        <c:ser>
          <c:idx val="67"/>
          <c:order val="67"/>
          <c:tx>
            <c:strRef>
              <c:f>LRMC!$A$71:$C$71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Node_5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LRMC!$D$71:$BW$71</c:f>
              <c:numCache>
                <c:formatCode>0</c:formatCode>
                <c:ptCount val="72"/>
                <c:pt idx="0">
                  <c:v>51.999999999999972</c:v>
                </c:pt>
                <c:pt idx="1">
                  <c:v>49.999999999999979</c:v>
                </c:pt>
                <c:pt idx="2">
                  <c:v>30.999999999999996</c:v>
                </c:pt>
                <c:pt idx="3">
                  <c:v>58.888888888888843</c:v>
                </c:pt>
                <c:pt idx="4">
                  <c:v>50.000000000000007</c:v>
                </c:pt>
                <c:pt idx="5">
                  <c:v>31.000000000000007</c:v>
                </c:pt>
                <c:pt idx="6">
                  <c:v>54</c:v>
                </c:pt>
                <c:pt idx="7">
                  <c:v>49.999999999999993</c:v>
                </c:pt>
                <c:pt idx="8">
                  <c:v>30.999999999999996</c:v>
                </c:pt>
                <c:pt idx="9">
                  <c:v>54.000000000000021</c:v>
                </c:pt>
                <c:pt idx="10">
                  <c:v>49.999999999999993</c:v>
                </c:pt>
                <c:pt idx="11">
                  <c:v>31.000000000000004</c:v>
                </c:pt>
                <c:pt idx="12">
                  <c:v>49.999999999999993</c:v>
                </c:pt>
                <c:pt idx="13">
                  <c:v>50.000000000000007</c:v>
                </c:pt>
                <c:pt idx="14">
                  <c:v>31.000000000000007</c:v>
                </c:pt>
                <c:pt idx="15">
                  <c:v>65.199999999999946</c:v>
                </c:pt>
                <c:pt idx="16">
                  <c:v>49.999999999999922</c:v>
                </c:pt>
                <c:pt idx="17">
                  <c:v>31.000000000000004</c:v>
                </c:pt>
                <c:pt idx="18">
                  <c:v>50.000000000000007</c:v>
                </c:pt>
                <c:pt idx="19">
                  <c:v>49.999999999999993</c:v>
                </c:pt>
                <c:pt idx="20">
                  <c:v>30.999999999999993</c:v>
                </c:pt>
                <c:pt idx="21">
                  <c:v>49.999999999999908</c:v>
                </c:pt>
                <c:pt idx="22">
                  <c:v>30.999999999999993</c:v>
                </c:pt>
                <c:pt idx="23">
                  <c:v>30.999999999999993</c:v>
                </c:pt>
                <c:pt idx="24">
                  <c:v>50.000000000000007</c:v>
                </c:pt>
                <c:pt idx="25">
                  <c:v>49.999999999999993</c:v>
                </c:pt>
                <c:pt idx="26">
                  <c:v>30.999999999999996</c:v>
                </c:pt>
                <c:pt idx="27">
                  <c:v>49.999999999999993</c:v>
                </c:pt>
                <c:pt idx="28">
                  <c:v>31.000000000000004</c:v>
                </c:pt>
                <c:pt idx="29">
                  <c:v>31.000000000000004</c:v>
                </c:pt>
                <c:pt idx="30">
                  <c:v>51.999999999999986</c:v>
                </c:pt>
                <c:pt idx="31">
                  <c:v>52</c:v>
                </c:pt>
                <c:pt idx="32">
                  <c:v>0</c:v>
                </c:pt>
                <c:pt idx="33">
                  <c:v>52.000000000000043</c:v>
                </c:pt>
                <c:pt idx="34">
                  <c:v>52.000000000000007</c:v>
                </c:pt>
                <c:pt idx="35">
                  <c:v>102.00000000000001</c:v>
                </c:pt>
                <c:pt idx="36">
                  <c:v>52.000000000000014</c:v>
                </c:pt>
                <c:pt idx="37">
                  <c:v>52.000000000000007</c:v>
                </c:pt>
                <c:pt idx="38">
                  <c:v>0</c:v>
                </c:pt>
                <c:pt idx="39">
                  <c:v>52.000000000000007</c:v>
                </c:pt>
                <c:pt idx="40">
                  <c:v>52.000000000000007</c:v>
                </c:pt>
                <c:pt idx="41">
                  <c:v>106.77777777777779</c:v>
                </c:pt>
                <c:pt idx="42">
                  <c:v>31.000000000000004</c:v>
                </c:pt>
                <c:pt idx="43">
                  <c:v>52.000000000000007</c:v>
                </c:pt>
                <c:pt idx="44">
                  <c:v>30.999999999999993</c:v>
                </c:pt>
                <c:pt idx="45">
                  <c:v>120.44444444444464</c:v>
                </c:pt>
                <c:pt idx="46">
                  <c:v>52.000000000000121</c:v>
                </c:pt>
                <c:pt idx="47">
                  <c:v>96.444444444444457</c:v>
                </c:pt>
                <c:pt idx="48">
                  <c:v>52.000000000000021</c:v>
                </c:pt>
                <c:pt idx="49">
                  <c:v>52.000000000000043</c:v>
                </c:pt>
                <c:pt idx="50">
                  <c:v>0</c:v>
                </c:pt>
                <c:pt idx="51">
                  <c:v>52.000000000000014</c:v>
                </c:pt>
                <c:pt idx="52">
                  <c:v>49.999999999999993</c:v>
                </c:pt>
                <c:pt idx="53">
                  <c:v>85.249999999999986</c:v>
                </c:pt>
                <c:pt idx="54">
                  <c:v>52.000000000000021</c:v>
                </c:pt>
                <c:pt idx="55">
                  <c:v>52.000000000000036</c:v>
                </c:pt>
                <c:pt idx="56">
                  <c:v>30.999999999999993</c:v>
                </c:pt>
                <c:pt idx="57">
                  <c:v>51.999999999999979</c:v>
                </c:pt>
                <c:pt idx="58">
                  <c:v>52</c:v>
                </c:pt>
                <c:pt idx="59">
                  <c:v>30.999999999999993</c:v>
                </c:pt>
                <c:pt idx="60">
                  <c:v>52.000000000000007</c:v>
                </c:pt>
                <c:pt idx="61">
                  <c:v>50.000000000000007</c:v>
                </c:pt>
                <c:pt idx="62">
                  <c:v>31.000000000000014</c:v>
                </c:pt>
                <c:pt idx="63">
                  <c:v>52.000000000000078</c:v>
                </c:pt>
                <c:pt idx="64">
                  <c:v>57.384615384615323</c:v>
                </c:pt>
                <c:pt idx="65">
                  <c:v>31.000000000000004</c:v>
                </c:pt>
                <c:pt idx="66">
                  <c:v>52.000000000000014</c:v>
                </c:pt>
                <c:pt idx="67">
                  <c:v>51.999999999999979</c:v>
                </c:pt>
                <c:pt idx="68">
                  <c:v>30.999999999999996</c:v>
                </c:pt>
                <c:pt idx="69">
                  <c:v>52.000000000000021</c:v>
                </c:pt>
                <c:pt idx="70">
                  <c:v>52</c:v>
                </c:pt>
                <c:pt idx="71">
                  <c:v>30.999999999999993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8D7D-4231-A0D1-853D049395B6}"/>
            </c:ext>
          </c:extLst>
        </c:ser>
        <c:ser>
          <c:idx val="68"/>
          <c:order val="68"/>
          <c:tx>
            <c:strRef>
              <c:f>LRMC!$A$72:$C$72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Node_6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LRMC!$D$72:$BW$72</c:f>
              <c:numCache>
                <c:formatCode>0</c:formatCode>
                <c:ptCount val="72"/>
                <c:pt idx="0">
                  <c:v>52.000000000000036</c:v>
                </c:pt>
                <c:pt idx="1">
                  <c:v>49.999999999999979</c:v>
                </c:pt>
                <c:pt idx="2">
                  <c:v>31.000000000000007</c:v>
                </c:pt>
                <c:pt idx="3">
                  <c:v>58.888888888888843</c:v>
                </c:pt>
                <c:pt idx="4">
                  <c:v>50.000000000000007</c:v>
                </c:pt>
                <c:pt idx="5">
                  <c:v>31.000000000000007</c:v>
                </c:pt>
                <c:pt idx="6">
                  <c:v>54</c:v>
                </c:pt>
                <c:pt idx="7">
                  <c:v>49.999999999999993</c:v>
                </c:pt>
                <c:pt idx="8">
                  <c:v>30.999999999999996</c:v>
                </c:pt>
                <c:pt idx="9">
                  <c:v>54.000000000000021</c:v>
                </c:pt>
                <c:pt idx="10">
                  <c:v>49.999999999999993</c:v>
                </c:pt>
                <c:pt idx="11">
                  <c:v>31.000000000000007</c:v>
                </c:pt>
                <c:pt idx="12">
                  <c:v>49.999999999999993</c:v>
                </c:pt>
                <c:pt idx="13">
                  <c:v>50.000000000000014</c:v>
                </c:pt>
                <c:pt idx="14">
                  <c:v>31.000000000000007</c:v>
                </c:pt>
                <c:pt idx="15">
                  <c:v>65.199999999999932</c:v>
                </c:pt>
                <c:pt idx="16">
                  <c:v>49.999999999999957</c:v>
                </c:pt>
                <c:pt idx="17">
                  <c:v>31.000000000000004</c:v>
                </c:pt>
                <c:pt idx="18">
                  <c:v>50.000000000000014</c:v>
                </c:pt>
                <c:pt idx="19">
                  <c:v>49.999999999999993</c:v>
                </c:pt>
                <c:pt idx="20">
                  <c:v>31.000000000000004</c:v>
                </c:pt>
                <c:pt idx="21">
                  <c:v>49.999999999999908</c:v>
                </c:pt>
                <c:pt idx="22">
                  <c:v>30.999999999999993</c:v>
                </c:pt>
                <c:pt idx="23">
                  <c:v>30.999999999999996</c:v>
                </c:pt>
                <c:pt idx="24">
                  <c:v>50.000000000000007</c:v>
                </c:pt>
                <c:pt idx="25">
                  <c:v>49.999999999999986</c:v>
                </c:pt>
                <c:pt idx="26">
                  <c:v>31.000000000000007</c:v>
                </c:pt>
                <c:pt idx="27">
                  <c:v>49.999999999999993</c:v>
                </c:pt>
                <c:pt idx="28">
                  <c:v>31.000000000000007</c:v>
                </c:pt>
                <c:pt idx="29">
                  <c:v>31.000000000000004</c:v>
                </c:pt>
                <c:pt idx="30">
                  <c:v>52.000000000000007</c:v>
                </c:pt>
                <c:pt idx="31">
                  <c:v>52</c:v>
                </c:pt>
                <c:pt idx="32">
                  <c:v>0</c:v>
                </c:pt>
                <c:pt idx="33">
                  <c:v>52.000000000000036</c:v>
                </c:pt>
                <c:pt idx="34">
                  <c:v>52</c:v>
                </c:pt>
                <c:pt idx="35">
                  <c:v>102.00000000000001</c:v>
                </c:pt>
                <c:pt idx="36">
                  <c:v>52.000000000000021</c:v>
                </c:pt>
                <c:pt idx="37">
                  <c:v>52.000000000000007</c:v>
                </c:pt>
                <c:pt idx="38">
                  <c:v>0</c:v>
                </c:pt>
                <c:pt idx="39">
                  <c:v>52.000000000000036</c:v>
                </c:pt>
                <c:pt idx="40">
                  <c:v>52.000000000000007</c:v>
                </c:pt>
                <c:pt idx="41">
                  <c:v>106.7777777777778</c:v>
                </c:pt>
                <c:pt idx="42">
                  <c:v>31.000000000000011</c:v>
                </c:pt>
                <c:pt idx="43">
                  <c:v>52.000000000000014</c:v>
                </c:pt>
                <c:pt idx="44">
                  <c:v>30.999999999999996</c:v>
                </c:pt>
                <c:pt idx="45">
                  <c:v>120.44444444444461</c:v>
                </c:pt>
                <c:pt idx="46">
                  <c:v>52.000000000000121</c:v>
                </c:pt>
                <c:pt idx="47">
                  <c:v>96.444444444444457</c:v>
                </c:pt>
                <c:pt idx="48">
                  <c:v>52.000000000000036</c:v>
                </c:pt>
                <c:pt idx="49">
                  <c:v>52</c:v>
                </c:pt>
                <c:pt idx="50">
                  <c:v>0</c:v>
                </c:pt>
                <c:pt idx="51">
                  <c:v>52.000000000000014</c:v>
                </c:pt>
                <c:pt idx="52">
                  <c:v>49.999999999999986</c:v>
                </c:pt>
                <c:pt idx="53">
                  <c:v>85.25</c:v>
                </c:pt>
                <c:pt idx="54">
                  <c:v>52</c:v>
                </c:pt>
                <c:pt idx="55">
                  <c:v>52.000000000000043</c:v>
                </c:pt>
                <c:pt idx="56">
                  <c:v>30.999999999999996</c:v>
                </c:pt>
                <c:pt idx="57">
                  <c:v>51.999999999999972</c:v>
                </c:pt>
                <c:pt idx="58">
                  <c:v>52</c:v>
                </c:pt>
                <c:pt idx="59">
                  <c:v>31.000000000000004</c:v>
                </c:pt>
                <c:pt idx="60">
                  <c:v>52.000000000000007</c:v>
                </c:pt>
                <c:pt idx="61">
                  <c:v>50.000000000000007</c:v>
                </c:pt>
                <c:pt idx="62">
                  <c:v>31.000000000000014</c:v>
                </c:pt>
                <c:pt idx="63">
                  <c:v>52.000000000000099</c:v>
                </c:pt>
                <c:pt idx="64">
                  <c:v>57.384615384615323</c:v>
                </c:pt>
                <c:pt idx="65">
                  <c:v>31.000000000000007</c:v>
                </c:pt>
                <c:pt idx="66">
                  <c:v>52.000000000000014</c:v>
                </c:pt>
                <c:pt idx="67">
                  <c:v>51.999999999999986</c:v>
                </c:pt>
                <c:pt idx="68">
                  <c:v>31.000000000000007</c:v>
                </c:pt>
                <c:pt idx="69">
                  <c:v>52.000000000000036</c:v>
                </c:pt>
                <c:pt idx="70">
                  <c:v>52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8D7D-4231-A0D1-853D049395B6}"/>
            </c:ext>
          </c:extLst>
        </c:ser>
        <c:ser>
          <c:idx val="69"/>
          <c:order val="69"/>
          <c:tx>
            <c:strRef>
              <c:f>LRMC!$A$73:$C$73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Node_7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LRMC!$D$73:$BW$73</c:f>
              <c:numCache>
                <c:formatCode>0</c:formatCode>
                <c:ptCount val="72"/>
                <c:pt idx="0">
                  <c:v>52.000000000000036</c:v>
                </c:pt>
                <c:pt idx="1">
                  <c:v>49.999999999999979</c:v>
                </c:pt>
                <c:pt idx="2">
                  <c:v>31.000000000000007</c:v>
                </c:pt>
                <c:pt idx="3">
                  <c:v>58.888888888888843</c:v>
                </c:pt>
                <c:pt idx="4">
                  <c:v>50.000000000000007</c:v>
                </c:pt>
                <c:pt idx="5">
                  <c:v>31.000000000000007</c:v>
                </c:pt>
                <c:pt idx="6">
                  <c:v>54</c:v>
                </c:pt>
                <c:pt idx="7">
                  <c:v>49.999999999999993</c:v>
                </c:pt>
                <c:pt idx="8">
                  <c:v>30.999999999999996</c:v>
                </c:pt>
                <c:pt idx="9">
                  <c:v>54.000000000000021</c:v>
                </c:pt>
                <c:pt idx="10">
                  <c:v>49.999999999999993</c:v>
                </c:pt>
                <c:pt idx="11">
                  <c:v>31.000000000000007</c:v>
                </c:pt>
                <c:pt idx="12">
                  <c:v>49.999999999999993</c:v>
                </c:pt>
                <c:pt idx="13">
                  <c:v>50.000000000000014</c:v>
                </c:pt>
                <c:pt idx="14">
                  <c:v>31.000000000000007</c:v>
                </c:pt>
                <c:pt idx="15">
                  <c:v>65.199999999999932</c:v>
                </c:pt>
                <c:pt idx="16">
                  <c:v>49.999999999999957</c:v>
                </c:pt>
                <c:pt idx="17">
                  <c:v>31.000000000000004</c:v>
                </c:pt>
                <c:pt idx="18">
                  <c:v>50.000000000000014</c:v>
                </c:pt>
                <c:pt idx="19">
                  <c:v>49.999999999999993</c:v>
                </c:pt>
                <c:pt idx="20">
                  <c:v>31.000000000000004</c:v>
                </c:pt>
                <c:pt idx="21">
                  <c:v>49.999999999999908</c:v>
                </c:pt>
                <c:pt idx="22">
                  <c:v>30.999999999999993</c:v>
                </c:pt>
                <c:pt idx="23">
                  <c:v>30.999999999999996</c:v>
                </c:pt>
                <c:pt idx="24">
                  <c:v>50.000000000000007</c:v>
                </c:pt>
                <c:pt idx="25">
                  <c:v>49.999999999999986</c:v>
                </c:pt>
                <c:pt idx="26">
                  <c:v>31.000000000000007</c:v>
                </c:pt>
                <c:pt idx="27">
                  <c:v>49.999999999999993</c:v>
                </c:pt>
                <c:pt idx="28">
                  <c:v>31.000000000000007</c:v>
                </c:pt>
                <c:pt idx="29">
                  <c:v>31.000000000000004</c:v>
                </c:pt>
                <c:pt idx="30">
                  <c:v>52</c:v>
                </c:pt>
                <c:pt idx="31">
                  <c:v>52</c:v>
                </c:pt>
                <c:pt idx="32">
                  <c:v>0</c:v>
                </c:pt>
                <c:pt idx="33">
                  <c:v>52.000000000000036</c:v>
                </c:pt>
                <c:pt idx="34">
                  <c:v>52</c:v>
                </c:pt>
                <c:pt idx="35">
                  <c:v>102.00000000000001</c:v>
                </c:pt>
                <c:pt idx="36">
                  <c:v>52.000000000000014</c:v>
                </c:pt>
                <c:pt idx="37">
                  <c:v>52.000000000000007</c:v>
                </c:pt>
                <c:pt idx="38">
                  <c:v>0</c:v>
                </c:pt>
                <c:pt idx="39">
                  <c:v>52.000000000000036</c:v>
                </c:pt>
                <c:pt idx="40">
                  <c:v>52.000000000000007</c:v>
                </c:pt>
                <c:pt idx="41">
                  <c:v>106.7777777777778</c:v>
                </c:pt>
                <c:pt idx="42">
                  <c:v>31.000000000000011</c:v>
                </c:pt>
                <c:pt idx="43">
                  <c:v>52.000000000000007</c:v>
                </c:pt>
                <c:pt idx="44">
                  <c:v>30.999999999999996</c:v>
                </c:pt>
                <c:pt idx="45">
                  <c:v>120.44444444444461</c:v>
                </c:pt>
                <c:pt idx="46">
                  <c:v>52.000000000000043</c:v>
                </c:pt>
                <c:pt idx="47">
                  <c:v>96.444444444444457</c:v>
                </c:pt>
                <c:pt idx="48">
                  <c:v>52.000000000000014</c:v>
                </c:pt>
                <c:pt idx="49">
                  <c:v>52.000000000000341</c:v>
                </c:pt>
                <c:pt idx="50">
                  <c:v>0</c:v>
                </c:pt>
                <c:pt idx="51">
                  <c:v>52.000000000000014</c:v>
                </c:pt>
                <c:pt idx="52">
                  <c:v>49.999999999999986</c:v>
                </c:pt>
                <c:pt idx="53">
                  <c:v>85.25</c:v>
                </c:pt>
                <c:pt idx="54">
                  <c:v>52</c:v>
                </c:pt>
                <c:pt idx="55">
                  <c:v>52.000000000000021</c:v>
                </c:pt>
                <c:pt idx="56">
                  <c:v>30.999999999999996</c:v>
                </c:pt>
                <c:pt idx="57">
                  <c:v>51.999999999999972</c:v>
                </c:pt>
                <c:pt idx="58">
                  <c:v>52</c:v>
                </c:pt>
                <c:pt idx="59">
                  <c:v>31.000000000000004</c:v>
                </c:pt>
                <c:pt idx="60">
                  <c:v>52.000000000000007</c:v>
                </c:pt>
                <c:pt idx="61">
                  <c:v>50.000000000000007</c:v>
                </c:pt>
                <c:pt idx="62">
                  <c:v>31.000000000000014</c:v>
                </c:pt>
                <c:pt idx="63">
                  <c:v>52.000000000000078</c:v>
                </c:pt>
                <c:pt idx="64">
                  <c:v>57.384615384615323</c:v>
                </c:pt>
                <c:pt idx="65">
                  <c:v>31.000000000000007</c:v>
                </c:pt>
                <c:pt idx="66">
                  <c:v>52.000000000000014</c:v>
                </c:pt>
                <c:pt idx="67">
                  <c:v>51.999999999999986</c:v>
                </c:pt>
                <c:pt idx="68">
                  <c:v>31.000000000000007</c:v>
                </c:pt>
                <c:pt idx="69">
                  <c:v>52.000000000000036</c:v>
                </c:pt>
                <c:pt idx="70">
                  <c:v>52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8D7D-4231-A0D1-853D049395B6}"/>
            </c:ext>
          </c:extLst>
        </c:ser>
        <c:ser>
          <c:idx val="70"/>
          <c:order val="70"/>
          <c:tx>
            <c:strRef>
              <c:f>LRMC!$A$74:$C$74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Node_8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LRMC!$D$74:$BW$74</c:f>
              <c:numCache>
                <c:formatCode>0</c:formatCode>
                <c:ptCount val="72"/>
                <c:pt idx="0">
                  <c:v>52.000000000000036</c:v>
                </c:pt>
                <c:pt idx="1">
                  <c:v>49.999999999999979</c:v>
                </c:pt>
                <c:pt idx="2">
                  <c:v>31.000000000000007</c:v>
                </c:pt>
                <c:pt idx="3">
                  <c:v>58.888888888888843</c:v>
                </c:pt>
                <c:pt idx="4">
                  <c:v>50.000000000000007</c:v>
                </c:pt>
                <c:pt idx="5">
                  <c:v>31.000000000000007</c:v>
                </c:pt>
                <c:pt idx="6">
                  <c:v>54</c:v>
                </c:pt>
                <c:pt idx="7">
                  <c:v>49.999999999999993</c:v>
                </c:pt>
                <c:pt idx="8">
                  <c:v>30.999999999999996</c:v>
                </c:pt>
                <c:pt idx="9">
                  <c:v>54.000000000000021</c:v>
                </c:pt>
                <c:pt idx="10">
                  <c:v>49.999999999999993</c:v>
                </c:pt>
                <c:pt idx="11">
                  <c:v>31.000000000000007</c:v>
                </c:pt>
                <c:pt idx="12">
                  <c:v>49.999999999999993</c:v>
                </c:pt>
                <c:pt idx="13">
                  <c:v>50.000000000000014</c:v>
                </c:pt>
                <c:pt idx="14">
                  <c:v>31.000000000000007</c:v>
                </c:pt>
                <c:pt idx="15">
                  <c:v>65.199999999999932</c:v>
                </c:pt>
                <c:pt idx="16">
                  <c:v>49.999999999999957</c:v>
                </c:pt>
                <c:pt idx="17">
                  <c:v>31.000000000000004</c:v>
                </c:pt>
                <c:pt idx="18">
                  <c:v>50.000000000000014</c:v>
                </c:pt>
                <c:pt idx="19">
                  <c:v>49.999999999999993</c:v>
                </c:pt>
                <c:pt idx="20">
                  <c:v>31.000000000000004</c:v>
                </c:pt>
                <c:pt idx="21">
                  <c:v>49.999999999999908</c:v>
                </c:pt>
                <c:pt idx="22">
                  <c:v>30.999999999999993</c:v>
                </c:pt>
                <c:pt idx="23">
                  <c:v>30.999999999999996</c:v>
                </c:pt>
                <c:pt idx="24">
                  <c:v>50.000000000000007</c:v>
                </c:pt>
                <c:pt idx="25">
                  <c:v>49.999999999999986</c:v>
                </c:pt>
                <c:pt idx="26">
                  <c:v>31.000000000000007</c:v>
                </c:pt>
                <c:pt idx="27">
                  <c:v>49.999999999999993</c:v>
                </c:pt>
                <c:pt idx="28">
                  <c:v>31.000000000000007</c:v>
                </c:pt>
                <c:pt idx="29">
                  <c:v>31.000000000000004</c:v>
                </c:pt>
                <c:pt idx="30">
                  <c:v>52</c:v>
                </c:pt>
                <c:pt idx="31">
                  <c:v>52</c:v>
                </c:pt>
                <c:pt idx="32">
                  <c:v>0</c:v>
                </c:pt>
                <c:pt idx="33">
                  <c:v>52.000000000000036</c:v>
                </c:pt>
                <c:pt idx="34">
                  <c:v>52</c:v>
                </c:pt>
                <c:pt idx="35">
                  <c:v>102.00000000000001</c:v>
                </c:pt>
                <c:pt idx="36">
                  <c:v>52.000000000000014</c:v>
                </c:pt>
                <c:pt idx="37">
                  <c:v>52.000000000000007</c:v>
                </c:pt>
                <c:pt idx="38">
                  <c:v>0</c:v>
                </c:pt>
                <c:pt idx="39">
                  <c:v>52.000000000000036</c:v>
                </c:pt>
                <c:pt idx="40">
                  <c:v>52.000000000000007</c:v>
                </c:pt>
                <c:pt idx="41">
                  <c:v>106.7777777777778</c:v>
                </c:pt>
                <c:pt idx="42">
                  <c:v>31.000000000000011</c:v>
                </c:pt>
                <c:pt idx="43">
                  <c:v>52.000000000000007</c:v>
                </c:pt>
                <c:pt idx="44">
                  <c:v>30.999999999999996</c:v>
                </c:pt>
                <c:pt idx="45">
                  <c:v>120.44444444444461</c:v>
                </c:pt>
                <c:pt idx="46">
                  <c:v>52.000000000000043</c:v>
                </c:pt>
                <c:pt idx="47">
                  <c:v>96.444444444444457</c:v>
                </c:pt>
                <c:pt idx="48">
                  <c:v>52.000000000000014</c:v>
                </c:pt>
                <c:pt idx="49">
                  <c:v>52.000000000000043</c:v>
                </c:pt>
                <c:pt idx="50">
                  <c:v>0</c:v>
                </c:pt>
                <c:pt idx="51">
                  <c:v>52.000000000000014</c:v>
                </c:pt>
                <c:pt idx="52">
                  <c:v>49.999999999999986</c:v>
                </c:pt>
                <c:pt idx="53">
                  <c:v>85.25</c:v>
                </c:pt>
                <c:pt idx="54">
                  <c:v>52</c:v>
                </c:pt>
                <c:pt idx="55">
                  <c:v>52.000000000000021</c:v>
                </c:pt>
                <c:pt idx="56">
                  <c:v>30.999999999999996</c:v>
                </c:pt>
                <c:pt idx="57">
                  <c:v>51.999999999999972</c:v>
                </c:pt>
                <c:pt idx="58">
                  <c:v>52</c:v>
                </c:pt>
                <c:pt idx="59">
                  <c:v>31.000000000000004</c:v>
                </c:pt>
                <c:pt idx="60">
                  <c:v>52.000000000000007</c:v>
                </c:pt>
                <c:pt idx="61">
                  <c:v>50.000000000000007</c:v>
                </c:pt>
                <c:pt idx="62">
                  <c:v>31.000000000000014</c:v>
                </c:pt>
                <c:pt idx="63">
                  <c:v>52.000000000000078</c:v>
                </c:pt>
                <c:pt idx="64">
                  <c:v>57.384615384615323</c:v>
                </c:pt>
                <c:pt idx="65">
                  <c:v>31.000000000000007</c:v>
                </c:pt>
                <c:pt idx="66">
                  <c:v>52.000000000000014</c:v>
                </c:pt>
                <c:pt idx="67">
                  <c:v>51.999999999999986</c:v>
                </c:pt>
                <c:pt idx="68">
                  <c:v>31.000000000000007</c:v>
                </c:pt>
                <c:pt idx="69">
                  <c:v>52.000000000000036</c:v>
                </c:pt>
                <c:pt idx="70">
                  <c:v>52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8D7D-4231-A0D1-853D049395B6}"/>
            </c:ext>
          </c:extLst>
        </c:ser>
        <c:ser>
          <c:idx val="71"/>
          <c:order val="71"/>
          <c:tx>
            <c:strRef>
              <c:f>LRMC!$A$75:$C$75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Node_9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LRMC!$D$75:$BW$75</c:f>
              <c:numCache>
                <c:formatCode>0</c:formatCode>
                <c:ptCount val="72"/>
                <c:pt idx="0">
                  <c:v>52.000000000000036</c:v>
                </c:pt>
                <c:pt idx="1">
                  <c:v>49.999999999999979</c:v>
                </c:pt>
                <c:pt idx="2">
                  <c:v>31.000000000000007</c:v>
                </c:pt>
                <c:pt idx="3">
                  <c:v>58.888888888888843</c:v>
                </c:pt>
                <c:pt idx="4">
                  <c:v>50.000000000000007</c:v>
                </c:pt>
                <c:pt idx="5">
                  <c:v>31.000000000000007</c:v>
                </c:pt>
                <c:pt idx="6">
                  <c:v>54</c:v>
                </c:pt>
                <c:pt idx="7">
                  <c:v>49.999999999999993</c:v>
                </c:pt>
                <c:pt idx="8">
                  <c:v>30.999999999999996</c:v>
                </c:pt>
                <c:pt idx="9">
                  <c:v>54.000000000000021</c:v>
                </c:pt>
                <c:pt idx="10">
                  <c:v>49.999999999999993</c:v>
                </c:pt>
                <c:pt idx="11">
                  <c:v>31.000000000000007</c:v>
                </c:pt>
                <c:pt idx="12">
                  <c:v>49.999999999999993</c:v>
                </c:pt>
                <c:pt idx="13">
                  <c:v>50.000000000000014</c:v>
                </c:pt>
                <c:pt idx="14">
                  <c:v>31.000000000000007</c:v>
                </c:pt>
                <c:pt idx="15">
                  <c:v>65.199999999999932</c:v>
                </c:pt>
                <c:pt idx="16">
                  <c:v>49.999999999999957</c:v>
                </c:pt>
                <c:pt idx="17">
                  <c:v>31.000000000000004</c:v>
                </c:pt>
                <c:pt idx="18">
                  <c:v>50.000000000000014</c:v>
                </c:pt>
                <c:pt idx="19">
                  <c:v>49.999999999999993</c:v>
                </c:pt>
                <c:pt idx="20">
                  <c:v>31.000000000000004</c:v>
                </c:pt>
                <c:pt idx="21">
                  <c:v>49.999999999999908</c:v>
                </c:pt>
                <c:pt idx="22">
                  <c:v>30.999999999999993</c:v>
                </c:pt>
                <c:pt idx="23">
                  <c:v>30.999999999999996</c:v>
                </c:pt>
                <c:pt idx="24">
                  <c:v>50.000000000000007</c:v>
                </c:pt>
                <c:pt idx="25">
                  <c:v>49.999999999999986</c:v>
                </c:pt>
                <c:pt idx="26">
                  <c:v>31.000000000000007</c:v>
                </c:pt>
                <c:pt idx="27">
                  <c:v>49.999999999999993</c:v>
                </c:pt>
                <c:pt idx="28">
                  <c:v>31.000000000000007</c:v>
                </c:pt>
                <c:pt idx="29">
                  <c:v>31.000000000000004</c:v>
                </c:pt>
                <c:pt idx="30">
                  <c:v>52</c:v>
                </c:pt>
                <c:pt idx="31">
                  <c:v>52</c:v>
                </c:pt>
                <c:pt idx="32">
                  <c:v>0</c:v>
                </c:pt>
                <c:pt idx="33">
                  <c:v>52.000000000000036</c:v>
                </c:pt>
                <c:pt idx="34">
                  <c:v>52</c:v>
                </c:pt>
                <c:pt idx="35">
                  <c:v>102.00000000000001</c:v>
                </c:pt>
                <c:pt idx="36">
                  <c:v>52.000000000000014</c:v>
                </c:pt>
                <c:pt idx="37">
                  <c:v>52.000000000000007</c:v>
                </c:pt>
                <c:pt idx="38">
                  <c:v>0</c:v>
                </c:pt>
                <c:pt idx="39">
                  <c:v>52.000000000000036</c:v>
                </c:pt>
                <c:pt idx="40">
                  <c:v>52.000000000000007</c:v>
                </c:pt>
                <c:pt idx="41">
                  <c:v>106.7777777777778</c:v>
                </c:pt>
                <c:pt idx="42">
                  <c:v>31.000000000000011</c:v>
                </c:pt>
                <c:pt idx="43">
                  <c:v>52.000000000000007</c:v>
                </c:pt>
                <c:pt idx="44">
                  <c:v>30.999999999999996</c:v>
                </c:pt>
                <c:pt idx="45">
                  <c:v>120.44444444444461</c:v>
                </c:pt>
                <c:pt idx="46">
                  <c:v>52.000000000000043</c:v>
                </c:pt>
                <c:pt idx="47">
                  <c:v>96.444444444444457</c:v>
                </c:pt>
                <c:pt idx="48">
                  <c:v>52.000000000000014</c:v>
                </c:pt>
                <c:pt idx="49">
                  <c:v>52.000000000000043</c:v>
                </c:pt>
                <c:pt idx="50">
                  <c:v>0</c:v>
                </c:pt>
                <c:pt idx="51">
                  <c:v>52.000000000000014</c:v>
                </c:pt>
                <c:pt idx="52">
                  <c:v>49.999999999999986</c:v>
                </c:pt>
                <c:pt idx="53">
                  <c:v>85.25</c:v>
                </c:pt>
                <c:pt idx="54">
                  <c:v>52</c:v>
                </c:pt>
                <c:pt idx="55">
                  <c:v>52.000000000000021</c:v>
                </c:pt>
                <c:pt idx="56">
                  <c:v>30.999999999999996</c:v>
                </c:pt>
                <c:pt idx="57">
                  <c:v>51.999999999999972</c:v>
                </c:pt>
                <c:pt idx="58">
                  <c:v>52</c:v>
                </c:pt>
                <c:pt idx="59">
                  <c:v>31.000000000000004</c:v>
                </c:pt>
                <c:pt idx="60">
                  <c:v>52.000000000000007</c:v>
                </c:pt>
                <c:pt idx="61">
                  <c:v>50.000000000000007</c:v>
                </c:pt>
                <c:pt idx="62">
                  <c:v>31.000000000000014</c:v>
                </c:pt>
                <c:pt idx="63">
                  <c:v>52.000000000000078</c:v>
                </c:pt>
                <c:pt idx="64">
                  <c:v>57.384615384615323</c:v>
                </c:pt>
                <c:pt idx="65">
                  <c:v>31.000000000000007</c:v>
                </c:pt>
                <c:pt idx="66">
                  <c:v>52.000000000000014</c:v>
                </c:pt>
                <c:pt idx="67">
                  <c:v>51.999999999999986</c:v>
                </c:pt>
                <c:pt idx="68">
                  <c:v>31.000000000000007</c:v>
                </c:pt>
                <c:pt idx="69">
                  <c:v>52.000000000000036</c:v>
                </c:pt>
                <c:pt idx="70">
                  <c:v>52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8D7D-4231-A0D1-853D049395B6}"/>
            </c:ext>
          </c:extLst>
        </c:ser>
        <c:ser>
          <c:idx val="72"/>
          <c:order val="72"/>
          <c:tx>
            <c:strRef>
              <c:f>LRMC!$A$76:$C$76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Node_1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LRMC!$D$76:$BW$76</c:f>
              <c:numCache>
                <c:formatCode>0</c:formatCode>
                <c:ptCount val="72"/>
                <c:pt idx="0">
                  <c:v>52</c:v>
                </c:pt>
                <c:pt idx="1">
                  <c:v>49.999999999999993</c:v>
                </c:pt>
                <c:pt idx="2">
                  <c:v>31.000000000000007</c:v>
                </c:pt>
                <c:pt idx="3">
                  <c:v>51.999999999999979</c:v>
                </c:pt>
                <c:pt idx="4">
                  <c:v>30.999999999999993</c:v>
                </c:pt>
                <c:pt idx="5">
                  <c:v>31.000000000000014</c:v>
                </c:pt>
                <c:pt idx="6">
                  <c:v>51.999999999999972</c:v>
                </c:pt>
                <c:pt idx="7">
                  <c:v>49.999999999999993</c:v>
                </c:pt>
                <c:pt idx="8">
                  <c:v>31.000000000000007</c:v>
                </c:pt>
                <c:pt idx="9">
                  <c:v>51.999999999999986</c:v>
                </c:pt>
                <c:pt idx="10">
                  <c:v>30.999999999999979</c:v>
                </c:pt>
                <c:pt idx="11">
                  <c:v>30.000000000000011</c:v>
                </c:pt>
                <c:pt idx="12">
                  <c:v>52</c:v>
                </c:pt>
                <c:pt idx="13">
                  <c:v>51.999999999999979</c:v>
                </c:pt>
                <c:pt idx="14">
                  <c:v>31.000000000000011</c:v>
                </c:pt>
                <c:pt idx="15">
                  <c:v>51.999999999999986</c:v>
                </c:pt>
                <c:pt idx="16">
                  <c:v>30.999999999999979</c:v>
                </c:pt>
                <c:pt idx="17">
                  <c:v>29.999999999999986</c:v>
                </c:pt>
                <c:pt idx="18">
                  <c:v>30.999999999999986</c:v>
                </c:pt>
                <c:pt idx="19">
                  <c:v>49.999999999999993</c:v>
                </c:pt>
                <c:pt idx="20">
                  <c:v>29.999999999999996</c:v>
                </c:pt>
                <c:pt idx="21">
                  <c:v>100.36363636363635</c:v>
                </c:pt>
                <c:pt idx="22">
                  <c:v>50.000000000000014</c:v>
                </c:pt>
                <c:pt idx="23">
                  <c:v>29.999999999999993</c:v>
                </c:pt>
                <c:pt idx="24">
                  <c:v>51.99999999999995</c:v>
                </c:pt>
                <c:pt idx="25">
                  <c:v>50.000000000000014</c:v>
                </c:pt>
                <c:pt idx="26">
                  <c:v>31.000000000000004</c:v>
                </c:pt>
                <c:pt idx="27">
                  <c:v>50.000000000000021</c:v>
                </c:pt>
                <c:pt idx="28">
                  <c:v>31.000000000000004</c:v>
                </c:pt>
                <c:pt idx="29">
                  <c:v>31.000000000000007</c:v>
                </c:pt>
                <c:pt idx="30">
                  <c:v>52</c:v>
                </c:pt>
                <c:pt idx="31">
                  <c:v>50.000000000000014</c:v>
                </c:pt>
                <c:pt idx="32">
                  <c:v>0</c:v>
                </c:pt>
                <c:pt idx="33">
                  <c:v>52</c:v>
                </c:pt>
                <c:pt idx="34">
                  <c:v>50.000000000000007</c:v>
                </c:pt>
                <c:pt idx="35">
                  <c:v>93</c:v>
                </c:pt>
                <c:pt idx="36">
                  <c:v>51.999999999999986</c:v>
                </c:pt>
                <c:pt idx="37">
                  <c:v>51.999999999999979</c:v>
                </c:pt>
                <c:pt idx="38">
                  <c:v>30.999999999999986</c:v>
                </c:pt>
                <c:pt idx="39">
                  <c:v>51.999999999999979</c:v>
                </c:pt>
                <c:pt idx="40">
                  <c:v>51.999999999999979</c:v>
                </c:pt>
                <c:pt idx="41">
                  <c:v>31.000000000000004</c:v>
                </c:pt>
                <c:pt idx="42">
                  <c:v>31.000000000000011</c:v>
                </c:pt>
                <c:pt idx="43">
                  <c:v>52.000000000000007</c:v>
                </c:pt>
                <c:pt idx="44">
                  <c:v>30.999999999999975</c:v>
                </c:pt>
                <c:pt idx="45">
                  <c:v>120.44444444444443</c:v>
                </c:pt>
                <c:pt idx="46">
                  <c:v>52.000000000000007</c:v>
                </c:pt>
                <c:pt idx="47">
                  <c:v>31.000000000000039</c:v>
                </c:pt>
                <c:pt idx="48">
                  <c:v>51.999999999999943</c:v>
                </c:pt>
                <c:pt idx="49">
                  <c:v>51.999999999999986</c:v>
                </c:pt>
                <c:pt idx="50">
                  <c:v>31.000000000000004</c:v>
                </c:pt>
                <c:pt idx="51">
                  <c:v>60.666666666666679</c:v>
                </c:pt>
                <c:pt idx="52">
                  <c:v>52.000000000000014</c:v>
                </c:pt>
                <c:pt idx="53">
                  <c:v>31.000000000000028</c:v>
                </c:pt>
                <c:pt idx="54">
                  <c:v>51.999999999999964</c:v>
                </c:pt>
                <c:pt idx="55">
                  <c:v>51.999999999999979</c:v>
                </c:pt>
                <c:pt idx="56">
                  <c:v>29.999999999999986</c:v>
                </c:pt>
                <c:pt idx="57">
                  <c:v>51.999999999999915</c:v>
                </c:pt>
                <c:pt idx="58">
                  <c:v>50.000000000000007</c:v>
                </c:pt>
                <c:pt idx="59">
                  <c:v>30</c:v>
                </c:pt>
                <c:pt idx="60">
                  <c:v>53.99999999999995</c:v>
                </c:pt>
                <c:pt idx="61">
                  <c:v>52</c:v>
                </c:pt>
                <c:pt idx="62">
                  <c:v>30.999999999999989</c:v>
                </c:pt>
                <c:pt idx="63">
                  <c:v>52</c:v>
                </c:pt>
                <c:pt idx="64">
                  <c:v>31.000000000000004</c:v>
                </c:pt>
                <c:pt idx="65">
                  <c:v>30.999999999999989</c:v>
                </c:pt>
                <c:pt idx="66">
                  <c:v>52.000000000000014</c:v>
                </c:pt>
                <c:pt idx="67">
                  <c:v>34</c:v>
                </c:pt>
                <c:pt idx="68">
                  <c:v>29.999999999999986</c:v>
                </c:pt>
                <c:pt idx="69">
                  <c:v>56.428571428571381</c:v>
                </c:pt>
                <c:pt idx="70">
                  <c:v>30.999999999999993</c:v>
                </c:pt>
                <c:pt idx="71">
                  <c:v>29.999999999999986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D7D-4231-A0D1-853D049395B6}"/>
            </c:ext>
          </c:extLst>
        </c:ser>
        <c:ser>
          <c:idx val="73"/>
          <c:order val="73"/>
          <c:tx>
            <c:strRef>
              <c:f>LRMC!$A$77:$C$77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Node_2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LRMC!$D$77:$BW$77</c:f>
              <c:numCache>
                <c:formatCode>0</c:formatCode>
                <c:ptCount val="72"/>
                <c:pt idx="0">
                  <c:v>52.000000000000007</c:v>
                </c:pt>
                <c:pt idx="1">
                  <c:v>49.999999999999986</c:v>
                </c:pt>
                <c:pt idx="2">
                  <c:v>31.000000000000007</c:v>
                </c:pt>
                <c:pt idx="3">
                  <c:v>52</c:v>
                </c:pt>
                <c:pt idx="4">
                  <c:v>31.000000000000004</c:v>
                </c:pt>
                <c:pt idx="5">
                  <c:v>31.000000000000014</c:v>
                </c:pt>
                <c:pt idx="6">
                  <c:v>51.999999999999986</c:v>
                </c:pt>
                <c:pt idx="7">
                  <c:v>49.999999999999993</c:v>
                </c:pt>
                <c:pt idx="8">
                  <c:v>31.000000000000007</c:v>
                </c:pt>
                <c:pt idx="9">
                  <c:v>51.999999999999986</c:v>
                </c:pt>
                <c:pt idx="10">
                  <c:v>31.000000000000004</c:v>
                </c:pt>
                <c:pt idx="11">
                  <c:v>30</c:v>
                </c:pt>
                <c:pt idx="12">
                  <c:v>51.999999999999986</c:v>
                </c:pt>
                <c:pt idx="13">
                  <c:v>52.000000000000007</c:v>
                </c:pt>
                <c:pt idx="14">
                  <c:v>31.000000000000011</c:v>
                </c:pt>
                <c:pt idx="15">
                  <c:v>51.999999999999986</c:v>
                </c:pt>
                <c:pt idx="16">
                  <c:v>31.000000000000004</c:v>
                </c:pt>
                <c:pt idx="17">
                  <c:v>30</c:v>
                </c:pt>
                <c:pt idx="18">
                  <c:v>30.999999999999996</c:v>
                </c:pt>
                <c:pt idx="19">
                  <c:v>50.000000000000007</c:v>
                </c:pt>
                <c:pt idx="20">
                  <c:v>29.999999999999996</c:v>
                </c:pt>
                <c:pt idx="21">
                  <c:v>100.36363636363632</c:v>
                </c:pt>
                <c:pt idx="22">
                  <c:v>50.000000000000014</c:v>
                </c:pt>
                <c:pt idx="23">
                  <c:v>29.999999999999996</c:v>
                </c:pt>
                <c:pt idx="24">
                  <c:v>51.999999999999986</c:v>
                </c:pt>
                <c:pt idx="25">
                  <c:v>50.000000000000014</c:v>
                </c:pt>
                <c:pt idx="26">
                  <c:v>31.000000000000007</c:v>
                </c:pt>
                <c:pt idx="27">
                  <c:v>50.000000000000021</c:v>
                </c:pt>
                <c:pt idx="28">
                  <c:v>31.000000000000004</c:v>
                </c:pt>
                <c:pt idx="29">
                  <c:v>31.000000000000011</c:v>
                </c:pt>
                <c:pt idx="30">
                  <c:v>51.999999999999986</c:v>
                </c:pt>
                <c:pt idx="31">
                  <c:v>50.000000000000014</c:v>
                </c:pt>
                <c:pt idx="32">
                  <c:v>0</c:v>
                </c:pt>
                <c:pt idx="33">
                  <c:v>52</c:v>
                </c:pt>
                <c:pt idx="34">
                  <c:v>50.000000000000007</c:v>
                </c:pt>
                <c:pt idx="35">
                  <c:v>93.000000000000028</c:v>
                </c:pt>
                <c:pt idx="36">
                  <c:v>51.999999999999986</c:v>
                </c:pt>
                <c:pt idx="37">
                  <c:v>51.999999999999979</c:v>
                </c:pt>
                <c:pt idx="38">
                  <c:v>30.999999999999996</c:v>
                </c:pt>
                <c:pt idx="39">
                  <c:v>52.000000000000007</c:v>
                </c:pt>
                <c:pt idx="40">
                  <c:v>51.999999999999979</c:v>
                </c:pt>
                <c:pt idx="41">
                  <c:v>31.000000000000004</c:v>
                </c:pt>
                <c:pt idx="42">
                  <c:v>31.000000000000004</c:v>
                </c:pt>
                <c:pt idx="43">
                  <c:v>52.000000000000014</c:v>
                </c:pt>
                <c:pt idx="44">
                  <c:v>30.999999999999996</c:v>
                </c:pt>
                <c:pt idx="45">
                  <c:v>120.44444444444444</c:v>
                </c:pt>
                <c:pt idx="46">
                  <c:v>51.999999999999972</c:v>
                </c:pt>
                <c:pt idx="47">
                  <c:v>31.000000000000039</c:v>
                </c:pt>
                <c:pt idx="48">
                  <c:v>52</c:v>
                </c:pt>
                <c:pt idx="49">
                  <c:v>52.000000000000007</c:v>
                </c:pt>
                <c:pt idx="50">
                  <c:v>30.999999999999996</c:v>
                </c:pt>
                <c:pt idx="51">
                  <c:v>60.666666666666679</c:v>
                </c:pt>
                <c:pt idx="52">
                  <c:v>52</c:v>
                </c:pt>
                <c:pt idx="53">
                  <c:v>31.000000000000028</c:v>
                </c:pt>
                <c:pt idx="54">
                  <c:v>52.000000000000007</c:v>
                </c:pt>
                <c:pt idx="55">
                  <c:v>52.000000000000007</c:v>
                </c:pt>
                <c:pt idx="56">
                  <c:v>29.999999999999996</c:v>
                </c:pt>
                <c:pt idx="57">
                  <c:v>51.999999999999929</c:v>
                </c:pt>
                <c:pt idx="58">
                  <c:v>50.000000000000007</c:v>
                </c:pt>
                <c:pt idx="59">
                  <c:v>30</c:v>
                </c:pt>
                <c:pt idx="60">
                  <c:v>54</c:v>
                </c:pt>
                <c:pt idx="61">
                  <c:v>52</c:v>
                </c:pt>
                <c:pt idx="62">
                  <c:v>31.000000000000004</c:v>
                </c:pt>
                <c:pt idx="63">
                  <c:v>52.000000000000007</c:v>
                </c:pt>
                <c:pt idx="64">
                  <c:v>31.000000000000004</c:v>
                </c:pt>
                <c:pt idx="65">
                  <c:v>31.000000000000004</c:v>
                </c:pt>
                <c:pt idx="66">
                  <c:v>52.000000000000014</c:v>
                </c:pt>
                <c:pt idx="67">
                  <c:v>34</c:v>
                </c:pt>
                <c:pt idx="68">
                  <c:v>30</c:v>
                </c:pt>
                <c:pt idx="69">
                  <c:v>56.428571428571409</c:v>
                </c:pt>
                <c:pt idx="70">
                  <c:v>30.999999999999993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8D7D-4231-A0D1-853D049395B6}"/>
            </c:ext>
          </c:extLst>
        </c:ser>
        <c:ser>
          <c:idx val="74"/>
          <c:order val="74"/>
          <c:tx>
            <c:strRef>
              <c:f>LRMC!$A$78:$C$78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Node_3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LRMC!$D$78:$BW$78</c:f>
              <c:numCache>
                <c:formatCode>0</c:formatCode>
                <c:ptCount val="72"/>
                <c:pt idx="0">
                  <c:v>52.000000000000007</c:v>
                </c:pt>
                <c:pt idx="1">
                  <c:v>49.999999999999986</c:v>
                </c:pt>
                <c:pt idx="2">
                  <c:v>31.000000000000007</c:v>
                </c:pt>
                <c:pt idx="3">
                  <c:v>52</c:v>
                </c:pt>
                <c:pt idx="4">
                  <c:v>31.000000000000004</c:v>
                </c:pt>
                <c:pt idx="5">
                  <c:v>31.000000000000014</c:v>
                </c:pt>
                <c:pt idx="6">
                  <c:v>51.999999999999986</c:v>
                </c:pt>
                <c:pt idx="7">
                  <c:v>49.999999999999993</c:v>
                </c:pt>
                <c:pt idx="8">
                  <c:v>31.000000000000007</c:v>
                </c:pt>
                <c:pt idx="9">
                  <c:v>51.999999999999986</c:v>
                </c:pt>
                <c:pt idx="10">
                  <c:v>31.000000000000004</c:v>
                </c:pt>
                <c:pt idx="11">
                  <c:v>30</c:v>
                </c:pt>
                <c:pt idx="12">
                  <c:v>51.999999999999986</c:v>
                </c:pt>
                <c:pt idx="13">
                  <c:v>52.000000000000007</c:v>
                </c:pt>
                <c:pt idx="14">
                  <c:v>31.000000000000011</c:v>
                </c:pt>
                <c:pt idx="15">
                  <c:v>51.999999999999986</c:v>
                </c:pt>
                <c:pt idx="16">
                  <c:v>31.000000000000004</c:v>
                </c:pt>
                <c:pt idx="17">
                  <c:v>30</c:v>
                </c:pt>
                <c:pt idx="18">
                  <c:v>30.999999999999996</c:v>
                </c:pt>
                <c:pt idx="19">
                  <c:v>50.000000000000007</c:v>
                </c:pt>
                <c:pt idx="20">
                  <c:v>29.999999999999996</c:v>
                </c:pt>
                <c:pt idx="21">
                  <c:v>100.36363636363632</c:v>
                </c:pt>
                <c:pt idx="22">
                  <c:v>50.000000000000014</c:v>
                </c:pt>
                <c:pt idx="23">
                  <c:v>29.999999999999996</c:v>
                </c:pt>
                <c:pt idx="24">
                  <c:v>51.999999999999986</c:v>
                </c:pt>
                <c:pt idx="25">
                  <c:v>50.000000000000014</c:v>
                </c:pt>
                <c:pt idx="26">
                  <c:v>31.000000000000007</c:v>
                </c:pt>
                <c:pt idx="27">
                  <c:v>50.000000000000021</c:v>
                </c:pt>
                <c:pt idx="28">
                  <c:v>31.000000000000004</c:v>
                </c:pt>
                <c:pt idx="29">
                  <c:v>31.000000000000011</c:v>
                </c:pt>
                <c:pt idx="30">
                  <c:v>51.999999999999986</c:v>
                </c:pt>
                <c:pt idx="31">
                  <c:v>50.000000000000014</c:v>
                </c:pt>
                <c:pt idx="32">
                  <c:v>0</c:v>
                </c:pt>
                <c:pt idx="33">
                  <c:v>52</c:v>
                </c:pt>
                <c:pt idx="34">
                  <c:v>50.000000000000007</c:v>
                </c:pt>
                <c:pt idx="35">
                  <c:v>93</c:v>
                </c:pt>
                <c:pt idx="36">
                  <c:v>51.999999999999986</c:v>
                </c:pt>
                <c:pt idx="37">
                  <c:v>51.999999999999979</c:v>
                </c:pt>
                <c:pt idx="38">
                  <c:v>30.999999999999996</c:v>
                </c:pt>
                <c:pt idx="39">
                  <c:v>52.000000000000036</c:v>
                </c:pt>
                <c:pt idx="40">
                  <c:v>51.999999999999979</c:v>
                </c:pt>
                <c:pt idx="41">
                  <c:v>31.000000000000004</c:v>
                </c:pt>
                <c:pt idx="42">
                  <c:v>31.000000000000004</c:v>
                </c:pt>
                <c:pt idx="43">
                  <c:v>52.000000000000007</c:v>
                </c:pt>
                <c:pt idx="44">
                  <c:v>30.999999999999996</c:v>
                </c:pt>
                <c:pt idx="45">
                  <c:v>120.44444444444444</c:v>
                </c:pt>
                <c:pt idx="46">
                  <c:v>51.999999999999964</c:v>
                </c:pt>
                <c:pt idx="47">
                  <c:v>31.000000000000039</c:v>
                </c:pt>
                <c:pt idx="48">
                  <c:v>52</c:v>
                </c:pt>
                <c:pt idx="49">
                  <c:v>52.000000000000007</c:v>
                </c:pt>
                <c:pt idx="50">
                  <c:v>30.999999999999996</c:v>
                </c:pt>
                <c:pt idx="51">
                  <c:v>60.666666666666679</c:v>
                </c:pt>
                <c:pt idx="52">
                  <c:v>52</c:v>
                </c:pt>
                <c:pt idx="53">
                  <c:v>31.000000000000028</c:v>
                </c:pt>
                <c:pt idx="54">
                  <c:v>52.000000000000007</c:v>
                </c:pt>
                <c:pt idx="55">
                  <c:v>52.000000000000007</c:v>
                </c:pt>
                <c:pt idx="56">
                  <c:v>29.999999999999996</c:v>
                </c:pt>
                <c:pt idx="57">
                  <c:v>51.999999999999929</c:v>
                </c:pt>
                <c:pt idx="58">
                  <c:v>50.000000000000007</c:v>
                </c:pt>
                <c:pt idx="59">
                  <c:v>30</c:v>
                </c:pt>
                <c:pt idx="60">
                  <c:v>54</c:v>
                </c:pt>
                <c:pt idx="61">
                  <c:v>52</c:v>
                </c:pt>
                <c:pt idx="62">
                  <c:v>31.000000000000004</c:v>
                </c:pt>
                <c:pt idx="63">
                  <c:v>52</c:v>
                </c:pt>
                <c:pt idx="64">
                  <c:v>31.000000000000004</c:v>
                </c:pt>
                <c:pt idx="65">
                  <c:v>31.000000000000004</c:v>
                </c:pt>
                <c:pt idx="66">
                  <c:v>52.000000000000014</c:v>
                </c:pt>
                <c:pt idx="67">
                  <c:v>34</c:v>
                </c:pt>
                <c:pt idx="68">
                  <c:v>30</c:v>
                </c:pt>
                <c:pt idx="69">
                  <c:v>56.428571428571381</c:v>
                </c:pt>
                <c:pt idx="70">
                  <c:v>30.999999999999993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8D7D-4231-A0D1-853D049395B6}"/>
            </c:ext>
          </c:extLst>
        </c:ser>
        <c:ser>
          <c:idx val="75"/>
          <c:order val="75"/>
          <c:tx>
            <c:strRef>
              <c:f>LRMC!$A$79:$C$79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Node_4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LRMC!$D$79:$BW$79</c:f>
              <c:numCache>
                <c:formatCode>0</c:formatCode>
                <c:ptCount val="72"/>
                <c:pt idx="0">
                  <c:v>52</c:v>
                </c:pt>
                <c:pt idx="1">
                  <c:v>49.999999999999993</c:v>
                </c:pt>
                <c:pt idx="2">
                  <c:v>31.000000000000007</c:v>
                </c:pt>
                <c:pt idx="3">
                  <c:v>51.999999999999979</c:v>
                </c:pt>
                <c:pt idx="4">
                  <c:v>31.000000000000004</c:v>
                </c:pt>
                <c:pt idx="5">
                  <c:v>31.000000000000014</c:v>
                </c:pt>
                <c:pt idx="6">
                  <c:v>51.999999999999986</c:v>
                </c:pt>
                <c:pt idx="7">
                  <c:v>49.999999999999993</c:v>
                </c:pt>
                <c:pt idx="8">
                  <c:v>31.000000000000007</c:v>
                </c:pt>
                <c:pt idx="9">
                  <c:v>51.999999999999986</c:v>
                </c:pt>
                <c:pt idx="10">
                  <c:v>30.999999999999993</c:v>
                </c:pt>
                <c:pt idx="11">
                  <c:v>30.000000000000011</c:v>
                </c:pt>
                <c:pt idx="12">
                  <c:v>52</c:v>
                </c:pt>
                <c:pt idx="13">
                  <c:v>52</c:v>
                </c:pt>
                <c:pt idx="14">
                  <c:v>31.000000000000011</c:v>
                </c:pt>
                <c:pt idx="15">
                  <c:v>51.999999999999986</c:v>
                </c:pt>
                <c:pt idx="16">
                  <c:v>30.999999999999993</c:v>
                </c:pt>
                <c:pt idx="17">
                  <c:v>30</c:v>
                </c:pt>
                <c:pt idx="18">
                  <c:v>30.999999999999996</c:v>
                </c:pt>
                <c:pt idx="19">
                  <c:v>49.999999999999993</c:v>
                </c:pt>
                <c:pt idx="20">
                  <c:v>30.000000000000011</c:v>
                </c:pt>
                <c:pt idx="21">
                  <c:v>100.36363636363635</c:v>
                </c:pt>
                <c:pt idx="22">
                  <c:v>50.000000000000014</c:v>
                </c:pt>
                <c:pt idx="23">
                  <c:v>30.000000000000014</c:v>
                </c:pt>
                <c:pt idx="24">
                  <c:v>51.999999999999972</c:v>
                </c:pt>
                <c:pt idx="25">
                  <c:v>50.000000000000014</c:v>
                </c:pt>
                <c:pt idx="26">
                  <c:v>31.000000000000007</c:v>
                </c:pt>
                <c:pt idx="27">
                  <c:v>50.000000000000021</c:v>
                </c:pt>
                <c:pt idx="28">
                  <c:v>31.000000000000004</c:v>
                </c:pt>
                <c:pt idx="29">
                  <c:v>31.000000000000007</c:v>
                </c:pt>
                <c:pt idx="30">
                  <c:v>52</c:v>
                </c:pt>
                <c:pt idx="31">
                  <c:v>50.000000000000014</c:v>
                </c:pt>
                <c:pt idx="32">
                  <c:v>0</c:v>
                </c:pt>
                <c:pt idx="33">
                  <c:v>52</c:v>
                </c:pt>
                <c:pt idx="34">
                  <c:v>50.000000000000007</c:v>
                </c:pt>
                <c:pt idx="35">
                  <c:v>93</c:v>
                </c:pt>
                <c:pt idx="36">
                  <c:v>51.999999999999986</c:v>
                </c:pt>
                <c:pt idx="37">
                  <c:v>51.999999999999986</c:v>
                </c:pt>
                <c:pt idx="38">
                  <c:v>30.999999999999993</c:v>
                </c:pt>
                <c:pt idx="39">
                  <c:v>52</c:v>
                </c:pt>
                <c:pt idx="40">
                  <c:v>51.999999999999979</c:v>
                </c:pt>
                <c:pt idx="41">
                  <c:v>31.000000000000004</c:v>
                </c:pt>
                <c:pt idx="42">
                  <c:v>31.000000000000004</c:v>
                </c:pt>
                <c:pt idx="43">
                  <c:v>52.000000000000007</c:v>
                </c:pt>
                <c:pt idx="44">
                  <c:v>30.999999999999989</c:v>
                </c:pt>
                <c:pt idx="45">
                  <c:v>120.44444444444443</c:v>
                </c:pt>
                <c:pt idx="46">
                  <c:v>51.999999999999964</c:v>
                </c:pt>
                <c:pt idx="47">
                  <c:v>31.000000000000039</c:v>
                </c:pt>
                <c:pt idx="48">
                  <c:v>51.999999999999979</c:v>
                </c:pt>
                <c:pt idx="49">
                  <c:v>51.999999999999986</c:v>
                </c:pt>
                <c:pt idx="50">
                  <c:v>31.000000000000004</c:v>
                </c:pt>
                <c:pt idx="51">
                  <c:v>60.666666666666679</c:v>
                </c:pt>
                <c:pt idx="52">
                  <c:v>52</c:v>
                </c:pt>
                <c:pt idx="53">
                  <c:v>31.000000000000011</c:v>
                </c:pt>
                <c:pt idx="54">
                  <c:v>51.999999999999986</c:v>
                </c:pt>
                <c:pt idx="55">
                  <c:v>52</c:v>
                </c:pt>
                <c:pt idx="56">
                  <c:v>29.999999999999996</c:v>
                </c:pt>
                <c:pt idx="57">
                  <c:v>51.999999999999915</c:v>
                </c:pt>
                <c:pt idx="58">
                  <c:v>50.000000000000007</c:v>
                </c:pt>
                <c:pt idx="59">
                  <c:v>30.000000000000011</c:v>
                </c:pt>
                <c:pt idx="60">
                  <c:v>54</c:v>
                </c:pt>
                <c:pt idx="61">
                  <c:v>52</c:v>
                </c:pt>
                <c:pt idx="62">
                  <c:v>30.999999999999996</c:v>
                </c:pt>
                <c:pt idx="63">
                  <c:v>52</c:v>
                </c:pt>
                <c:pt idx="64">
                  <c:v>31.000000000000004</c:v>
                </c:pt>
                <c:pt idx="65">
                  <c:v>31.000000000000004</c:v>
                </c:pt>
                <c:pt idx="66">
                  <c:v>52.000000000000014</c:v>
                </c:pt>
                <c:pt idx="67">
                  <c:v>34</c:v>
                </c:pt>
                <c:pt idx="68">
                  <c:v>30.000000000000004</c:v>
                </c:pt>
                <c:pt idx="69">
                  <c:v>56.428571428571381</c:v>
                </c:pt>
                <c:pt idx="70">
                  <c:v>30.999999999999993</c:v>
                </c:pt>
                <c:pt idx="71">
                  <c:v>30.000000000000004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8D7D-4231-A0D1-853D049395B6}"/>
            </c:ext>
          </c:extLst>
        </c:ser>
        <c:ser>
          <c:idx val="76"/>
          <c:order val="76"/>
          <c:tx>
            <c:strRef>
              <c:f>LRMC!$A$80:$C$80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Node_5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LRMC!$D$80:$BW$80</c:f>
              <c:numCache>
                <c:formatCode>0</c:formatCode>
                <c:ptCount val="72"/>
                <c:pt idx="0">
                  <c:v>52</c:v>
                </c:pt>
                <c:pt idx="1">
                  <c:v>49.999999999999993</c:v>
                </c:pt>
                <c:pt idx="2">
                  <c:v>31.000000000000007</c:v>
                </c:pt>
                <c:pt idx="3">
                  <c:v>51.999999999999979</c:v>
                </c:pt>
                <c:pt idx="4">
                  <c:v>31.000000000000004</c:v>
                </c:pt>
                <c:pt idx="5">
                  <c:v>31.000000000000014</c:v>
                </c:pt>
                <c:pt idx="6">
                  <c:v>51.999999999999986</c:v>
                </c:pt>
                <c:pt idx="7">
                  <c:v>49.999999999999993</c:v>
                </c:pt>
                <c:pt idx="8">
                  <c:v>31.000000000000007</c:v>
                </c:pt>
                <c:pt idx="9">
                  <c:v>51.999999999999986</c:v>
                </c:pt>
                <c:pt idx="10">
                  <c:v>30.999999999999993</c:v>
                </c:pt>
                <c:pt idx="11">
                  <c:v>30.000000000000011</c:v>
                </c:pt>
                <c:pt idx="12">
                  <c:v>52</c:v>
                </c:pt>
                <c:pt idx="13">
                  <c:v>52</c:v>
                </c:pt>
                <c:pt idx="14">
                  <c:v>31.000000000000011</c:v>
                </c:pt>
                <c:pt idx="15">
                  <c:v>51.999999999999986</c:v>
                </c:pt>
                <c:pt idx="16">
                  <c:v>30.999999999999993</c:v>
                </c:pt>
                <c:pt idx="17">
                  <c:v>30</c:v>
                </c:pt>
                <c:pt idx="18">
                  <c:v>30.999999999999996</c:v>
                </c:pt>
                <c:pt idx="19">
                  <c:v>49.999999999999993</c:v>
                </c:pt>
                <c:pt idx="20">
                  <c:v>30.000000000000011</c:v>
                </c:pt>
                <c:pt idx="21">
                  <c:v>100.36363636363635</c:v>
                </c:pt>
                <c:pt idx="22">
                  <c:v>50.000000000000014</c:v>
                </c:pt>
                <c:pt idx="23">
                  <c:v>30.000000000000014</c:v>
                </c:pt>
                <c:pt idx="24">
                  <c:v>51.999999999999972</c:v>
                </c:pt>
                <c:pt idx="25">
                  <c:v>50.000000000000014</c:v>
                </c:pt>
                <c:pt idx="26">
                  <c:v>31.000000000000007</c:v>
                </c:pt>
                <c:pt idx="27">
                  <c:v>50.000000000000021</c:v>
                </c:pt>
                <c:pt idx="28">
                  <c:v>31.000000000000004</c:v>
                </c:pt>
                <c:pt idx="29">
                  <c:v>31.000000000000007</c:v>
                </c:pt>
                <c:pt idx="30">
                  <c:v>52</c:v>
                </c:pt>
                <c:pt idx="31">
                  <c:v>50.000000000000014</c:v>
                </c:pt>
                <c:pt idx="32">
                  <c:v>0</c:v>
                </c:pt>
                <c:pt idx="33">
                  <c:v>52</c:v>
                </c:pt>
                <c:pt idx="34">
                  <c:v>50.000000000000007</c:v>
                </c:pt>
                <c:pt idx="35">
                  <c:v>93</c:v>
                </c:pt>
                <c:pt idx="36">
                  <c:v>51.999999999999986</c:v>
                </c:pt>
                <c:pt idx="37">
                  <c:v>51.999999999999986</c:v>
                </c:pt>
                <c:pt idx="38">
                  <c:v>30.999999999999993</c:v>
                </c:pt>
                <c:pt idx="39">
                  <c:v>52</c:v>
                </c:pt>
                <c:pt idx="40">
                  <c:v>51.999999999999979</c:v>
                </c:pt>
                <c:pt idx="41">
                  <c:v>31.000000000000004</c:v>
                </c:pt>
                <c:pt idx="42">
                  <c:v>31.000000000000004</c:v>
                </c:pt>
                <c:pt idx="43">
                  <c:v>52.000000000000007</c:v>
                </c:pt>
                <c:pt idx="44">
                  <c:v>30.999999999999989</c:v>
                </c:pt>
                <c:pt idx="45">
                  <c:v>120.44444444444443</c:v>
                </c:pt>
                <c:pt idx="46">
                  <c:v>51.999999999999964</c:v>
                </c:pt>
                <c:pt idx="47">
                  <c:v>31.000000000000039</c:v>
                </c:pt>
                <c:pt idx="48">
                  <c:v>51.999999999999979</c:v>
                </c:pt>
                <c:pt idx="49">
                  <c:v>51.999999999999986</c:v>
                </c:pt>
                <c:pt idx="50">
                  <c:v>31.000000000000004</c:v>
                </c:pt>
                <c:pt idx="51">
                  <c:v>60.666666666666679</c:v>
                </c:pt>
                <c:pt idx="52">
                  <c:v>52</c:v>
                </c:pt>
                <c:pt idx="53">
                  <c:v>31.000000000000011</c:v>
                </c:pt>
                <c:pt idx="54">
                  <c:v>51.999999999999986</c:v>
                </c:pt>
                <c:pt idx="55">
                  <c:v>52</c:v>
                </c:pt>
                <c:pt idx="56">
                  <c:v>29.999999999999996</c:v>
                </c:pt>
                <c:pt idx="57">
                  <c:v>51.999999999999915</c:v>
                </c:pt>
                <c:pt idx="58">
                  <c:v>50.000000000000007</c:v>
                </c:pt>
                <c:pt idx="59">
                  <c:v>30.000000000000011</c:v>
                </c:pt>
                <c:pt idx="60">
                  <c:v>54</c:v>
                </c:pt>
                <c:pt idx="61">
                  <c:v>52</c:v>
                </c:pt>
                <c:pt idx="62">
                  <c:v>30.999999999999996</c:v>
                </c:pt>
                <c:pt idx="63">
                  <c:v>52</c:v>
                </c:pt>
                <c:pt idx="64">
                  <c:v>31.000000000000004</c:v>
                </c:pt>
                <c:pt idx="65">
                  <c:v>31.000000000000004</c:v>
                </c:pt>
                <c:pt idx="66">
                  <c:v>52.000000000000014</c:v>
                </c:pt>
                <c:pt idx="67">
                  <c:v>34</c:v>
                </c:pt>
                <c:pt idx="68">
                  <c:v>30.000000000000004</c:v>
                </c:pt>
                <c:pt idx="69">
                  <c:v>56.428571428571381</c:v>
                </c:pt>
                <c:pt idx="70">
                  <c:v>30.999999999999993</c:v>
                </c:pt>
                <c:pt idx="71">
                  <c:v>30.000000000000004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8D7D-4231-A0D1-853D049395B6}"/>
            </c:ext>
          </c:extLst>
        </c:ser>
        <c:ser>
          <c:idx val="77"/>
          <c:order val="77"/>
          <c:tx>
            <c:strRef>
              <c:f>LRMC!$A$81:$C$81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Node_6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LRMC!$D$81:$BW$81</c:f>
              <c:numCache>
                <c:formatCode>0</c:formatCode>
                <c:ptCount val="72"/>
                <c:pt idx="0">
                  <c:v>52.000000000000021</c:v>
                </c:pt>
                <c:pt idx="1">
                  <c:v>49.999999999999986</c:v>
                </c:pt>
                <c:pt idx="2">
                  <c:v>31.000000000000007</c:v>
                </c:pt>
                <c:pt idx="3">
                  <c:v>52</c:v>
                </c:pt>
                <c:pt idx="4">
                  <c:v>31.000000000000007</c:v>
                </c:pt>
                <c:pt idx="5">
                  <c:v>31.000000000000014</c:v>
                </c:pt>
                <c:pt idx="6">
                  <c:v>51.999999999999986</c:v>
                </c:pt>
                <c:pt idx="7">
                  <c:v>49.999999999999993</c:v>
                </c:pt>
                <c:pt idx="8">
                  <c:v>31.000000000000007</c:v>
                </c:pt>
                <c:pt idx="9">
                  <c:v>51.999999999999986</c:v>
                </c:pt>
                <c:pt idx="10">
                  <c:v>31.000000000000007</c:v>
                </c:pt>
                <c:pt idx="11">
                  <c:v>29.999999999999996</c:v>
                </c:pt>
                <c:pt idx="12">
                  <c:v>52.000000000000007</c:v>
                </c:pt>
                <c:pt idx="13">
                  <c:v>52.000000000000014</c:v>
                </c:pt>
                <c:pt idx="14">
                  <c:v>31.000000000000011</c:v>
                </c:pt>
                <c:pt idx="15">
                  <c:v>51.999999999999986</c:v>
                </c:pt>
                <c:pt idx="16">
                  <c:v>31.000000000000007</c:v>
                </c:pt>
                <c:pt idx="17">
                  <c:v>29.999999999999993</c:v>
                </c:pt>
                <c:pt idx="18">
                  <c:v>31.000000000000004</c:v>
                </c:pt>
                <c:pt idx="19">
                  <c:v>50.000000000000007</c:v>
                </c:pt>
                <c:pt idx="20">
                  <c:v>29.999999999999996</c:v>
                </c:pt>
                <c:pt idx="21">
                  <c:v>100.36363636363635</c:v>
                </c:pt>
                <c:pt idx="22">
                  <c:v>50.000000000000014</c:v>
                </c:pt>
                <c:pt idx="23">
                  <c:v>29.999999999999993</c:v>
                </c:pt>
                <c:pt idx="24">
                  <c:v>51.999999999999986</c:v>
                </c:pt>
                <c:pt idx="25">
                  <c:v>50.000000000000014</c:v>
                </c:pt>
                <c:pt idx="26">
                  <c:v>31.000000000000007</c:v>
                </c:pt>
                <c:pt idx="27">
                  <c:v>50.000000000000021</c:v>
                </c:pt>
                <c:pt idx="28">
                  <c:v>31.000000000000007</c:v>
                </c:pt>
                <c:pt idx="29">
                  <c:v>31.000000000000011</c:v>
                </c:pt>
                <c:pt idx="30">
                  <c:v>52.000000000000007</c:v>
                </c:pt>
                <c:pt idx="31">
                  <c:v>50.000000000000014</c:v>
                </c:pt>
                <c:pt idx="32">
                  <c:v>0</c:v>
                </c:pt>
                <c:pt idx="33">
                  <c:v>52</c:v>
                </c:pt>
                <c:pt idx="34">
                  <c:v>50.000000000000007</c:v>
                </c:pt>
                <c:pt idx="35">
                  <c:v>93.000000000000028</c:v>
                </c:pt>
                <c:pt idx="36">
                  <c:v>51.999999999999986</c:v>
                </c:pt>
                <c:pt idx="37">
                  <c:v>51.999999999999979</c:v>
                </c:pt>
                <c:pt idx="38">
                  <c:v>30.999999999999996</c:v>
                </c:pt>
                <c:pt idx="39">
                  <c:v>52.000000000000007</c:v>
                </c:pt>
                <c:pt idx="40">
                  <c:v>51.999999999999979</c:v>
                </c:pt>
                <c:pt idx="41">
                  <c:v>31.000000000000007</c:v>
                </c:pt>
                <c:pt idx="42">
                  <c:v>31.000000000000011</c:v>
                </c:pt>
                <c:pt idx="43">
                  <c:v>52.000000000000014</c:v>
                </c:pt>
                <c:pt idx="44">
                  <c:v>31.000000000000004</c:v>
                </c:pt>
                <c:pt idx="45">
                  <c:v>120.44444444444444</c:v>
                </c:pt>
                <c:pt idx="46">
                  <c:v>51.999999999999972</c:v>
                </c:pt>
                <c:pt idx="47">
                  <c:v>31.000000000000039</c:v>
                </c:pt>
                <c:pt idx="48">
                  <c:v>52.000000000000014</c:v>
                </c:pt>
                <c:pt idx="49">
                  <c:v>52.000000000000007</c:v>
                </c:pt>
                <c:pt idx="50">
                  <c:v>31.000000000000004</c:v>
                </c:pt>
                <c:pt idx="51">
                  <c:v>60.666666666666679</c:v>
                </c:pt>
                <c:pt idx="52">
                  <c:v>51.999999999999986</c:v>
                </c:pt>
                <c:pt idx="53">
                  <c:v>31.000000000000028</c:v>
                </c:pt>
                <c:pt idx="54">
                  <c:v>52.000000000000014</c:v>
                </c:pt>
                <c:pt idx="55">
                  <c:v>52.000000000000014</c:v>
                </c:pt>
                <c:pt idx="56">
                  <c:v>29.999999999999986</c:v>
                </c:pt>
                <c:pt idx="57">
                  <c:v>51.999999999999929</c:v>
                </c:pt>
                <c:pt idx="58">
                  <c:v>50.000000000000007</c:v>
                </c:pt>
                <c:pt idx="59">
                  <c:v>30</c:v>
                </c:pt>
                <c:pt idx="60">
                  <c:v>53.999999999999993</c:v>
                </c:pt>
                <c:pt idx="61">
                  <c:v>52</c:v>
                </c:pt>
                <c:pt idx="62">
                  <c:v>31.000000000000007</c:v>
                </c:pt>
                <c:pt idx="63">
                  <c:v>52.000000000000007</c:v>
                </c:pt>
                <c:pt idx="64">
                  <c:v>31.000000000000007</c:v>
                </c:pt>
                <c:pt idx="65">
                  <c:v>31.000000000000004</c:v>
                </c:pt>
                <c:pt idx="66">
                  <c:v>52.000000000000014</c:v>
                </c:pt>
                <c:pt idx="67">
                  <c:v>34</c:v>
                </c:pt>
                <c:pt idx="68">
                  <c:v>30</c:v>
                </c:pt>
                <c:pt idx="69">
                  <c:v>56.428571428571381</c:v>
                </c:pt>
                <c:pt idx="70">
                  <c:v>31.000000000000004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8D7D-4231-A0D1-853D049395B6}"/>
            </c:ext>
          </c:extLst>
        </c:ser>
        <c:ser>
          <c:idx val="78"/>
          <c:order val="78"/>
          <c:tx>
            <c:strRef>
              <c:f>LRMC!$A$82:$C$82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Node_7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LRMC!$D$82:$BW$82</c:f>
              <c:numCache>
                <c:formatCode>0</c:formatCode>
                <c:ptCount val="72"/>
                <c:pt idx="0">
                  <c:v>52.000000000000021</c:v>
                </c:pt>
                <c:pt idx="1">
                  <c:v>49.999999999999986</c:v>
                </c:pt>
                <c:pt idx="2">
                  <c:v>31.000000000000007</c:v>
                </c:pt>
                <c:pt idx="3">
                  <c:v>52</c:v>
                </c:pt>
                <c:pt idx="4">
                  <c:v>31.000000000000007</c:v>
                </c:pt>
                <c:pt idx="5">
                  <c:v>31.000000000000014</c:v>
                </c:pt>
                <c:pt idx="6">
                  <c:v>51.999999999999986</c:v>
                </c:pt>
                <c:pt idx="7">
                  <c:v>49.999999999999993</c:v>
                </c:pt>
                <c:pt idx="8">
                  <c:v>31.000000000000007</c:v>
                </c:pt>
                <c:pt idx="9">
                  <c:v>51.999999999999986</c:v>
                </c:pt>
                <c:pt idx="10">
                  <c:v>31.000000000000007</c:v>
                </c:pt>
                <c:pt idx="11">
                  <c:v>29.999999999999996</c:v>
                </c:pt>
                <c:pt idx="12">
                  <c:v>52.000000000000007</c:v>
                </c:pt>
                <c:pt idx="13">
                  <c:v>52.000000000000014</c:v>
                </c:pt>
                <c:pt idx="14">
                  <c:v>31.000000000000011</c:v>
                </c:pt>
                <c:pt idx="15">
                  <c:v>51.999999999999986</c:v>
                </c:pt>
                <c:pt idx="16">
                  <c:v>31.000000000000007</c:v>
                </c:pt>
                <c:pt idx="17">
                  <c:v>29.999999999999993</c:v>
                </c:pt>
                <c:pt idx="18">
                  <c:v>31.000000000000004</c:v>
                </c:pt>
                <c:pt idx="19">
                  <c:v>50.000000000000007</c:v>
                </c:pt>
                <c:pt idx="20">
                  <c:v>29.999999999999996</c:v>
                </c:pt>
                <c:pt idx="21">
                  <c:v>100.36363636363635</c:v>
                </c:pt>
                <c:pt idx="22">
                  <c:v>50.000000000000014</c:v>
                </c:pt>
                <c:pt idx="23">
                  <c:v>29.999999999999993</c:v>
                </c:pt>
                <c:pt idx="24">
                  <c:v>51.999999999999986</c:v>
                </c:pt>
                <c:pt idx="25">
                  <c:v>50.000000000000014</c:v>
                </c:pt>
                <c:pt idx="26">
                  <c:v>31.000000000000007</c:v>
                </c:pt>
                <c:pt idx="27">
                  <c:v>50.000000000000021</c:v>
                </c:pt>
                <c:pt idx="28">
                  <c:v>31.000000000000007</c:v>
                </c:pt>
                <c:pt idx="29">
                  <c:v>31.000000000000011</c:v>
                </c:pt>
                <c:pt idx="30">
                  <c:v>52.000000000000007</c:v>
                </c:pt>
                <c:pt idx="31">
                  <c:v>50.000000000000014</c:v>
                </c:pt>
                <c:pt idx="32">
                  <c:v>0</c:v>
                </c:pt>
                <c:pt idx="33">
                  <c:v>52</c:v>
                </c:pt>
                <c:pt idx="34">
                  <c:v>50.000000000000007</c:v>
                </c:pt>
                <c:pt idx="35">
                  <c:v>93.000000000000028</c:v>
                </c:pt>
                <c:pt idx="36">
                  <c:v>51.999999999999986</c:v>
                </c:pt>
                <c:pt idx="37">
                  <c:v>51.999999999999979</c:v>
                </c:pt>
                <c:pt idx="38">
                  <c:v>30.999999999999996</c:v>
                </c:pt>
                <c:pt idx="39">
                  <c:v>52.000000000000007</c:v>
                </c:pt>
                <c:pt idx="40">
                  <c:v>51.999999999999979</c:v>
                </c:pt>
                <c:pt idx="41">
                  <c:v>31.000000000000007</c:v>
                </c:pt>
                <c:pt idx="42">
                  <c:v>31.000000000000011</c:v>
                </c:pt>
                <c:pt idx="43">
                  <c:v>52.000000000000007</c:v>
                </c:pt>
                <c:pt idx="44">
                  <c:v>31.000000000000004</c:v>
                </c:pt>
                <c:pt idx="45">
                  <c:v>120.44444444444444</c:v>
                </c:pt>
                <c:pt idx="46">
                  <c:v>51.999999999999908</c:v>
                </c:pt>
                <c:pt idx="47">
                  <c:v>31.000000000000039</c:v>
                </c:pt>
                <c:pt idx="48">
                  <c:v>52.000000000000014</c:v>
                </c:pt>
                <c:pt idx="49">
                  <c:v>52.000000000000007</c:v>
                </c:pt>
                <c:pt idx="50">
                  <c:v>31.000000000000004</c:v>
                </c:pt>
                <c:pt idx="51">
                  <c:v>60.666666666666679</c:v>
                </c:pt>
                <c:pt idx="52">
                  <c:v>51.999999999999986</c:v>
                </c:pt>
                <c:pt idx="53">
                  <c:v>31.000000000000011</c:v>
                </c:pt>
                <c:pt idx="54">
                  <c:v>52.000000000000014</c:v>
                </c:pt>
                <c:pt idx="55">
                  <c:v>52.000000000000014</c:v>
                </c:pt>
                <c:pt idx="56">
                  <c:v>29.999999999999986</c:v>
                </c:pt>
                <c:pt idx="57">
                  <c:v>51.999999999999929</c:v>
                </c:pt>
                <c:pt idx="58">
                  <c:v>50.000000000000007</c:v>
                </c:pt>
                <c:pt idx="59">
                  <c:v>30</c:v>
                </c:pt>
                <c:pt idx="60">
                  <c:v>53.999999999999993</c:v>
                </c:pt>
                <c:pt idx="61">
                  <c:v>52</c:v>
                </c:pt>
                <c:pt idx="62">
                  <c:v>31.000000000000007</c:v>
                </c:pt>
                <c:pt idx="63">
                  <c:v>52.000000000000007</c:v>
                </c:pt>
                <c:pt idx="64">
                  <c:v>31.000000000000007</c:v>
                </c:pt>
                <c:pt idx="65">
                  <c:v>31.000000000000004</c:v>
                </c:pt>
                <c:pt idx="66">
                  <c:v>52.000000000000014</c:v>
                </c:pt>
                <c:pt idx="67">
                  <c:v>34</c:v>
                </c:pt>
                <c:pt idx="68">
                  <c:v>30</c:v>
                </c:pt>
                <c:pt idx="69">
                  <c:v>56.428571428571381</c:v>
                </c:pt>
                <c:pt idx="70">
                  <c:v>31.000000000000004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8D7D-4231-A0D1-853D049395B6}"/>
            </c:ext>
          </c:extLst>
        </c:ser>
        <c:ser>
          <c:idx val="79"/>
          <c:order val="79"/>
          <c:tx>
            <c:strRef>
              <c:f>LRMC!$A$83:$C$83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Node_8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LRMC!$D$83:$BW$83</c:f>
              <c:numCache>
                <c:formatCode>0</c:formatCode>
                <c:ptCount val="72"/>
                <c:pt idx="0">
                  <c:v>52.000000000000021</c:v>
                </c:pt>
                <c:pt idx="1">
                  <c:v>49.999999999999986</c:v>
                </c:pt>
                <c:pt idx="2">
                  <c:v>31.000000000000007</c:v>
                </c:pt>
                <c:pt idx="3">
                  <c:v>52</c:v>
                </c:pt>
                <c:pt idx="4">
                  <c:v>31.000000000000007</c:v>
                </c:pt>
                <c:pt idx="5">
                  <c:v>31.000000000000014</c:v>
                </c:pt>
                <c:pt idx="6">
                  <c:v>51.999999999999986</c:v>
                </c:pt>
                <c:pt idx="7">
                  <c:v>49.999999999999993</c:v>
                </c:pt>
                <c:pt idx="8">
                  <c:v>31.000000000000007</c:v>
                </c:pt>
                <c:pt idx="9">
                  <c:v>51.999999999999986</c:v>
                </c:pt>
                <c:pt idx="10">
                  <c:v>31.000000000000007</c:v>
                </c:pt>
                <c:pt idx="11">
                  <c:v>29.999999999999996</c:v>
                </c:pt>
                <c:pt idx="12">
                  <c:v>52.000000000000007</c:v>
                </c:pt>
                <c:pt idx="13">
                  <c:v>52.000000000000014</c:v>
                </c:pt>
                <c:pt idx="14">
                  <c:v>31.000000000000011</c:v>
                </c:pt>
                <c:pt idx="15">
                  <c:v>51.999999999999986</c:v>
                </c:pt>
                <c:pt idx="16">
                  <c:v>31.000000000000007</c:v>
                </c:pt>
                <c:pt idx="17">
                  <c:v>29.999999999999993</c:v>
                </c:pt>
                <c:pt idx="18">
                  <c:v>31.000000000000004</c:v>
                </c:pt>
                <c:pt idx="19">
                  <c:v>50.000000000000007</c:v>
                </c:pt>
                <c:pt idx="20">
                  <c:v>29.999999999999996</c:v>
                </c:pt>
                <c:pt idx="21">
                  <c:v>100.36363636363635</c:v>
                </c:pt>
                <c:pt idx="22">
                  <c:v>50.000000000000014</c:v>
                </c:pt>
                <c:pt idx="23">
                  <c:v>29.999999999999993</c:v>
                </c:pt>
                <c:pt idx="24">
                  <c:v>51.999999999999986</c:v>
                </c:pt>
                <c:pt idx="25">
                  <c:v>50.000000000000014</c:v>
                </c:pt>
                <c:pt idx="26">
                  <c:v>31.000000000000007</c:v>
                </c:pt>
                <c:pt idx="27">
                  <c:v>50.000000000000021</c:v>
                </c:pt>
                <c:pt idx="28">
                  <c:v>31.000000000000007</c:v>
                </c:pt>
                <c:pt idx="29">
                  <c:v>31.000000000000011</c:v>
                </c:pt>
                <c:pt idx="30">
                  <c:v>52.000000000000007</c:v>
                </c:pt>
                <c:pt idx="31">
                  <c:v>50.000000000000014</c:v>
                </c:pt>
                <c:pt idx="32">
                  <c:v>0</c:v>
                </c:pt>
                <c:pt idx="33">
                  <c:v>52</c:v>
                </c:pt>
                <c:pt idx="34">
                  <c:v>50.000000000000007</c:v>
                </c:pt>
                <c:pt idx="35">
                  <c:v>93.000000000000028</c:v>
                </c:pt>
                <c:pt idx="36">
                  <c:v>51.999999999999986</c:v>
                </c:pt>
                <c:pt idx="37">
                  <c:v>51.999999999999979</c:v>
                </c:pt>
                <c:pt idx="38">
                  <c:v>30.999999999999996</c:v>
                </c:pt>
                <c:pt idx="39">
                  <c:v>52.000000000000007</c:v>
                </c:pt>
                <c:pt idx="40">
                  <c:v>51.999999999999979</c:v>
                </c:pt>
                <c:pt idx="41">
                  <c:v>31.000000000000007</c:v>
                </c:pt>
                <c:pt idx="42">
                  <c:v>31.000000000000011</c:v>
                </c:pt>
                <c:pt idx="43">
                  <c:v>52.000000000000007</c:v>
                </c:pt>
                <c:pt idx="44">
                  <c:v>31.000000000000004</c:v>
                </c:pt>
                <c:pt idx="45">
                  <c:v>120.44444444444444</c:v>
                </c:pt>
                <c:pt idx="46">
                  <c:v>51.999999999999908</c:v>
                </c:pt>
                <c:pt idx="47">
                  <c:v>31.000000000000039</c:v>
                </c:pt>
                <c:pt idx="48">
                  <c:v>52.000000000000014</c:v>
                </c:pt>
                <c:pt idx="49">
                  <c:v>52.000000000000007</c:v>
                </c:pt>
                <c:pt idx="50">
                  <c:v>31.000000000000004</c:v>
                </c:pt>
                <c:pt idx="51">
                  <c:v>60.666666666666679</c:v>
                </c:pt>
                <c:pt idx="52">
                  <c:v>51.999999999999986</c:v>
                </c:pt>
                <c:pt idx="53">
                  <c:v>31.000000000000011</c:v>
                </c:pt>
                <c:pt idx="54">
                  <c:v>52.000000000000014</c:v>
                </c:pt>
                <c:pt idx="55">
                  <c:v>52.000000000000014</c:v>
                </c:pt>
                <c:pt idx="56">
                  <c:v>29.999999999999986</c:v>
                </c:pt>
                <c:pt idx="57">
                  <c:v>51.999999999999929</c:v>
                </c:pt>
                <c:pt idx="58">
                  <c:v>50.000000000000007</c:v>
                </c:pt>
                <c:pt idx="59">
                  <c:v>30</c:v>
                </c:pt>
                <c:pt idx="60">
                  <c:v>53.999999999999993</c:v>
                </c:pt>
                <c:pt idx="61">
                  <c:v>52</c:v>
                </c:pt>
                <c:pt idx="62">
                  <c:v>31.000000000000007</c:v>
                </c:pt>
                <c:pt idx="63">
                  <c:v>52.000000000000007</c:v>
                </c:pt>
                <c:pt idx="64">
                  <c:v>31.000000000000007</c:v>
                </c:pt>
                <c:pt idx="65">
                  <c:v>31.000000000000004</c:v>
                </c:pt>
                <c:pt idx="66">
                  <c:v>52.000000000000014</c:v>
                </c:pt>
                <c:pt idx="67">
                  <c:v>34</c:v>
                </c:pt>
                <c:pt idx="68">
                  <c:v>30</c:v>
                </c:pt>
                <c:pt idx="69">
                  <c:v>56.428571428571381</c:v>
                </c:pt>
                <c:pt idx="70">
                  <c:v>31.000000000000004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8D7D-4231-A0D1-853D049395B6}"/>
            </c:ext>
          </c:extLst>
        </c:ser>
        <c:ser>
          <c:idx val="80"/>
          <c:order val="80"/>
          <c:tx>
            <c:strRef>
              <c:f>LRMC!$A$84:$C$84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Node_9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LRMC!$D$84:$BW$84</c:f>
              <c:numCache>
                <c:formatCode>0</c:formatCode>
                <c:ptCount val="72"/>
                <c:pt idx="0">
                  <c:v>52.000000000000021</c:v>
                </c:pt>
                <c:pt idx="1">
                  <c:v>49.999999999999986</c:v>
                </c:pt>
                <c:pt idx="2">
                  <c:v>31.000000000000007</c:v>
                </c:pt>
                <c:pt idx="3">
                  <c:v>52</c:v>
                </c:pt>
                <c:pt idx="4">
                  <c:v>31.000000000000007</c:v>
                </c:pt>
                <c:pt idx="5">
                  <c:v>31.000000000000014</c:v>
                </c:pt>
                <c:pt idx="6">
                  <c:v>51.999999999999986</c:v>
                </c:pt>
                <c:pt idx="7">
                  <c:v>49.999999999999993</c:v>
                </c:pt>
                <c:pt idx="8">
                  <c:v>31.000000000000007</c:v>
                </c:pt>
                <c:pt idx="9">
                  <c:v>51.999999999999986</c:v>
                </c:pt>
                <c:pt idx="10">
                  <c:v>31.000000000000007</c:v>
                </c:pt>
                <c:pt idx="11">
                  <c:v>29.999999999999996</c:v>
                </c:pt>
                <c:pt idx="12">
                  <c:v>52.000000000000007</c:v>
                </c:pt>
                <c:pt idx="13">
                  <c:v>52.000000000000014</c:v>
                </c:pt>
                <c:pt idx="14">
                  <c:v>31.000000000000011</c:v>
                </c:pt>
                <c:pt idx="15">
                  <c:v>51.999999999999986</c:v>
                </c:pt>
                <c:pt idx="16">
                  <c:v>31.000000000000007</c:v>
                </c:pt>
                <c:pt idx="17">
                  <c:v>29.999999999999993</c:v>
                </c:pt>
                <c:pt idx="18">
                  <c:v>31.000000000000004</c:v>
                </c:pt>
                <c:pt idx="19">
                  <c:v>50.000000000000007</c:v>
                </c:pt>
                <c:pt idx="20">
                  <c:v>29.999999999999996</c:v>
                </c:pt>
                <c:pt idx="21">
                  <c:v>100.36363636363635</c:v>
                </c:pt>
                <c:pt idx="22">
                  <c:v>50.000000000000014</c:v>
                </c:pt>
                <c:pt idx="23">
                  <c:v>29.999999999999993</c:v>
                </c:pt>
                <c:pt idx="24">
                  <c:v>51.999999999999986</c:v>
                </c:pt>
                <c:pt idx="25">
                  <c:v>50.000000000000014</c:v>
                </c:pt>
                <c:pt idx="26">
                  <c:v>31.000000000000007</c:v>
                </c:pt>
                <c:pt idx="27">
                  <c:v>50.000000000000021</c:v>
                </c:pt>
                <c:pt idx="28">
                  <c:v>31.000000000000007</c:v>
                </c:pt>
                <c:pt idx="29">
                  <c:v>31.000000000000011</c:v>
                </c:pt>
                <c:pt idx="30">
                  <c:v>52.000000000000007</c:v>
                </c:pt>
                <c:pt idx="31">
                  <c:v>50.000000000000014</c:v>
                </c:pt>
                <c:pt idx="32">
                  <c:v>0</c:v>
                </c:pt>
                <c:pt idx="33">
                  <c:v>52</c:v>
                </c:pt>
                <c:pt idx="34">
                  <c:v>50.000000000000007</c:v>
                </c:pt>
                <c:pt idx="35">
                  <c:v>93.000000000000028</c:v>
                </c:pt>
                <c:pt idx="36">
                  <c:v>51.999999999999986</c:v>
                </c:pt>
                <c:pt idx="37">
                  <c:v>51.999999999999979</c:v>
                </c:pt>
                <c:pt idx="38">
                  <c:v>30.999999999999996</c:v>
                </c:pt>
                <c:pt idx="39">
                  <c:v>52.000000000000007</c:v>
                </c:pt>
                <c:pt idx="40">
                  <c:v>51.999999999999979</c:v>
                </c:pt>
                <c:pt idx="41">
                  <c:v>31.000000000000007</c:v>
                </c:pt>
                <c:pt idx="42">
                  <c:v>31.000000000000011</c:v>
                </c:pt>
                <c:pt idx="43">
                  <c:v>52.000000000000007</c:v>
                </c:pt>
                <c:pt idx="44">
                  <c:v>31.000000000000004</c:v>
                </c:pt>
                <c:pt idx="45">
                  <c:v>120.44444444444444</c:v>
                </c:pt>
                <c:pt idx="46">
                  <c:v>51.999999999999908</c:v>
                </c:pt>
                <c:pt idx="47">
                  <c:v>31.000000000000039</c:v>
                </c:pt>
                <c:pt idx="48">
                  <c:v>52.000000000000014</c:v>
                </c:pt>
                <c:pt idx="49">
                  <c:v>52.000000000000007</c:v>
                </c:pt>
                <c:pt idx="50">
                  <c:v>31.000000000000004</c:v>
                </c:pt>
                <c:pt idx="51">
                  <c:v>60.666666666666679</c:v>
                </c:pt>
                <c:pt idx="52">
                  <c:v>51.999999999999986</c:v>
                </c:pt>
                <c:pt idx="53">
                  <c:v>31.000000000000011</c:v>
                </c:pt>
                <c:pt idx="54">
                  <c:v>52.000000000000014</c:v>
                </c:pt>
                <c:pt idx="55">
                  <c:v>52.000000000000014</c:v>
                </c:pt>
                <c:pt idx="56">
                  <c:v>29.999999999999986</c:v>
                </c:pt>
                <c:pt idx="57">
                  <c:v>51.999999999999929</c:v>
                </c:pt>
                <c:pt idx="58">
                  <c:v>50.000000000000007</c:v>
                </c:pt>
                <c:pt idx="59">
                  <c:v>30</c:v>
                </c:pt>
                <c:pt idx="60">
                  <c:v>53.999999999999993</c:v>
                </c:pt>
                <c:pt idx="61">
                  <c:v>52</c:v>
                </c:pt>
                <c:pt idx="62">
                  <c:v>31.000000000000007</c:v>
                </c:pt>
                <c:pt idx="63">
                  <c:v>52.000000000000007</c:v>
                </c:pt>
                <c:pt idx="64">
                  <c:v>31.000000000000007</c:v>
                </c:pt>
                <c:pt idx="65">
                  <c:v>31.000000000000004</c:v>
                </c:pt>
                <c:pt idx="66">
                  <c:v>52.000000000000014</c:v>
                </c:pt>
                <c:pt idx="67">
                  <c:v>34</c:v>
                </c:pt>
                <c:pt idx="68">
                  <c:v>30</c:v>
                </c:pt>
                <c:pt idx="69">
                  <c:v>56.428571428571381</c:v>
                </c:pt>
                <c:pt idx="70">
                  <c:v>31.000000000000004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8D7D-4231-A0D1-853D049395B6}"/>
            </c:ext>
          </c:extLst>
        </c:ser>
        <c:ser>
          <c:idx val="81"/>
          <c:order val="81"/>
          <c:tx>
            <c:strRef>
              <c:f>LRMC!$A$85:$C$85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Node_1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LRMC!$D$85:$BW$85</c:f>
              <c:numCache>
                <c:formatCode>0</c:formatCode>
                <c:ptCount val="72"/>
                <c:pt idx="0">
                  <c:v>54.000000000000028</c:v>
                </c:pt>
                <c:pt idx="1">
                  <c:v>54.000000000000007</c:v>
                </c:pt>
                <c:pt idx="2">
                  <c:v>31.000000000000004</c:v>
                </c:pt>
                <c:pt idx="3">
                  <c:v>53.999999999999829</c:v>
                </c:pt>
                <c:pt idx="4">
                  <c:v>34</c:v>
                </c:pt>
                <c:pt idx="5">
                  <c:v>31.000000000000004</c:v>
                </c:pt>
                <c:pt idx="6">
                  <c:v>52.000000000000021</c:v>
                </c:pt>
                <c:pt idx="7">
                  <c:v>50</c:v>
                </c:pt>
                <c:pt idx="8">
                  <c:v>30.999999999999996</c:v>
                </c:pt>
                <c:pt idx="9">
                  <c:v>51.999999999999822</c:v>
                </c:pt>
                <c:pt idx="10">
                  <c:v>50</c:v>
                </c:pt>
                <c:pt idx="11">
                  <c:v>31</c:v>
                </c:pt>
                <c:pt idx="12">
                  <c:v>50</c:v>
                </c:pt>
                <c:pt idx="13">
                  <c:v>50</c:v>
                </c:pt>
                <c:pt idx="14">
                  <c:v>31</c:v>
                </c:pt>
                <c:pt idx="15">
                  <c:v>57.59999999999981</c:v>
                </c:pt>
                <c:pt idx="16">
                  <c:v>50.000000000000014</c:v>
                </c:pt>
                <c:pt idx="17">
                  <c:v>31</c:v>
                </c:pt>
                <c:pt idx="18">
                  <c:v>30.999999999999982</c:v>
                </c:pt>
                <c:pt idx="19">
                  <c:v>52.000000000000021</c:v>
                </c:pt>
                <c:pt idx="20">
                  <c:v>30.999999999999993</c:v>
                </c:pt>
                <c:pt idx="21">
                  <c:v>106.96969696969698</c:v>
                </c:pt>
                <c:pt idx="22">
                  <c:v>52.000000000000021</c:v>
                </c:pt>
                <c:pt idx="23">
                  <c:v>30.999999999999993</c:v>
                </c:pt>
                <c:pt idx="24">
                  <c:v>51.999999999999979</c:v>
                </c:pt>
                <c:pt idx="25">
                  <c:v>51.999999999999986</c:v>
                </c:pt>
                <c:pt idx="26">
                  <c:v>0</c:v>
                </c:pt>
                <c:pt idx="27">
                  <c:v>51.999999999999972</c:v>
                </c:pt>
                <c:pt idx="28">
                  <c:v>31</c:v>
                </c:pt>
                <c:pt idx="29">
                  <c:v>87.833333333333329</c:v>
                </c:pt>
                <c:pt idx="30">
                  <c:v>51.999999999999964</c:v>
                </c:pt>
                <c:pt idx="31">
                  <c:v>50.000000000000007</c:v>
                </c:pt>
                <c:pt idx="32">
                  <c:v>30.999999999999986</c:v>
                </c:pt>
                <c:pt idx="33">
                  <c:v>52.000000000000021</c:v>
                </c:pt>
                <c:pt idx="34">
                  <c:v>50</c:v>
                </c:pt>
                <c:pt idx="35">
                  <c:v>30.999999999999986</c:v>
                </c:pt>
                <c:pt idx="36">
                  <c:v>51.999999999999964</c:v>
                </c:pt>
                <c:pt idx="37">
                  <c:v>50.000000000000014</c:v>
                </c:pt>
                <c:pt idx="38">
                  <c:v>30.999999999999982</c:v>
                </c:pt>
                <c:pt idx="39">
                  <c:v>52.000000000000021</c:v>
                </c:pt>
                <c:pt idx="40">
                  <c:v>50.000000000000007</c:v>
                </c:pt>
                <c:pt idx="41">
                  <c:v>30.999999999999986</c:v>
                </c:pt>
                <c:pt idx="42">
                  <c:v>31.000000000000007</c:v>
                </c:pt>
                <c:pt idx="43">
                  <c:v>52.000000000000007</c:v>
                </c:pt>
                <c:pt idx="44">
                  <c:v>31</c:v>
                </c:pt>
                <c:pt idx="45">
                  <c:v>128.96296296296296</c:v>
                </c:pt>
                <c:pt idx="46">
                  <c:v>52</c:v>
                </c:pt>
                <c:pt idx="47">
                  <c:v>96.444444444444471</c:v>
                </c:pt>
                <c:pt idx="48">
                  <c:v>33.999999999999993</c:v>
                </c:pt>
                <c:pt idx="49">
                  <c:v>50</c:v>
                </c:pt>
                <c:pt idx="50">
                  <c:v>0</c:v>
                </c:pt>
                <c:pt idx="51">
                  <c:v>112.0000000000001</c:v>
                </c:pt>
                <c:pt idx="52">
                  <c:v>55.692307692307708</c:v>
                </c:pt>
                <c:pt idx="53">
                  <c:v>85.250000000000014</c:v>
                </c:pt>
                <c:pt idx="54">
                  <c:v>51.999999999999972</c:v>
                </c:pt>
                <c:pt idx="55">
                  <c:v>50.000000000000014</c:v>
                </c:pt>
                <c:pt idx="56">
                  <c:v>31</c:v>
                </c:pt>
                <c:pt idx="57">
                  <c:v>52.000000000000021</c:v>
                </c:pt>
                <c:pt idx="58">
                  <c:v>31</c:v>
                </c:pt>
                <c:pt idx="59">
                  <c:v>30.999999999999996</c:v>
                </c:pt>
                <c:pt idx="60">
                  <c:v>52.000000000000007</c:v>
                </c:pt>
                <c:pt idx="61">
                  <c:v>50</c:v>
                </c:pt>
                <c:pt idx="62">
                  <c:v>30.999999999999986</c:v>
                </c:pt>
                <c:pt idx="63">
                  <c:v>51.999999999999972</c:v>
                </c:pt>
                <c:pt idx="64">
                  <c:v>49.999999999999972</c:v>
                </c:pt>
                <c:pt idx="65">
                  <c:v>31.000000000000004</c:v>
                </c:pt>
                <c:pt idx="66">
                  <c:v>55.999999999999972</c:v>
                </c:pt>
                <c:pt idx="67">
                  <c:v>54.000000000000014</c:v>
                </c:pt>
                <c:pt idx="68">
                  <c:v>30.999999999999989</c:v>
                </c:pt>
                <c:pt idx="69">
                  <c:v>53.999999999999957</c:v>
                </c:pt>
                <c:pt idx="70">
                  <c:v>49.999999999999993</c:v>
                </c:pt>
                <c:pt idx="71">
                  <c:v>30.999999999999986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8D7D-4231-A0D1-853D049395B6}"/>
            </c:ext>
          </c:extLst>
        </c:ser>
        <c:ser>
          <c:idx val="82"/>
          <c:order val="82"/>
          <c:tx>
            <c:strRef>
              <c:f>LRMC!$A$86:$C$86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Node_2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LRMC!$D$86:$BW$86</c:f>
              <c:numCache>
                <c:formatCode>0</c:formatCode>
                <c:ptCount val="72"/>
                <c:pt idx="0">
                  <c:v>54</c:v>
                </c:pt>
                <c:pt idx="1">
                  <c:v>54.000000000000007</c:v>
                </c:pt>
                <c:pt idx="2">
                  <c:v>30.999999999999996</c:v>
                </c:pt>
                <c:pt idx="3">
                  <c:v>53.999999999999829</c:v>
                </c:pt>
                <c:pt idx="4">
                  <c:v>34</c:v>
                </c:pt>
                <c:pt idx="5">
                  <c:v>31</c:v>
                </c:pt>
                <c:pt idx="6">
                  <c:v>52.000000000000021</c:v>
                </c:pt>
                <c:pt idx="7">
                  <c:v>50</c:v>
                </c:pt>
                <c:pt idx="8">
                  <c:v>30.999999999999996</c:v>
                </c:pt>
                <c:pt idx="9">
                  <c:v>51.999999999999822</c:v>
                </c:pt>
                <c:pt idx="10">
                  <c:v>50.000000000000007</c:v>
                </c:pt>
                <c:pt idx="11">
                  <c:v>31</c:v>
                </c:pt>
                <c:pt idx="12">
                  <c:v>50</c:v>
                </c:pt>
                <c:pt idx="13">
                  <c:v>50</c:v>
                </c:pt>
                <c:pt idx="14">
                  <c:v>31</c:v>
                </c:pt>
                <c:pt idx="15">
                  <c:v>57.599999999999753</c:v>
                </c:pt>
                <c:pt idx="16">
                  <c:v>50.000000000000007</c:v>
                </c:pt>
                <c:pt idx="17">
                  <c:v>31</c:v>
                </c:pt>
                <c:pt idx="18">
                  <c:v>31</c:v>
                </c:pt>
                <c:pt idx="19">
                  <c:v>52.000000000000007</c:v>
                </c:pt>
                <c:pt idx="20">
                  <c:v>31</c:v>
                </c:pt>
                <c:pt idx="21">
                  <c:v>106.96969696969698</c:v>
                </c:pt>
                <c:pt idx="22">
                  <c:v>52.000000000000007</c:v>
                </c:pt>
                <c:pt idx="23">
                  <c:v>31</c:v>
                </c:pt>
                <c:pt idx="24">
                  <c:v>51.999999999999986</c:v>
                </c:pt>
                <c:pt idx="25">
                  <c:v>51.999999999999972</c:v>
                </c:pt>
                <c:pt idx="26">
                  <c:v>0</c:v>
                </c:pt>
                <c:pt idx="27">
                  <c:v>51.999999999999972</c:v>
                </c:pt>
                <c:pt idx="28">
                  <c:v>31</c:v>
                </c:pt>
                <c:pt idx="29">
                  <c:v>87.833333333333343</c:v>
                </c:pt>
                <c:pt idx="30">
                  <c:v>51.999999999999972</c:v>
                </c:pt>
                <c:pt idx="31">
                  <c:v>49.999999999999986</c:v>
                </c:pt>
                <c:pt idx="32">
                  <c:v>31</c:v>
                </c:pt>
                <c:pt idx="33">
                  <c:v>52.000000000000036</c:v>
                </c:pt>
                <c:pt idx="34">
                  <c:v>50.00000000000005</c:v>
                </c:pt>
                <c:pt idx="35">
                  <c:v>31</c:v>
                </c:pt>
                <c:pt idx="36">
                  <c:v>51.999999999999986</c:v>
                </c:pt>
                <c:pt idx="37">
                  <c:v>50.000000000000021</c:v>
                </c:pt>
                <c:pt idx="38">
                  <c:v>31</c:v>
                </c:pt>
                <c:pt idx="39">
                  <c:v>52.000000000000036</c:v>
                </c:pt>
                <c:pt idx="40">
                  <c:v>50.000000000000007</c:v>
                </c:pt>
                <c:pt idx="41">
                  <c:v>31</c:v>
                </c:pt>
                <c:pt idx="42">
                  <c:v>30.999999999999996</c:v>
                </c:pt>
                <c:pt idx="43">
                  <c:v>52</c:v>
                </c:pt>
                <c:pt idx="44">
                  <c:v>31</c:v>
                </c:pt>
                <c:pt idx="45">
                  <c:v>128.96296296296296</c:v>
                </c:pt>
                <c:pt idx="46">
                  <c:v>52.000000000000043</c:v>
                </c:pt>
                <c:pt idx="47">
                  <c:v>96.444444444444471</c:v>
                </c:pt>
                <c:pt idx="48">
                  <c:v>33.999999999999986</c:v>
                </c:pt>
                <c:pt idx="49">
                  <c:v>50.000000000000007</c:v>
                </c:pt>
                <c:pt idx="50">
                  <c:v>0</c:v>
                </c:pt>
                <c:pt idx="51">
                  <c:v>112.00000000000016</c:v>
                </c:pt>
                <c:pt idx="52">
                  <c:v>55.692307692307708</c:v>
                </c:pt>
                <c:pt idx="53">
                  <c:v>85.250000000000014</c:v>
                </c:pt>
                <c:pt idx="54">
                  <c:v>51.99999999999995</c:v>
                </c:pt>
                <c:pt idx="55">
                  <c:v>50.000000000000007</c:v>
                </c:pt>
                <c:pt idx="56">
                  <c:v>31</c:v>
                </c:pt>
                <c:pt idx="57">
                  <c:v>52.000000000000036</c:v>
                </c:pt>
                <c:pt idx="58">
                  <c:v>31</c:v>
                </c:pt>
                <c:pt idx="59">
                  <c:v>31.000000000000004</c:v>
                </c:pt>
                <c:pt idx="60">
                  <c:v>52.000000000000007</c:v>
                </c:pt>
                <c:pt idx="61">
                  <c:v>50</c:v>
                </c:pt>
                <c:pt idx="62">
                  <c:v>31.000000000000004</c:v>
                </c:pt>
                <c:pt idx="63">
                  <c:v>51.999999999999972</c:v>
                </c:pt>
                <c:pt idx="64">
                  <c:v>49.999999999999993</c:v>
                </c:pt>
                <c:pt idx="65">
                  <c:v>31.000000000000004</c:v>
                </c:pt>
                <c:pt idx="66">
                  <c:v>55.999999999999972</c:v>
                </c:pt>
                <c:pt idx="67">
                  <c:v>54</c:v>
                </c:pt>
                <c:pt idx="68">
                  <c:v>31</c:v>
                </c:pt>
                <c:pt idx="69">
                  <c:v>54</c:v>
                </c:pt>
                <c:pt idx="70">
                  <c:v>49.999999999999993</c:v>
                </c:pt>
                <c:pt idx="7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8D7D-4231-A0D1-853D049395B6}"/>
            </c:ext>
          </c:extLst>
        </c:ser>
        <c:ser>
          <c:idx val="83"/>
          <c:order val="83"/>
          <c:tx>
            <c:strRef>
              <c:f>LRMC!$A$87:$C$87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Node_3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LRMC!$D$87:$BW$87</c:f>
              <c:numCache>
                <c:formatCode>0</c:formatCode>
                <c:ptCount val="72"/>
                <c:pt idx="0">
                  <c:v>54.000000000000007</c:v>
                </c:pt>
                <c:pt idx="1">
                  <c:v>54.000000000000007</c:v>
                </c:pt>
                <c:pt idx="2">
                  <c:v>30.999999999999996</c:v>
                </c:pt>
                <c:pt idx="3">
                  <c:v>53.999999999999829</c:v>
                </c:pt>
                <c:pt idx="4">
                  <c:v>34</c:v>
                </c:pt>
                <c:pt idx="5">
                  <c:v>31</c:v>
                </c:pt>
                <c:pt idx="6">
                  <c:v>52.000000000000014</c:v>
                </c:pt>
                <c:pt idx="7">
                  <c:v>50</c:v>
                </c:pt>
                <c:pt idx="8">
                  <c:v>30.999999999999996</c:v>
                </c:pt>
                <c:pt idx="9">
                  <c:v>51.999999999999822</c:v>
                </c:pt>
                <c:pt idx="10">
                  <c:v>50.000000000000007</c:v>
                </c:pt>
                <c:pt idx="11">
                  <c:v>31</c:v>
                </c:pt>
                <c:pt idx="12">
                  <c:v>50.000000000000007</c:v>
                </c:pt>
                <c:pt idx="13">
                  <c:v>50</c:v>
                </c:pt>
                <c:pt idx="14">
                  <c:v>31</c:v>
                </c:pt>
                <c:pt idx="15">
                  <c:v>57.59999999999981</c:v>
                </c:pt>
                <c:pt idx="16">
                  <c:v>50.000000000000014</c:v>
                </c:pt>
                <c:pt idx="17">
                  <c:v>31</c:v>
                </c:pt>
                <c:pt idx="18">
                  <c:v>31</c:v>
                </c:pt>
                <c:pt idx="19">
                  <c:v>52.000000000000007</c:v>
                </c:pt>
                <c:pt idx="20">
                  <c:v>31</c:v>
                </c:pt>
                <c:pt idx="21">
                  <c:v>106.96969696969698</c:v>
                </c:pt>
                <c:pt idx="22">
                  <c:v>52.000000000000007</c:v>
                </c:pt>
                <c:pt idx="23">
                  <c:v>31</c:v>
                </c:pt>
                <c:pt idx="24">
                  <c:v>51.999999999999979</c:v>
                </c:pt>
                <c:pt idx="25">
                  <c:v>51.999999999999986</c:v>
                </c:pt>
                <c:pt idx="26">
                  <c:v>0</c:v>
                </c:pt>
                <c:pt idx="27">
                  <c:v>51.999999999999972</c:v>
                </c:pt>
                <c:pt idx="28">
                  <c:v>31</c:v>
                </c:pt>
                <c:pt idx="29">
                  <c:v>87.833333333333329</c:v>
                </c:pt>
                <c:pt idx="30">
                  <c:v>51.999999999999964</c:v>
                </c:pt>
                <c:pt idx="31">
                  <c:v>49.999999999999986</c:v>
                </c:pt>
                <c:pt idx="32">
                  <c:v>31</c:v>
                </c:pt>
                <c:pt idx="33">
                  <c:v>52.000000000000021</c:v>
                </c:pt>
                <c:pt idx="34">
                  <c:v>50.00000000000005</c:v>
                </c:pt>
                <c:pt idx="35">
                  <c:v>31</c:v>
                </c:pt>
                <c:pt idx="36">
                  <c:v>51.999999999999964</c:v>
                </c:pt>
                <c:pt idx="37">
                  <c:v>50.000000000000021</c:v>
                </c:pt>
                <c:pt idx="38">
                  <c:v>31</c:v>
                </c:pt>
                <c:pt idx="39">
                  <c:v>52.000000000000021</c:v>
                </c:pt>
                <c:pt idx="40">
                  <c:v>50.000000000000014</c:v>
                </c:pt>
                <c:pt idx="41">
                  <c:v>31</c:v>
                </c:pt>
                <c:pt idx="42">
                  <c:v>30.999999999999996</c:v>
                </c:pt>
                <c:pt idx="43">
                  <c:v>52</c:v>
                </c:pt>
                <c:pt idx="44">
                  <c:v>31</c:v>
                </c:pt>
                <c:pt idx="45">
                  <c:v>128.96296296296296</c:v>
                </c:pt>
                <c:pt idx="46">
                  <c:v>52.00000000000005</c:v>
                </c:pt>
                <c:pt idx="47">
                  <c:v>96.444444444444471</c:v>
                </c:pt>
                <c:pt idx="48">
                  <c:v>34</c:v>
                </c:pt>
                <c:pt idx="49">
                  <c:v>50.000000000000014</c:v>
                </c:pt>
                <c:pt idx="50">
                  <c:v>0</c:v>
                </c:pt>
                <c:pt idx="51">
                  <c:v>112.00000000000009</c:v>
                </c:pt>
                <c:pt idx="52">
                  <c:v>55.692307692307708</c:v>
                </c:pt>
                <c:pt idx="53">
                  <c:v>85.25</c:v>
                </c:pt>
                <c:pt idx="54">
                  <c:v>51.999999999999972</c:v>
                </c:pt>
                <c:pt idx="55">
                  <c:v>50.000000000000007</c:v>
                </c:pt>
                <c:pt idx="56">
                  <c:v>31</c:v>
                </c:pt>
                <c:pt idx="57">
                  <c:v>52.000000000000021</c:v>
                </c:pt>
                <c:pt idx="58">
                  <c:v>31</c:v>
                </c:pt>
                <c:pt idx="59">
                  <c:v>31.000000000000004</c:v>
                </c:pt>
                <c:pt idx="60">
                  <c:v>52.000000000000007</c:v>
                </c:pt>
                <c:pt idx="61">
                  <c:v>50.000000000000007</c:v>
                </c:pt>
                <c:pt idx="62">
                  <c:v>31.000000000000004</c:v>
                </c:pt>
                <c:pt idx="63">
                  <c:v>51.999999999999972</c:v>
                </c:pt>
                <c:pt idx="64">
                  <c:v>49.999999999999972</c:v>
                </c:pt>
                <c:pt idx="65">
                  <c:v>31.000000000000004</c:v>
                </c:pt>
                <c:pt idx="66">
                  <c:v>55.999999999999972</c:v>
                </c:pt>
                <c:pt idx="67">
                  <c:v>54.000000000000007</c:v>
                </c:pt>
                <c:pt idx="68">
                  <c:v>31</c:v>
                </c:pt>
                <c:pt idx="69">
                  <c:v>54</c:v>
                </c:pt>
                <c:pt idx="70">
                  <c:v>49.999999999999993</c:v>
                </c:pt>
                <c:pt idx="7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8D7D-4231-A0D1-853D049395B6}"/>
            </c:ext>
          </c:extLst>
        </c:ser>
        <c:ser>
          <c:idx val="84"/>
          <c:order val="84"/>
          <c:tx>
            <c:strRef>
              <c:f>LRMC!$A$88:$C$88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Node_4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LRMC!$D$88:$BW$88</c:f>
              <c:numCache>
                <c:formatCode>0</c:formatCode>
                <c:ptCount val="72"/>
                <c:pt idx="0">
                  <c:v>54.000000000000028</c:v>
                </c:pt>
                <c:pt idx="1">
                  <c:v>54.000000000000007</c:v>
                </c:pt>
                <c:pt idx="2">
                  <c:v>30.999999999999989</c:v>
                </c:pt>
                <c:pt idx="3">
                  <c:v>53.999999999999829</c:v>
                </c:pt>
                <c:pt idx="4">
                  <c:v>34</c:v>
                </c:pt>
                <c:pt idx="5">
                  <c:v>30.999999999999989</c:v>
                </c:pt>
                <c:pt idx="6">
                  <c:v>52.000000000000007</c:v>
                </c:pt>
                <c:pt idx="7">
                  <c:v>50</c:v>
                </c:pt>
                <c:pt idx="8">
                  <c:v>30.999999999999996</c:v>
                </c:pt>
                <c:pt idx="9">
                  <c:v>51.999999999999822</c:v>
                </c:pt>
                <c:pt idx="10">
                  <c:v>49.999999999999972</c:v>
                </c:pt>
                <c:pt idx="11">
                  <c:v>31</c:v>
                </c:pt>
                <c:pt idx="12">
                  <c:v>50</c:v>
                </c:pt>
                <c:pt idx="13">
                  <c:v>50</c:v>
                </c:pt>
                <c:pt idx="14">
                  <c:v>30.999999999999996</c:v>
                </c:pt>
                <c:pt idx="15">
                  <c:v>57.59999999999981</c:v>
                </c:pt>
                <c:pt idx="16">
                  <c:v>50.000000000000014</c:v>
                </c:pt>
                <c:pt idx="17">
                  <c:v>31</c:v>
                </c:pt>
                <c:pt idx="18">
                  <c:v>30.999999999999993</c:v>
                </c:pt>
                <c:pt idx="19">
                  <c:v>52.000000000000021</c:v>
                </c:pt>
                <c:pt idx="20">
                  <c:v>30.999999999999989</c:v>
                </c:pt>
                <c:pt idx="21">
                  <c:v>106.96969696969698</c:v>
                </c:pt>
                <c:pt idx="22">
                  <c:v>52.000000000000021</c:v>
                </c:pt>
                <c:pt idx="23">
                  <c:v>30.999999999999993</c:v>
                </c:pt>
                <c:pt idx="24">
                  <c:v>51.999999999999979</c:v>
                </c:pt>
                <c:pt idx="25">
                  <c:v>52.000000000000007</c:v>
                </c:pt>
                <c:pt idx="26">
                  <c:v>0</c:v>
                </c:pt>
                <c:pt idx="27">
                  <c:v>51.999999999999972</c:v>
                </c:pt>
                <c:pt idx="28">
                  <c:v>31</c:v>
                </c:pt>
                <c:pt idx="29">
                  <c:v>87.833333333333329</c:v>
                </c:pt>
                <c:pt idx="30">
                  <c:v>51.999999999999964</c:v>
                </c:pt>
                <c:pt idx="31">
                  <c:v>49.999999999999993</c:v>
                </c:pt>
                <c:pt idx="32">
                  <c:v>30.999999999999996</c:v>
                </c:pt>
                <c:pt idx="33">
                  <c:v>52.000000000000021</c:v>
                </c:pt>
                <c:pt idx="34">
                  <c:v>50.00000000000005</c:v>
                </c:pt>
                <c:pt idx="35">
                  <c:v>30.999999999999996</c:v>
                </c:pt>
                <c:pt idx="36">
                  <c:v>51.999999999999964</c:v>
                </c:pt>
                <c:pt idx="37">
                  <c:v>50.000000000000021</c:v>
                </c:pt>
                <c:pt idx="38">
                  <c:v>30.999999999999993</c:v>
                </c:pt>
                <c:pt idx="39">
                  <c:v>52.000000000000021</c:v>
                </c:pt>
                <c:pt idx="40">
                  <c:v>50.000000000000014</c:v>
                </c:pt>
                <c:pt idx="41">
                  <c:v>30.999999999999996</c:v>
                </c:pt>
                <c:pt idx="42">
                  <c:v>30.999999999999996</c:v>
                </c:pt>
                <c:pt idx="43">
                  <c:v>52.000000000000007</c:v>
                </c:pt>
                <c:pt idx="44">
                  <c:v>30.999999999999993</c:v>
                </c:pt>
                <c:pt idx="45">
                  <c:v>128.96296296296296</c:v>
                </c:pt>
                <c:pt idx="46">
                  <c:v>52.000000000000036</c:v>
                </c:pt>
                <c:pt idx="47">
                  <c:v>96.444444444444485</c:v>
                </c:pt>
                <c:pt idx="48">
                  <c:v>34</c:v>
                </c:pt>
                <c:pt idx="49">
                  <c:v>50</c:v>
                </c:pt>
                <c:pt idx="50">
                  <c:v>0</c:v>
                </c:pt>
                <c:pt idx="51">
                  <c:v>112.0000000000001</c:v>
                </c:pt>
                <c:pt idx="52">
                  <c:v>55.692307692307708</c:v>
                </c:pt>
                <c:pt idx="53">
                  <c:v>85.25</c:v>
                </c:pt>
                <c:pt idx="54">
                  <c:v>51.999999999999972</c:v>
                </c:pt>
                <c:pt idx="55">
                  <c:v>50.000000000000014</c:v>
                </c:pt>
                <c:pt idx="56">
                  <c:v>30.999999999999993</c:v>
                </c:pt>
                <c:pt idx="57">
                  <c:v>52.000000000000021</c:v>
                </c:pt>
                <c:pt idx="58">
                  <c:v>31</c:v>
                </c:pt>
                <c:pt idx="59">
                  <c:v>30.999999999999996</c:v>
                </c:pt>
                <c:pt idx="60">
                  <c:v>52.000000000000007</c:v>
                </c:pt>
                <c:pt idx="61">
                  <c:v>50</c:v>
                </c:pt>
                <c:pt idx="62">
                  <c:v>30.999999999999996</c:v>
                </c:pt>
                <c:pt idx="63">
                  <c:v>51.999999999999972</c:v>
                </c:pt>
                <c:pt idx="64">
                  <c:v>49.999999999999972</c:v>
                </c:pt>
                <c:pt idx="65">
                  <c:v>31.000000000000004</c:v>
                </c:pt>
                <c:pt idx="66">
                  <c:v>55.999999999999972</c:v>
                </c:pt>
                <c:pt idx="67">
                  <c:v>54.000000000000014</c:v>
                </c:pt>
                <c:pt idx="68">
                  <c:v>31</c:v>
                </c:pt>
                <c:pt idx="69">
                  <c:v>54.000000000000014</c:v>
                </c:pt>
                <c:pt idx="70">
                  <c:v>49.999999999999993</c:v>
                </c:pt>
                <c:pt idx="71">
                  <c:v>30.999999999999993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8D7D-4231-A0D1-853D049395B6}"/>
            </c:ext>
          </c:extLst>
        </c:ser>
        <c:ser>
          <c:idx val="85"/>
          <c:order val="85"/>
          <c:tx>
            <c:strRef>
              <c:f>LRMC!$A$89:$C$89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Node_5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LRMC!$D$89:$BW$89</c:f>
              <c:numCache>
                <c:formatCode>0</c:formatCode>
                <c:ptCount val="72"/>
                <c:pt idx="0">
                  <c:v>54.000000000000028</c:v>
                </c:pt>
                <c:pt idx="1">
                  <c:v>54.000000000000007</c:v>
                </c:pt>
                <c:pt idx="2">
                  <c:v>30.999999999999989</c:v>
                </c:pt>
                <c:pt idx="3">
                  <c:v>53.999999999999829</c:v>
                </c:pt>
                <c:pt idx="4">
                  <c:v>34</c:v>
                </c:pt>
                <c:pt idx="5">
                  <c:v>30.999999999999989</c:v>
                </c:pt>
                <c:pt idx="6">
                  <c:v>52.000000000000007</c:v>
                </c:pt>
                <c:pt idx="7">
                  <c:v>50</c:v>
                </c:pt>
                <c:pt idx="8">
                  <c:v>30.999999999999996</c:v>
                </c:pt>
                <c:pt idx="9">
                  <c:v>51.999999999999822</c:v>
                </c:pt>
                <c:pt idx="10">
                  <c:v>49.999999999999972</c:v>
                </c:pt>
                <c:pt idx="11">
                  <c:v>31</c:v>
                </c:pt>
                <c:pt idx="12">
                  <c:v>50</c:v>
                </c:pt>
                <c:pt idx="13">
                  <c:v>50</c:v>
                </c:pt>
                <c:pt idx="14">
                  <c:v>30.999999999999996</c:v>
                </c:pt>
                <c:pt idx="15">
                  <c:v>57.59999999999981</c:v>
                </c:pt>
                <c:pt idx="16">
                  <c:v>50.000000000000014</c:v>
                </c:pt>
                <c:pt idx="17">
                  <c:v>31</c:v>
                </c:pt>
                <c:pt idx="18">
                  <c:v>30.999999999999993</c:v>
                </c:pt>
                <c:pt idx="19">
                  <c:v>52.000000000000021</c:v>
                </c:pt>
                <c:pt idx="20">
                  <c:v>30.999999999999989</c:v>
                </c:pt>
                <c:pt idx="21">
                  <c:v>106.96969696969698</c:v>
                </c:pt>
                <c:pt idx="22">
                  <c:v>52.000000000000021</c:v>
                </c:pt>
                <c:pt idx="23">
                  <c:v>30.999999999999993</c:v>
                </c:pt>
                <c:pt idx="24">
                  <c:v>51.999999999999979</c:v>
                </c:pt>
                <c:pt idx="25">
                  <c:v>52.000000000000007</c:v>
                </c:pt>
                <c:pt idx="26">
                  <c:v>0</c:v>
                </c:pt>
                <c:pt idx="27">
                  <c:v>51.999999999999972</c:v>
                </c:pt>
                <c:pt idx="28">
                  <c:v>31</c:v>
                </c:pt>
                <c:pt idx="29">
                  <c:v>87.833333333333329</c:v>
                </c:pt>
                <c:pt idx="30">
                  <c:v>51.999999999999964</c:v>
                </c:pt>
                <c:pt idx="31">
                  <c:v>49.999999999999993</c:v>
                </c:pt>
                <c:pt idx="32">
                  <c:v>30.999999999999996</c:v>
                </c:pt>
                <c:pt idx="33">
                  <c:v>52.000000000000021</c:v>
                </c:pt>
                <c:pt idx="34">
                  <c:v>50.00000000000005</c:v>
                </c:pt>
                <c:pt idx="35">
                  <c:v>30.999999999999996</c:v>
                </c:pt>
                <c:pt idx="36">
                  <c:v>51.999999999999964</c:v>
                </c:pt>
                <c:pt idx="37">
                  <c:v>50.000000000000021</c:v>
                </c:pt>
                <c:pt idx="38">
                  <c:v>30.999999999999993</c:v>
                </c:pt>
                <c:pt idx="39">
                  <c:v>52.000000000000021</c:v>
                </c:pt>
                <c:pt idx="40">
                  <c:v>50.000000000000014</c:v>
                </c:pt>
                <c:pt idx="41">
                  <c:v>30.999999999999996</c:v>
                </c:pt>
                <c:pt idx="42">
                  <c:v>30.999999999999996</c:v>
                </c:pt>
                <c:pt idx="43">
                  <c:v>52.000000000000007</c:v>
                </c:pt>
                <c:pt idx="44">
                  <c:v>30.999999999999993</c:v>
                </c:pt>
                <c:pt idx="45">
                  <c:v>128.96296296296296</c:v>
                </c:pt>
                <c:pt idx="46">
                  <c:v>52.000000000000036</c:v>
                </c:pt>
                <c:pt idx="47">
                  <c:v>96.444444444444485</c:v>
                </c:pt>
                <c:pt idx="48">
                  <c:v>34</c:v>
                </c:pt>
                <c:pt idx="49">
                  <c:v>50</c:v>
                </c:pt>
                <c:pt idx="50">
                  <c:v>0</c:v>
                </c:pt>
                <c:pt idx="51">
                  <c:v>112.0000000000001</c:v>
                </c:pt>
                <c:pt idx="52">
                  <c:v>55.692307692307708</c:v>
                </c:pt>
                <c:pt idx="53">
                  <c:v>85.25</c:v>
                </c:pt>
                <c:pt idx="54">
                  <c:v>51.999999999999972</c:v>
                </c:pt>
                <c:pt idx="55">
                  <c:v>50.000000000000014</c:v>
                </c:pt>
                <c:pt idx="56">
                  <c:v>30.999999999999993</c:v>
                </c:pt>
                <c:pt idx="57">
                  <c:v>52.000000000000021</c:v>
                </c:pt>
                <c:pt idx="58">
                  <c:v>31</c:v>
                </c:pt>
                <c:pt idx="59">
                  <c:v>30.999999999999996</c:v>
                </c:pt>
                <c:pt idx="60">
                  <c:v>52.000000000000007</c:v>
                </c:pt>
                <c:pt idx="61">
                  <c:v>50</c:v>
                </c:pt>
                <c:pt idx="62">
                  <c:v>30.999999999999996</c:v>
                </c:pt>
                <c:pt idx="63">
                  <c:v>51.999999999999972</c:v>
                </c:pt>
                <c:pt idx="64">
                  <c:v>49.999999999999972</c:v>
                </c:pt>
                <c:pt idx="65">
                  <c:v>31.000000000000004</c:v>
                </c:pt>
                <c:pt idx="66">
                  <c:v>55.999999999999972</c:v>
                </c:pt>
                <c:pt idx="67">
                  <c:v>54.000000000000014</c:v>
                </c:pt>
                <c:pt idx="68">
                  <c:v>31</c:v>
                </c:pt>
                <c:pt idx="69">
                  <c:v>54.000000000000014</c:v>
                </c:pt>
                <c:pt idx="70">
                  <c:v>49.999999999999993</c:v>
                </c:pt>
                <c:pt idx="71">
                  <c:v>30.999999999999993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8D7D-4231-A0D1-853D049395B6}"/>
            </c:ext>
          </c:extLst>
        </c:ser>
        <c:ser>
          <c:idx val="86"/>
          <c:order val="86"/>
          <c:tx>
            <c:strRef>
              <c:f>LRMC!$A$90:$C$90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Node_6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LRMC!$D$90:$BW$90</c:f>
              <c:numCache>
                <c:formatCode>0</c:formatCode>
                <c:ptCount val="72"/>
                <c:pt idx="0">
                  <c:v>53.999999999999986</c:v>
                </c:pt>
                <c:pt idx="1">
                  <c:v>54.000000000000007</c:v>
                </c:pt>
                <c:pt idx="2">
                  <c:v>31.000000000000004</c:v>
                </c:pt>
                <c:pt idx="3">
                  <c:v>53.999999999999829</c:v>
                </c:pt>
                <c:pt idx="4">
                  <c:v>34</c:v>
                </c:pt>
                <c:pt idx="5">
                  <c:v>31.000000000000004</c:v>
                </c:pt>
                <c:pt idx="6">
                  <c:v>52.000000000000021</c:v>
                </c:pt>
                <c:pt idx="7">
                  <c:v>50</c:v>
                </c:pt>
                <c:pt idx="8">
                  <c:v>30.999999999999996</c:v>
                </c:pt>
                <c:pt idx="9">
                  <c:v>51.999999999999822</c:v>
                </c:pt>
                <c:pt idx="10">
                  <c:v>50.000000000000007</c:v>
                </c:pt>
                <c:pt idx="11">
                  <c:v>31</c:v>
                </c:pt>
                <c:pt idx="12">
                  <c:v>50</c:v>
                </c:pt>
                <c:pt idx="13">
                  <c:v>50</c:v>
                </c:pt>
                <c:pt idx="14">
                  <c:v>31</c:v>
                </c:pt>
                <c:pt idx="15">
                  <c:v>57.599999999999753</c:v>
                </c:pt>
                <c:pt idx="16">
                  <c:v>50.000000000000007</c:v>
                </c:pt>
                <c:pt idx="17">
                  <c:v>31</c:v>
                </c:pt>
                <c:pt idx="18">
                  <c:v>31.000000000000004</c:v>
                </c:pt>
                <c:pt idx="19">
                  <c:v>52.000000000000014</c:v>
                </c:pt>
                <c:pt idx="20">
                  <c:v>31</c:v>
                </c:pt>
                <c:pt idx="21">
                  <c:v>106.96969696969698</c:v>
                </c:pt>
                <c:pt idx="22">
                  <c:v>52.000000000000007</c:v>
                </c:pt>
                <c:pt idx="23">
                  <c:v>31</c:v>
                </c:pt>
                <c:pt idx="24">
                  <c:v>51.999999999999986</c:v>
                </c:pt>
                <c:pt idx="25">
                  <c:v>51.999999999999972</c:v>
                </c:pt>
                <c:pt idx="26">
                  <c:v>0</c:v>
                </c:pt>
                <c:pt idx="27">
                  <c:v>51.999999999999972</c:v>
                </c:pt>
                <c:pt idx="28">
                  <c:v>31.000000000000004</c:v>
                </c:pt>
                <c:pt idx="29">
                  <c:v>87.833333333333343</c:v>
                </c:pt>
                <c:pt idx="30">
                  <c:v>51.999999999999972</c:v>
                </c:pt>
                <c:pt idx="31">
                  <c:v>49.999999999999986</c:v>
                </c:pt>
                <c:pt idx="32">
                  <c:v>31.000000000000004</c:v>
                </c:pt>
                <c:pt idx="33">
                  <c:v>52.000000000000036</c:v>
                </c:pt>
                <c:pt idx="34">
                  <c:v>50.00000000000005</c:v>
                </c:pt>
                <c:pt idx="35">
                  <c:v>31.000000000000004</c:v>
                </c:pt>
                <c:pt idx="36">
                  <c:v>51.999999999999986</c:v>
                </c:pt>
                <c:pt idx="37">
                  <c:v>50.000000000000021</c:v>
                </c:pt>
                <c:pt idx="38">
                  <c:v>31.000000000000007</c:v>
                </c:pt>
                <c:pt idx="39">
                  <c:v>52.000000000000036</c:v>
                </c:pt>
                <c:pt idx="40">
                  <c:v>50.000000000000007</c:v>
                </c:pt>
                <c:pt idx="41">
                  <c:v>31.000000000000004</c:v>
                </c:pt>
                <c:pt idx="42">
                  <c:v>30.999999999999993</c:v>
                </c:pt>
                <c:pt idx="43">
                  <c:v>52</c:v>
                </c:pt>
                <c:pt idx="44">
                  <c:v>31.000000000000007</c:v>
                </c:pt>
                <c:pt idx="45">
                  <c:v>128.96296296296296</c:v>
                </c:pt>
                <c:pt idx="46">
                  <c:v>52.000000000000043</c:v>
                </c:pt>
                <c:pt idx="47">
                  <c:v>96.444444444444471</c:v>
                </c:pt>
                <c:pt idx="48">
                  <c:v>33.999999999999986</c:v>
                </c:pt>
                <c:pt idx="49">
                  <c:v>50.000000000000007</c:v>
                </c:pt>
                <c:pt idx="50">
                  <c:v>0</c:v>
                </c:pt>
                <c:pt idx="51">
                  <c:v>112.00000000000016</c:v>
                </c:pt>
                <c:pt idx="52">
                  <c:v>55.692307692307708</c:v>
                </c:pt>
                <c:pt idx="53">
                  <c:v>85.250000000000014</c:v>
                </c:pt>
                <c:pt idx="54">
                  <c:v>51.99999999999995</c:v>
                </c:pt>
                <c:pt idx="55">
                  <c:v>50.000000000000007</c:v>
                </c:pt>
                <c:pt idx="56">
                  <c:v>31.000000000000007</c:v>
                </c:pt>
                <c:pt idx="57">
                  <c:v>52.000000000000036</c:v>
                </c:pt>
                <c:pt idx="58">
                  <c:v>31.000000000000004</c:v>
                </c:pt>
                <c:pt idx="59">
                  <c:v>31.000000000000004</c:v>
                </c:pt>
                <c:pt idx="60">
                  <c:v>52.000000000000007</c:v>
                </c:pt>
                <c:pt idx="61">
                  <c:v>50</c:v>
                </c:pt>
                <c:pt idx="62">
                  <c:v>31.000000000000004</c:v>
                </c:pt>
                <c:pt idx="63">
                  <c:v>51.999999999999972</c:v>
                </c:pt>
                <c:pt idx="64">
                  <c:v>49.999999999999993</c:v>
                </c:pt>
                <c:pt idx="65">
                  <c:v>31.000000000000004</c:v>
                </c:pt>
                <c:pt idx="66">
                  <c:v>55.999999999999972</c:v>
                </c:pt>
                <c:pt idx="67">
                  <c:v>53.999999999999993</c:v>
                </c:pt>
                <c:pt idx="68">
                  <c:v>31.000000000000004</c:v>
                </c:pt>
                <c:pt idx="69">
                  <c:v>54</c:v>
                </c:pt>
                <c:pt idx="70">
                  <c:v>49.999999999999993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8D7D-4231-A0D1-853D049395B6}"/>
            </c:ext>
          </c:extLst>
        </c:ser>
        <c:ser>
          <c:idx val="87"/>
          <c:order val="87"/>
          <c:tx>
            <c:strRef>
              <c:f>LRMC!$A$91:$C$91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Node_7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LRMC!$D$91:$BW$91</c:f>
              <c:numCache>
                <c:formatCode>0</c:formatCode>
                <c:ptCount val="72"/>
                <c:pt idx="0">
                  <c:v>53.999999999999986</c:v>
                </c:pt>
                <c:pt idx="1">
                  <c:v>54.000000000000007</c:v>
                </c:pt>
                <c:pt idx="2">
                  <c:v>31.000000000000004</c:v>
                </c:pt>
                <c:pt idx="3">
                  <c:v>53.999999999999829</c:v>
                </c:pt>
                <c:pt idx="4">
                  <c:v>34</c:v>
                </c:pt>
                <c:pt idx="5">
                  <c:v>31.000000000000004</c:v>
                </c:pt>
                <c:pt idx="6">
                  <c:v>52.000000000000007</c:v>
                </c:pt>
                <c:pt idx="7">
                  <c:v>50</c:v>
                </c:pt>
                <c:pt idx="8">
                  <c:v>30.999999999999996</c:v>
                </c:pt>
                <c:pt idx="9">
                  <c:v>51.999999999999822</c:v>
                </c:pt>
                <c:pt idx="10">
                  <c:v>50.000000000000007</c:v>
                </c:pt>
                <c:pt idx="11">
                  <c:v>31</c:v>
                </c:pt>
                <c:pt idx="12">
                  <c:v>50</c:v>
                </c:pt>
                <c:pt idx="13">
                  <c:v>50</c:v>
                </c:pt>
                <c:pt idx="14">
                  <c:v>31</c:v>
                </c:pt>
                <c:pt idx="15">
                  <c:v>57.599999999999753</c:v>
                </c:pt>
                <c:pt idx="16">
                  <c:v>50.000000000000007</c:v>
                </c:pt>
                <c:pt idx="17">
                  <c:v>31</c:v>
                </c:pt>
                <c:pt idx="18">
                  <c:v>31.000000000000004</c:v>
                </c:pt>
                <c:pt idx="19">
                  <c:v>52.000000000000014</c:v>
                </c:pt>
                <c:pt idx="20">
                  <c:v>31</c:v>
                </c:pt>
                <c:pt idx="21">
                  <c:v>106.96969696969698</c:v>
                </c:pt>
                <c:pt idx="22">
                  <c:v>52.000000000000007</c:v>
                </c:pt>
                <c:pt idx="23">
                  <c:v>31</c:v>
                </c:pt>
                <c:pt idx="24">
                  <c:v>51.999999999999986</c:v>
                </c:pt>
                <c:pt idx="25">
                  <c:v>52.000000000000007</c:v>
                </c:pt>
                <c:pt idx="26">
                  <c:v>0</c:v>
                </c:pt>
                <c:pt idx="27">
                  <c:v>51.999999999999964</c:v>
                </c:pt>
                <c:pt idx="28">
                  <c:v>31.000000000000004</c:v>
                </c:pt>
                <c:pt idx="29">
                  <c:v>87.833333333333343</c:v>
                </c:pt>
                <c:pt idx="30">
                  <c:v>51.999999999999964</c:v>
                </c:pt>
                <c:pt idx="31">
                  <c:v>49.999999999999986</c:v>
                </c:pt>
                <c:pt idx="32">
                  <c:v>31.000000000000004</c:v>
                </c:pt>
                <c:pt idx="33">
                  <c:v>52.000000000000036</c:v>
                </c:pt>
                <c:pt idx="34">
                  <c:v>50.00000000000005</c:v>
                </c:pt>
                <c:pt idx="35">
                  <c:v>31.000000000000004</c:v>
                </c:pt>
                <c:pt idx="36">
                  <c:v>51.999999999999979</c:v>
                </c:pt>
                <c:pt idx="37">
                  <c:v>50.000000000000021</c:v>
                </c:pt>
                <c:pt idx="38">
                  <c:v>31.000000000000007</c:v>
                </c:pt>
                <c:pt idx="39">
                  <c:v>52.000000000000036</c:v>
                </c:pt>
                <c:pt idx="40">
                  <c:v>50.000000000000007</c:v>
                </c:pt>
                <c:pt idx="41">
                  <c:v>31.000000000000004</c:v>
                </c:pt>
                <c:pt idx="42">
                  <c:v>30.999999999999993</c:v>
                </c:pt>
                <c:pt idx="43">
                  <c:v>52.000000000000007</c:v>
                </c:pt>
                <c:pt idx="44">
                  <c:v>31.000000000000007</c:v>
                </c:pt>
                <c:pt idx="45">
                  <c:v>128.96296296296296</c:v>
                </c:pt>
                <c:pt idx="46">
                  <c:v>52.000000000000043</c:v>
                </c:pt>
                <c:pt idx="47">
                  <c:v>96.444444444444471</c:v>
                </c:pt>
                <c:pt idx="48">
                  <c:v>34</c:v>
                </c:pt>
                <c:pt idx="49">
                  <c:v>50.000000000000007</c:v>
                </c:pt>
                <c:pt idx="50">
                  <c:v>0</c:v>
                </c:pt>
                <c:pt idx="51">
                  <c:v>112.00000000000016</c:v>
                </c:pt>
                <c:pt idx="52">
                  <c:v>55.692307692307708</c:v>
                </c:pt>
                <c:pt idx="53">
                  <c:v>85.250000000000014</c:v>
                </c:pt>
                <c:pt idx="54">
                  <c:v>51.999999999999936</c:v>
                </c:pt>
                <c:pt idx="55">
                  <c:v>50.000000000000007</c:v>
                </c:pt>
                <c:pt idx="56">
                  <c:v>31.000000000000007</c:v>
                </c:pt>
                <c:pt idx="57">
                  <c:v>52.000000000000036</c:v>
                </c:pt>
                <c:pt idx="58">
                  <c:v>31.000000000000004</c:v>
                </c:pt>
                <c:pt idx="59">
                  <c:v>31.000000000000004</c:v>
                </c:pt>
                <c:pt idx="60">
                  <c:v>52.000000000000007</c:v>
                </c:pt>
                <c:pt idx="61">
                  <c:v>50</c:v>
                </c:pt>
                <c:pt idx="62">
                  <c:v>31.000000000000004</c:v>
                </c:pt>
                <c:pt idx="63">
                  <c:v>51.999999999999964</c:v>
                </c:pt>
                <c:pt idx="64">
                  <c:v>49.999999999999993</c:v>
                </c:pt>
                <c:pt idx="65">
                  <c:v>31.000000000000004</c:v>
                </c:pt>
                <c:pt idx="66">
                  <c:v>55.999999999999972</c:v>
                </c:pt>
                <c:pt idx="67">
                  <c:v>53.999999999999993</c:v>
                </c:pt>
                <c:pt idx="68">
                  <c:v>31.000000000000004</c:v>
                </c:pt>
                <c:pt idx="69">
                  <c:v>54</c:v>
                </c:pt>
                <c:pt idx="70">
                  <c:v>49.999999999999993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8D7D-4231-A0D1-853D049395B6}"/>
            </c:ext>
          </c:extLst>
        </c:ser>
        <c:ser>
          <c:idx val="88"/>
          <c:order val="88"/>
          <c:tx>
            <c:strRef>
              <c:f>LRMC!$A$92:$C$92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Node_8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LRMC!$D$92:$BW$92</c:f>
              <c:numCache>
                <c:formatCode>0</c:formatCode>
                <c:ptCount val="72"/>
                <c:pt idx="0">
                  <c:v>53.999999999999986</c:v>
                </c:pt>
                <c:pt idx="1">
                  <c:v>54.000000000000007</c:v>
                </c:pt>
                <c:pt idx="2">
                  <c:v>31.000000000000004</c:v>
                </c:pt>
                <c:pt idx="3">
                  <c:v>53.999999999999829</c:v>
                </c:pt>
                <c:pt idx="4">
                  <c:v>34</c:v>
                </c:pt>
                <c:pt idx="5">
                  <c:v>31.000000000000004</c:v>
                </c:pt>
                <c:pt idx="6">
                  <c:v>52.000000000000007</c:v>
                </c:pt>
                <c:pt idx="7">
                  <c:v>50</c:v>
                </c:pt>
                <c:pt idx="8">
                  <c:v>30.999999999999996</c:v>
                </c:pt>
                <c:pt idx="9">
                  <c:v>51.999999999999822</c:v>
                </c:pt>
                <c:pt idx="10">
                  <c:v>50.000000000000007</c:v>
                </c:pt>
                <c:pt idx="11">
                  <c:v>31</c:v>
                </c:pt>
                <c:pt idx="12">
                  <c:v>50</c:v>
                </c:pt>
                <c:pt idx="13">
                  <c:v>50</c:v>
                </c:pt>
                <c:pt idx="14">
                  <c:v>31</c:v>
                </c:pt>
                <c:pt idx="15">
                  <c:v>57.599999999999753</c:v>
                </c:pt>
                <c:pt idx="16">
                  <c:v>50.000000000000007</c:v>
                </c:pt>
                <c:pt idx="17">
                  <c:v>31</c:v>
                </c:pt>
                <c:pt idx="18">
                  <c:v>31.000000000000004</c:v>
                </c:pt>
                <c:pt idx="19">
                  <c:v>52.000000000000014</c:v>
                </c:pt>
                <c:pt idx="20">
                  <c:v>31</c:v>
                </c:pt>
                <c:pt idx="21">
                  <c:v>106.96969696969698</c:v>
                </c:pt>
                <c:pt idx="22">
                  <c:v>52.000000000000007</c:v>
                </c:pt>
                <c:pt idx="23">
                  <c:v>31</c:v>
                </c:pt>
                <c:pt idx="24">
                  <c:v>51.999999999999986</c:v>
                </c:pt>
                <c:pt idx="25">
                  <c:v>52.000000000000007</c:v>
                </c:pt>
                <c:pt idx="26">
                  <c:v>0</c:v>
                </c:pt>
                <c:pt idx="27">
                  <c:v>51.999999999999964</c:v>
                </c:pt>
                <c:pt idx="28">
                  <c:v>31.000000000000004</c:v>
                </c:pt>
                <c:pt idx="29">
                  <c:v>87.833333333333343</c:v>
                </c:pt>
                <c:pt idx="30">
                  <c:v>51.999999999999964</c:v>
                </c:pt>
                <c:pt idx="31">
                  <c:v>49.999999999999986</c:v>
                </c:pt>
                <c:pt idx="32">
                  <c:v>31.000000000000004</c:v>
                </c:pt>
                <c:pt idx="33">
                  <c:v>52.000000000000036</c:v>
                </c:pt>
                <c:pt idx="34">
                  <c:v>50.00000000000005</c:v>
                </c:pt>
                <c:pt idx="35">
                  <c:v>31.000000000000004</c:v>
                </c:pt>
                <c:pt idx="36">
                  <c:v>51.999999999999979</c:v>
                </c:pt>
                <c:pt idx="37">
                  <c:v>50.000000000000021</c:v>
                </c:pt>
                <c:pt idx="38">
                  <c:v>31.000000000000007</c:v>
                </c:pt>
                <c:pt idx="39">
                  <c:v>52.000000000000036</c:v>
                </c:pt>
                <c:pt idx="40">
                  <c:v>50.000000000000007</c:v>
                </c:pt>
                <c:pt idx="41">
                  <c:v>31.000000000000004</c:v>
                </c:pt>
                <c:pt idx="42">
                  <c:v>30.999999999999993</c:v>
                </c:pt>
                <c:pt idx="43">
                  <c:v>52.000000000000007</c:v>
                </c:pt>
                <c:pt idx="44">
                  <c:v>31.000000000000007</c:v>
                </c:pt>
                <c:pt idx="45">
                  <c:v>128.96296296296296</c:v>
                </c:pt>
                <c:pt idx="46">
                  <c:v>52.000000000000043</c:v>
                </c:pt>
                <c:pt idx="47">
                  <c:v>96.444444444444471</c:v>
                </c:pt>
                <c:pt idx="48">
                  <c:v>34</c:v>
                </c:pt>
                <c:pt idx="49">
                  <c:v>50.000000000000007</c:v>
                </c:pt>
                <c:pt idx="50">
                  <c:v>0</c:v>
                </c:pt>
                <c:pt idx="51">
                  <c:v>112.00000000000016</c:v>
                </c:pt>
                <c:pt idx="52">
                  <c:v>55.692307692307708</c:v>
                </c:pt>
                <c:pt idx="53">
                  <c:v>85.250000000000014</c:v>
                </c:pt>
                <c:pt idx="54">
                  <c:v>51.999999999999936</c:v>
                </c:pt>
                <c:pt idx="55">
                  <c:v>50.000000000000007</c:v>
                </c:pt>
                <c:pt idx="56">
                  <c:v>31.000000000000007</c:v>
                </c:pt>
                <c:pt idx="57">
                  <c:v>52.000000000000036</c:v>
                </c:pt>
                <c:pt idx="58">
                  <c:v>31.000000000000004</c:v>
                </c:pt>
                <c:pt idx="59">
                  <c:v>31.000000000000004</c:v>
                </c:pt>
                <c:pt idx="60">
                  <c:v>52.000000000000007</c:v>
                </c:pt>
                <c:pt idx="61">
                  <c:v>50</c:v>
                </c:pt>
                <c:pt idx="62">
                  <c:v>31.000000000000004</c:v>
                </c:pt>
                <c:pt idx="63">
                  <c:v>51.999999999999964</c:v>
                </c:pt>
                <c:pt idx="64">
                  <c:v>49.999999999999993</c:v>
                </c:pt>
                <c:pt idx="65">
                  <c:v>31.000000000000004</c:v>
                </c:pt>
                <c:pt idx="66">
                  <c:v>55.999999999999972</c:v>
                </c:pt>
                <c:pt idx="67">
                  <c:v>53.999999999999993</c:v>
                </c:pt>
                <c:pt idx="68">
                  <c:v>31.000000000000004</c:v>
                </c:pt>
                <c:pt idx="69">
                  <c:v>54</c:v>
                </c:pt>
                <c:pt idx="70">
                  <c:v>49.999999999999993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8D7D-4231-A0D1-853D049395B6}"/>
            </c:ext>
          </c:extLst>
        </c:ser>
        <c:ser>
          <c:idx val="89"/>
          <c:order val="89"/>
          <c:tx>
            <c:strRef>
              <c:f>LRMC!$A$93:$C$93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Node_9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LRMC!$D$93:$BW$93</c:f>
              <c:numCache>
                <c:formatCode>0</c:formatCode>
                <c:ptCount val="72"/>
                <c:pt idx="0">
                  <c:v>53.999999999999986</c:v>
                </c:pt>
                <c:pt idx="1">
                  <c:v>54.000000000000007</c:v>
                </c:pt>
                <c:pt idx="2">
                  <c:v>31.000000000000004</c:v>
                </c:pt>
                <c:pt idx="3">
                  <c:v>53.999999999999829</c:v>
                </c:pt>
                <c:pt idx="4">
                  <c:v>34</c:v>
                </c:pt>
                <c:pt idx="5">
                  <c:v>31.000000000000004</c:v>
                </c:pt>
                <c:pt idx="6">
                  <c:v>52.000000000000007</c:v>
                </c:pt>
                <c:pt idx="7">
                  <c:v>50</c:v>
                </c:pt>
                <c:pt idx="8">
                  <c:v>30.999999999999996</c:v>
                </c:pt>
                <c:pt idx="9">
                  <c:v>51.999999999999822</c:v>
                </c:pt>
                <c:pt idx="10">
                  <c:v>50.000000000000007</c:v>
                </c:pt>
                <c:pt idx="11">
                  <c:v>31</c:v>
                </c:pt>
                <c:pt idx="12">
                  <c:v>50</c:v>
                </c:pt>
                <c:pt idx="13">
                  <c:v>50</c:v>
                </c:pt>
                <c:pt idx="14">
                  <c:v>31</c:v>
                </c:pt>
                <c:pt idx="15">
                  <c:v>57.599999999999753</c:v>
                </c:pt>
                <c:pt idx="16">
                  <c:v>50.000000000000007</c:v>
                </c:pt>
                <c:pt idx="17">
                  <c:v>31</c:v>
                </c:pt>
                <c:pt idx="18">
                  <c:v>31.000000000000004</c:v>
                </c:pt>
                <c:pt idx="19">
                  <c:v>52.000000000000014</c:v>
                </c:pt>
                <c:pt idx="20">
                  <c:v>31</c:v>
                </c:pt>
                <c:pt idx="21">
                  <c:v>106.96969696969698</c:v>
                </c:pt>
                <c:pt idx="22">
                  <c:v>52.000000000000007</c:v>
                </c:pt>
                <c:pt idx="23">
                  <c:v>31</c:v>
                </c:pt>
                <c:pt idx="24">
                  <c:v>51.999999999999986</c:v>
                </c:pt>
                <c:pt idx="25">
                  <c:v>52.000000000000007</c:v>
                </c:pt>
                <c:pt idx="26">
                  <c:v>0</c:v>
                </c:pt>
                <c:pt idx="27">
                  <c:v>51.999999999999964</c:v>
                </c:pt>
                <c:pt idx="28">
                  <c:v>31.000000000000004</c:v>
                </c:pt>
                <c:pt idx="29">
                  <c:v>87.833333333333343</c:v>
                </c:pt>
                <c:pt idx="30">
                  <c:v>51.999999999999964</c:v>
                </c:pt>
                <c:pt idx="31">
                  <c:v>49.999999999999986</c:v>
                </c:pt>
                <c:pt idx="32">
                  <c:v>31.000000000000004</c:v>
                </c:pt>
                <c:pt idx="33">
                  <c:v>52.000000000000036</c:v>
                </c:pt>
                <c:pt idx="34">
                  <c:v>50.00000000000005</c:v>
                </c:pt>
                <c:pt idx="35">
                  <c:v>31.000000000000004</c:v>
                </c:pt>
                <c:pt idx="36">
                  <c:v>51.999999999999979</c:v>
                </c:pt>
                <c:pt idx="37">
                  <c:v>50.000000000000021</c:v>
                </c:pt>
                <c:pt idx="38">
                  <c:v>31.000000000000007</c:v>
                </c:pt>
                <c:pt idx="39">
                  <c:v>52.000000000000036</c:v>
                </c:pt>
                <c:pt idx="40">
                  <c:v>50.000000000000007</c:v>
                </c:pt>
                <c:pt idx="41">
                  <c:v>31.000000000000004</c:v>
                </c:pt>
                <c:pt idx="42">
                  <c:v>30.999999999999993</c:v>
                </c:pt>
                <c:pt idx="43">
                  <c:v>52.000000000000007</c:v>
                </c:pt>
                <c:pt idx="44">
                  <c:v>31.000000000000007</c:v>
                </c:pt>
                <c:pt idx="45">
                  <c:v>128.96296296296296</c:v>
                </c:pt>
                <c:pt idx="46">
                  <c:v>52.000000000000043</c:v>
                </c:pt>
                <c:pt idx="47">
                  <c:v>96.444444444444471</c:v>
                </c:pt>
                <c:pt idx="48">
                  <c:v>34</c:v>
                </c:pt>
                <c:pt idx="49">
                  <c:v>50.000000000000007</c:v>
                </c:pt>
                <c:pt idx="50">
                  <c:v>0</c:v>
                </c:pt>
                <c:pt idx="51">
                  <c:v>112.00000000000016</c:v>
                </c:pt>
                <c:pt idx="52">
                  <c:v>55.692307692307708</c:v>
                </c:pt>
                <c:pt idx="53">
                  <c:v>85.250000000000014</c:v>
                </c:pt>
                <c:pt idx="54">
                  <c:v>51.999999999999936</c:v>
                </c:pt>
                <c:pt idx="55">
                  <c:v>50.000000000000007</c:v>
                </c:pt>
                <c:pt idx="56">
                  <c:v>31.000000000000007</c:v>
                </c:pt>
                <c:pt idx="57">
                  <c:v>52.000000000000036</c:v>
                </c:pt>
                <c:pt idx="58">
                  <c:v>31.000000000000004</c:v>
                </c:pt>
                <c:pt idx="59">
                  <c:v>31.000000000000004</c:v>
                </c:pt>
                <c:pt idx="60">
                  <c:v>52.000000000000007</c:v>
                </c:pt>
                <c:pt idx="61">
                  <c:v>50</c:v>
                </c:pt>
                <c:pt idx="62">
                  <c:v>31.000000000000004</c:v>
                </c:pt>
                <c:pt idx="63">
                  <c:v>51.999999999999964</c:v>
                </c:pt>
                <c:pt idx="64">
                  <c:v>49.999999999999993</c:v>
                </c:pt>
                <c:pt idx="65">
                  <c:v>31.000000000000004</c:v>
                </c:pt>
                <c:pt idx="66">
                  <c:v>55.999999999999972</c:v>
                </c:pt>
                <c:pt idx="67">
                  <c:v>53.999999999999993</c:v>
                </c:pt>
                <c:pt idx="68">
                  <c:v>31.000000000000004</c:v>
                </c:pt>
                <c:pt idx="69">
                  <c:v>54</c:v>
                </c:pt>
                <c:pt idx="70">
                  <c:v>49.999999999999993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8D7D-4231-A0D1-853D049395B6}"/>
            </c:ext>
          </c:extLst>
        </c:ser>
        <c:ser>
          <c:idx val="90"/>
          <c:order val="90"/>
          <c:tx>
            <c:strRef>
              <c:f>LRMC!$A$94:$C$94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Node_1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LRMC!$D$94:$BW$94</c:f>
              <c:numCache>
                <c:formatCode>0</c:formatCode>
                <c:ptCount val="72"/>
                <c:pt idx="0">
                  <c:v>52</c:v>
                </c:pt>
                <c:pt idx="1">
                  <c:v>52.000000000000036</c:v>
                </c:pt>
                <c:pt idx="2">
                  <c:v>0</c:v>
                </c:pt>
                <c:pt idx="3">
                  <c:v>58.888888888888935</c:v>
                </c:pt>
                <c:pt idx="4">
                  <c:v>34.000000000000014</c:v>
                </c:pt>
                <c:pt idx="5">
                  <c:v>106.77777777777776</c:v>
                </c:pt>
                <c:pt idx="6">
                  <c:v>52.000000000000007</c:v>
                </c:pt>
                <c:pt idx="7">
                  <c:v>52.000000000000021</c:v>
                </c:pt>
                <c:pt idx="8">
                  <c:v>31.000000000000004</c:v>
                </c:pt>
                <c:pt idx="9">
                  <c:v>59.000000000000043</c:v>
                </c:pt>
                <c:pt idx="10">
                  <c:v>52.000000000000021</c:v>
                </c:pt>
                <c:pt idx="11">
                  <c:v>31.000000000000007</c:v>
                </c:pt>
                <c:pt idx="12">
                  <c:v>49.999999999999993</c:v>
                </c:pt>
                <c:pt idx="13">
                  <c:v>50.000000000000007</c:v>
                </c:pt>
                <c:pt idx="14">
                  <c:v>31.000000000000007</c:v>
                </c:pt>
                <c:pt idx="15">
                  <c:v>65.2</c:v>
                </c:pt>
                <c:pt idx="16">
                  <c:v>56.523076923076999</c:v>
                </c:pt>
                <c:pt idx="17">
                  <c:v>31.000000000000007</c:v>
                </c:pt>
                <c:pt idx="18">
                  <c:v>52.000000000000043</c:v>
                </c:pt>
                <c:pt idx="19">
                  <c:v>49.999999999999993</c:v>
                </c:pt>
                <c:pt idx="20">
                  <c:v>30.999999999999996</c:v>
                </c:pt>
                <c:pt idx="21">
                  <c:v>51.999999999999929</c:v>
                </c:pt>
                <c:pt idx="22">
                  <c:v>30.999999999999989</c:v>
                </c:pt>
                <c:pt idx="23">
                  <c:v>30.999999999999968</c:v>
                </c:pt>
                <c:pt idx="24">
                  <c:v>51.99999999999995</c:v>
                </c:pt>
                <c:pt idx="25">
                  <c:v>49.999999999999993</c:v>
                </c:pt>
                <c:pt idx="26">
                  <c:v>31.000000000000007</c:v>
                </c:pt>
                <c:pt idx="27">
                  <c:v>52.00000000000005</c:v>
                </c:pt>
                <c:pt idx="28">
                  <c:v>50.000000000000007</c:v>
                </c:pt>
                <c:pt idx="29">
                  <c:v>30.999999999999989</c:v>
                </c:pt>
                <c:pt idx="30">
                  <c:v>54.000000000000021</c:v>
                </c:pt>
                <c:pt idx="31">
                  <c:v>52.000000000000036</c:v>
                </c:pt>
                <c:pt idx="32">
                  <c:v>0</c:v>
                </c:pt>
                <c:pt idx="33">
                  <c:v>52.000000000000036</c:v>
                </c:pt>
                <c:pt idx="34">
                  <c:v>34.000000000000014</c:v>
                </c:pt>
                <c:pt idx="35">
                  <c:v>93</c:v>
                </c:pt>
                <c:pt idx="36">
                  <c:v>52</c:v>
                </c:pt>
                <c:pt idx="37">
                  <c:v>50.000000000000007</c:v>
                </c:pt>
                <c:pt idx="38">
                  <c:v>30.999999999999986</c:v>
                </c:pt>
                <c:pt idx="39">
                  <c:v>62.148148148148209</c:v>
                </c:pt>
                <c:pt idx="40">
                  <c:v>62.380952380952408</c:v>
                </c:pt>
                <c:pt idx="41">
                  <c:v>31.000000000000025</c:v>
                </c:pt>
                <c:pt idx="42">
                  <c:v>54.000000000000007</c:v>
                </c:pt>
                <c:pt idx="43">
                  <c:v>54.000000000000007</c:v>
                </c:pt>
                <c:pt idx="44">
                  <c:v>0</c:v>
                </c:pt>
                <c:pt idx="45">
                  <c:v>54.000000000000007</c:v>
                </c:pt>
                <c:pt idx="46">
                  <c:v>52.000000000000036</c:v>
                </c:pt>
                <c:pt idx="47">
                  <c:v>106.77777777777779</c:v>
                </c:pt>
                <c:pt idx="48">
                  <c:v>34</c:v>
                </c:pt>
                <c:pt idx="49">
                  <c:v>52.000000000000007</c:v>
                </c:pt>
                <c:pt idx="50">
                  <c:v>0</c:v>
                </c:pt>
                <c:pt idx="51">
                  <c:v>120.66666666666671</c:v>
                </c:pt>
                <c:pt idx="52">
                  <c:v>52.000000000000078</c:v>
                </c:pt>
                <c:pt idx="53">
                  <c:v>85.249999999999986</c:v>
                </c:pt>
                <c:pt idx="54">
                  <c:v>54.000000000000007</c:v>
                </c:pt>
                <c:pt idx="55">
                  <c:v>52.000000000000043</c:v>
                </c:pt>
                <c:pt idx="56">
                  <c:v>31.000000000000014</c:v>
                </c:pt>
                <c:pt idx="57">
                  <c:v>54.000000000000007</c:v>
                </c:pt>
                <c:pt idx="58">
                  <c:v>31.000000000000014</c:v>
                </c:pt>
                <c:pt idx="59">
                  <c:v>30.999999999999943</c:v>
                </c:pt>
                <c:pt idx="60">
                  <c:v>52</c:v>
                </c:pt>
                <c:pt idx="61">
                  <c:v>50.000000000000007</c:v>
                </c:pt>
                <c:pt idx="62">
                  <c:v>31.000000000000014</c:v>
                </c:pt>
                <c:pt idx="63">
                  <c:v>57.111111111111185</c:v>
                </c:pt>
                <c:pt idx="64">
                  <c:v>57.384615384615401</c:v>
                </c:pt>
                <c:pt idx="65">
                  <c:v>31.000000000000014</c:v>
                </c:pt>
                <c:pt idx="66">
                  <c:v>54</c:v>
                </c:pt>
                <c:pt idx="67">
                  <c:v>54.000000000000021</c:v>
                </c:pt>
                <c:pt idx="68">
                  <c:v>30.999999999999986</c:v>
                </c:pt>
                <c:pt idx="69">
                  <c:v>54.000000000000021</c:v>
                </c:pt>
                <c:pt idx="70">
                  <c:v>52.000000000000021</c:v>
                </c:pt>
                <c:pt idx="71">
                  <c:v>30.999999999999993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8D7D-4231-A0D1-853D049395B6}"/>
            </c:ext>
          </c:extLst>
        </c:ser>
        <c:ser>
          <c:idx val="91"/>
          <c:order val="91"/>
          <c:tx>
            <c:strRef>
              <c:f>LRMC!$A$95:$C$95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Node_2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LRMC!$D$95:$BW$95</c:f>
              <c:numCache>
                <c:formatCode>0</c:formatCode>
                <c:ptCount val="72"/>
                <c:pt idx="0">
                  <c:v>52</c:v>
                </c:pt>
                <c:pt idx="1">
                  <c:v>52.000000000000036</c:v>
                </c:pt>
                <c:pt idx="2">
                  <c:v>0</c:v>
                </c:pt>
                <c:pt idx="3">
                  <c:v>58.888888888888935</c:v>
                </c:pt>
                <c:pt idx="4">
                  <c:v>34</c:v>
                </c:pt>
                <c:pt idx="5">
                  <c:v>106.77777777777776</c:v>
                </c:pt>
                <c:pt idx="6">
                  <c:v>52.000000000000007</c:v>
                </c:pt>
                <c:pt idx="7">
                  <c:v>52.000000000000021</c:v>
                </c:pt>
                <c:pt idx="8">
                  <c:v>30.999999999999996</c:v>
                </c:pt>
                <c:pt idx="9">
                  <c:v>59.000000000000043</c:v>
                </c:pt>
                <c:pt idx="10">
                  <c:v>52.000000000000021</c:v>
                </c:pt>
                <c:pt idx="11">
                  <c:v>31.000000000000004</c:v>
                </c:pt>
                <c:pt idx="12">
                  <c:v>49.999999999999993</c:v>
                </c:pt>
                <c:pt idx="13">
                  <c:v>50.000000000000014</c:v>
                </c:pt>
                <c:pt idx="14">
                  <c:v>31.000000000000007</c:v>
                </c:pt>
                <c:pt idx="15">
                  <c:v>65.2</c:v>
                </c:pt>
                <c:pt idx="16">
                  <c:v>56.523076923076999</c:v>
                </c:pt>
                <c:pt idx="17">
                  <c:v>31.000000000000004</c:v>
                </c:pt>
                <c:pt idx="18">
                  <c:v>52.000000000000036</c:v>
                </c:pt>
                <c:pt idx="19">
                  <c:v>49.999999999999993</c:v>
                </c:pt>
                <c:pt idx="20">
                  <c:v>30.999999999999996</c:v>
                </c:pt>
                <c:pt idx="21">
                  <c:v>51.999999999999972</c:v>
                </c:pt>
                <c:pt idx="22">
                  <c:v>30.999999999999989</c:v>
                </c:pt>
                <c:pt idx="23">
                  <c:v>30.999999999999996</c:v>
                </c:pt>
                <c:pt idx="24">
                  <c:v>52.000000000000007</c:v>
                </c:pt>
                <c:pt idx="25">
                  <c:v>49.999999999999986</c:v>
                </c:pt>
                <c:pt idx="26">
                  <c:v>30.999999999999996</c:v>
                </c:pt>
                <c:pt idx="27">
                  <c:v>52.000000000000021</c:v>
                </c:pt>
                <c:pt idx="28">
                  <c:v>50.000000000000007</c:v>
                </c:pt>
                <c:pt idx="29">
                  <c:v>31.000000000000004</c:v>
                </c:pt>
                <c:pt idx="30">
                  <c:v>54.000000000000036</c:v>
                </c:pt>
                <c:pt idx="31">
                  <c:v>52.000000000000036</c:v>
                </c:pt>
                <c:pt idx="32">
                  <c:v>0</c:v>
                </c:pt>
                <c:pt idx="33">
                  <c:v>52.000000000000036</c:v>
                </c:pt>
                <c:pt idx="34">
                  <c:v>34</c:v>
                </c:pt>
                <c:pt idx="35">
                  <c:v>93.000000000000028</c:v>
                </c:pt>
                <c:pt idx="36">
                  <c:v>52</c:v>
                </c:pt>
                <c:pt idx="37">
                  <c:v>50.000000000000014</c:v>
                </c:pt>
                <c:pt idx="38">
                  <c:v>30.999999999999996</c:v>
                </c:pt>
                <c:pt idx="39">
                  <c:v>62.148148148148245</c:v>
                </c:pt>
                <c:pt idx="40">
                  <c:v>62.380952380952408</c:v>
                </c:pt>
                <c:pt idx="41">
                  <c:v>31.000000000000004</c:v>
                </c:pt>
                <c:pt idx="42">
                  <c:v>54.000000000000021</c:v>
                </c:pt>
                <c:pt idx="43">
                  <c:v>54.000000000000007</c:v>
                </c:pt>
                <c:pt idx="44">
                  <c:v>0</c:v>
                </c:pt>
                <c:pt idx="45">
                  <c:v>54.000000000000028</c:v>
                </c:pt>
                <c:pt idx="46">
                  <c:v>52.000000000000021</c:v>
                </c:pt>
                <c:pt idx="47">
                  <c:v>106.7777777777778</c:v>
                </c:pt>
                <c:pt idx="48">
                  <c:v>34</c:v>
                </c:pt>
                <c:pt idx="49">
                  <c:v>52.000000000000007</c:v>
                </c:pt>
                <c:pt idx="50">
                  <c:v>0</c:v>
                </c:pt>
                <c:pt idx="51">
                  <c:v>120.66666666666671</c:v>
                </c:pt>
                <c:pt idx="52">
                  <c:v>52.000000000000071</c:v>
                </c:pt>
                <c:pt idx="53">
                  <c:v>85.25</c:v>
                </c:pt>
                <c:pt idx="54">
                  <c:v>54.000000000000021</c:v>
                </c:pt>
                <c:pt idx="55">
                  <c:v>52.000000000000036</c:v>
                </c:pt>
                <c:pt idx="56">
                  <c:v>31.000000000000025</c:v>
                </c:pt>
                <c:pt idx="57">
                  <c:v>54.000000000000028</c:v>
                </c:pt>
                <c:pt idx="58">
                  <c:v>31.000000000000004</c:v>
                </c:pt>
                <c:pt idx="59">
                  <c:v>30.999999999999961</c:v>
                </c:pt>
                <c:pt idx="60">
                  <c:v>52.000000000000007</c:v>
                </c:pt>
                <c:pt idx="61">
                  <c:v>50.000000000000007</c:v>
                </c:pt>
                <c:pt idx="62">
                  <c:v>31.000000000000014</c:v>
                </c:pt>
                <c:pt idx="63">
                  <c:v>57.111111111111185</c:v>
                </c:pt>
                <c:pt idx="64">
                  <c:v>57.384615384615437</c:v>
                </c:pt>
                <c:pt idx="65">
                  <c:v>31.000000000000007</c:v>
                </c:pt>
                <c:pt idx="66">
                  <c:v>54</c:v>
                </c:pt>
                <c:pt idx="67">
                  <c:v>54.000000000000021</c:v>
                </c:pt>
                <c:pt idx="68">
                  <c:v>31.000000000000004</c:v>
                </c:pt>
                <c:pt idx="69">
                  <c:v>54.000000000000021</c:v>
                </c:pt>
                <c:pt idx="70">
                  <c:v>52.000000000000021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8D7D-4231-A0D1-853D049395B6}"/>
            </c:ext>
          </c:extLst>
        </c:ser>
        <c:ser>
          <c:idx val="92"/>
          <c:order val="92"/>
          <c:tx>
            <c:strRef>
              <c:f>LRMC!$A$96:$C$96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Node_3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LRMC!$D$96:$BW$96</c:f>
              <c:numCache>
                <c:formatCode>0</c:formatCode>
                <c:ptCount val="72"/>
                <c:pt idx="0">
                  <c:v>52</c:v>
                </c:pt>
                <c:pt idx="1">
                  <c:v>52.000000000000036</c:v>
                </c:pt>
                <c:pt idx="2">
                  <c:v>0</c:v>
                </c:pt>
                <c:pt idx="3">
                  <c:v>58.888888888888935</c:v>
                </c:pt>
                <c:pt idx="4">
                  <c:v>34</c:v>
                </c:pt>
                <c:pt idx="5">
                  <c:v>106.77777777777776</c:v>
                </c:pt>
                <c:pt idx="6">
                  <c:v>52.000000000000007</c:v>
                </c:pt>
                <c:pt idx="7">
                  <c:v>52.000000000000021</c:v>
                </c:pt>
                <c:pt idx="8">
                  <c:v>30.999999999999996</c:v>
                </c:pt>
                <c:pt idx="9">
                  <c:v>59.000000000000043</c:v>
                </c:pt>
                <c:pt idx="10">
                  <c:v>52.000000000000021</c:v>
                </c:pt>
                <c:pt idx="11">
                  <c:v>31.000000000000004</c:v>
                </c:pt>
                <c:pt idx="12">
                  <c:v>49.999999999999993</c:v>
                </c:pt>
                <c:pt idx="13">
                  <c:v>50.000000000000014</c:v>
                </c:pt>
                <c:pt idx="14">
                  <c:v>31.000000000000007</c:v>
                </c:pt>
                <c:pt idx="15">
                  <c:v>65.2</c:v>
                </c:pt>
                <c:pt idx="16">
                  <c:v>56.523076923076999</c:v>
                </c:pt>
                <c:pt idx="17">
                  <c:v>30.999999999999993</c:v>
                </c:pt>
                <c:pt idx="18">
                  <c:v>52.000000000000043</c:v>
                </c:pt>
                <c:pt idx="19">
                  <c:v>49.999999999999993</c:v>
                </c:pt>
                <c:pt idx="20">
                  <c:v>30.999999999999996</c:v>
                </c:pt>
                <c:pt idx="21">
                  <c:v>51.999999999999929</c:v>
                </c:pt>
                <c:pt idx="22">
                  <c:v>30.999999999999989</c:v>
                </c:pt>
                <c:pt idx="23">
                  <c:v>30.999999999999996</c:v>
                </c:pt>
                <c:pt idx="24">
                  <c:v>52.000000000000007</c:v>
                </c:pt>
                <c:pt idx="25">
                  <c:v>49.999999999999986</c:v>
                </c:pt>
                <c:pt idx="26">
                  <c:v>30.999999999999996</c:v>
                </c:pt>
                <c:pt idx="27">
                  <c:v>52.000000000000021</c:v>
                </c:pt>
                <c:pt idx="28">
                  <c:v>50.000000000000007</c:v>
                </c:pt>
                <c:pt idx="29">
                  <c:v>31.000000000000004</c:v>
                </c:pt>
                <c:pt idx="30">
                  <c:v>54.000000000000021</c:v>
                </c:pt>
                <c:pt idx="31">
                  <c:v>52.000000000000036</c:v>
                </c:pt>
                <c:pt idx="32">
                  <c:v>0</c:v>
                </c:pt>
                <c:pt idx="33">
                  <c:v>52.000000000000036</c:v>
                </c:pt>
                <c:pt idx="34">
                  <c:v>34</c:v>
                </c:pt>
                <c:pt idx="35">
                  <c:v>93</c:v>
                </c:pt>
                <c:pt idx="36">
                  <c:v>52.000000000000007</c:v>
                </c:pt>
                <c:pt idx="37">
                  <c:v>50.000000000000014</c:v>
                </c:pt>
                <c:pt idx="38">
                  <c:v>30.999999999999996</c:v>
                </c:pt>
                <c:pt idx="39">
                  <c:v>62.148148148148209</c:v>
                </c:pt>
                <c:pt idx="40">
                  <c:v>62.380952380952358</c:v>
                </c:pt>
                <c:pt idx="41">
                  <c:v>31.000000000000004</c:v>
                </c:pt>
                <c:pt idx="42">
                  <c:v>54.000000000000007</c:v>
                </c:pt>
                <c:pt idx="43">
                  <c:v>54.000000000000007</c:v>
                </c:pt>
                <c:pt idx="44">
                  <c:v>0</c:v>
                </c:pt>
                <c:pt idx="45">
                  <c:v>54.000000000000007</c:v>
                </c:pt>
                <c:pt idx="46">
                  <c:v>52.000000000000036</c:v>
                </c:pt>
                <c:pt idx="47">
                  <c:v>106.77777777777779</c:v>
                </c:pt>
                <c:pt idx="48">
                  <c:v>34</c:v>
                </c:pt>
                <c:pt idx="49">
                  <c:v>52.000000000000007</c:v>
                </c:pt>
                <c:pt idx="50">
                  <c:v>0</c:v>
                </c:pt>
                <c:pt idx="51">
                  <c:v>120.66666666666671</c:v>
                </c:pt>
                <c:pt idx="52">
                  <c:v>52.000000000000078</c:v>
                </c:pt>
                <c:pt idx="53">
                  <c:v>85.249999999999986</c:v>
                </c:pt>
                <c:pt idx="54">
                  <c:v>54.000000000000007</c:v>
                </c:pt>
                <c:pt idx="55">
                  <c:v>52.000000000000043</c:v>
                </c:pt>
                <c:pt idx="56">
                  <c:v>31.000000000000025</c:v>
                </c:pt>
                <c:pt idx="57">
                  <c:v>54.000000000000007</c:v>
                </c:pt>
                <c:pt idx="58">
                  <c:v>31.000000000000004</c:v>
                </c:pt>
                <c:pt idx="59">
                  <c:v>30.999999999999943</c:v>
                </c:pt>
                <c:pt idx="60">
                  <c:v>52.000000000000007</c:v>
                </c:pt>
                <c:pt idx="61">
                  <c:v>50.000000000000007</c:v>
                </c:pt>
                <c:pt idx="62">
                  <c:v>31.000000000000014</c:v>
                </c:pt>
                <c:pt idx="63">
                  <c:v>57.111111111111185</c:v>
                </c:pt>
                <c:pt idx="64">
                  <c:v>57.384615384615401</c:v>
                </c:pt>
                <c:pt idx="65">
                  <c:v>30.999999999999975</c:v>
                </c:pt>
                <c:pt idx="66">
                  <c:v>54</c:v>
                </c:pt>
                <c:pt idx="67">
                  <c:v>54.000000000000021</c:v>
                </c:pt>
                <c:pt idx="68">
                  <c:v>31.000000000000004</c:v>
                </c:pt>
                <c:pt idx="69">
                  <c:v>54.000000000000021</c:v>
                </c:pt>
                <c:pt idx="70">
                  <c:v>52.000000000000021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8D7D-4231-A0D1-853D049395B6}"/>
            </c:ext>
          </c:extLst>
        </c:ser>
        <c:ser>
          <c:idx val="93"/>
          <c:order val="93"/>
          <c:tx>
            <c:strRef>
              <c:f>LRMC!$A$97:$C$97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Node_4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LRMC!$D$97:$BW$97</c:f>
              <c:numCache>
                <c:formatCode>0</c:formatCode>
                <c:ptCount val="72"/>
                <c:pt idx="0">
                  <c:v>52.000000000000007</c:v>
                </c:pt>
                <c:pt idx="1">
                  <c:v>52.000000000000036</c:v>
                </c:pt>
                <c:pt idx="2">
                  <c:v>0</c:v>
                </c:pt>
                <c:pt idx="3">
                  <c:v>58.888888888888935</c:v>
                </c:pt>
                <c:pt idx="4">
                  <c:v>34</c:v>
                </c:pt>
                <c:pt idx="5">
                  <c:v>106.77777777777776</c:v>
                </c:pt>
                <c:pt idx="6">
                  <c:v>52.000000000000007</c:v>
                </c:pt>
                <c:pt idx="7">
                  <c:v>52.000000000000021</c:v>
                </c:pt>
                <c:pt idx="8">
                  <c:v>30.999999999999989</c:v>
                </c:pt>
                <c:pt idx="9">
                  <c:v>59.000000000000043</c:v>
                </c:pt>
                <c:pt idx="10">
                  <c:v>52.000000000000021</c:v>
                </c:pt>
                <c:pt idx="11">
                  <c:v>31.000000000000004</c:v>
                </c:pt>
                <c:pt idx="12">
                  <c:v>49.999999999999993</c:v>
                </c:pt>
                <c:pt idx="13">
                  <c:v>50.000000000000007</c:v>
                </c:pt>
                <c:pt idx="14">
                  <c:v>31.000000000000007</c:v>
                </c:pt>
                <c:pt idx="15">
                  <c:v>65.2</c:v>
                </c:pt>
                <c:pt idx="16">
                  <c:v>56.523076923076999</c:v>
                </c:pt>
                <c:pt idx="17">
                  <c:v>31.000000000000004</c:v>
                </c:pt>
                <c:pt idx="18">
                  <c:v>52.000000000000043</c:v>
                </c:pt>
                <c:pt idx="19">
                  <c:v>49.999999999999993</c:v>
                </c:pt>
                <c:pt idx="20">
                  <c:v>30.999999999999993</c:v>
                </c:pt>
                <c:pt idx="21">
                  <c:v>51.999999999999929</c:v>
                </c:pt>
                <c:pt idx="22">
                  <c:v>30.999999999999989</c:v>
                </c:pt>
                <c:pt idx="23">
                  <c:v>30.999999999999989</c:v>
                </c:pt>
                <c:pt idx="24">
                  <c:v>51.999999999999972</c:v>
                </c:pt>
                <c:pt idx="25">
                  <c:v>49.999999999999993</c:v>
                </c:pt>
                <c:pt idx="26">
                  <c:v>31.000000000000007</c:v>
                </c:pt>
                <c:pt idx="27">
                  <c:v>52.000000000000043</c:v>
                </c:pt>
                <c:pt idx="28">
                  <c:v>50.000000000000007</c:v>
                </c:pt>
                <c:pt idx="29">
                  <c:v>31.000000000000004</c:v>
                </c:pt>
                <c:pt idx="30">
                  <c:v>54.000000000000021</c:v>
                </c:pt>
                <c:pt idx="31">
                  <c:v>52.000000000000036</c:v>
                </c:pt>
                <c:pt idx="32">
                  <c:v>0</c:v>
                </c:pt>
                <c:pt idx="33">
                  <c:v>52.000000000000036</c:v>
                </c:pt>
                <c:pt idx="34">
                  <c:v>34</c:v>
                </c:pt>
                <c:pt idx="35">
                  <c:v>93</c:v>
                </c:pt>
                <c:pt idx="36">
                  <c:v>52.000000000000007</c:v>
                </c:pt>
                <c:pt idx="37">
                  <c:v>50.000000000000007</c:v>
                </c:pt>
                <c:pt idx="38">
                  <c:v>30.999999999999993</c:v>
                </c:pt>
                <c:pt idx="39">
                  <c:v>62.148148148148209</c:v>
                </c:pt>
                <c:pt idx="40">
                  <c:v>62.380952380952358</c:v>
                </c:pt>
                <c:pt idx="41">
                  <c:v>31.000000000000011</c:v>
                </c:pt>
                <c:pt idx="42">
                  <c:v>54.000000000000007</c:v>
                </c:pt>
                <c:pt idx="43">
                  <c:v>54.000000000000007</c:v>
                </c:pt>
                <c:pt idx="44">
                  <c:v>0</c:v>
                </c:pt>
                <c:pt idx="45">
                  <c:v>54.000000000000007</c:v>
                </c:pt>
                <c:pt idx="46">
                  <c:v>52.000000000000036</c:v>
                </c:pt>
                <c:pt idx="47">
                  <c:v>106.77777777777779</c:v>
                </c:pt>
                <c:pt idx="48">
                  <c:v>34</c:v>
                </c:pt>
                <c:pt idx="49">
                  <c:v>52.000000000000007</c:v>
                </c:pt>
                <c:pt idx="50">
                  <c:v>0</c:v>
                </c:pt>
                <c:pt idx="51">
                  <c:v>120.66666666666671</c:v>
                </c:pt>
                <c:pt idx="52">
                  <c:v>52.000000000000078</c:v>
                </c:pt>
                <c:pt idx="53">
                  <c:v>85.249999999999986</c:v>
                </c:pt>
                <c:pt idx="54">
                  <c:v>54.000000000000007</c:v>
                </c:pt>
                <c:pt idx="55">
                  <c:v>52.000000000000043</c:v>
                </c:pt>
                <c:pt idx="56">
                  <c:v>31.000000000000025</c:v>
                </c:pt>
                <c:pt idx="57">
                  <c:v>54.000000000000007</c:v>
                </c:pt>
                <c:pt idx="58">
                  <c:v>31.000000000000004</c:v>
                </c:pt>
                <c:pt idx="59">
                  <c:v>30.999999999999943</c:v>
                </c:pt>
                <c:pt idx="60">
                  <c:v>52.000000000000007</c:v>
                </c:pt>
                <c:pt idx="61">
                  <c:v>50.000000000000007</c:v>
                </c:pt>
                <c:pt idx="62">
                  <c:v>31.000000000000014</c:v>
                </c:pt>
                <c:pt idx="63">
                  <c:v>57.111111111111185</c:v>
                </c:pt>
                <c:pt idx="64">
                  <c:v>57.384615384615401</c:v>
                </c:pt>
                <c:pt idx="65">
                  <c:v>31.000000000000004</c:v>
                </c:pt>
                <c:pt idx="66">
                  <c:v>54</c:v>
                </c:pt>
                <c:pt idx="67">
                  <c:v>54.000000000000021</c:v>
                </c:pt>
                <c:pt idx="68">
                  <c:v>30.999999999999996</c:v>
                </c:pt>
                <c:pt idx="69">
                  <c:v>54.000000000000021</c:v>
                </c:pt>
                <c:pt idx="70">
                  <c:v>52.000000000000021</c:v>
                </c:pt>
                <c:pt idx="71">
                  <c:v>30.999999999999993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8D7D-4231-A0D1-853D049395B6}"/>
            </c:ext>
          </c:extLst>
        </c:ser>
        <c:ser>
          <c:idx val="94"/>
          <c:order val="94"/>
          <c:tx>
            <c:strRef>
              <c:f>LRMC!$A$98:$C$98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Node_5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LRMC!$D$98:$BW$98</c:f>
              <c:numCache>
                <c:formatCode>0</c:formatCode>
                <c:ptCount val="72"/>
                <c:pt idx="0">
                  <c:v>52.000000000000007</c:v>
                </c:pt>
                <c:pt idx="1">
                  <c:v>52.000000000000036</c:v>
                </c:pt>
                <c:pt idx="2">
                  <c:v>0</c:v>
                </c:pt>
                <c:pt idx="3">
                  <c:v>58.888888888888935</c:v>
                </c:pt>
                <c:pt idx="4">
                  <c:v>34</c:v>
                </c:pt>
                <c:pt idx="5">
                  <c:v>106.77777777777776</c:v>
                </c:pt>
                <c:pt idx="6">
                  <c:v>52.000000000000007</c:v>
                </c:pt>
                <c:pt idx="7">
                  <c:v>52.000000000000021</c:v>
                </c:pt>
                <c:pt idx="8">
                  <c:v>30.999999999999989</c:v>
                </c:pt>
                <c:pt idx="9">
                  <c:v>59.000000000000043</c:v>
                </c:pt>
                <c:pt idx="10">
                  <c:v>52.000000000000021</c:v>
                </c:pt>
                <c:pt idx="11">
                  <c:v>31.000000000000004</c:v>
                </c:pt>
                <c:pt idx="12">
                  <c:v>49.999999999999993</c:v>
                </c:pt>
                <c:pt idx="13">
                  <c:v>50.000000000000007</c:v>
                </c:pt>
                <c:pt idx="14">
                  <c:v>31.000000000000007</c:v>
                </c:pt>
                <c:pt idx="15">
                  <c:v>65.2</c:v>
                </c:pt>
                <c:pt idx="16">
                  <c:v>56.523076923076999</c:v>
                </c:pt>
                <c:pt idx="17">
                  <c:v>31.000000000000004</c:v>
                </c:pt>
                <c:pt idx="18">
                  <c:v>52.000000000000043</c:v>
                </c:pt>
                <c:pt idx="19">
                  <c:v>49.999999999999993</c:v>
                </c:pt>
                <c:pt idx="20">
                  <c:v>30.999999999999993</c:v>
                </c:pt>
                <c:pt idx="21">
                  <c:v>51.999999999999929</c:v>
                </c:pt>
                <c:pt idx="22">
                  <c:v>30.999999999999989</c:v>
                </c:pt>
                <c:pt idx="23">
                  <c:v>30.999999999999989</c:v>
                </c:pt>
                <c:pt idx="24">
                  <c:v>51.999999999999972</c:v>
                </c:pt>
                <c:pt idx="25">
                  <c:v>49.999999999999993</c:v>
                </c:pt>
                <c:pt idx="26">
                  <c:v>31.000000000000007</c:v>
                </c:pt>
                <c:pt idx="27">
                  <c:v>52.000000000000043</c:v>
                </c:pt>
                <c:pt idx="28">
                  <c:v>50.000000000000007</c:v>
                </c:pt>
                <c:pt idx="29">
                  <c:v>31.000000000000004</c:v>
                </c:pt>
                <c:pt idx="30">
                  <c:v>54.000000000000021</c:v>
                </c:pt>
                <c:pt idx="31">
                  <c:v>52.000000000000036</c:v>
                </c:pt>
                <c:pt idx="32">
                  <c:v>0</c:v>
                </c:pt>
                <c:pt idx="33">
                  <c:v>52.000000000000036</c:v>
                </c:pt>
                <c:pt idx="34">
                  <c:v>34</c:v>
                </c:pt>
                <c:pt idx="35">
                  <c:v>93</c:v>
                </c:pt>
                <c:pt idx="36">
                  <c:v>52.000000000000007</c:v>
                </c:pt>
                <c:pt idx="37">
                  <c:v>50.000000000000007</c:v>
                </c:pt>
                <c:pt idx="38">
                  <c:v>30.999999999999993</c:v>
                </c:pt>
                <c:pt idx="39">
                  <c:v>62.148148148148209</c:v>
                </c:pt>
                <c:pt idx="40">
                  <c:v>62.380952380952358</c:v>
                </c:pt>
                <c:pt idx="41">
                  <c:v>31.000000000000011</c:v>
                </c:pt>
                <c:pt idx="42">
                  <c:v>54.000000000000007</c:v>
                </c:pt>
                <c:pt idx="43">
                  <c:v>54.000000000000007</c:v>
                </c:pt>
                <c:pt idx="44">
                  <c:v>0</c:v>
                </c:pt>
                <c:pt idx="45">
                  <c:v>54.000000000000007</c:v>
                </c:pt>
                <c:pt idx="46">
                  <c:v>52.000000000000036</c:v>
                </c:pt>
                <c:pt idx="47">
                  <c:v>106.77777777777779</c:v>
                </c:pt>
                <c:pt idx="48">
                  <c:v>34</c:v>
                </c:pt>
                <c:pt idx="49">
                  <c:v>52.000000000000007</c:v>
                </c:pt>
                <c:pt idx="50">
                  <c:v>0</c:v>
                </c:pt>
                <c:pt idx="51">
                  <c:v>120.66666666666671</c:v>
                </c:pt>
                <c:pt idx="52">
                  <c:v>52.000000000000078</c:v>
                </c:pt>
                <c:pt idx="53">
                  <c:v>85.249999999999986</c:v>
                </c:pt>
                <c:pt idx="54">
                  <c:v>54.000000000000007</c:v>
                </c:pt>
                <c:pt idx="55">
                  <c:v>52.000000000000043</c:v>
                </c:pt>
                <c:pt idx="56">
                  <c:v>31.000000000000025</c:v>
                </c:pt>
                <c:pt idx="57">
                  <c:v>54.000000000000007</c:v>
                </c:pt>
                <c:pt idx="58">
                  <c:v>31.000000000000004</c:v>
                </c:pt>
                <c:pt idx="59">
                  <c:v>30.999999999999943</c:v>
                </c:pt>
                <c:pt idx="60">
                  <c:v>52.000000000000007</c:v>
                </c:pt>
                <c:pt idx="61">
                  <c:v>50.000000000000007</c:v>
                </c:pt>
                <c:pt idx="62">
                  <c:v>31.000000000000014</c:v>
                </c:pt>
                <c:pt idx="63">
                  <c:v>57.111111111111185</c:v>
                </c:pt>
                <c:pt idx="64">
                  <c:v>57.384615384615401</c:v>
                </c:pt>
                <c:pt idx="65">
                  <c:v>31.000000000000004</c:v>
                </c:pt>
                <c:pt idx="66">
                  <c:v>54</c:v>
                </c:pt>
                <c:pt idx="67">
                  <c:v>54.000000000000021</c:v>
                </c:pt>
                <c:pt idx="68">
                  <c:v>30.999999999999996</c:v>
                </c:pt>
                <c:pt idx="69">
                  <c:v>54.000000000000021</c:v>
                </c:pt>
                <c:pt idx="70">
                  <c:v>52.000000000000021</c:v>
                </c:pt>
                <c:pt idx="71">
                  <c:v>30.999999999999993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8D7D-4231-A0D1-853D049395B6}"/>
            </c:ext>
          </c:extLst>
        </c:ser>
        <c:ser>
          <c:idx val="95"/>
          <c:order val="95"/>
          <c:tx>
            <c:strRef>
              <c:f>LRMC!$A$99:$C$99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Node_6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LRMC!$D$99:$BW$99</c:f>
              <c:numCache>
                <c:formatCode>0</c:formatCode>
                <c:ptCount val="72"/>
                <c:pt idx="0">
                  <c:v>52</c:v>
                </c:pt>
                <c:pt idx="1">
                  <c:v>52.000000000000036</c:v>
                </c:pt>
                <c:pt idx="2">
                  <c:v>0</c:v>
                </c:pt>
                <c:pt idx="3">
                  <c:v>58.888888888888935</c:v>
                </c:pt>
                <c:pt idx="4">
                  <c:v>34</c:v>
                </c:pt>
                <c:pt idx="5">
                  <c:v>106.77777777777776</c:v>
                </c:pt>
                <c:pt idx="6">
                  <c:v>52.000000000000007</c:v>
                </c:pt>
                <c:pt idx="7">
                  <c:v>52.000000000000021</c:v>
                </c:pt>
                <c:pt idx="8">
                  <c:v>31.000000000000004</c:v>
                </c:pt>
                <c:pt idx="9">
                  <c:v>59.000000000000043</c:v>
                </c:pt>
                <c:pt idx="10">
                  <c:v>52.000000000000021</c:v>
                </c:pt>
                <c:pt idx="11">
                  <c:v>31.000000000000007</c:v>
                </c:pt>
                <c:pt idx="12">
                  <c:v>49.999999999999993</c:v>
                </c:pt>
                <c:pt idx="13">
                  <c:v>50.000000000000014</c:v>
                </c:pt>
                <c:pt idx="14">
                  <c:v>31.000000000000007</c:v>
                </c:pt>
                <c:pt idx="15">
                  <c:v>65.2</c:v>
                </c:pt>
                <c:pt idx="16">
                  <c:v>56.523076923076999</c:v>
                </c:pt>
                <c:pt idx="17">
                  <c:v>31.000000000000004</c:v>
                </c:pt>
                <c:pt idx="18">
                  <c:v>52.000000000000036</c:v>
                </c:pt>
                <c:pt idx="19">
                  <c:v>49.999999999999993</c:v>
                </c:pt>
                <c:pt idx="20">
                  <c:v>31.000000000000004</c:v>
                </c:pt>
                <c:pt idx="21">
                  <c:v>51.999999999999972</c:v>
                </c:pt>
                <c:pt idx="22">
                  <c:v>30.999999999999989</c:v>
                </c:pt>
                <c:pt idx="23">
                  <c:v>31.000000000000004</c:v>
                </c:pt>
                <c:pt idx="24">
                  <c:v>52.000000000000036</c:v>
                </c:pt>
                <c:pt idx="25">
                  <c:v>49.999999999999986</c:v>
                </c:pt>
                <c:pt idx="26">
                  <c:v>30.999999999999996</c:v>
                </c:pt>
                <c:pt idx="27">
                  <c:v>52.000000000000007</c:v>
                </c:pt>
                <c:pt idx="28">
                  <c:v>50.000000000000007</c:v>
                </c:pt>
                <c:pt idx="29">
                  <c:v>31.000000000000004</c:v>
                </c:pt>
                <c:pt idx="30">
                  <c:v>54.000000000000036</c:v>
                </c:pt>
                <c:pt idx="31">
                  <c:v>52.000000000000036</c:v>
                </c:pt>
                <c:pt idx="32">
                  <c:v>0</c:v>
                </c:pt>
                <c:pt idx="33">
                  <c:v>52.000000000000036</c:v>
                </c:pt>
                <c:pt idx="34">
                  <c:v>34</c:v>
                </c:pt>
                <c:pt idx="35">
                  <c:v>93.000000000000028</c:v>
                </c:pt>
                <c:pt idx="36">
                  <c:v>52</c:v>
                </c:pt>
                <c:pt idx="37">
                  <c:v>50.000000000000014</c:v>
                </c:pt>
                <c:pt idx="38">
                  <c:v>30.999999999999996</c:v>
                </c:pt>
                <c:pt idx="39">
                  <c:v>62.148148148148245</c:v>
                </c:pt>
                <c:pt idx="40">
                  <c:v>62.380952380952408</c:v>
                </c:pt>
                <c:pt idx="41">
                  <c:v>30.999999999999996</c:v>
                </c:pt>
                <c:pt idx="42">
                  <c:v>54.000000000000021</c:v>
                </c:pt>
                <c:pt idx="43">
                  <c:v>54.000000000000007</c:v>
                </c:pt>
                <c:pt idx="44">
                  <c:v>0</c:v>
                </c:pt>
                <c:pt idx="45">
                  <c:v>54.000000000000028</c:v>
                </c:pt>
                <c:pt idx="46">
                  <c:v>52.000000000000021</c:v>
                </c:pt>
                <c:pt idx="47">
                  <c:v>106.7777777777778</c:v>
                </c:pt>
                <c:pt idx="48">
                  <c:v>34</c:v>
                </c:pt>
                <c:pt idx="49">
                  <c:v>52.000000000000007</c:v>
                </c:pt>
                <c:pt idx="50">
                  <c:v>0</c:v>
                </c:pt>
                <c:pt idx="51">
                  <c:v>120.66666666666671</c:v>
                </c:pt>
                <c:pt idx="52">
                  <c:v>52.000000000000071</c:v>
                </c:pt>
                <c:pt idx="53">
                  <c:v>85.25</c:v>
                </c:pt>
                <c:pt idx="54">
                  <c:v>54.000000000000021</c:v>
                </c:pt>
                <c:pt idx="55">
                  <c:v>52.000000000000036</c:v>
                </c:pt>
                <c:pt idx="56">
                  <c:v>31.000000000000025</c:v>
                </c:pt>
                <c:pt idx="57">
                  <c:v>54.000000000000028</c:v>
                </c:pt>
                <c:pt idx="58">
                  <c:v>31.000000000000007</c:v>
                </c:pt>
                <c:pt idx="59">
                  <c:v>30.999999999999961</c:v>
                </c:pt>
                <c:pt idx="60">
                  <c:v>52.000000000000007</c:v>
                </c:pt>
                <c:pt idx="61">
                  <c:v>50.000000000000007</c:v>
                </c:pt>
                <c:pt idx="62">
                  <c:v>31.000000000000014</c:v>
                </c:pt>
                <c:pt idx="63">
                  <c:v>57.111111111111185</c:v>
                </c:pt>
                <c:pt idx="64">
                  <c:v>57.384615384615437</c:v>
                </c:pt>
                <c:pt idx="65">
                  <c:v>31.000000000000007</c:v>
                </c:pt>
                <c:pt idx="66">
                  <c:v>54</c:v>
                </c:pt>
                <c:pt idx="67">
                  <c:v>54.000000000000021</c:v>
                </c:pt>
                <c:pt idx="68">
                  <c:v>31.000000000000007</c:v>
                </c:pt>
                <c:pt idx="69">
                  <c:v>54.000000000000021</c:v>
                </c:pt>
                <c:pt idx="70">
                  <c:v>52.000000000000021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8D7D-4231-A0D1-853D049395B6}"/>
            </c:ext>
          </c:extLst>
        </c:ser>
        <c:ser>
          <c:idx val="96"/>
          <c:order val="96"/>
          <c:tx>
            <c:strRef>
              <c:f>LRMC!$A$100:$C$100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Node_7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LRMC!$D$100:$BW$100</c:f>
              <c:numCache>
                <c:formatCode>0</c:formatCode>
                <c:ptCount val="72"/>
                <c:pt idx="0">
                  <c:v>52.000000000000007</c:v>
                </c:pt>
                <c:pt idx="1">
                  <c:v>52.000000000000036</c:v>
                </c:pt>
                <c:pt idx="2">
                  <c:v>0</c:v>
                </c:pt>
                <c:pt idx="3">
                  <c:v>58.888888888888935</c:v>
                </c:pt>
                <c:pt idx="4">
                  <c:v>34</c:v>
                </c:pt>
                <c:pt idx="5">
                  <c:v>106.77777777777776</c:v>
                </c:pt>
                <c:pt idx="6">
                  <c:v>52.000000000000007</c:v>
                </c:pt>
                <c:pt idx="7">
                  <c:v>52.000000000000021</c:v>
                </c:pt>
                <c:pt idx="8">
                  <c:v>31.000000000000004</c:v>
                </c:pt>
                <c:pt idx="9">
                  <c:v>59.000000000000043</c:v>
                </c:pt>
                <c:pt idx="10">
                  <c:v>52.000000000000021</c:v>
                </c:pt>
                <c:pt idx="11">
                  <c:v>31.000000000000007</c:v>
                </c:pt>
                <c:pt idx="12">
                  <c:v>49.999999999999993</c:v>
                </c:pt>
                <c:pt idx="13">
                  <c:v>50.000000000000014</c:v>
                </c:pt>
                <c:pt idx="14">
                  <c:v>31.000000000000007</c:v>
                </c:pt>
                <c:pt idx="15">
                  <c:v>65.2</c:v>
                </c:pt>
                <c:pt idx="16">
                  <c:v>56.523076923076999</c:v>
                </c:pt>
                <c:pt idx="17">
                  <c:v>31.000000000000004</c:v>
                </c:pt>
                <c:pt idx="18">
                  <c:v>52.000000000000036</c:v>
                </c:pt>
                <c:pt idx="19">
                  <c:v>49.999999999999993</c:v>
                </c:pt>
                <c:pt idx="20">
                  <c:v>31.000000000000004</c:v>
                </c:pt>
                <c:pt idx="21">
                  <c:v>51.999999999999972</c:v>
                </c:pt>
                <c:pt idx="22">
                  <c:v>30.999999999999989</c:v>
                </c:pt>
                <c:pt idx="23">
                  <c:v>31.000000000000014</c:v>
                </c:pt>
                <c:pt idx="24">
                  <c:v>52.000000000000036</c:v>
                </c:pt>
                <c:pt idx="25">
                  <c:v>49.999999999999986</c:v>
                </c:pt>
                <c:pt idx="26">
                  <c:v>30.999999999999996</c:v>
                </c:pt>
                <c:pt idx="27">
                  <c:v>52.000000000000007</c:v>
                </c:pt>
                <c:pt idx="28">
                  <c:v>50.000000000000007</c:v>
                </c:pt>
                <c:pt idx="29">
                  <c:v>31.000000000000004</c:v>
                </c:pt>
                <c:pt idx="30">
                  <c:v>54.000000000000007</c:v>
                </c:pt>
                <c:pt idx="31">
                  <c:v>52.000000000000036</c:v>
                </c:pt>
                <c:pt idx="32">
                  <c:v>0</c:v>
                </c:pt>
                <c:pt idx="33">
                  <c:v>52.000000000000036</c:v>
                </c:pt>
                <c:pt idx="34">
                  <c:v>34</c:v>
                </c:pt>
                <c:pt idx="35">
                  <c:v>93.000000000000028</c:v>
                </c:pt>
                <c:pt idx="36">
                  <c:v>52.000000000000007</c:v>
                </c:pt>
                <c:pt idx="37">
                  <c:v>50.000000000000014</c:v>
                </c:pt>
                <c:pt idx="38">
                  <c:v>30.999999999999996</c:v>
                </c:pt>
                <c:pt idx="39">
                  <c:v>62.148148148148231</c:v>
                </c:pt>
                <c:pt idx="40">
                  <c:v>62.380952380952408</c:v>
                </c:pt>
                <c:pt idx="41">
                  <c:v>30.999999999999996</c:v>
                </c:pt>
                <c:pt idx="42">
                  <c:v>54.000000000000007</c:v>
                </c:pt>
                <c:pt idx="43">
                  <c:v>54</c:v>
                </c:pt>
                <c:pt idx="44">
                  <c:v>0</c:v>
                </c:pt>
                <c:pt idx="45">
                  <c:v>54.000000000000007</c:v>
                </c:pt>
                <c:pt idx="46">
                  <c:v>52.000000000000021</c:v>
                </c:pt>
                <c:pt idx="47">
                  <c:v>106.7777777777778</c:v>
                </c:pt>
                <c:pt idx="48">
                  <c:v>34</c:v>
                </c:pt>
                <c:pt idx="49">
                  <c:v>52.000000000000007</c:v>
                </c:pt>
                <c:pt idx="50">
                  <c:v>0</c:v>
                </c:pt>
                <c:pt idx="51">
                  <c:v>120.6666666666667</c:v>
                </c:pt>
                <c:pt idx="52">
                  <c:v>52.000000000000071</c:v>
                </c:pt>
                <c:pt idx="53">
                  <c:v>85.249999999999957</c:v>
                </c:pt>
                <c:pt idx="54">
                  <c:v>54.000000000000007</c:v>
                </c:pt>
                <c:pt idx="55">
                  <c:v>52.000000000000036</c:v>
                </c:pt>
                <c:pt idx="56">
                  <c:v>31.000000000000025</c:v>
                </c:pt>
                <c:pt idx="57">
                  <c:v>54.000000000000007</c:v>
                </c:pt>
                <c:pt idx="58">
                  <c:v>31.000000000000007</c:v>
                </c:pt>
                <c:pt idx="59">
                  <c:v>30.999999999999961</c:v>
                </c:pt>
                <c:pt idx="60">
                  <c:v>52.000000000000007</c:v>
                </c:pt>
                <c:pt idx="61">
                  <c:v>50.000000000000007</c:v>
                </c:pt>
                <c:pt idx="62">
                  <c:v>31.000000000000014</c:v>
                </c:pt>
                <c:pt idx="63">
                  <c:v>57.111111111111185</c:v>
                </c:pt>
                <c:pt idx="64">
                  <c:v>57.384615384615437</c:v>
                </c:pt>
                <c:pt idx="65">
                  <c:v>31.000000000000007</c:v>
                </c:pt>
                <c:pt idx="66">
                  <c:v>53.999999999999993</c:v>
                </c:pt>
                <c:pt idx="67">
                  <c:v>54.000000000000007</c:v>
                </c:pt>
                <c:pt idx="68">
                  <c:v>31.000000000000007</c:v>
                </c:pt>
                <c:pt idx="69">
                  <c:v>54.000000000000021</c:v>
                </c:pt>
                <c:pt idx="70">
                  <c:v>52.000000000000021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8D7D-4231-A0D1-853D049395B6}"/>
            </c:ext>
          </c:extLst>
        </c:ser>
        <c:ser>
          <c:idx val="97"/>
          <c:order val="97"/>
          <c:tx>
            <c:strRef>
              <c:f>LRMC!$A$101:$C$101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Node_8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LRMC!$D$101:$BW$101</c:f>
              <c:numCache>
                <c:formatCode>0</c:formatCode>
                <c:ptCount val="72"/>
                <c:pt idx="0">
                  <c:v>52.000000000000007</c:v>
                </c:pt>
                <c:pt idx="1">
                  <c:v>52.000000000000036</c:v>
                </c:pt>
                <c:pt idx="2">
                  <c:v>0</c:v>
                </c:pt>
                <c:pt idx="3">
                  <c:v>58.888888888888935</c:v>
                </c:pt>
                <c:pt idx="4">
                  <c:v>34</c:v>
                </c:pt>
                <c:pt idx="5">
                  <c:v>106.77777777777776</c:v>
                </c:pt>
                <c:pt idx="6">
                  <c:v>52.000000000000007</c:v>
                </c:pt>
                <c:pt idx="7">
                  <c:v>52.000000000000021</c:v>
                </c:pt>
                <c:pt idx="8">
                  <c:v>31.000000000000004</c:v>
                </c:pt>
                <c:pt idx="9">
                  <c:v>59.000000000000043</c:v>
                </c:pt>
                <c:pt idx="10">
                  <c:v>52.000000000000021</c:v>
                </c:pt>
                <c:pt idx="11">
                  <c:v>31.000000000000007</c:v>
                </c:pt>
                <c:pt idx="12">
                  <c:v>49.999999999999993</c:v>
                </c:pt>
                <c:pt idx="13">
                  <c:v>50.000000000000014</c:v>
                </c:pt>
                <c:pt idx="14">
                  <c:v>31.000000000000007</c:v>
                </c:pt>
                <c:pt idx="15">
                  <c:v>65.2</c:v>
                </c:pt>
                <c:pt idx="16">
                  <c:v>56.523076923076999</c:v>
                </c:pt>
                <c:pt idx="17">
                  <c:v>31.000000000000004</c:v>
                </c:pt>
                <c:pt idx="18">
                  <c:v>52.000000000000036</c:v>
                </c:pt>
                <c:pt idx="19">
                  <c:v>49.999999999999993</c:v>
                </c:pt>
                <c:pt idx="20">
                  <c:v>31.000000000000004</c:v>
                </c:pt>
                <c:pt idx="21">
                  <c:v>51.999999999999972</c:v>
                </c:pt>
                <c:pt idx="22">
                  <c:v>30.999999999999989</c:v>
                </c:pt>
                <c:pt idx="23">
                  <c:v>31.000000000000014</c:v>
                </c:pt>
                <c:pt idx="24">
                  <c:v>52.000000000000036</c:v>
                </c:pt>
                <c:pt idx="25">
                  <c:v>49.999999999999986</c:v>
                </c:pt>
                <c:pt idx="26">
                  <c:v>30.999999999999996</c:v>
                </c:pt>
                <c:pt idx="27">
                  <c:v>52.000000000000007</c:v>
                </c:pt>
                <c:pt idx="28">
                  <c:v>50.000000000000007</c:v>
                </c:pt>
                <c:pt idx="29">
                  <c:v>31.000000000000004</c:v>
                </c:pt>
                <c:pt idx="30">
                  <c:v>54.000000000000007</c:v>
                </c:pt>
                <c:pt idx="31">
                  <c:v>52.000000000000036</c:v>
                </c:pt>
                <c:pt idx="32">
                  <c:v>0</c:v>
                </c:pt>
                <c:pt idx="33">
                  <c:v>52.000000000000036</c:v>
                </c:pt>
                <c:pt idx="34">
                  <c:v>34</c:v>
                </c:pt>
                <c:pt idx="35">
                  <c:v>93.000000000000028</c:v>
                </c:pt>
                <c:pt idx="36">
                  <c:v>52.000000000000007</c:v>
                </c:pt>
                <c:pt idx="37">
                  <c:v>50.000000000000014</c:v>
                </c:pt>
                <c:pt idx="38">
                  <c:v>30.999999999999996</c:v>
                </c:pt>
                <c:pt idx="39">
                  <c:v>62.148148148148231</c:v>
                </c:pt>
                <c:pt idx="40">
                  <c:v>62.380952380952408</c:v>
                </c:pt>
                <c:pt idx="41">
                  <c:v>30.999999999999996</c:v>
                </c:pt>
                <c:pt idx="42">
                  <c:v>54.000000000000007</c:v>
                </c:pt>
                <c:pt idx="43">
                  <c:v>54</c:v>
                </c:pt>
                <c:pt idx="44">
                  <c:v>0</c:v>
                </c:pt>
                <c:pt idx="45">
                  <c:v>54.000000000000007</c:v>
                </c:pt>
                <c:pt idx="46">
                  <c:v>52.000000000000021</c:v>
                </c:pt>
                <c:pt idx="47">
                  <c:v>106.7777777777778</c:v>
                </c:pt>
                <c:pt idx="48">
                  <c:v>34</c:v>
                </c:pt>
                <c:pt idx="49">
                  <c:v>52.000000000000007</c:v>
                </c:pt>
                <c:pt idx="50">
                  <c:v>0</c:v>
                </c:pt>
                <c:pt idx="51">
                  <c:v>120.6666666666667</c:v>
                </c:pt>
                <c:pt idx="52">
                  <c:v>52.000000000000071</c:v>
                </c:pt>
                <c:pt idx="53">
                  <c:v>85.249999999999957</c:v>
                </c:pt>
                <c:pt idx="54">
                  <c:v>54.000000000000007</c:v>
                </c:pt>
                <c:pt idx="55">
                  <c:v>52.000000000000036</c:v>
                </c:pt>
                <c:pt idx="56">
                  <c:v>31.000000000000025</c:v>
                </c:pt>
                <c:pt idx="57">
                  <c:v>54.000000000000007</c:v>
                </c:pt>
                <c:pt idx="58">
                  <c:v>31.000000000000007</c:v>
                </c:pt>
                <c:pt idx="59">
                  <c:v>30.999999999999961</c:v>
                </c:pt>
                <c:pt idx="60">
                  <c:v>52.000000000000007</c:v>
                </c:pt>
                <c:pt idx="61">
                  <c:v>50.000000000000007</c:v>
                </c:pt>
                <c:pt idx="62">
                  <c:v>31.000000000000014</c:v>
                </c:pt>
                <c:pt idx="63">
                  <c:v>57.111111111111185</c:v>
                </c:pt>
                <c:pt idx="64">
                  <c:v>57.384615384615437</c:v>
                </c:pt>
                <c:pt idx="65">
                  <c:v>31.000000000000007</c:v>
                </c:pt>
                <c:pt idx="66">
                  <c:v>53.999999999999993</c:v>
                </c:pt>
                <c:pt idx="67">
                  <c:v>54.000000000000007</c:v>
                </c:pt>
                <c:pt idx="68">
                  <c:v>31.000000000000007</c:v>
                </c:pt>
                <c:pt idx="69">
                  <c:v>54.000000000000021</c:v>
                </c:pt>
                <c:pt idx="70">
                  <c:v>52.000000000000021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8D7D-4231-A0D1-853D049395B6}"/>
            </c:ext>
          </c:extLst>
        </c:ser>
        <c:ser>
          <c:idx val="98"/>
          <c:order val="98"/>
          <c:tx>
            <c:strRef>
              <c:f>LRMC!$A$102:$C$102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Node_9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LRMC!$D$102:$BW$102</c:f>
              <c:numCache>
                <c:formatCode>0</c:formatCode>
                <c:ptCount val="72"/>
                <c:pt idx="0">
                  <c:v>52.000000000000007</c:v>
                </c:pt>
                <c:pt idx="1">
                  <c:v>52.000000000000036</c:v>
                </c:pt>
                <c:pt idx="2">
                  <c:v>0</c:v>
                </c:pt>
                <c:pt idx="3">
                  <c:v>58.888888888888935</c:v>
                </c:pt>
                <c:pt idx="4">
                  <c:v>34</c:v>
                </c:pt>
                <c:pt idx="5">
                  <c:v>106.77777777777776</c:v>
                </c:pt>
                <c:pt idx="6">
                  <c:v>52.000000000000007</c:v>
                </c:pt>
                <c:pt idx="7">
                  <c:v>52.000000000000021</c:v>
                </c:pt>
                <c:pt idx="8">
                  <c:v>31.000000000000004</c:v>
                </c:pt>
                <c:pt idx="9">
                  <c:v>59.000000000000043</c:v>
                </c:pt>
                <c:pt idx="10">
                  <c:v>52.000000000000021</c:v>
                </c:pt>
                <c:pt idx="11">
                  <c:v>31.000000000000007</c:v>
                </c:pt>
                <c:pt idx="12">
                  <c:v>49.999999999999993</c:v>
                </c:pt>
                <c:pt idx="13">
                  <c:v>50.000000000000014</c:v>
                </c:pt>
                <c:pt idx="14">
                  <c:v>31.000000000000007</c:v>
                </c:pt>
                <c:pt idx="15">
                  <c:v>65.2</c:v>
                </c:pt>
                <c:pt idx="16">
                  <c:v>56.523076923076999</c:v>
                </c:pt>
                <c:pt idx="17">
                  <c:v>31.000000000000004</c:v>
                </c:pt>
                <c:pt idx="18">
                  <c:v>52.000000000000036</c:v>
                </c:pt>
                <c:pt idx="19">
                  <c:v>49.999999999999993</c:v>
                </c:pt>
                <c:pt idx="20">
                  <c:v>31.000000000000004</c:v>
                </c:pt>
                <c:pt idx="21">
                  <c:v>51.999999999999972</c:v>
                </c:pt>
                <c:pt idx="22">
                  <c:v>30.999999999999989</c:v>
                </c:pt>
                <c:pt idx="23">
                  <c:v>31.000000000000014</c:v>
                </c:pt>
                <c:pt idx="24">
                  <c:v>52.000000000000036</c:v>
                </c:pt>
                <c:pt idx="25">
                  <c:v>49.999999999999986</c:v>
                </c:pt>
                <c:pt idx="26">
                  <c:v>30.999999999999996</c:v>
                </c:pt>
                <c:pt idx="27">
                  <c:v>52.000000000000007</c:v>
                </c:pt>
                <c:pt idx="28">
                  <c:v>50.000000000000007</c:v>
                </c:pt>
                <c:pt idx="29">
                  <c:v>31.000000000000004</c:v>
                </c:pt>
                <c:pt idx="30">
                  <c:v>54.000000000000007</c:v>
                </c:pt>
                <c:pt idx="31">
                  <c:v>52.000000000000036</c:v>
                </c:pt>
                <c:pt idx="32">
                  <c:v>0</c:v>
                </c:pt>
                <c:pt idx="33">
                  <c:v>52.000000000000036</c:v>
                </c:pt>
                <c:pt idx="34">
                  <c:v>34</c:v>
                </c:pt>
                <c:pt idx="35">
                  <c:v>93.000000000000028</c:v>
                </c:pt>
                <c:pt idx="36">
                  <c:v>52.000000000000007</c:v>
                </c:pt>
                <c:pt idx="37">
                  <c:v>50.000000000000014</c:v>
                </c:pt>
                <c:pt idx="38">
                  <c:v>30.999999999999996</c:v>
                </c:pt>
                <c:pt idx="39">
                  <c:v>62.148148148148231</c:v>
                </c:pt>
                <c:pt idx="40">
                  <c:v>62.380952380952408</c:v>
                </c:pt>
                <c:pt idx="41">
                  <c:v>30.999999999999996</c:v>
                </c:pt>
                <c:pt idx="42">
                  <c:v>54.000000000000007</c:v>
                </c:pt>
                <c:pt idx="43">
                  <c:v>54</c:v>
                </c:pt>
                <c:pt idx="44">
                  <c:v>0</c:v>
                </c:pt>
                <c:pt idx="45">
                  <c:v>54.000000000000007</c:v>
                </c:pt>
                <c:pt idx="46">
                  <c:v>52.000000000000021</c:v>
                </c:pt>
                <c:pt idx="47">
                  <c:v>106.7777777777778</c:v>
                </c:pt>
                <c:pt idx="48">
                  <c:v>34</c:v>
                </c:pt>
                <c:pt idx="49">
                  <c:v>52.000000000000007</c:v>
                </c:pt>
                <c:pt idx="50">
                  <c:v>0</c:v>
                </c:pt>
                <c:pt idx="51">
                  <c:v>120.6666666666667</c:v>
                </c:pt>
                <c:pt idx="52">
                  <c:v>52.000000000000071</c:v>
                </c:pt>
                <c:pt idx="53">
                  <c:v>85.249999999999957</c:v>
                </c:pt>
                <c:pt idx="54">
                  <c:v>54.000000000000007</c:v>
                </c:pt>
                <c:pt idx="55">
                  <c:v>52.000000000000036</c:v>
                </c:pt>
                <c:pt idx="56">
                  <c:v>31.000000000000025</c:v>
                </c:pt>
                <c:pt idx="57">
                  <c:v>54.000000000000007</c:v>
                </c:pt>
                <c:pt idx="58">
                  <c:v>31.000000000000007</c:v>
                </c:pt>
                <c:pt idx="59">
                  <c:v>30.999999999999961</c:v>
                </c:pt>
                <c:pt idx="60">
                  <c:v>52.000000000000007</c:v>
                </c:pt>
                <c:pt idx="61">
                  <c:v>50.000000000000007</c:v>
                </c:pt>
                <c:pt idx="62">
                  <c:v>31.000000000000014</c:v>
                </c:pt>
                <c:pt idx="63">
                  <c:v>57.111111111111185</c:v>
                </c:pt>
                <c:pt idx="64">
                  <c:v>57.384615384615437</c:v>
                </c:pt>
                <c:pt idx="65">
                  <c:v>31.000000000000007</c:v>
                </c:pt>
                <c:pt idx="66">
                  <c:v>53.999999999999993</c:v>
                </c:pt>
                <c:pt idx="67">
                  <c:v>54.000000000000007</c:v>
                </c:pt>
                <c:pt idx="68">
                  <c:v>31.000000000000007</c:v>
                </c:pt>
                <c:pt idx="69">
                  <c:v>54.000000000000021</c:v>
                </c:pt>
                <c:pt idx="70">
                  <c:v>52.000000000000021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8D7D-4231-A0D1-853D049395B6}"/>
            </c:ext>
          </c:extLst>
        </c:ser>
        <c:ser>
          <c:idx val="99"/>
          <c:order val="99"/>
          <c:tx>
            <c:strRef>
              <c:f>LRMC!$A$103:$C$103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Node_1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LRMC!$D$103:$BW$103</c:f>
              <c:numCache>
                <c:formatCode>0</c:formatCode>
                <c:ptCount val="72"/>
                <c:pt idx="0">
                  <c:v>52</c:v>
                </c:pt>
                <c:pt idx="1">
                  <c:v>50.000000000000014</c:v>
                </c:pt>
                <c:pt idx="2">
                  <c:v>30.999999999999989</c:v>
                </c:pt>
                <c:pt idx="3">
                  <c:v>49.999999999999993</c:v>
                </c:pt>
                <c:pt idx="4">
                  <c:v>30.999999999999993</c:v>
                </c:pt>
                <c:pt idx="5">
                  <c:v>30.999999999999996</c:v>
                </c:pt>
                <c:pt idx="6">
                  <c:v>53.999999999999936</c:v>
                </c:pt>
                <c:pt idx="7">
                  <c:v>49.999999999999993</c:v>
                </c:pt>
                <c:pt idx="8">
                  <c:v>30.999999999999975</c:v>
                </c:pt>
                <c:pt idx="9">
                  <c:v>54.000000000000007</c:v>
                </c:pt>
                <c:pt idx="10">
                  <c:v>49.999999999999993</c:v>
                </c:pt>
                <c:pt idx="11">
                  <c:v>30.999999999999996</c:v>
                </c:pt>
                <c:pt idx="12">
                  <c:v>49.999999999999993</c:v>
                </c:pt>
                <c:pt idx="13">
                  <c:v>50.000000000000007</c:v>
                </c:pt>
                <c:pt idx="14">
                  <c:v>30.999999999999993</c:v>
                </c:pt>
                <c:pt idx="15">
                  <c:v>49.999999999999964</c:v>
                </c:pt>
                <c:pt idx="16">
                  <c:v>30.999999999999979</c:v>
                </c:pt>
                <c:pt idx="17">
                  <c:v>30.999999999999993</c:v>
                </c:pt>
                <c:pt idx="18">
                  <c:v>30.999999999999993</c:v>
                </c:pt>
                <c:pt idx="19">
                  <c:v>49.999999999999993</c:v>
                </c:pt>
                <c:pt idx="20">
                  <c:v>29.999999999999993</c:v>
                </c:pt>
                <c:pt idx="21">
                  <c:v>106.969696969697</c:v>
                </c:pt>
                <c:pt idx="22">
                  <c:v>49.999999999999993</c:v>
                </c:pt>
                <c:pt idx="23">
                  <c:v>29.999999999999993</c:v>
                </c:pt>
                <c:pt idx="24">
                  <c:v>50.000000000000014</c:v>
                </c:pt>
                <c:pt idx="25">
                  <c:v>50.000000000000014</c:v>
                </c:pt>
                <c:pt idx="26">
                  <c:v>30.999999999999993</c:v>
                </c:pt>
                <c:pt idx="27">
                  <c:v>49.999999999999993</c:v>
                </c:pt>
                <c:pt idx="28">
                  <c:v>50.000000000000007</c:v>
                </c:pt>
                <c:pt idx="29">
                  <c:v>30.999999999999996</c:v>
                </c:pt>
                <c:pt idx="30">
                  <c:v>50.000000000000014</c:v>
                </c:pt>
                <c:pt idx="31">
                  <c:v>50.000000000000007</c:v>
                </c:pt>
                <c:pt idx="32">
                  <c:v>30.999999999999993</c:v>
                </c:pt>
                <c:pt idx="33">
                  <c:v>49.999999999999993</c:v>
                </c:pt>
                <c:pt idx="34">
                  <c:v>50.000000000000007</c:v>
                </c:pt>
                <c:pt idx="35">
                  <c:v>30.999999999999989</c:v>
                </c:pt>
                <c:pt idx="36">
                  <c:v>49.999999999999986</c:v>
                </c:pt>
                <c:pt idx="37">
                  <c:v>50.000000000000007</c:v>
                </c:pt>
                <c:pt idx="38">
                  <c:v>31.000000000000007</c:v>
                </c:pt>
                <c:pt idx="39">
                  <c:v>49.999999999999993</c:v>
                </c:pt>
                <c:pt idx="40">
                  <c:v>49.999999999999986</c:v>
                </c:pt>
                <c:pt idx="41">
                  <c:v>30.999999999999968</c:v>
                </c:pt>
                <c:pt idx="42">
                  <c:v>31.000000000000014</c:v>
                </c:pt>
                <c:pt idx="43">
                  <c:v>50.000000000000007</c:v>
                </c:pt>
                <c:pt idx="44">
                  <c:v>30.999999999999996</c:v>
                </c:pt>
                <c:pt idx="45">
                  <c:v>128.96296296296293</c:v>
                </c:pt>
                <c:pt idx="46">
                  <c:v>49.999999999999986</c:v>
                </c:pt>
                <c:pt idx="47">
                  <c:v>30.999999999999996</c:v>
                </c:pt>
                <c:pt idx="48">
                  <c:v>33.999999999999986</c:v>
                </c:pt>
                <c:pt idx="49">
                  <c:v>50.000000000000007</c:v>
                </c:pt>
                <c:pt idx="50">
                  <c:v>0</c:v>
                </c:pt>
                <c:pt idx="51">
                  <c:v>103.33333333333334</c:v>
                </c:pt>
                <c:pt idx="52">
                  <c:v>49.999999999999986</c:v>
                </c:pt>
                <c:pt idx="53">
                  <c:v>85.25</c:v>
                </c:pt>
                <c:pt idx="54">
                  <c:v>34</c:v>
                </c:pt>
                <c:pt idx="55">
                  <c:v>34.000000000000007</c:v>
                </c:pt>
                <c:pt idx="56">
                  <c:v>31.000000000000011</c:v>
                </c:pt>
                <c:pt idx="57">
                  <c:v>33.999999999999993</c:v>
                </c:pt>
                <c:pt idx="58">
                  <c:v>31.000000000000004</c:v>
                </c:pt>
                <c:pt idx="59">
                  <c:v>31.000000000000007</c:v>
                </c:pt>
                <c:pt idx="60">
                  <c:v>52.000000000000007</c:v>
                </c:pt>
                <c:pt idx="61">
                  <c:v>34</c:v>
                </c:pt>
                <c:pt idx="62">
                  <c:v>31.000000000000004</c:v>
                </c:pt>
                <c:pt idx="63">
                  <c:v>34.000000000000021</c:v>
                </c:pt>
                <c:pt idx="64">
                  <c:v>31.000000000000032</c:v>
                </c:pt>
                <c:pt idx="65">
                  <c:v>30.999999999999996</c:v>
                </c:pt>
                <c:pt idx="66">
                  <c:v>65.000000000000014</c:v>
                </c:pt>
                <c:pt idx="67">
                  <c:v>54.000000000000021</c:v>
                </c:pt>
                <c:pt idx="68">
                  <c:v>30.999999999999986</c:v>
                </c:pt>
                <c:pt idx="69">
                  <c:v>53.999999999999964</c:v>
                </c:pt>
                <c:pt idx="70">
                  <c:v>30.999999999999993</c:v>
                </c:pt>
                <c:pt idx="71">
                  <c:v>29.999999999999986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8D7D-4231-A0D1-853D049395B6}"/>
            </c:ext>
          </c:extLst>
        </c:ser>
        <c:ser>
          <c:idx val="100"/>
          <c:order val="100"/>
          <c:tx>
            <c:strRef>
              <c:f>LRMC!$A$104:$C$104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Node_2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LRMC!$D$104:$BW$104</c:f>
              <c:numCache>
                <c:formatCode>0</c:formatCode>
                <c:ptCount val="72"/>
                <c:pt idx="0">
                  <c:v>52.000000000000007</c:v>
                </c:pt>
                <c:pt idx="1">
                  <c:v>50.000000000000014</c:v>
                </c:pt>
                <c:pt idx="2">
                  <c:v>30.999999999999989</c:v>
                </c:pt>
                <c:pt idx="3">
                  <c:v>49.999999999999993</c:v>
                </c:pt>
                <c:pt idx="4">
                  <c:v>31.000000000000004</c:v>
                </c:pt>
                <c:pt idx="5">
                  <c:v>30.999999999999996</c:v>
                </c:pt>
                <c:pt idx="6">
                  <c:v>54</c:v>
                </c:pt>
                <c:pt idx="7">
                  <c:v>49.999999999999993</c:v>
                </c:pt>
                <c:pt idx="8">
                  <c:v>30.999999999999996</c:v>
                </c:pt>
                <c:pt idx="9">
                  <c:v>54.000000000000007</c:v>
                </c:pt>
                <c:pt idx="10">
                  <c:v>49.999999999999993</c:v>
                </c:pt>
                <c:pt idx="11">
                  <c:v>30.999999999999993</c:v>
                </c:pt>
                <c:pt idx="12">
                  <c:v>49.999999999999993</c:v>
                </c:pt>
                <c:pt idx="13">
                  <c:v>49.999999999999993</c:v>
                </c:pt>
                <c:pt idx="14">
                  <c:v>30.999999999999993</c:v>
                </c:pt>
                <c:pt idx="15">
                  <c:v>49.999999999999964</c:v>
                </c:pt>
                <c:pt idx="16">
                  <c:v>31.000000000000004</c:v>
                </c:pt>
                <c:pt idx="17">
                  <c:v>30.999999999999993</c:v>
                </c:pt>
                <c:pt idx="18">
                  <c:v>30.999999999999996</c:v>
                </c:pt>
                <c:pt idx="19">
                  <c:v>49.999999999999993</c:v>
                </c:pt>
                <c:pt idx="20">
                  <c:v>29.999999999999993</c:v>
                </c:pt>
                <c:pt idx="21">
                  <c:v>106.969696969697</c:v>
                </c:pt>
                <c:pt idx="22">
                  <c:v>50.000000000000014</c:v>
                </c:pt>
                <c:pt idx="23">
                  <c:v>29.999999999999996</c:v>
                </c:pt>
                <c:pt idx="24">
                  <c:v>50.000000000000014</c:v>
                </c:pt>
                <c:pt idx="25">
                  <c:v>50.000000000000014</c:v>
                </c:pt>
                <c:pt idx="26">
                  <c:v>30.999999999999993</c:v>
                </c:pt>
                <c:pt idx="27">
                  <c:v>50.000000000000007</c:v>
                </c:pt>
                <c:pt idx="28">
                  <c:v>50.000000000000007</c:v>
                </c:pt>
                <c:pt idx="29">
                  <c:v>30.999999999999996</c:v>
                </c:pt>
                <c:pt idx="30">
                  <c:v>50.000000000000014</c:v>
                </c:pt>
                <c:pt idx="31">
                  <c:v>49.999999999999993</c:v>
                </c:pt>
                <c:pt idx="32">
                  <c:v>31.000000000000004</c:v>
                </c:pt>
                <c:pt idx="33">
                  <c:v>49.999999999999993</c:v>
                </c:pt>
                <c:pt idx="34">
                  <c:v>50.000000000000007</c:v>
                </c:pt>
                <c:pt idx="35">
                  <c:v>30.999999999999989</c:v>
                </c:pt>
                <c:pt idx="36">
                  <c:v>49.999999999999986</c:v>
                </c:pt>
                <c:pt idx="37">
                  <c:v>50.000000000000014</c:v>
                </c:pt>
                <c:pt idx="38">
                  <c:v>30.999999999999996</c:v>
                </c:pt>
                <c:pt idx="39">
                  <c:v>49.999999999999993</c:v>
                </c:pt>
                <c:pt idx="40">
                  <c:v>49.999999999999986</c:v>
                </c:pt>
                <c:pt idx="41">
                  <c:v>30.999999999999993</c:v>
                </c:pt>
                <c:pt idx="42">
                  <c:v>31.000000000000004</c:v>
                </c:pt>
                <c:pt idx="43">
                  <c:v>50.000000000000014</c:v>
                </c:pt>
                <c:pt idx="44">
                  <c:v>30.999999999999996</c:v>
                </c:pt>
                <c:pt idx="45">
                  <c:v>128.96296296296293</c:v>
                </c:pt>
                <c:pt idx="46">
                  <c:v>49.999999999999986</c:v>
                </c:pt>
                <c:pt idx="47">
                  <c:v>30.999999999999993</c:v>
                </c:pt>
                <c:pt idx="48">
                  <c:v>33.999999999999979</c:v>
                </c:pt>
                <c:pt idx="49">
                  <c:v>50.000000000000014</c:v>
                </c:pt>
                <c:pt idx="50">
                  <c:v>0</c:v>
                </c:pt>
                <c:pt idx="51">
                  <c:v>103.33333333333337</c:v>
                </c:pt>
                <c:pt idx="52">
                  <c:v>49.999999999999972</c:v>
                </c:pt>
                <c:pt idx="53">
                  <c:v>85.25</c:v>
                </c:pt>
                <c:pt idx="54">
                  <c:v>34.000000000000007</c:v>
                </c:pt>
                <c:pt idx="55">
                  <c:v>34</c:v>
                </c:pt>
                <c:pt idx="56">
                  <c:v>31.000000000000011</c:v>
                </c:pt>
                <c:pt idx="57">
                  <c:v>33.999999999999993</c:v>
                </c:pt>
                <c:pt idx="58">
                  <c:v>31.000000000000004</c:v>
                </c:pt>
                <c:pt idx="59">
                  <c:v>31.000000000000004</c:v>
                </c:pt>
                <c:pt idx="60">
                  <c:v>52.000000000000007</c:v>
                </c:pt>
                <c:pt idx="61">
                  <c:v>34</c:v>
                </c:pt>
                <c:pt idx="62">
                  <c:v>31.000000000000004</c:v>
                </c:pt>
                <c:pt idx="63">
                  <c:v>34.00000000000005</c:v>
                </c:pt>
                <c:pt idx="64">
                  <c:v>31.000000000000004</c:v>
                </c:pt>
                <c:pt idx="65">
                  <c:v>30.999999999999996</c:v>
                </c:pt>
                <c:pt idx="66">
                  <c:v>65.000000000000014</c:v>
                </c:pt>
                <c:pt idx="67">
                  <c:v>54</c:v>
                </c:pt>
                <c:pt idx="68">
                  <c:v>31.000000000000004</c:v>
                </c:pt>
                <c:pt idx="69">
                  <c:v>54</c:v>
                </c:pt>
                <c:pt idx="70">
                  <c:v>30.999999999999993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8D7D-4231-A0D1-853D049395B6}"/>
            </c:ext>
          </c:extLst>
        </c:ser>
        <c:ser>
          <c:idx val="101"/>
          <c:order val="101"/>
          <c:tx>
            <c:strRef>
              <c:f>LRMC!$A$105:$C$105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Node_3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LRMC!$D$105:$BW$105</c:f>
              <c:numCache>
                <c:formatCode>0</c:formatCode>
                <c:ptCount val="72"/>
                <c:pt idx="0">
                  <c:v>52.000000000000007</c:v>
                </c:pt>
                <c:pt idx="1">
                  <c:v>50.000000000000014</c:v>
                </c:pt>
                <c:pt idx="2">
                  <c:v>30.999999999999989</c:v>
                </c:pt>
                <c:pt idx="3">
                  <c:v>49.999999999999993</c:v>
                </c:pt>
                <c:pt idx="4">
                  <c:v>31.000000000000004</c:v>
                </c:pt>
                <c:pt idx="5">
                  <c:v>30.999999999999996</c:v>
                </c:pt>
                <c:pt idx="6">
                  <c:v>54</c:v>
                </c:pt>
                <c:pt idx="7">
                  <c:v>49.999999999999993</c:v>
                </c:pt>
                <c:pt idx="8">
                  <c:v>30.999999999999996</c:v>
                </c:pt>
                <c:pt idx="9">
                  <c:v>54.000000000000007</c:v>
                </c:pt>
                <c:pt idx="10">
                  <c:v>49.999999999999993</c:v>
                </c:pt>
                <c:pt idx="11">
                  <c:v>30.999999999999993</c:v>
                </c:pt>
                <c:pt idx="12">
                  <c:v>49.999999999999993</c:v>
                </c:pt>
                <c:pt idx="13">
                  <c:v>49.999999999999993</c:v>
                </c:pt>
                <c:pt idx="14">
                  <c:v>30.999999999999993</c:v>
                </c:pt>
                <c:pt idx="15">
                  <c:v>49.999999999999964</c:v>
                </c:pt>
                <c:pt idx="16">
                  <c:v>31.000000000000004</c:v>
                </c:pt>
                <c:pt idx="17">
                  <c:v>30.999999999999993</c:v>
                </c:pt>
                <c:pt idx="18">
                  <c:v>30.999999999999996</c:v>
                </c:pt>
                <c:pt idx="19">
                  <c:v>49.999999999999993</c:v>
                </c:pt>
                <c:pt idx="20">
                  <c:v>29.999999999999993</c:v>
                </c:pt>
                <c:pt idx="21">
                  <c:v>106.969696969697</c:v>
                </c:pt>
                <c:pt idx="22">
                  <c:v>50.000000000000014</c:v>
                </c:pt>
                <c:pt idx="23">
                  <c:v>29.999999999999996</c:v>
                </c:pt>
                <c:pt idx="24">
                  <c:v>50.000000000000014</c:v>
                </c:pt>
                <c:pt idx="25">
                  <c:v>50.000000000000014</c:v>
                </c:pt>
                <c:pt idx="26">
                  <c:v>30.999999999999993</c:v>
                </c:pt>
                <c:pt idx="27">
                  <c:v>50.000000000000007</c:v>
                </c:pt>
                <c:pt idx="28">
                  <c:v>50.000000000000007</c:v>
                </c:pt>
                <c:pt idx="29">
                  <c:v>30.999999999999996</c:v>
                </c:pt>
                <c:pt idx="30">
                  <c:v>50.000000000000014</c:v>
                </c:pt>
                <c:pt idx="31">
                  <c:v>49.999999999999993</c:v>
                </c:pt>
                <c:pt idx="32">
                  <c:v>31.000000000000004</c:v>
                </c:pt>
                <c:pt idx="33">
                  <c:v>49.999999999999993</c:v>
                </c:pt>
                <c:pt idx="34">
                  <c:v>50.000000000000007</c:v>
                </c:pt>
                <c:pt idx="35">
                  <c:v>30.999999999999989</c:v>
                </c:pt>
                <c:pt idx="36">
                  <c:v>49.999999999999986</c:v>
                </c:pt>
                <c:pt idx="37">
                  <c:v>50.000000000000014</c:v>
                </c:pt>
                <c:pt idx="38">
                  <c:v>31.000000000000007</c:v>
                </c:pt>
                <c:pt idx="39">
                  <c:v>49.999999999999993</c:v>
                </c:pt>
                <c:pt idx="40">
                  <c:v>49.999999999999986</c:v>
                </c:pt>
                <c:pt idx="41">
                  <c:v>30.999999999999993</c:v>
                </c:pt>
                <c:pt idx="42">
                  <c:v>31.000000000000004</c:v>
                </c:pt>
                <c:pt idx="43">
                  <c:v>50.000000000000014</c:v>
                </c:pt>
                <c:pt idx="44">
                  <c:v>30.999999999999996</c:v>
                </c:pt>
                <c:pt idx="45">
                  <c:v>128.96296296296293</c:v>
                </c:pt>
                <c:pt idx="46">
                  <c:v>49.999999999999986</c:v>
                </c:pt>
                <c:pt idx="47">
                  <c:v>30.999999999999996</c:v>
                </c:pt>
                <c:pt idx="48">
                  <c:v>33.999999999999993</c:v>
                </c:pt>
                <c:pt idx="49">
                  <c:v>50.000000000000014</c:v>
                </c:pt>
                <c:pt idx="50">
                  <c:v>0</c:v>
                </c:pt>
                <c:pt idx="51">
                  <c:v>103.33333333333334</c:v>
                </c:pt>
                <c:pt idx="52">
                  <c:v>49.999999999999986</c:v>
                </c:pt>
                <c:pt idx="53">
                  <c:v>85.249999999999986</c:v>
                </c:pt>
                <c:pt idx="54">
                  <c:v>34.000000000000007</c:v>
                </c:pt>
                <c:pt idx="55">
                  <c:v>34</c:v>
                </c:pt>
                <c:pt idx="56">
                  <c:v>31.000000000000011</c:v>
                </c:pt>
                <c:pt idx="57">
                  <c:v>33.999999999999993</c:v>
                </c:pt>
                <c:pt idx="58">
                  <c:v>31.000000000000004</c:v>
                </c:pt>
                <c:pt idx="59">
                  <c:v>30.999999999999975</c:v>
                </c:pt>
                <c:pt idx="60">
                  <c:v>52.000000000000007</c:v>
                </c:pt>
                <c:pt idx="61">
                  <c:v>34</c:v>
                </c:pt>
                <c:pt idx="62">
                  <c:v>31.000000000000004</c:v>
                </c:pt>
                <c:pt idx="63">
                  <c:v>34.000000000000021</c:v>
                </c:pt>
                <c:pt idx="64">
                  <c:v>31.000000000000004</c:v>
                </c:pt>
                <c:pt idx="65">
                  <c:v>30.999999999999996</c:v>
                </c:pt>
                <c:pt idx="66">
                  <c:v>65.000000000000014</c:v>
                </c:pt>
                <c:pt idx="67">
                  <c:v>54</c:v>
                </c:pt>
                <c:pt idx="68">
                  <c:v>31.000000000000004</c:v>
                </c:pt>
                <c:pt idx="69">
                  <c:v>54</c:v>
                </c:pt>
                <c:pt idx="70">
                  <c:v>30.999999999999993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8D7D-4231-A0D1-853D049395B6}"/>
            </c:ext>
          </c:extLst>
        </c:ser>
        <c:ser>
          <c:idx val="102"/>
          <c:order val="102"/>
          <c:tx>
            <c:strRef>
              <c:f>LRMC!$A$106:$C$106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Node_4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LRMC!$D$106:$BW$106</c:f>
              <c:numCache>
                <c:formatCode>0</c:formatCode>
                <c:ptCount val="72"/>
                <c:pt idx="0">
                  <c:v>52</c:v>
                </c:pt>
                <c:pt idx="1">
                  <c:v>50.000000000000014</c:v>
                </c:pt>
                <c:pt idx="2">
                  <c:v>30.999999999999989</c:v>
                </c:pt>
                <c:pt idx="3">
                  <c:v>49.999999999999993</c:v>
                </c:pt>
                <c:pt idx="4">
                  <c:v>31.000000000000004</c:v>
                </c:pt>
                <c:pt idx="5">
                  <c:v>30.999999999999996</c:v>
                </c:pt>
                <c:pt idx="6">
                  <c:v>54.000000000000007</c:v>
                </c:pt>
                <c:pt idx="7">
                  <c:v>49.999999999999993</c:v>
                </c:pt>
                <c:pt idx="8">
                  <c:v>30.999999999999989</c:v>
                </c:pt>
                <c:pt idx="9">
                  <c:v>54.000000000000043</c:v>
                </c:pt>
                <c:pt idx="10">
                  <c:v>49.999999999999993</c:v>
                </c:pt>
                <c:pt idx="11">
                  <c:v>30.999999999999996</c:v>
                </c:pt>
                <c:pt idx="12">
                  <c:v>49.999999999999993</c:v>
                </c:pt>
                <c:pt idx="13">
                  <c:v>50.000000000000007</c:v>
                </c:pt>
                <c:pt idx="14">
                  <c:v>30.999999999999993</c:v>
                </c:pt>
                <c:pt idx="15">
                  <c:v>49.999999999999964</c:v>
                </c:pt>
                <c:pt idx="16">
                  <c:v>30.999999999999993</c:v>
                </c:pt>
                <c:pt idx="17">
                  <c:v>30.999999999999993</c:v>
                </c:pt>
                <c:pt idx="18">
                  <c:v>31.000000000000004</c:v>
                </c:pt>
                <c:pt idx="19">
                  <c:v>49.999999999999993</c:v>
                </c:pt>
                <c:pt idx="20">
                  <c:v>29.999999999999993</c:v>
                </c:pt>
                <c:pt idx="21">
                  <c:v>106.969696969697</c:v>
                </c:pt>
                <c:pt idx="22">
                  <c:v>50.000000000000021</c:v>
                </c:pt>
                <c:pt idx="23">
                  <c:v>30.000000000000014</c:v>
                </c:pt>
                <c:pt idx="24">
                  <c:v>50.000000000000014</c:v>
                </c:pt>
                <c:pt idx="25">
                  <c:v>50.000000000000014</c:v>
                </c:pt>
                <c:pt idx="26">
                  <c:v>30.999999999999993</c:v>
                </c:pt>
                <c:pt idx="27">
                  <c:v>49.999999999999993</c:v>
                </c:pt>
                <c:pt idx="28">
                  <c:v>50.000000000000007</c:v>
                </c:pt>
                <c:pt idx="29">
                  <c:v>30.999999999999996</c:v>
                </c:pt>
                <c:pt idx="30">
                  <c:v>50.000000000000014</c:v>
                </c:pt>
                <c:pt idx="31">
                  <c:v>50.000000000000007</c:v>
                </c:pt>
                <c:pt idx="32">
                  <c:v>31.000000000000004</c:v>
                </c:pt>
                <c:pt idx="33">
                  <c:v>49.999999999999993</c:v>
                </c:pt>
                <c:pt idx="34">
                  <c:v>50.000000000000007</c:v>
                </c:pt>
                <c:pt idx="35">
                  <c:v>30.999999999999989</c:v>
                </c:pt>
                <c:pt idx="36">
                  <c:v>49.999999999999986</c:v>
                </c:pt>
                <c:pt idx="37">
                  <c:v>50.000000000000007</c:v>
                </c:pt>
                <c:pt idx="38">
                  <c:v>31.000000000000007</c:v>
                </c:pt>
                <c:pt idx="39">
                  <c:v>49.999999999999993</c:v>
                </c:pt>
                <c:pt idx="40">
                  <c:v>49.999999999999986</c:v>
                </c:pt>
                <c:pt idx="41">
                  <c:v>30.999999999999968</c:v>
                </c:pt>
                <c:pt idx="42">
                  <c:v>31.000000000000004</c:v>
                </c:pt>
                <c:pt idx="43">
                  <c:v>50.000000000000014</c:v>
                </c:pt>
                <c:pt idx="44">
                  <c:v>30.999999999999996</c:v>
                </c:pt>
                <c:pt idx="45">
                  <c:v>128.96296296296293</c:v>
                </c:pt>
                <c:pt idx="46">
                  <c:v>49.999999999999986</c:v>
                </c:pt>
                <c:pt idx="47">
                  <c:v>30.999999999999996</c:v>
                </c:pt>
                <c:pt idx="48">
                  <c:v>34</c:v>
                </c:pt>
                <c:pt idx="49">
                  <c:v>50.000000000000007</c:v>
                </c:pt>
                <c:pt idx="50">
                  <c:v>0</c:v>
                </c:pt>
                <c:pt idx="51">
                  <c:v>103.33333333333334</c:v>
                </c:pt>
                <c:pt idx="52">
                  <c:v>49.999999999999986</c:v>
                </c:pt>
                <c:pt idx="53">
                  <c:v>85.249999999999986</c:v>
                </c:pt>
                <c:pt idx="54">
                  <c:v>34</c:v>
                </c:pt>
                <c:pt idx="55">
                  <c:v>34</c:v>
                </c:pt>
                <c:pt idx="56">
                  <c:v>31.000000000000011</c:v>
                </c:pt>
                <c:pt idx="57">
                  <c:v>33.999999999999993</c:v>
                </c:pt>
                <c:pt idx="58">
                  <c:v>31.000000000000004</c:v>
                </c:pt>
                <c:pt idx="59">
                  <c:v>31.000000000000004</c:v>
                </c:pt>
                <c:pt idx="60">
                  <c:v>52.000000000000007</c:v>
                </c:pt>
                <c:pt idx="61">
                  <c:v>34</c:v>
                </c:pt>
                <c:pt idx="62">
                  <c:v>31.000000000000004</c:v>
                </c:pt>
                <c:pt idx="63">
                  <c:v>34.000000000000021</c:v>
                </c:pt>
                <c:pt idx="64">
                  <c:v>31.000000000000021</c:v>
                </c:pt>
                <c:pt idx="65">
                  <c:v>30.999999999999996</c:v>
                </c:pt>
                <c:pt idx="66">
                  <c:v>65.000000000000014</c:v>
                </c:pt>
                <c:pt idx="67">
                  <c:v>54.000000000000021</c:v>
                </c:pt>
                <c:pt idx="68">
                  <c:v>30.999999999999996</c:v>
                </c:pt>
                <c:pt idx="69">
                  <c:v>54</c:v>
                </c:pt>
                <c:pt idx="70">
                  <c:v>30.999999999999993</c:v>
                </c:pt>
                <c:pt idx="71">
                  <c:v>30.000000000000004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6-8D7D-4231-A0D1-853D049395B6}"/>
            </c:ext>
          </c:extLst>
        </c:ser>
        <c:ser>
          <c:idx val="103"/>
          <c:order val="103"/>
          <c:tx>
            <c:strRef>
              <c:f>LRMC!$A$107:$C$107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Node_5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LRMC!$D$107:$BW$107</c:f>
              <c:numCache>
                <c:formatCode>0</c:formatCode>
                <c:ptCount val="72"/>
                <c:pt idx="0">
                  <c:v>52</c:v>
                </c:pt>
                <c:pt idx="1">
                  <c:v>50.000000000000014</c:v>
                </c:pt>
                <c:pt idx="2">
                  <c:v>30.999999999999989</c:v>
                </c:pt>
                <c:pt idx="3">
                  <c:v>49.999999999999993</c:v>
                </c:pt>
                <c:pt idx="4">
                  <c:v>31.000000000000004</c:v>
                </c:pt>
                <c:pt idx="5">
                  <c:v>30.999999999999996</c:v>
                </c:pt>
                <c:pt idx="6">
                  <c:v>54.000000000000007</c:v>
                </c:pt>
                <c:pt idx="7">
                  <c:v>49.999999999999993</c:v>
                </c:pt>
                <c:pt idx="8">
                  <c:v>30.999999999999989</c:v>
                </c:pt>
                <c:pt idx="9">
                  <c:v>54.000000000000043</c:v>
                </c:pt>
                <c:pt idx="10">
                  <c:v>49.999999999999993</c:v>
                </c:pt>
                <c:pt idx="11">
                  <c:v>30.999999999999996</c:v>
                </c:pt>
                <c:pt idx="12">
                  <c:v>49.999999999999993</c:v>
                </c:pt>
                <c:pt idx="13">
                  <c:v>50.000000000000007</c:v>
                </c:pt>
                <c:pt idx="14">
                  <c:v>30.999999999999993</c:v>
                </c:pt>
                <c:pt idx="15">
                  <c:v>49.999999999999964</c:v>
                </c:pt>
                <c:pt idx="16">
                  <c:v>30.999999999999993</c:v>
                </c:pt>
                <c:pt idx="17">
                  <c:v>30.999999999999993</c:v>
                </c:pt>
                <c:pt idx="18">
                  <c:v>31.000000000000004</c:v>
                </c:pt>
                <c:pt idx="19">
                  <c:v>49.999999999999993</c:v>
                </c:pt>
                <c:pt idx="20">
                  <c:v>29.999999999999993</c:v>
                </c:pt>
                <c:pt idx="21">
                  <c:v>106.969696969697</c:v>
                </c:pt>
                <c:pt idx="22">
                  <c:v>50.000000000000021</c:v>
                </c:pt>
                <c:pt idx="23">
                  <c:v>30.000000000000014</c:v>
                </c:pt>
                <c:pt idx="24">
                  <c:v>50.000000000000014</c:v>
                </c:pt>
                <c:pt idx="25">
                  <c:v>50.000000000000014</c:v>
                </c:pt>
                <c:pt idx="26">
                  <c:v>30.999999999999993</c:v>
                </c:pt>
                <c:pt idx="27">
                  <c:v>49.999999999999993</c:v>
                </c:pt>
                <c:pt idx="28">
                  <c:v>50.000000000000007</c:v>
                </c:pt>
                <c:pt idx="29">
                  <c:v>30.999999999999996</c:v>
                </c:pt>
                <c:pt idx="30">
                  <c:v>50.000000000000014</c:v>
                </c:pt>
                <c:pt idx="31">
                  <c:v>50.000000000000007</c:v>
                </c:pt>
                <c:pt idx="32">
                  <c:v>31.000000000000004</c:v>
                </c:pt>
                <c:pt idx="33">
                  <c:v>49.999999999999993</c:v>
                </c:pt>
                <c:pt idx="34">
                  <c:v>50.000000000000007</c:v>
                </c:pt>
                <c:pt idx="35">
                  <c:v>30.999999999999989</c:v>
                </c:pt>
                <c:pt idx="36">
                  <c:v>49.999999999999986</c:v>
                </c:pt>
                <c:pt idx="37">
                  <c:v>50.000000000000007</c:v>
                </c:pt>
                <c:pt idx="38">
                  <c:v>31.000000000000007</c:v>
                </c:pt>
                <c:pt idx="39">
                  <c:v>49.999999999999993</c:v>
                </c:pt>
                <c:pt idx="40">
                  <c:v>49.999999999999986</c:v>
                </c:pt>
                <c:pt idx="41">
                  <c:v>30.999999999999968</c:v>
                </c:pt>
                <c:pt idx="42">
                  <c:v>31.000000000000004</c:v>
                </c:pt>
                <c:pt idx="43">
                  <c:v>50.000000000000014</c:v>
                </c:pt>
                <c:pt idx="44">
                  <c:v>30.999999999999996</c:v>
                </c:pt>
                <c:pt idx="45">
                  <c:v>128.96296296296293</c:v>
                </c:pt>
                <c:pt idx="46">
                  <c:v>49.999999999999986</c:v>
                </c:pt>
                <c:pt idx="47">
                  <c:v>30.999999999999996</c:v>
                </c:pt>
                <c:pt idx="48">
                  <c:v>34</c:v>
                </c:pt>
                <c:pt idx="49">
                  <c:v>50.000000000000007</c:v>
                </c:pt>
                <c:pt idx="50">
                  <c:v>0</c:v>
                </c:pt>
                <c:pt idx="51">
                  <c:v>103.33333333333334</c:v>
                </c:pt>
                <c:pt idx="52">
                  <c:v>49.999999999999986</c:v>
                </c:pt>
                <c:pt idx="53">
                  <c:v>85.249999999999986</c:v>
                </c:pt>
                <c:pt idx="54">
                  <c:v>34</c:v>
                </c:pt>
                <c:pt idx="55">
                  <c:v>34</c:v>
                </c:pt>
                <c:pt idx="56">
                  <c:v>31.000000000000011</c:v>
                </c:pt>
                <c:pt idx="57">
                  <c:v>33.999999999999993</c:v>
                </c:pt>
                <c:pt idx="58">
                  <c:v>31.000000000000004</c:v>
                </c:pt>
                <c:pt idx="59">
                  <c:v>31.000000000000004</c:v>
                </c:pt>
                <c:pt idx="60">
                  <c:v>52.000000000000007</c:v>
                </c:pt>
                <c:pt idx="61">
                  <c:v>34</c:v>
                </c:pt>
                <c:pt idx="62">
                  <c:v>31.000000000000004</c:v>
                </c:pt>
                <c:pt idx="63">
                  <c:v>34.000000000000021</c:v>
                </c:pt>
                <c:pt idx="64">
                  <c:v>31.000000000000021</c:v>
                </c:pt>
                <c:pt idx="65">
                  <c:v>30.999999999999996</c:v>
                </c:pt>
                <c:pt idx="66">
                  <c:v>65.000000000000014</c:v>
                </c:pt>
                <c:pt idx="67">
                  <c:v>54.000000000000021</c:v>
                </c:pt>
                <c:pt idx="68">
                  <c:v>30.999999999999996</c:v>
                </c:pt>
                <c:pt idx="69">
                  <c:v>54</c:v>
                </c:pt>
                <c:pt idx="70">
                  <c:v>30.999999999999993</c:v>
                </c:pt>
                <c:pt idx="71">
                  <c:v>30.000000000000004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8D7D-4231-A0D1-853D049395B6}"/>
            </c:ext>
          </c:extLst>
        </c:ser>
        <c:ser>
          <c:idx val="104"/>
          <c:order val="104"/>
          <c:tx>
            <c:strRef>
              <c:f>LRMC!$A$108:$C$108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Node_6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LRMC!$D$108:$BW$108</c:f>
              <c:numCache>
                <c:formatCode>0</c:formatCode>
                <c:ptCount val="72"/>
                <c:pt idx="0">
                  <c:v>52.000000000000021</c:v>
                </c:pt>
                <c:pt idx="1">
                  <c:v>50.000000000000014</c:v>
                </c:pt>
                <c:pt idx="2">
                  <c:v>30.999999999999989</c:v>
                </c:pt>
                <c:pt idx="3">
                  <c:v>49.999999999999993</c:v>
                </c:pt>
                <c:pt idx="4">
                  <c:v>31.000000000000007</c:v>
                </c:pt>
                <c:pt idx="5">
                  <c:v>30.999999999999996</c:v>
                </c:pt>
                <c:pt idx="6">
                  <c:v>54</c:v>
                </c:pt>
                <c:pt idx="7">
                  <c:v>49.999999999999993</c:v>
                </c:pt>
                <c:pt idx="8">
                  <c:v>31.000000000000004</c:v>
                </c:pt>
                <c:pt idx="9">
                  <c:v>53.999999999999993</c:v>
                </c:pt>
                <c:pt idx="10">
                  <c:v>49.999999999999993</c:v>
                </c:pt>
                <c:pt idx="11">
                  <c:v>30.999999999999993</c:v>
                </c:pt>
                <c:pt idx="12">
                  <c:v>49.999999999999993</c:v>
                </c:pt>
                <c:pt idx="13">
                  <c:v>49.999999999999993</c:v>
                </c:pt>
                <c:pt idx="14">
                  <c:v>30.999999999999993</c:v>
                </c:pt>
                <c:pt idx="15">
                  <c:v>49.999999999999964</c:v>
                </c:pt>
                <c:pt idx="16">
                  <c:v>31.000000000000007</c:v>
                </c:pt>
                <c:pt idx="17">
                  <c:v>30.999999999999993</c:v>
                </c:pt>
                <c:pt idx="18">
                  <c:v>30.999999999999996</c:v>
                </c:pt>
                <c:pt idx="19">
                  <c:v>49.999999999999993</c:v>
                </c:pt>
                <c:pt idx="20">
                  <c:v>29.999999999999993</c:v>
                </c:pt>
                <c:pt idx="21">
                  <c:v>106.969696969697</c:v>
                </c:pt>
                <c:pt idx="22">
                  <c:v>50.000000000000014</c:v>
                </c:pt>
                <c:pt idx="23">
                  <c:v>29.999999999999993</c:v>
                </c:pt>
                <c:pt idx="24">
                  <c:v>50.000000000000014</c:v>
                </c:pt>
                <c:pt idx="25">
                  <c:v>50.000000000000014</c:v>
                </c:pt>
                <c:pt idx="26">
                  <c:v>30.999999999999993</c:v>
                </c:pt>
                <c:pt idx="27">
                  <c:v>50.000000000000007</c:v>
                </c:pt>
                <c:pt idx="28">
                  <c:v>50.000000000000007</c:v>
                </c:pt>
                <c:pt idx="29">
                  <c:v>30.999999999999996</c:v>
                </c:pt>
                <c:pt idx="30">
                  <c:v>50.000000000000014</c:v>
                </c:pt>
                <c:pt idx="31">
                  <c:v>49.999999999999993</c:v>
                </c:pt>
                <c:pt idx="32">
                  <c:v>31.000000000000007</c:v>
                </c:pt>
                <c:pt idx="33">
                  <c:v>49.999999999999993</c:v>
                </c:pt>
                <c:pt idx="34">
                  <c:v>50.000000000000007</c:v>
                </c:pt>
                <c:pt idx="35">
                  <c:v>30.999999999999989</c:v>
                </c:pt>
                <c:pt idx="36">
                  <c:v>49.999999999999986</c:v>
                </c:pt>
                <c:pt idx="37">
                  <c:v>50.000000000000014</c:v>
                </c:pt>
                <c:pt idx="38">
                  <c:v>30.999999999999996</c:v>
                </c:pt>
                <c:pt idx="39">
                  <c:v>49.999999999999993</c:v>
                </c:pt>
                <c:pt idx="40">
                  <c:v>49.999999999999986</c:v>
                </c:pt>
                <c:pt idx="41">
                  <c:v>30.999999999999993</c:v>
                </c:pt>
                <c:pt idx="42">
                  <c:v>31.000000000000004</c:v>
                </c:pt>
                <c:pt idx="43">
                  <c:v>50.000000000000014</c:v>
                </c:pt>
                <c:pt idx="44">
                  <c:v>30.999999999999996</c:v>
                </c:pt>
                <c:pt idx="45">
                  <c:v>128.96296296296293</c:v>
                </c:pt>
                <c:pt idx="46">
                  <c:v>49.999999999999986</c:v>
                </c:pt>
                <c:pt idx="47">
                  <c:v>30.999999999999993</c:v>
                </c:pt>
                <c:pt idx="48">
                  <c:v>33.999999999999979</c:v>
                </c:pt>
                <c:pt idx="49">
                  <c:v>50.000000000000014</c:v>
                </c:pt>
                <c:pt idx="50">
                  <c:v>0</c:v>
                </c:pt>
                <c:pt idx="51">
                  <c:v>103.33333333333337</c:v>
                </c:pt>
                <c:pt idx="52">
                  <c:v>49.999999999999972</c:v>
                </c:pt>
                <c:pt idx="53">
                  <c:v>85.25</c:v>
                </c:pt>
                <c:pt idx="54">
                  <c:v>34.000000000000007</c:v>
                </c:pt>
                <c:pt idx="55">
                  <c:v>34</c:v>
                </c:pt>
                <c:pt idx="56">
                  <c:v>31.000000000000011</c:v>
                </c:pt>
                <c:pt idx="57">
                  <c:v>33.999999999999993</c:v>
                </c:pt>
                <c:pt idx="58">
                  <c:v>31.000000000000007</c:v>
                </c:pt>
                <c:pt idx="59">
                  <c:v>31.000000000000004</c:v>
                </c:pt>
                <c:pt idx="60">
                  <c:v>52.000000000000007</c:v>
                </c:pt>
                <c:pt idx="61">
                  <c:v>34</c:v>
                </c:pt>
                <c:pt idx="62">
                  <c:v>31.000000000000004</c:v>
                </c:pt>
                <c:pt idx="63">
                  <c:v>34.00000000000005</c:v>
                </c:pt>
                <c:pt idx="64">
                  <c:v>30.999999999999996</c:v>
                </c:pt>
                <c:pt idx="65">
                  <c:v>30.999999999999996</c:v>
                </c:pt>
                <c:pt idx="66">
                  <c:v>65.000000000000014</c:v>
                </c:pt>
                <c:pt idx="67">
                  <c:v>53.999999999999993</c:v>
                </c:pt>
                <c:pt idx="68">
                  <c:v>31.000000000000007</c:v>
                </c:pt>
                <c:pt idx="69">
                  <c:v>54</c:v>
                </c:pt>
                <c:pt idx="70">
                  <c:v>31.000000000000004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8-8D7D-4231-A0D1-853D049395B6}"/>
            </c:ext>
          </c:extLst>
        </c:ser>
        <c:ser>
          <c:idx val="105"/>
          <c:order val="105"/>
          <c:tx>
            <c:strRef>
              <c:f>LRMC!$A$109:$C$109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Node_7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LRMC!$D$109:$BW$109</c:f>
              <c:numCache>
                <c:formatCode>0</c:formatCode>
                <c:ptCount val="72"/>
                <c:pt idx="0">
                  <c:v>52.000000000000021</c:v>
                </c:pt>
                <c:pt idx="1">
                  <c:v>50.000000000000014</c:v>
                </c:pt>
                <c:pt idx="2">
                  <c:v>30.999999999999989</c:v>
                </c:pt>
                <c:pt idx="3">
                  <c:v>49.999999999999993</c:v>
                </c:pt>
                <c:pt idx="4">
                  <c:v>31.000000000000007</c:v>
                </c:pt>
                <c:pt idx="5">
                  <c:v>30.999999999999996</c:v>
                </c:pt>
                <c:pt idx="6">
                  <c:v>54</c:v>
                </c:pt>
                <c:pt idx="7">
                  <c:v>49.999999999999993</c:v>
                </c:pt>
                <c:pt idx="8">
                  <c:v>31.000000000000004</c:v>
                </c:pt>
                <c:pt idx="9">
                  <c:v>53.999999999999993</c:v>
                </c:pt>
                <c:pt idx="10">
                  <c:v>49.999999999999993</c:v>
                </c:pt>
                <c:pt idx="11">
                  <c:v>30.999999999999996</c:v>
                </c:pt>
                <c:pt idx="12">
                  <c:v>49.999999999999993</c:v>
                </c:pt>
                <c:pt idx="13">
                  <c:v>49.999999999999993</c:v>
                </c:pt>
                <c:pt idx="14">
                  <c:v>30.999999999999993</c:v>
                </c:pt>
                <c:pt idx="15">
                  <c:v>49.999999999999964</c:v>
                </c:pt>
                <c:pt idx="16">
                  <c:v>31.000000000000007</c:v>
                </c:pt>
                <c:pt idx="17">
                  <c:v>30.999999999999993</c:v>
                </c:pt>
                <c:pt idx="18">
                  <c:v>30.999999999999996</c:v>
                </c:pt>
                <c:pt idx="19">
                  <c:v>49.999999999999993</c:v>
                </c:pt>
                <c:pt idx="20">
                  <c:v>29.999999999999993</c:v>
                </c:pt>
                <c:pt idx="21">
                  <c:v>106.969696969697</c:v>
                </c:pt>
                <c:pt idx="22">
                  <c:v>50.000000000000014</c:v>
                </c:pt>
                <c:pt idx="23">
                  <c:v>29.999999999999993</c:v>
                </c:pt>
                <c:pt idx="24">
                  <c:v>50.000000000000014</c:v>
                </c:pt>
                <c:pt idx="25">
                  <c:v>50.000000000000014</c:v>
                </c:pt>
                <c:pt idx="26">
                  <c:v>30.999999999999993</c:v>
                </c:pt>
                <c:pt idx="27">
                  <c:v>50.000000000000007</c:v>
                </c:pt>
                <c:pt idx="28">
                  <c:v>50.000000000000007</c:v>
                </c:pt>
                <c:pt idx="29">
                  <c:v>30.999999999999996</c:v>
                </c:pt>
                <c:pt idx="30">
                  <c:v>50.000000000000014</c:v>
                </c:pt>
                <c:pt idx="31">
                  <c:v>49.999999999999993</c:v>
                </c:pt>
                <c:pt idx="32">
                  <c:v>31.000000000000007</c:v>
                </c:pt>
                <c:pt idx="33">
                  <c:v>49.999999999999993</c:v>
                </c:pt>
                <c:pt idx="34">
                  <c:v>50.000000000000007</c:v>
                </c:pt>
                <c:pt idx="35">
                  <c:v>30.999999999999989</c:v>
                </c:pt>
                <c:pt idx="36">
                  <c:v>49.999999999999986</c:v>
                </c:pt>
                <c:pt idx="37">
                  <c:v>50.000000000000014</c:v>
                </c:pt>
                <c:pt idx="38">
                  <c:v>30.999999999999996</c:v>
                </c:pt>
                <c:pt idx="39">
                  <c:v>49.999999999999993</c:v>
                </c:pt>
                <c:pt idx="40">
                  <c:v>49.999999999999986</c:v>
                </c:pt>
                <c:pt idx="41">
                  <c:v>30.999999999999968</c:v>
                </c:pt>
                <c:pt idx="42">
                  <c:v>31.000000000000004</c:v>
                </c:pt>
                <c:pt idx="43">
                  <c:v>50.000000000000014</c:v>
                </c:pt>
                <c:pt idx="44">
                  <c:v>30.999999999999996</c:v>
                </c:pt>
                <c:pt idx="45">
                  <c:v>128.96296296296293</c:v>
                </c:pt>
                <c:pt idx="46">
                  <c:v>49.999999999999986</c:v>
                </c:pt>
                <c:pt idx="47">
                  <c:v>30.999999999999993</c:v>
                </c:pt>
                <c:pt idx="48">
                  <c:v>34</c:v>
                </c:pt>
                <c:pt idx="49">
                  <c:v>50.000000000000014</c:v>
                </c:pt>
                <c:pt idx="50">
                  <c:v>0</c:v>
                </c:pt>
                <c:pt idx="51">
                  <c:v>103.33333333333337</c:v>
                </c:pt>
                <c:pt idx="52">
                  <c:v>49.999999999999972</c:v>
                </c:pt>
                <c:pt idx="53">
                  <c:v>85.25</c:v>
                </c:pt>
                <c:pt idx="54">
                  <c:v>34</c:v>
                </c:pt>
                <c:pt idx="55">
                  <c:v>34</c:v>
                </c:pt>
                <c:pt idx="56">
                  <c:v>31.000000000000011</c:v>
                </c:pt>
                <c:pt idx="57">
                  <c:v>33.999999999999993</c:v>
                </c:pt>
                <c:pt idx="58">
                  <c:v>31.000000000000007</c:v>
                </c:pt>
                <c:pt idx="59">
                  <c:v>31.000000000000004</c:v>
                </c:pt>
                <c:pt idx="60">
                  <c:v>52.000000000000007</c:v>
                </c:pt>
                <c:pt idx="61">
                  <c:v>34</c:v>
                </c:pt>
                <c:pt idx="62">
                  <c:v>31.000000000000004</c:v>
                </c:pt>
                <c:pt idx="63">
                  <c:v>34.00000000000005</c:v>
                </c:pt>
                <c:pt idx="64">
                  <c:v>30.999999999999996</c:v>
                </c:pt>
                <c:pt idx="65">
                  <c:v>30.999999999999996</c:v>
                </c:pt>
                <c:pt idx="66">
                  <c:v>65</c:v>
                </c:pt>
                <c:pt idx="67">
                  <c:v>53.999999999999993</c:v>
                </c:pt>
                <c:pt idx="68">
                  <c:v>31.000000000000007</c:v>
                </c:pt>
                <c:pt idx="69">
                  <c:v>54</c:v>
                </c:pt>
                <c:pt idx="70">
                  <c:v>31.000000000000004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9-8D7D-4231-A0D1-853D049395B6}"/>
            </c:ext>
          </c:extLst>
        </c:ser>
        <c:ser>
          <c:idx val="106"/>
          <c:order val="106"/>
          <c:tx>
            <c:strRef>
              <c:f>LRMC!$A$110:$C$110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Node_8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LRMC!$D$110:$BW$110</c:f>
              <c:numCache>
                <c:formatCode>0</c:formatCode>
                <c:ptCount val="72"/>
                <c:pt idx="0">
                  <c:v>52.000000000000021</c:v>
                </c:pt>
                <c:pt idx="1">
                  <c:v>50.000000000000014</c:v>
                </c:pt>
                <c:pt idx="2">
                  <c:v>30.999999999999989</c:v>
                </c:pt>
                <c:pt idx="3">
                  <c:v>49.999999999999993</c:v>
                </c:pt>
                <c:pt idx="4">
                  <c:v>31.000000000000007</c:v>
                </c:pt>
                <c:pt idx="5">
                  <c:v>30.999999999999996</c:v>
                </c:pt>
                <c:pt idx="6">
                  <c:v>54</c:v>
                </c:pt>
                <c:pt idx="7">
                  <c:v>49.999999999999993</c:v>
                </c:pt>
                <c:pt idx="8">
                  <c:v>31.000000000000004</c:v>
                </c:pt>
                <c:pt idx="9">
                  <c:v>53.999999999999993</c:v>
                </c:pt>
                <c:pt idx="10">
                  <c:v>49.999999999999993</c:v>
                </c:pt>
                <c:pt idx="11">
                  <c:v>30.999999999999996</c:v>
                </c:pt>
                <c:pt idx="12">
                  <c:v>49.999999999999993</c:v>
                </c:pt>
                <c:pt idx="13">
                  <c:v>49.999999999999993</c:v>
                </c:pt>
                <c:pt idx="14">
                  <c:v>30.999999999999993</c:v>
                </c:pt>
                <c:pt idx="15">
                  <c:v>49.999999999999964</c:v>
                </c:pt>
                <c:pt idx="16">
                  <c:v>31.000000000000007</c:v>
                </c:pt>
                <c:pt idx="17">
                  <c:v>30.999999999999993</c:v>
                </c:pt>
                <c:pt idx="18">
                  <c:v>30.999999999999996</c:v>
                </c:pt>
                <c:pt idx="19">
                  <c:v>49.999999999999993</c:v>
                </c:pt>
                <c:pt idx="20">
                  <c:v>29.999999999999993</c:v>
                </c:pt>
                <c:pt idx="21">
                  <c:v>106.969696969697</c:v>
                </c:pt>
                <c:pt idx="22">
                  <c:v>50.000000000000014</c:v>
                </c:pt>
                <c:pt idx="23">
                  <c:v>29.999999999999993</c:v>
                </c:pt>
                <c:pt idx="24">
                  <c:v>50.000000000000014</c:v>
                </c:pt>
                <c:pt idx="25">
                  <c:v>50.000000000000014</c:v>
                </c:pt>
                <c:pt idx="26">
                  <c:v>30.999999999999993</c:v>
                </c:pt>
                <c:pt idx="27">
                  <c:v>50.000000000000007</c:v>
                </c:pt>
                <c:pt idx="28">
                  <c:v>50.000000000000007</c:v>
                </c:pt>
                <c:pt idx="29">
                  <c:v>30.999999999999996</c:v>
                </c:pt>
                <c:pt idx="30">
                  <c:v>50.000000000000014</c:v>
                </c:pt>
                <c:pt idx="31">
                  <c:v>49.999999999999993</c:v>
                </c:pt>
                <c:pt idx="32">
                  <c:v>31.000000000000007</c:v>
                </c:pt>
                <c:pt idx="33">
                  <c:v>49.999999999999993</c:v>
                </c:pt>
                <c:pt idx="34">
                  <c:v>50.000000000000007</c:v>
                </c:pt>
                <c:pt idx="35">
                  <c:v>30.999999999999989</c:v>
                </c:pt>
                <c:pt idx="36">
                  <c:v>49.999999999999986</c:v>
                </c:pt>
                <c:pt idx="37">
                  <c:v>50.000000000000014</c:v>
                </c:pt>
                <c:pt idx="38">
                  <c:v>30.999999999999996</c:v>
                </c:pt>
                <c:pt idx="39">
                  <c:v>49.999999999999993</c:v>
                </c:pt>
                <c:pt idx="40">
                  <c:v>49.999999999999986</c:v>
                </c:pt>
                <c:pt idx="41">
                  <c:v>30.999999999999968</c:v>
                </c:pt>
                <c:pt idx="42">
                  <c:v>31.000000000000004</c:v>
                </c:pt>
                <c:pt idx="43">
                  <c:v>50.000000000000014</c:v>
                </c:pt>
                <c:pt idx="44">
                  <c:v>30.999999999999996</c:v>
                </c:pt>
                <c:pt idx="45">
                  <c:v>128.96296296296293</c:v>
                </c:pt>
                <c:pt idx="46">
                  <c:v>49.999999999999986</c:v>
                </c:pt>
                <c:pt idx="47">
                  <c:v>30.999999999999993</c:v>
                </c:pt>
                <c:pt idx="48">
                  <c:v>34</c:v>
                </c:pt>
                <c:pt idx="49">
                  <c:v>50.000000000000014</c:v>
                </c:pt>
                <c:pt idx="50">
                  <c:v>0</c:v>
                </c:pt>
                <c:pt idx="51">
                  <c:v>103.33333333333337</c:v>
                </c:pt>
                <c:pt idx="52">
                  <c:v>49.999999999999972</c:v>
                </c:pt>
                <c:pt idx="53">
                  <c:v>85.25</c:v>
                </c:pt>
                <c:pt idx="54">
                  <c:v>34</c:v>
                </c:pt>
                <c:pt idx="55">
                  <c:v>34</c:v>
                </c:pt>
                <c:pt idx="56">
                  <c:v>31.000000000000011</c:v>
                </c:pt>
                <c:pt idx="57">
                  <c:v>33.999999999999993</c:v>
                </c:pt>
                <c:pt idx="58">
                  <c:v>31.000000000000007</c:v>
                </c:pt>
                <c:pt idx="59">
                  <c:v>31.000000000000004</c:v>
                </c:pt>
                <c:pt idx="60">
                  <c:v>52.000000000000007</c:v>
                </c:pt>
                <c:pt idx="61">
                  <c:v>34</c:v>
                </c:pt>
                <c:pt idx="62">
                  <c:v>31.000000000000004</c:v>
                </c:pt>
                <c:pt idx="63">
                  <c:v>34.00000000000005</c:v>
                </c:pt>
                <c:pt idx="64">
                  <c:v>30.999999999999996</c:v>
                </c:pt>
                <c:pt idx="65">
                  <c:v>30.999999999999996</c:v>
                </c:pt>
                <c:pt idx="66">
                  <c:v>65</c:v>
                </c:pt>
                <c:pt idx="67">
                  <c:v>53.999999999999993</c:v>
                </c:pt>
                <c:pt idx="68">
                  <c:v>31.000000000000007</c:v>
                </c:pt>
                <c:pt idx="69">
                  <c:v>54</c:v>
                </c:pt>
                <c:pt idx="70">
                  <c:v>31.000000000000004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A-8D7D-4231-A0D1-853D049395B6}"/>
            </c:ext>
          </c:extLst>
        </c:ser>
        <c:ser>
          <c:idx val="107"/>
          <c:order val="107"/>
          <c:tx>
            <c:strRef>
              <c:f>LRMC!$A$111:$C$111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Node_9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LRMC!$D$111:$BW$111</c:f>
              <c:numCache>
                <c:formatCode>0</c:formatCode>
                <c:ptCount val="72"/>
                <c:pt idx="0">
                  <c:v>52.000000000000021</c:v>
                </c:pt>
                <c:pt idx="1">
                  <c:v>50.000000000000014</c:v>
                </c:pt>
                <c:pt idx="2">
                  <c:v>30.999999999999989</c:v>
                </c:pt>
                <c:pt idx="3">
                  <c:v>49.999999999999993</c:v>
                </c:pt>
                <c:pt idx="4">
                  <c:v>31.000000000000007</c:v>
                </c:pt>
                <c:pt idx="5">
                  <c:v>30.999999999999996</c:v>
                </c:pt>
                <c:pt idx="6">
                  <c:v>54</c:v>
                </c:pt>
                <c:pt idx="7">
                  <c:v>49.999999999999993</c:v>
                </c:pt>
                <c:pt idx="8">
                  <c:v>31.000000000000004</c:v>
                </c:pt>
                <c:pt idx="9">
                  <c:v>53.999999999999993</c:v>
                </c:pt>
                <c:pt idx="10">
                  <c:v>49.999999999999993</c:v>
                </c:pt>
                <c:pt idx="11">
                  <c:v>30.999999999999996</c:v>
                </c:pt>
                <c:pt idx="12">
                  <c:v>49.999999999999993</c:v>
                </c:pt>
                <c:pt idx="13">
                  <c:v>49.999999999999993</c:v>
                </c:pt>
                <c:pt idx="14">
                  <c:v>30.999999999999993</c:v>
                </c:pt>
                <c:pt idx="15">
                  <c:v>49.999999999999964</c:v>
                </c:pt>
                <c:pt idx="16">
                  <c:v>31.000000000000007</c:v>
                </c:pt>
                <c:pt idx="17">
                  <c:v>30.999999999999993</c:v>
                </c:pt>
                <c:pt idx="18">
                  <c:v>30.999999999999996</c:v>
                </c:pt>
                <c:pt idx="19">
                  <c:v>49.999999999999993</c:v>
                </c:pt>
                <c:pt idx="20">
                  <c:v>29.999999999999993</c:v>
                </c:pt>
                <c:pt idx="21">
                  <c:v>106.969696969697</c:v>
                </c:pt>
                <c:pt idx="22">
                  <c:v>50.000000000000014</c:v>
                </c:pt>
                <c:pt idx="23">
                  <c:v>29.999999999999993</c:v>
                </c:pt>
                <c:pt idx="24">
                  <c:v>50.000000000000014</c:v>
                </c:pt>
                <c:pt idx="25">
                  <c:v>50.000000000000014</c:v>
                </c:pt>
                <c:pt idx="26">
                  <c:v>30.999999999999993</c:v>
                </c:pt>
                <c:pt idx="27">
                  <c:v>50.000000000000007</c:v>
                </c:pt>
                <c:pt idx="28">
                  <c:v>50.000000000000007</c:v>
                </c:pt>
                <c:pt idx="29">
                  <c:v>30.999999999999996</c:v>
                </c:pt>
                <c:pt idx="30">
                  <c:v>50.000000000000014</c:v>
                </c:pt>
                <c:pt idx="31">
                  <c:v>49.999999999999993</c:v>
                </c:pt>
                <c:pt idx="32">
                  <c:v>31.000000000000007</c:v>
                </c:pt>
                <c:pt idx="33">
                  <c:v>49.999999999999993</c:v>
                </c:pt>
                <c:pt idx="34">
                  <c:v>50.000000000000007</c:v>
                </c:pt>
                <c:pt idx="35">
                  <c:v>30.999999999999989</c:v>
                </c:pt>
                <c:pt idx="36">
                  <c:v>49.999999999999986</c:v>
                </c:pt>
                <c:pt idx="37">
                  <c:v>50.000000000000014</c:v>
                </c:pt>
                <c:pt idx="38">
                  <c:v>30.999999999999996</c:v>
                </c:pt>
                <c:pt idx="39">
                  <c:v>49.999999999999993</c:v>
                </c:pt>
                <c:pt idx="40">
                  <c:v>49.999999999999986</c:v>
                </c:pt>
                <c:pt idx="41">
                  <c:v>30.999999999999968</c:v>
                </c:pt>
                <c:pt idx="42">
                  <c:v>31.000000000000004</c:v>
                </c:pt>
                <c:pt idx="43">
                  <c:v>50.000000000000014</c:v>
                </c:pt>
                <c:pt idx="44">
                  <c:v>30.999999999999996</c:v>
                </c:pt>
                <c:pt idx="45">
                  <c:v>128.96296296296293</c:v>
                </c:pt>
                <c:pt idx="46">
                  <c:v>49.999999999999986</c:v>
                </c:pt>
                <c:pt idx="47">
                  <c:v>30.999999999999993</c:v>
                </c:pt>
                <c:pt idx="48">
                  <c:v>34</c:v>
                </c:pt>
                <c:pt idx="49">
                  <c:v>50.000000000000014</c:v>
                </c:pt>
                <c:pt idx="50">
                  <c:v>0</c:v>
                </c:pt>
                <c:pt idx="51">
                  <c:v>103.33333333333337</c:v>
                </c:pt>
                <c:pt idx="52">
                  <c:v>49.999999999999972</c:v>
                </c:pt>
                <c:pt idx="53">
                  <c:v>85.25</c:v>
                </c:pt>
                <c:pt idx="54">
                  <c:v>34</c:v>
                </c:pt>
                <c:pt idx="55">
                  <c:v>34</c:v>
                </c:pt>
                <c:pt idx="56">
                  <c:v>31.000000000000011</c:v>
                </c:pt>
                <c:pt idx="57">
                  <c:v>33.999999999999993</c:v>
                </c:pt>
                <c:pt idx="58">
                  <c:v>31.000000000000007</c:v>
                </c:pt>
                <c:pt idx="59">
                  <c:v>31.000000000000004</c:v>
                </c:pt>
                <c:pt idx="60">
                  <c:v>52.000000000000007</c:v>
                </c:pt>
                <c:pt idx="61">
                  <c:v>34</c:v>
                </c:pt>
                <c:pt idx="62">
                  <c:v>31.000000000000004</c:v>
                </c:pt>
                <c:pt idx="63">
                  <c:v>34.00000000000005</c:v>
                </c:pt>
                <c:pt idx="64">
                  <c:v>30.999999999999996</c:v>
                </c:pt>
                <c:pt idx="65">
                  <c:v>30.999999999999996</c:v>
                </c:pt>
                <c:pt idx="66">
                  <c:v>65</c:v>
                </c:pt>
                <c:pt idx="67">
                  <c:v>53.999999999999993</c:v>
                </c:pt>
                <c:pt idx="68">
                  <c:v>31.000000000000007</c:v>
                </c:pt>
                <c:pt idx="69">
                  <c:v>54</c:v>
                </c:pt>
                <c:pt idx="70">
                  <c:v>31.000000000000004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B-8D7D-4231-A0D1-853D049395B6}"/>
            </c:ext>
          </c:extLst>
        </c:ser>
        <c:ser>
          <c:idx val="108"/>
          <c:order val="108"/>
          <c:tx>
            <c:strRef>
              <c:f>LRMC!$A$112:$C$112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Node_1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LRMC!$D$112:$BW$112</c:f>
              <c:numCache>
                <c:formatCode>0</c:formatCode>
                <c:ptCount val="72"/>
                <c:pt idx="0">
                  <c:v>53.999999999999986</c:v>
                </c:pt>
                <c:pt idx="1">
                  <c:v>54.000000000000043</c:v>
                </c:pt>
                <c:pt idx="2">
                  <c:v>30.999999999999975</c:v>
                </c:pt>
                <c:pt idx="3">
                  <c:v>54</c:v>
                </c:pt>
                <c:pt idx="4">
                  <c:v>54.000000000000014</c:v>
                </c:pt>
                <c:pt idx="5">
                  <c:v>30.999999999999982</c:v>
                </c:pt>
                <c:pt idx="6">
                  <c:v>51.999999999999901</c:v>
                </c:pt>
                <c:pt idx="7">
                  <c:v>50</c:v>
                </c:pt>
                <c:pt idx="8">
                  <c:v>31.000000000000004</c:v>
                </c:pt>
                <c:pt idx="9">
                  <c:v>59.000000000000242</c:v>
                </c:pt>
                <c:pt idx="10">
                  <c:v>50</c:v>
                </c:pt>
                <c:pt idx="11">
                  <c:v>31.000000000000004</c:v>
                </c:pt>
                <c:pt idx="12">
                  <c:v>50</c:v>
                </c:pt>
                <c:pt idx="13">
                  <c:v>50</c:v>
                </c:pt>
                <c:pt idx="14">
                  <c:v>30.999999999999986</c:v>
                </c:pt>
                <c:pt idx="15">
                  <c:v>65.199999999999974</c:v>
                </c:pt>
                <c:pt idx="16">
                  <c:v>49.999999999999993</c:v>
                </c:pt>
                <c:pt idx="17">
                  <c:v>30.999999999999979</c:v>
                </c:pt>
                <c:pt idx="18">
                  <c:v>54.000000000000014</c:v>
                </c:pt>
                <c:pt idx="19">
                  <c:v>54.000000000000007</c:v>
                </c:pt>
                <c:pt idx="20">
                  <c:v>0</c:v>
                </c:pt>
                <c:pt idx="21">
                  <c:v>54</c:v>
                </c:pt>
                <c:pt idx="22">
                  <c:v>50</c:v>
                </c:pt>
                <c:pt idx="23">
                  <c:v>76.896103896103895</c:v>
                </c:pt>
                <c:pt idx="24">
                  <c:v>50</c:v>
                </c:pt>
                <c:pt idx="25">
                  <c:v>50</c:v>
                </c:pt>
                <c:pt idx="26">
                  <c:v>0</c:v>
                </c:pt>
                <c:pt idx="27">
                  <c:v>67.037037037037024</c:v>
                </c:pt>
                <c:pt idx="28">
                  <c:v>64.529914529914564</c:v>
                </c:pt>
                <c:pt idx="29">
                  <c:v>141.66666666666666</c:v>
                </c:pt>
                <c:pt idx="30">
                  <c:v>52.000000000000028</c:v>
                </c:pt>
                <c:pt idx="31">
                  <c:v>34</c:v>
                </c:pt>
                <c:pt idx="32">
                  <c:v>0</c:v>
                </c:pt>
                <c:pt idx="33">
                  <c:v>60.222222222222264</c:v>
                </c:pt>
                <c:pt idx="34">
                  <c:v>87.333333333333329</c:v>
                </c:pt>
                <c:pt idx="35">
                  <c:v>93</c:v>
                </c:pt>
                <c:pt idx="36">
                  <c:v>52.000000000000007</c:v>
                </c:pt>
                <c:pt idx="37">
                  <c:v>50</c:v>
                </c:pt>
                <c:pt idx="38">
                  <c:v>30.999999999999982</c:v>
                </c:pt>
                <c:pt idx="39">
                  <c:v>62.148148148148209</c:v>
                </c:pt>
                <c:pt idx="40">
                  <c:v>62.380952380952422</c:v>
                </c:pt>
                <c:pt idx="41">
                  <c:v>30.999999999999986</c:v>
                </c:pt>
                <c:pt idx="42">
                  <c:v>54</c:v>
                </c:pt>
                <c:pt idx="43">
                  <c:v>54.000000000000007</c:v>
                </c:pt>
                <c:pt idx="44">
                  <c:v>0</c:v>
                </c:pt>
                <c:pt idx="45">
                  <c:v>54.000000000000007</c:v>
                </c:pt>
                <c:pt idx="46">
                  <c:v>49.999999999999993</c:v>
                </c:pt>
                <c:pt idx="47">
                  <c:v>106.77777777777777</c:v>
                </c:pt>
                <c:pt idx="48">
                  <c:v>54.000000000000007</c:v>
                </c:pt>
                <c:pt idx="49">
                  <c:v>49.999999999999979</c:v>
                </c:pt>
                <c:pt idx="50">
                  <c:v>30.999999999999986</c:v>
                </c:pt>
                <c:pt idx="51">
                  <c:v>54.000000000000007</c:v>
                </c:pt>
                <c:pt idx="52">
                  <c:v>50</c:v>
                </c:pt>
                <c:pt idx="53">
                  <c:v>30.999999999999979</c:v>
                </c:pt>
                <c:pt idx="54">
                  <c:v>54</c:v>
                </c:pt>
                <c:pt idx="55">
                  <c:v>50</c:v>
                </c:pt>
                <c:pt idx="56">
                  <c:v>30.999999999999993</c:v>
                </c:pt>
                <c:pt idx="57">
                  <c:v>54.000000000000007</c:v>
                </c:pt>
                <c:pt idx="58">
                  <c:v>30.999999999999993</c:v>
                </c:pt>
                <c:pt idx="59">
                  <c:v>30.999999999999996</c:v>
                </c:pt>
                <c:pt idx="60">
                  <c:v>54.000000000000007</c:v>
                </c:pt>
                <c:pt idx="61">
                  <c:v>49.999999999999986</c:v>
                </c:pt>
                <c:pt idx="62">
                  <c:v>30.999999999999986</c:v>
                </c:pt>
                <c:pt idx="63">
                  <c:v>54.000000000000007</c:v>
                </c:pt>
                <c:pt idx="64">
                  <c:v>49.999999999999993</c:v>
                </c:pt>
                <c:pt idx="65">
                  <c:v>31.000000000000004</c:v>
                </c:pt>
                <c:pt idx="66">
                  <c:v>53.999999999999993</c:v>
                </c:pt>
                <c:pt idx="67">
                  <c:v>52.000000000000021</c:v>
                </c:pt>
                <c:pt idx="68">
                  <c:v>31.000000000000004</c:v>
                </c:pt>
                <c:pt idx="69">
                  <c:v>53.999999999999957</c:v>
                </c:pt>
                <c:pt idx="70">
                  <c:v>51.999999999999986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C-8D7D-4231-A0D1-853D049395B6}"/>
            </c:ext>
          </c:extLst>
        </c:ser>
        <c:ser>
          <c:idx val="109"/>
          <c:order val="109"/>
          <c:tx>
            <c:strRef>
              <c:f>LRMC!$A$113:$C$113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Node_2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LRMC!$D$113:$BW$113</c:f>
              <c:numCache>
                <c:formatCode>0</c:formatCode>
                <c:ptCount val="72"/>
                <c:pt idx="0">
                  <c:v>53.999999999999986</c:v>
                </c:pt>
                <c:pt idx="1">
                  <c:v>54.000000000000007</c:v>
                </c:pt>
                <c:pt idx="2">
                  <c:v>30.999999999999996</c:v>
                </c:pt>
                <c:pt idx="3">
                  <c:v>54</c:v>
                </c:pt>
                <c:pt idx="4">
                  <c:v>54.000000000000021</c:v>
                </c:pt>
                <c:pt idx="5">
                  <c:v>31</c:v>
                </c:pt>
                <c:pt idx="6">
                  <c:v>51.999999999999901</c:v>
                </c:pt>
                <c:pt idx="7">
                  <c:v>49.999999999999993</c:v>
                </c:pt>
                <c:pt idx="8">
                  <c:v>30.999999999999996</c:v>
                </c:pt>
                <c:pt idx="9">
                  <c:v>59.000000000000242</c:v>
                </c:pt>
                <c:pt idx="10">
                  <c:v>49.999999999999993</c:v>
                </c:pt>
                <c:pt idx="11">
                  <c:v>31</c:v>
                </c:pt>
                <c:pt idx="12">
                  <c:v>50</c:v>
                </c:pt>
                <c:pt idx="13">
                  <c:v>50</c:v>
                </c:pt>
                <c:pt idx="14">
                  <c:v>31</c:v>
                </c:pt>
                <c:pt idx="15">
                  <c:v>65.199999999999974</c:v>
                </c:pt>
                <c:pt idx="16">
                  <c:v>49.999999999999993</c:v>
                </c:pt>
                <c:pt idx="17">
                  <c:v>31</c:v>
                </c:pt>
                <c:pt idx="18">
                  <c:v>54.000000000000014</c:v>
                </c:pt>
                <c:pt idx="19">
                  <c:v>54.000000000000014</c:v>
                </c:pt>
                <c:pt idx="20">
                  <c:v>0</c:v>
                </c:pt>
                <c:pt idx="21">
                  <c:v>54</c:v>
                </c:pt>
                <c:pt idx="22">
                  <c:v>50</c:v>
                </c:pt>
                <c:pt idx="23">
                  <c:v>76.896103896103895</c:v>
                </c:pt>
                <c:pt idx="24">
                  <c:v>50</c:v>
                </c:pt>
                <c:pt idx="25">
                  <c:v>50</c:v>
                </c:pt>
                <c:pt idx="26">
                  <c:v>0</c:v>
                </c:pt>
                <c:pt idx="27">
                  <c:v>67.037037037037024</c:v>
                </c:pt>
                <c:pt idx="28">
                  <c:v>64.529914529914564</c:v>
                </c:pt>
                <c:pt idx="29">
                  <c:v>141.66666666666666</c:v>
                </c:pt>
                <c:pt idx="30">
                  <c:v>52.000000000000014</c:v>
                </c:pt>
                <c:pt idx="31">
                  <c:v>34</c:v>
                </c:pt>
                <c:pt idx="32">
                  <c:v>0</c:v>
                </c:pt>
                <c:pt idx="33">
                  <c:v>60.222222222222264</c:v>
                </c:pt>
                <c:pt idx="34">
                  <c:v>87.333333333333329</c:v>
                </c:pt>
                <c:pt idx="35">
                  <c:v>93</c:v>
                </c:pt>
                <c:pt idx="36">
                  <c:v>52.000000000000014</c:v>
                </c:pt>
                <c:pt idx="37">
                  <c:v>50</c:v>
                </c:pt>
                <c:pt idx="38">
                  <c:v>31</c:v>
                </c:pt>
                <c:pt idx="39">
                  <c:v>62.148148148148209</c:v>
                </c:pt>
                <c:pt idx="40">
                  <c:v>62.380952380952422</c:v>
                </c:pt>
                <c:pt idx="41">
                  <c:v>31</c:v>
                </c:pt>
                <c:pt idx="42">
                  <c:v>54.000000000000007</c:v>
                </c:pt>
                <c:pt idx="43">
                  <c:v>54.000000000000007</c:v>
                </c:pt>
                <c:pt idx="44">
                  <c:v>0</c:v>
                </c:pt>
                <c:pt idx="45">
                  <c:v>54.000000000000007</c:v>
                </c:pt>
                <c:pt idx="46">
                  <c:v>49.999999999999993</c:v>
                </c:pt>
                <c:pt idx="47">
                  <c:v>106.7777777777778</c:v>
                </c:pt>
                <c:pt idx="48">
                  <c:v>54.000000000000007</c:v>
                </c:pt>
                <c:pt idx="49">
                  <c:v>50</c:v>
                </c:pt>
                <c:pt idx="50">
                  <c:v>31</c:v>
                </c:pt>
                <c:pt idx="51">
                  <c:v>54.000000000000007</c:v>
                </c:pt>
                <c:pt idx="52">
                  <c:v>49.999999999999993</c:v>
                </c:pt>
                <c:pt idx="53">
                  <c:v>31</c:v>
                </c:pt>
                <c:pt idx="54">
                  <c:v>54</c:v>
                </c:pt>
                <c:pt idx="55">
                  <c:v>50</c:v>
                </c:pt>
                <c:pt idx="56">
                  <c:v>30.999999999999993</c:v>
                </c:pt>
                <c:pt idx="57">
                  <c:v>54.000000000000014</c:v>
                </c:pt>
                <c:pt idx="58">
                  <c:v>31</c:v>
                </c:pt>
                <c:pt idx="59">
                  <c:v>31.000000000000014</c:v>
                </c:pt>
                <c:pt idx="60">
                  <c:v>53.999999999999993</c:v>
                </c:pt>
                <c:pt idx="61">
                  <c:v>49.999999999999993</c:v>
                </c:pt>
                <c:pt idx="62">
                  <c:v>31.000000000000004</c:v>
                </c:pt>
                <c:pt idx="63">
                  <c:v>54.000000000000014</c:v>
                </c:pt>
                <c:pt idx="64">
                  <c:v>49.999999999999993</c:v>
                </c:pt>
                <c:pt idx="65">
                  <c:v>31.000000000000004</c:v>
                </c:pt>
                <c:pt idx="66">
                  <c:v>54</c:v>
                </c:pt>
                <c:pt idx="67">
                  <c:v>52.000000000000007</c:v>
                </c:pt>
                <c:pt idx="68">
                  <c:v>31</c:v>
                </c:pt>
                <c:pt idx="69">
                  <c:v>54</c:v>
                </c:pt>
                <c:pt idx="70">
                  <c:v>52.000000000000007</c:v>
                </c:pt>
                <c:pt idx="7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D-8D7D-4231-A0D1-853D049395B6}"/>
            </c:ext>
          </c:extLst>
        </c:ser>
        <c:ser>
          <c:idx val="110"/>
          <c:order val="110"/>
          <c:tx>
            <c:strRef>
              <c:f>LRMC!$A$114:$C$114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Node_3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LRMC!$D$114:$BW$114</c:f>
              <c:numCache>
                <c:formatCode>0</c:formatCode>
                <c:ptCount val="72"/>
                <c:pt idx="0">
                  <c:v>53.999999999999986</c:v>
                </c:pt>
                <c:pt idx="1">
                  <c:v>54.000000000000014</c:v>
                </c:pt>
                <c:pt idx="2">
                  <c:v>30.999999999999996</c:v>
                </c:pt>
                <c:pt idx="3">
                  <c:v>54</c:v>
                </c:pt>
                <c:pt idx="4">
                  <c:v>54.000000000000014</c:v>
                </c:pt>
                <c:pt idx="5">
                  <c:v>31</c:v>
                </c:pt>
                <c:pt idx="6">
                  <c:v>51.999999999999901</c:v>
                </c:pt>
                <c:pt idx="7">
                  <c:v>49.999999999999993</c:v>
                </c:pt>
                <c:pt idx="8">
                  <c:v>30.999999999999996</c:v>
                </c:pt>
                <c:pt idx="9">
                  <c:v>59.000000000000242</c:v>
                </c:pt>
                <c:pt idx="10">
                  <c:v>49.999999999999993</c:v>
                </c:pt>
                <c:pt idx="11">
                  <c:v>31</c:v>
                </c:pt>
                <c:pt idx="12">
                  <c:v>50.000000000000007</c:v>
                </c:pt>
                <c:pt idx="13">
                  <c:v>50</c:v>
                </c:pt>
                <c:pt idx="14">
                  <c:v>31</c:v>
                </c:pt>
                <c:pt idx="15">
                  <c:v>65.199999999999974</c:v>
                </c:pt>
                <c:pt idx="16">
                  <c:v>49.999999999999993</c:v>
                </c:pt>
                <c:pt idx="17">
                  <c:v>31</c:v>
                </c:pt>
                <c:pt idx="18">
                  <c:v>54.000000000000014</c:v>
                </c:pt>
                <c:pt idx="19">
                  <c:v>54.000000000000007</c:v>
                </c:pt>
                <c:pt idx="20">
                  <c:v>0</c:v>
                </c:pt>
                <c:pt idx="21">
                  <c:v>54</c:v>
                </c:pt>
                <c:pt idx="22">
                  <c:v>50</c:v>
                </c:pt>
                <c:pt idx="23">
                  <c:v>76.896103896103895</c:v>
                </c:pt>
                <c:pt idx="24">
                  <c:v>50</c:v>
                </c:pt>
                <c:pt idx="25">
                  <c:v>50.000000000000007</c:v>
                </c:pt>
                <c:pt idx="26">
                  <c:v>0</c:v>
                </c:pt>
                <c:pt idx="27">
                  <c:v>67.037037037037024</c:v>
                </c:pt>
                <c:pt idx="28">
                  <c:v>64.529914529914564</c:v>
                </c:pt>
                <c:pt idx="29">
                  <c:v>141.66666666666666</c:v>
                </c:pt>
                <c:pt idx="30">
                  <c:v>52.000000000000007</c:v>
                </c:pt>
                <c:pt idx="31">
                  <c:v>34</c:v>
                </c:pt>
                <c:pt idx="32">
                  <c:v>0</c:v>
                </c:pt>
                <c:pt idx="33">
                  <c:v>60.222222222222264</c:v>
                </c:pt>
                <c:pt idx="34">
                  <c:v>87.333333333333329</c:v>
                </c:pt>
                <c:pt idx="35">
                  <c:v>93</c:v>
                </c:pt>
                <c:pt idx="36">
                  <c:v>52.000000000000007</c:v>
                </c:pt>
                <c:pt idx="37">
                  <c:v>50.000000000000007</c:v>
                </c:pt>
                <c:pt idx="38">
                  <c:v>31</c:v>
                </c:pt>
                <c:pt idx="39">
                  <c:v>62.148148148148209</c:v>
                </c:pt>
                <c:pt idx="40">
                  <c:v>62.38095238095238</c:v>
                </c:pt>
                <c:pt idx="41">
                  <c:v>31</c:v>
                </c:pt>
                <c:pt idx="42">
                  <c:v>54</c:v>
                </c:pt>
                <c:pt idx="43">
                  <c:v>54.000000000000007</c:v>
                </c:pt>
                <c:pt idx="44">
                  <c:v>0</c:v>
                </c:pt>
                <c:pt idx="45">
                  <c:v>54.000000000000007</c:v>
                </c:pt>
                <c:pt idx="46">
                  <c:v>49.999999999999993</c:v>
                </c:pt>
                <c:pt idx="47">
                  <c:v>106.77777777777777</c:v>
                </c:pt>
                <c:pt idx="48">
                  <c:v>54.000000000000007</c:v>
                </c:pt>
                <c:pt idx="49">
                  <c:v>50</c:v>
                </c:pt>
                <c:pt idx="50">
                  <c:v>31</c:v>
                </c:pt>
                <c:pt idx="51">
                  <c:v>54.000000000000007</c:v>
                </c:pt>
                <c:pt idx="52">
                  <c:v>50</c:v>
                </c:pt>
                <c:pt idx="53">
                  <c:v>31</c:v>
                </c:pt>
                <c:pt idx="54">
                  <c:v>54</c:v>
                </c:pt>
                <c:pt idx="55">
                  <c:v>50</c:v>
                </c:pt>
                <c:pt idx="56">
                  <c:v>30.999999999999993</c:v>
                </c:pt>
                <c:pt idx="57">
                  <c:v>54.000000000000007</c:v>
                </c:pt>
                <c:pt idx="58">
                  <c:v>31</c:v>
                </c:pt>
                <c:pt idx="59">
                  <c:v>31.000000000000014</c:v>
                </c:pt>
                <c:pt idx="60">
                  <c:v>54.000000000000007</c:v>
                </c:pt>
                <c:pt idx="61">
                  <c:v>49.999999999999993</c:v>
                </c:pt>
                <c:pt idx="62">
                  <c:v>31.000000000000004</c:v>
                </c:pt>
                <c:pt idx="63">
                  <c:v>54.000000000000007</c:v>
                </c:pt>
                <c:pt idx="64">
                  <c:v>49.999999999999993</c:v>
                </c:pt>
                <c:pt idx="65">
                  <c:v>31.000000000000004</c:v>
                </c:pt>
                <c:pt idx="66">
                  <c:v>54</c:v>
                </c:pt>
                <c:pt idx="67">
                  <c:v>52.000000000000007</c:v>
                </c:pt>
                <c:pt idx="68">
                  <c:v>31</c:v>
                </c:pt>
                <c:pt idx="69">
                  <c:v>54</c:v>
                </c:pt>
                <c:pt idx="70">
                  <c:v>52.000000000000007</c:v>
                </c:pt>
                <c:pt idx="7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8D7D-4231-A0D1-853D049395B6}"/>
            </c:ext>
          </c:extLst>
        </c:ser>
        <c:ser>
          <c:idx val="111"/>
          <c:order val="111"/>
          <c:tx>
            <c:strRef>
              <c:f>LRMC!$A$115:$C$115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Node_4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LRMC!$D$115:$BW$115</c:f>
              <c:numCache>
                <c:formatCode>0</c:formatCode>
                <c:ptCount val="72"/>
                <c:pt idx="0">
                  <c:v>53.999999999999986</c:v>
                </c:pt>
                <c:pt idx="1">
                  <c:v>54.000000000000043</c:v>
                </c:pt>
                <c:pt idx="2">
                  <c:v>30.999999999999989</c:v>
                </c:pt>
                <c:pt idx="3">
                  <c:v>54</c:v>
                </c:pt>
                <c:pt idx="4">
                  <c:v>54.000000000000014</c:v>
                </c:pt>
                <c:pt idx="5">
                  <c:v>30.999999999999989</c:v>
                </c:pt>
                <c:pt idx="6">
                  <c:v>52.000000000000007</c:v>
                </c:pt>
                <c:pt idx="7">
                  <c:v>50</c:v>
                </c:pt>
                <c:pt idx="8">
                  <c:v>30.999999999999989</c:v>
                </c:pt>
                <c:pt idx="9">
                  <c:v>59.000000000000242</c:v>
                </c:pt>
                <c:pt idx="10">
                  <c:v>50</c:v>
                </c:pt>
                <c:pt idx="11">
                  <c:v>30.999999999999993</c:v>
                </c:pt>
                <c:pt idx="12">
                  <c:v>50</c:v>
                </c:pt>
                <c:pt idx="13">
                  <c:v>50</c:v>
                </c:pt>
                <c:pt idx="14">
                  <c:v>30.999999999999996</c:v>
                </c:pt>
                <c:pt idx="15">
                  <c:v>65.199999999999974</c:v>
                </c:pt>
                <c:pt idx="16">
                  <c:v>49.999999999999993</c:v>
                </c:pt>
                <c:pt idx="17">
                  <c:v>30.999999999999993</c:v>
                </c:pt>
                <c:pt idx="18">
                  <c:v>54.000000000000014</c:v>
                </c:pt>
                <c:pt idx="19">
                  <c:v>54.000000000000007</c:v>
                </c:pt>
                <c:pt idx="20">
                  <c:v>0</c:v>
                </c:pt>
                <c:pt idx="21">
                  <c:v>54</c:v>
                </c:pt>
                <c:pt idx="22">
                  <c:v>50</c:v>
                </c:pt>
                <c:pt idx="23">
                  <c:v>76.896103896103895</c:v>
                </c:pt>
                <c:pt idx="24">
                  <c:v>50</c:v>
                </c:pt>
                <c:pt idx="25">
                  <c:v>50</c:v>
                </c:pt>
                <c:pt idx="26">
                  <c:v>0</c:v>
                </c:pt>
                <c:pt idx="27">
                  <c:v>67.037037037037024</c:v>
                </c:pt>
                <c:pt idx="28">
                  <c:v>64.529914529914564</c:v>
                </c:pt>
                <c:pt idx="29">
                  <c:v>141.66666666666666</c:v>
                </c:pt>
                <c:pt idx="30">
                  <c:v>52.000000000000007</c:v>
                </c:pt>
                <c:pt idx="31">
                  <c:v>34</c:v>
                </c:pt>
                <c:pt idx="32">
                  <c:v>0</c:v>
                </c:pt>
                <c:pt idx="33">
                  <c:v>60.222222222222264</c:v>
                </c:pt>
                <c:pt idx="34">
                  <c:v>87.333333333333329</c:v>
                </c:pt>
                <c:pt idx="35">
                  <c:v>93</c:v>
                </c:pt>
                <c:pt idx="36">
                  <c:v>52.000000000000007</c:v>
                </c:pt>
                <c:pt idx="37">
                  <c:v>50</c:v>
                </c:pt>
                <c:pt idx="38">
                  <c:v>30.999999999999993</c:v>
                </c:pt>
                <c:pt idx="39">
                  <c:v>62.148148148148202</c:v>
                </c:pt>
                <c:pt idx="40">
                  <c:v>62.380952380952408</c:v>
                </c:pt>
                <c:pt idx="41">
                  <c:v>30.999999999999996</c:v>
                </c:pt>
                <c:pt idx="42">
                  <c:v>54</c:v>
                </c:pt>
                <c:pt idx="43">
                  <c:v>54.000000000000007</c:v>
                </c:pt>
                <c:pt idx="44">
                  <c:v>0</c:v>
                </c:pt>
                <c:pt idx="45">
                  <c:v>54.000000000000007</c:v>
                </c:pt>
                <c:pt idx="46">
                  <c:v>49.999999999999993</c:v>
                </c:pt>
                <c:pt idx="47">
                  <c:v>106.77777777777777</c:v>
                </c:pt>
                <c:pt idx="48">
                  <c:v>54.000000000000007</c:v>
                </c:pt>
                <c:pt idx="49">
                  <c:v>49.999999999999979</c:v>
                </c:pt>
                <c:pt idx="50">
                  <c:v>31</c:v>
                </c:pt>
                <c:pt idx="51">
                  <c:v>54.000000000000007</c:v>
                </c:pt>
                <c:pt idx="52">
                  <c:v>50</c:v>
                </c:pt>
                <c:pt idx="53">
                  <c:v>30.999999999999993</c:v>
                </c:pt>
                <c:pt idx="54">
                  <c:v>54</c:v>
                </c:pt>
                <c:pt idx="55">
                  <c:v>50</c:v>
                </c:pt>
                <c:pt idx="56">
                  <c:v>30.999999999999993</c:v>
                </c:pt>
                <c:pt idx="57">
                  <c:v>54.000000000000007</c:v>
                </c:pt>
                <c:pt idx="58">
                  <c:v>31</c:v>
                </c:pt>
                <c:pt idx="59">
                  <c:v>31.000000000000011</c:v>
                </c:pt>
                <c:pt idx="60">
                  <c:v>54.000000000000007</c:v>
                </c:pt>
                <c:pt idx="61">
                  <c:v>49.999999999999986</c:v>
                </c:pt>
                <c:pt idx="62">
                  <c:v>30.999999999999996</c:v>
                </c:pt>
                <c:pt idx="63">
                  <c:v>54.000000000000007</c:v>
                </c:pt>
                <c:pt idx="64">
                  <c:v>49.999999999999993</c:v>
                </c:pt>
                <c:pt idx="65">
                  <c:v>31.000000000000004</c:v>
                </c:pt>
                <c:pt idx="66">
                  <c:v>54.000000000000007</c:v>
                </c:pt>
                <c:pt idx="67">
                  <c:v>52.000000000000007</c:v>
                </c:pt>
                <c:pt idx="68">
                  <c:v>31</c:v>
                </c:pt>
                <c:pt idx="69">
                  <c:v>54.000000000000014</c:v>
                </c:pt>
                <c:pt idx="70">
                  <c:v>52.000000000000007</c:v>
                </c:pt>
                <c:pt idx="71">
                  <c:v>30.999999999999993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F-8D7D-4231-A0D1-853D049395B6}"/>
            </c:ext>
          </c:extLst>
        </c:ser>
        <c:ser>
          <c:idx val="112"/>
          <c:order val="112"/>
          <c:tx>
            <c:strRef>
              <c:f>LRMC!$A$116:$C$116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Node_5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LRMC!$D$116:$BW$116</c:f>
              <c:numCache>
                <c:formatCode>0</c:formatCode>
                <c:ptCount val="72"/>
                <c:pt idx="0">
                  <c:v>53.999999999999986</c:v>
                </c:pt>
                <c:pt idx="1">
                  <c:v>54.000000000000043</c:v>
                </c:pt>
                <c:pt idx="2">
                  <c:v>30.999999999999989</c:v>
                </c:pt>
                <c:pt idx="3">
                  <c:v>54</c:v>
                </c:pt>
                <c:pt idx="4">
                  <c:v>54.000000000000014</c:v>
                </c:pt>
                <c:pt idx="5">
                  <c:v>30.999999999999989</c:v>
                </c:pt>
                <c:pt idx="6">
                  <c:v>52.000000000000007</c:v>
                </c:pt>
                <c:pt idx="7">
                  <c:v>50</c:v>
                </c:pt>
                <c:pt idx="8">
                  <c:v>30.999999999999989</c:v>
                </c:pt>
                <c:pt idx="9">
                  <c:v>59.000000000000242</c:v>
                </c:pt>
                <c:pt idx="10">
                  <c:v>50</c:v>
                </c:pt>
                <c:pt idx="11">
                  <c:v>30.999999999999993</c:v>
                </c:pt>
                <c:pt idx="12">
                  <c:v>50</c:v>
                </c:pt>
                <c:pt idx="13">
                  <c:v>50</c:v>
                </c:pt>
                <c:pt idx="14">
                  <c:v>30.999999999999996</c:v>
                </c:pt>
                <c:pt idx="15">
                  <c:v>65.199999999999974</c:v>
                </c:pt>
                <c:pt idx="16">
                  <c:v>49.999999999999993</c:v>
                </c:pt>
                <c:pt idx="17">
                  <c:v>30.999999999999993</c:v>
                </c:pt>
                <c:pt idx="18">
                  <c:v>54.000000000000014</c:v>
                </c:pt>
                <c:pt idx="19">
                  <c:v>54.000000000000007</c:v>
                </c:pt>
                <c:pt idx="20">
                  <c:v>0</c:v>
                </c:pt>
                <c:pt idx="21">
                  <c:v>54</c:v>
                </c:pt>
                <c:pt idx="22">
                  <c:v>50</c:v>
                </c:pt>
                <c:pt idx="23">
                  <c:v>76.896103896103895</c:v>
                </c:pt>
                <c:pt idx="24">
                  <c:v>50</c:v>
                </c:pt>
                <c:pt idx="25">
                  <c:v>50</c:v>
                </c:pt>
                <c:pt idx="26">
                  <c:v>0</c:v>
                </c:pt>
                <c:pt idx="27">
                  <c:v>67.037037037037024</c:v>
                </c:pt>
                <c:pt idx="28">
                  <c:v>64.529914529914564</c:v>
                </c:pt>
                <c:pt idx="29">
                  <c:v>141.66666666666666</c:v>
                </c:pt>
                <c:pt idx="30">
                  <c:v>52.000000000000007</c:v>
                </c:pt>
                <c:pt idx="31">
                  <c:v>34</c:v>
                </c:pt>
                <c:pt idx="32">
                  <c:v>0</c:v>
                </c:pt>
                <c:pt idx="33">
                  <c:v>60.222222222222264</c:v>
                </c:pt>
                <c:pt idx="34">
                  <c:v>87.333333333333329</c:v>
                </c:pt>
                <c:pt idx="35">
                  <c:v>93</c:v>
                </c:pt>
                <c:pt idx="36">
                  <c:v>52.000000000000007</c:v>
                </c:pt>
                <c:pt idx="37">
                  <c:v>50</c:v>
                </c:pt>
                <c:pt idx="38">
                  <c:v>30.999999999999993</c:v>
                </c:pt>
                <c:pt idx="39">
                  <c:v>62.148148148148202</c:v>
                </c:pt>
                <c:pt idx="40">
                  <c:v>62.380952380952408</c:v>
                </c:pt>
                <c:pt idx="41">
                  <c:v>30.999999999999996</c:v>
                </c:pt>
                <c:pt idx="42">
                  <c:v>54</c:v>
                </c:pt>
                <c:pt idx="43">
                  <c:v>54.000000000000007</c:v>
                </c:pt>
                <c:pt idx="44">
                  <c:v>0</c:v>
                </c:pt>
                <c:pt idx="45">
                  <c:v>54.000000000000007</c:v>
                </c:pt>
                <c:pt idx="46">
                  <c:v>49.999999999999993</c:v>
                </c:pt>
                <c:pt idx="47">
                  <c:v>106.77777777777777</c:v>
                </c:pt>
                <c:pt idx="48">
                  <c:v>54.000000000000007</c:v>
                </c:pt>
                <c:pt idx="49">
                  <c:v>49.999999999999979</c:v>
                </c:pt>
                <c:pt idx="50">
                  <c:v>31</c:v>
                </c:pt>
                <c:pt idx="51">
                  <c:v>54.000000000000007</c:v>
                </c:pt>
                <c:pt idx="52">
                  <c:v>50</c:v>
                </c:pt>
                <c:pt idx="53">
                  <c:v>30.999999999999993</c:v>
                </c:pt>
                <c:pt idx="54">
                  <c:v>54</c:v>
                </c:pt>
                <c:pt idx="55">
                  <c:v>50</c:v>
                </c:pt>
                <c:pt idx="56">
                  <c:v>30.999999999999993</c:v>
                </c:pt>
                <c:pt idx="57">
                  <c:v>54.000000000000007</c:v>
                </c:pt>
                <c:pt idx="58">
                  <c:v>31</c:v>
                </c:pt>
                <c:pt idx="59">
                  <c:v>31.000000000000011</c:v>
                </c:pt>
                <c:pt idx="60">
                  <c:v>54.000000000000007</c:v>
                </c:pt>
                <c:pt idx="61">
                  <c:v>49.999999999999986</c:v>
                </c:pt>
                <c:pt idx="62">
                  <c:v>30.999999999999996</c:v>
                </c:pt>
                <c:pt idx="63">
                  <c:v>54.000000000000007</c:v>
                </c:pt>
                <c:pt idx="64">
                  <c:v>49.999999999999993</c:v>
                </c:pt>
                <c:pt idx="65">
                  <c:v>31.000000000000004</c:v>
                </c:pt>
                <c:pt idx="66">
                  <c:v>54.000000000000007</c:v>
                </c:pt>
                <c:pt idx="67">
                  <c:v>52.000000000000007</c:v>
                </c:pt>
                <c:pt idx="68">
                  <c:v>31</c:v>
                </c:pt>
                <c:pt idx="69">
                  <c:v>54.000000000000014</c:v>
                </c:pt>
                <c:pt idx="70">
                  <c:v>52.000000000000007</c:v>
                </c:pt>
                <c:pt idx="71">
                  <c:v>30.999999999999993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8D7D-4231-A0D1-853D049395B6}"/>
            </c:ext>
          </c:extLst>
        </c:ser>
        <c:ser>
          <c:idx val="113"/>
          <c:order val="113"/>
          <c:tx>
            <c:strRef>
              <c:f>LRMC!$A$117:$C$117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Node_6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LRMC!$D$117:$BW$117</c:f>
              <c:numCache>
                <c:formatCode>0</c:formatCode>
                <c:ptCount val="72"/>
                <c:pt idx="0">
                  <c:v>53.999999999999986</c:v>
                </c:pt>
                <c:pt idx="1">
                  <c:v>53.999999999999993</c:v>
                </c:pt>
                <c:pt idx="2">
                  <c:v>31.000000000000004</c:v>
                </c:pt>
                <c:pt idx="3">
                  <c:v>54</c:v>
                </c:pt>
                <c:pt idx="4">
                  <c:v>54.000000000000021</c:v>
                </c:pt>
                <c:pt idx="5">
                  <c:v>31.000000000000004</c:v>
                </c:pt>
                <c:pt idx="6">
                  <c:v>51.999999999999901</c:v>
                </c:pt>
                <c:pt idx="7">
                  <c:v>49.999999999999993</c:v>
                </c:pt>
                <c:pt idx="8">
                  <c:v>31.000000000000004</c:v>
                </c:pt>
                <c:pt idx="9">
                  <c:v>59.000000000000242</c:v>
                </c:pt>
                <c:pt idx="10">
                  <c:v>49.999999999999993</c:v>
                </c:pt>
                <c:pt idx="11">
                  <c:v>31.000000000000004</c:v>
                </c:pt>
                <c:pt idx="12">
                  <c:v>50</c:v>
                </c:pt>
                <c:pt idx="13">
                  <c:v>50</c:v>
                </c:pt>
                <c:pt idx="14">
                  <c:v>31.000000000000004</c:v>
                </c:pt>
                <c:pt idx="15">
                  <c:v>65.199999999999974</c:v>
                </c:pt>
                <c:pt idx="16">
                  <c:v>49.999999999999993</c:v>
                </c:pt>
                <c:pt idx="17">
                  <c:v>31.000000000000007</c:v>
                </c:pt>
                <c:pt idx="18">
                  <c:v>54.000000000000014</c:v>
                </c:pt>
                <c:pt idx="19">
                  <c:v>54.000000000000014</c:v>
                </c:pt>
                <c:pt idx="20">
                  <c:v>0</c:v>
                </c:pt>
                <c:pt idx="21">
                  <c:v>54</c:v>
                </c:pt>
                <c:pt idx="22">
                  <c:v>50</c:v>
                </c:pt>
                <c:pt idx="23">
                  <c:v>76.896103896103895</c:v>
                </c:pt>
                <c:pt idx="24">
                  <c:v>50</c:v>
                </c:pt>
                <c:pt idx="25">
                  <c:v>50</c:v>
                </c:pt>
                <c:pt idx="26">
                  <c:v>0</c:v>
                </c:pt>
                <c:pt idx="27">
                  <c:v>67.037037037037024</c:v>
                </c:pt>
                <c:pt idx="28">
                  <c:v>64.529914529914564</c:v>
                </c:pt>
                <c:pt idx="29">
                  <c:v>141.66666666666666</c:v>
                </c:pt>
                <c:pt idx="30">
                  <c:v>52.000000000000014</c:v>
                </c:pt>
                <c:pt idx="31">
                  <c:v>34</c:v>
                </c:pt>
                <c:pt idx="32">
                  <c:v>0</c:v>
                </c:pt>
                <c:pt idx="33">
                  <c:v>60.222222222222264</c:v>
                </c:pt>
                <c:pt idx="34">
                  <c:v>87.333333333333329</c:v>
                </c:pt>
                <c:pt idx="35">
                  <c:v>93</c:v>
                </c:pt>
                <c:pt idx="36">
                  <c:v>52.000000000000014</c:v>
                </c:pt>
                <c:pt idx="37">
                  <c:v>50</c:v>
                </c:pt>
                <c:pt idx="38">
                  <c:v>31.000000000000007</c:v>
                </c:pt>
                <c:pt idx="39">
                  <c:v>62.148148148148209</c:v>
                </c:pt>
                <c:pt idx="40">
                  <c:v>62.380952380952422</c:v>
                </c:pt>
                <c:pt idx="41">
                  <c:v>31.000000000000004</c:v>
                </c:pt>
                <c:pt idx="42">
                  <c:v>54.000000000000007</c:v>
                </c:pt>
                <c:pt idx="43">
                  <c:v>54.000000000000007</c:v>
                </c:pt>
                <c:pt idx="44">
                  <c:v>0</c:v>
                </c:pt>
                <c:pt idx="45">
                  <c:v>54.000000000000007</c:v>
                </c:pt>
                <c:pt idx="46">
                  <c:v>49.999999999999993</c:v>
                </c:pt>
                <c:pt idx="47">
                  <c:v>106.7777777777778</c:v>
                </c:pt>
                <c:pt idx="48">
                  <c:v>54.000000000000007</c:v>
                </c:pt>
                <c:pt idx="49">
                  <c:v>50</c:v>
                </c:pt>
                <c:pt idx="50">
                  <c:v>31</c:v>
                </c:pt>
                <c:pt idx="51">
                  <c:v>54.000000000000007</c:v>
                </c:pt>
                <c:pt idx="52">
                  <c:v>49.999999999999993</c:v>
                </c:pt>
                <c:pt idx="53">
                  <c:v>31.000000000000007</c:v>
                </c:pt>
                <c:pt idx="54">
                  <c:v>54</c:v>
                </c:pt>
                <c:pt idx="55">
                  <c:v>50</c:v>
                </c:pt>
                <c:pt idx="56">
                  <c:v>30.999999999999993</c:v>
                </c:pt>
                <c:pt idx="57">
                  <c:v>54.000000000000014</c:v>
                </c:pt>
                <c:pt idx="58">
                  <c:v>31</c:v>
                </c:pt>
                <c:pt idx="59">
                  <c:v>31.000000000000014</c:v>
                </c:pt>
                <c:pt idx="60">
                  <c:v>53.999999999999993</c:v>
                </c:pt>
                <c:pt idx="61">
                  <c:v>49.999999999999993</c:v>
                </c:pt>
                <c:pt idx="62">
                  <c:v>31.000000000000004</c:v>
                </c:pt>
                <c:pt idx="63">
                  <c:v>54.000000000000014</c:v>
                </c:pt>
                <c:pt idx="64">
                  <c:v>49.999999999999993</c:v>
                </c:pt>
                <c:pt idx="65">
                  <c:v>31.000000000000004</c:v>
                </c:pt>
                <c:pt idx="66">
                  <c:v>54</c:v>
                </c:pt>
                <c:pt idx="67">
                  <c:v>52.000000000000014</c:v>
                </c:pt>
                <c:pt idx="68">
                  <c:v>31.000000000000004</c:v>
                </c:pt>
                <c:pt idx="69">
                  <c:v>54</c:v>
                </c:pt>
                <c:pt idx="70">
                  <c:v>52.000000000000014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1-8D7D-4231-A0D1-853D049395B6}"/>
            </c:ext>
          </c:extLst>
        </c:ser>
        <c:ser>
          <c:idx val="114"/>
          <c:order val="114"/>
          <c:tx>
            <c:strRef>
              <c:f>LRMC!$A$118:$C$118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Node_7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LRMC!$D$118:$BW$118</c:f>
              <c:numCache>
                <c:formatCode>0</c:formatCode>
                <c:ptCount val="72"/>
                <c:pt idx="0">
                  <c:v>53.999999999999986</c:v>
                </c:pt>
                <c:pt idx="1">
                  <c:v>53.999999999999993</c:v>
                </c:pt>
                <c:pt idx="2">
                  <c:v>31.000000000000004</c:v>
                </c:pt>
                <c:pt idx="3">
                  <c:v>54</c:v>
                </c:pt>
                <c:pt idx="4">
                  <c:v>54.000000000000014</c:v>
                </c:pt>
                <c:pt idx="5">
                  <c:v>31.000000000000004</c:v>
                </c:pt>
                <c:pt idx="6">
                  <c:v>52.000000000000007</c:v>
                </c:pt>
                <c:pt idx="7">
                  <c:v>49.999999999999993</c:v>
                </c:pt>
                <c:pt idx="8">
                  <c:v>31.000000000000004</c:v>
                </c:pt>
                <c:pt idx="9">
                  <c:v>59.000000000000242</c:v>
                </c:pt>
                <c:pt idx="10">
                  <c:v>49.999999999999993</c:v>
                </c:pt>
                <c:pt idx="11">
                  <c:v>31.000000000000004</c:v>
                </c:pt>
                <c:pt idx="12">
                  <c:v>50</c:v>
                </c:pt>
                <c:pt idx="13">
                  <c:v>50</c:v>
                </c:pt>
                <c:pt idx="14">
                  <c:v>31.000000000000004</c:v>
                </c:pt>
                <c:pt idx="15">
                  <c:v>65.199999999999974</c:v>
                </c:pt>
                <c:pt idx="16">
                  <c:v>49.999999999999993</c:v>
                </c:pt>
                <c:pt idx="17">
                  <c:v>31.000000000000007</c:v>
                </c:pt>
                <c:pt idx="18">
                  <c:v>54.000000000000014</c:v>
                </c:pt>
                <c:pt idx="19">
                  <c:v>54.000000000000007</c:v>
                </c:pt>
                <c:pt idx="20">
                  <c:v>0</c:v>
                </c:pt>
                <c:pt idx="21">
                  <c:v>54</c:v>
                </c:pt>
                <c:pt idx="22">
                  <c:v>50</c:v>
                </c:pt>
                <c:pt idx="23">
                  <c:v>76.896103896103895</c:v>
                </c:pt>
                <c:pt idx="24">
                  <c:v>50</c:v>
                </c:pt>
                <c:pt idx="25">
                  <c:v>50</c:v>
                </c:pt>
                <c:pt idx="26">
                  <c:v>0</c:v>
                </c:pt>
                <c:pt idx="27">
                  <c:v>67.037037037037024</c:v>
                </c:pt>
                <c:pt idx="28">
                  <c:v>64.529914529914564</c:v>
                </c:pt>
                <c:pt idx="29">
                  <c:v>141.66666666666666</c:v>
                </c:pt>
                <c:pt idx="30">
                  <c:v>52.000000000000007</c:v>
                </c:pt>
                <c:pt idx="31">
                  <c:v>34</c:v>
                </c:pt>
                <c:pt idx="32">
                  <c:v>0</c:v>
                </c:pt>
                <c:pt idx="33">
                  <c:v>60.222222222222264</c:v>
                </c:pt>
                <c:pt idx="34">
                  <c:v>87.333333333333329</c:v>
                </c:pt>
                <c:pt idx="35">
                  <c:v>93</c:v>
                </c:pt>
                <c:pt idx="36">
                  <c:v>52.000000000000007</c:v>
                </c:pt>
                <c:pt idx="37">
                  <c:v>50</c:v>
                </c:pt>
                <c:pt idx="38">
                  <c:v>31.000000000000007</c:v>
                </c:pt>
                <c:pt idx="39">
                  <c:v>62.148148148148209</c:v>
                </c:pt>
                <c:pt idx="40">
                  <c:v>62.380952380952422</c:v>
                </c:pt>
                <c:pt idx="41">
                  <c:v>31.000000000000004</c:v>
                </c:pt>
                <c:pt idx="42">
                  <c:v>53.999999999999986</c:v>
                </c:pt>
                <c:pt idx="43">
                  <c:v>53.999999999999986</c:v>
                </c:pt>
                <c:pt idx="44">
                  <c:v>0</c:v>
                </c:pt>
                <c:pt idx="45">
                  <c:v>54.000000000000007</c:v>
                </c:pt>
                <c:pt idx="46">
                  <c:v>49.999999999999993</c:v>
                </c:pt>
                <c:pt idx="47">
                  <c:v>106.7777777777778</c:v>
                </c:pt>
                <c:pt idx="48">
                  <c:v>54.000000000000007</c:v>
                </c:pt>
                <c:pt idx="49">
                  <c:v>50</c:v>
                </c:pt>
                <c:pt idx="50">
                  <c:v>31</c:v>
                </c:pt>
                <c:pt idx="51">
                  <c:v>53.999999999999986</c:v>
                </c:pt>
                <c:pt idx="52">
                  <c:v>49.999999999999993</c:v>
                </c:pt>
                <c:pt idx="53">
                  <c:v>31.000000000000007</c:v>
                </c:pt>
                <c:pt idx="54">
                  <c:v>53.999999999999986</c:v>
                </c:pt>
                <c:pt idx="55">
                  <c:v>50</c:v>
                </c:pt>
                <c:pt idx="56">
                  <c:v>30.999999999999993</c:v>
                </c:pt>
                <c:pt idx="57">
                  <c:v>54.000000000000007</c:v>
                </c:pt>
                <c:pt idx="58">
                  <c:v>31</c:v>
                </c:pt>
                <c:pt idx="59">
                  <c:v>31.000000000000014</c:v>
                </c:pt>
                <c:pt idx="60">
                  <c:v>53.999999999999993</c:v>
                </c:pt>
                <c:pt idx="61">
                  <c:v>49.999999999999993</c:v>
                </c:pt>
                <c:pt idx="62">
                  <c:v>31.000000000000004</c:v>
                </c:pt>
                <c:pt idx="63">
                  <c:v>54.000000000000007</c:v>
                </c:pt>
                <c:pt idx="64">
                  <c:v>49.999999999999993</c:v>
                </c:pt>
                <c:pt idx="65">
                  <c:v>31.000000000000004</c:v>
                </c:pt>
                <c:pt idx="66">
                  <c:v>54</c:v>
                </c:pt>
                <c:pt idx="67">
                  <c:v>52.000000000000014</c:v>
                </c:pt>
                <c:pt idx="68">
                  <c:v>31.000000000000004</c:v>
                </c:pt>
                <c:pt idx="69">
                  <c:v>54</c:v>
                </c:pt>
                <c:pt idx="70">
                  <c:v>52.000000000000014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2-8D7D-4231-A0D1-853D049395B6}"/>
            </c:ext>
          </c:extLst>
        </c:ser>
        <c:ser>
          <c:idx val="115"/>
          <c:order val="115"/>
          <c:tx>
            <c:strRef>
              <c:f>LRMC!$A$119:$C$119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Node_8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LRMC!$D$119:$BW$119</c:f>
              <c:numCache>
                <c:formatCode>0</c:formatCode>
                <c:ptCount val="72"/>
                <c:pt idx="0">
                  <c:v>53.999999999999986</c:v>
                </c:pt>
                <c:pt idx="1">
                  <c:v>53.999999999999993</c:v>
                </c:pt>
                <c:pt idx="2">
                  <c:v>31.000000000000004</c:v>
                </c:pt>
                <c:pt idx="3">
                  <c:v>54</c:v>
                </c:pt>
                <c:pt idx="4">
                  <c:v>54.000000000000014</c:v>
                </c:pt>
                <c:pt idx="5">
                  <c:v>31.000000000000004</c:v>
                </c:pt>
                <c:pt idx="6">
                  <c:v>52.000000000000007</c:v>
                </c:pt>
                <c:pt idx="7">
                  <c:v>49.999999999999993</c:v>
                </c:pt>
                <c:pt idx="8">
                  <c:v>31.000000000000004</c:v>
                </c:pt>
                <c:pt idx="9">
                  <c:v>59.000000000000242</c:v>
                </c:pt>
                <c:pt idx="10">
                  <c:v>49.999999999999993</c:v>
                </c:pt>
                <c:pt idx="11">
                  <c:v>31.000000000000004</c:v>
                </c:pt>
                <c:pt idx="12">
                  <c:v>50</c:v>
                </c:pt>
                <c:pt idx="13">
                  <c:v>50</c:v>
                </c:pt>
                <c:pt idx="14">
                  <c:v>31.000000000000004</c:v>
                </c:pt>
                <c:pt idx="15">
                  <c:v>65.199999999999974</c:v>
                </c:pt>
                <c:pt idx="16">
                  <c:v>49.999999999999993</c:v>
                </c:pt>
                <c:pt idx="17">
                  <c:v>31.000000000000007</c:v>
                </c:pt>
                <c:pt idx="18">
                  <c:v>54.000000000000014</c:v>
                </c:pt>
                <c:pt idx="19">
                  <c:v>54.000000000000007</c:v>
                </c:pt>
                <c:pt idx="20">
                  <c:v>0</c:v>
                </c:pt>
                <c:pt idx="21">
                  <c:v>54</c:v>
                </c:pt>
                <c:pt idx="22">
                  <c:v>50</c:v>
                </c:pt>
                <c:pt idx="23">
                  <c:v>76.896103896103895</c:v>
                </c:pt>
                <c:pt idx="24">
                  <c:v>50</c:v>
                </c:pt>
                <c:pt idx="25">
                  <c:v>50</c:v>
                </c:pt>
                <c:pt idx="26">
                  <c:v>0</c:v>
                </c:pt>
                <c:pt idx="27">
                  <c:v>67.037037037037024</c:v>
                </c:pt>
                <c:pt idx="28">
                  <c:v>64.529914529914564</c:v>
                </c:pt>
                <c:pt idx="29">
                  <c:v>141.66666666666666</c:v>
                </c:pt>
                <c:pt idx="30">
                  <c:v>52.000000000000007</c:v>
                </c:pt>
                <c:pt idx="31">
                  <c:v>34</c:v>
                </c:pt>
                <c:pt idx="32">
                  <c:v>0</c:v>
                </c:pt>
                <c:pt idx="33">
                  <c:v>60.222222222222264</c:v>
                </c:pt>
                <c:pt idx="34">
                  <c:v>87.333333333333329</c:v>
                </c:pt>
                <c:pt idx="35">
                  <c:v>93</c:v>
                </c:pt>
                <c:pt idx="36">
                  <c:v>52.000000000000007</c:v>
                </c:pt>
                <c:pt idx="37">
                  <c:v>50</c:v>
                </c:pt>
                <c:pt idx="38">
                  <c:v>31.000000000000007</c:v>
                </c:pt>
                <c:pt idx="39">
                  <c:v>62.148148148148209</c:v>
                </c:pt>
                <c:pt idx="40">
                  <c:v>62.380952380952422</c:v>
                </c:pt>
                <c:pt idx="41">
                  <c:v>31.000000000000004</c:v>
                </c:pt>
                <c:pt idx="42">
                  <c:v>53.999999999999986</c:v>
                </c:pt>
                <c:pt idx="43">
                  <c:v>53.999999999999986</c:v>
                </c:pt>
                <c:pt idx="44">
                  <c:v>0</c:v>
                </c:pt>
                <c:pt idx="45">
                  <c:v>54.000000000000007</c:v>
                </c:pt>
                <c:pt idx="46">
                  <c:v>49.999999999999993</c:v>
                </c:pt>
                <c:pt idx="47">
                  <c:v>106.7777777777778</c:v>
                </c:pt>
                <c:pt idx="48">
                  <c:v>54.000000000000007</c:v>
                </c:pt>
                <c:pt idx="49">
                  <c:v>50</c:v>
                </c:pt>
                <c:pt idx="50">
                  <c:v>31</c:v>
                </c:pt>
                <c:pt idx="51">
                  <c:v>53.999999999999986</c:v>
                </c:pt>
                <c:pt idx="52">
                  <c:v>49.999999999999993</c:v>
                </c:pt>
                <c:pt idx="53">
                  <c:v>31.000000000000007</c:v>
                </c:pt>
                <c:pt idx="54">
                  <c:v>53.999999999999986</c:v>
                </c:pt>
                <c:pt idx="55">
                  <c:v>50</c:v>
                </c:pt>
                <c:pt idx="56">
                  <c:v>30.999999999999993</c:v>
                </c:pt>
                <c:pt idx="57">
                  <c:v>54.000000000000007</c:v>
                </c:pt>
                <c:pt idx="58">
                  <c:v>31</c:v>
                </c:pt>
                <c:pt idx="59">
                  <c:v>31.000000000000014</c:v>
                </c:pt>
                <c:pt idx="60">
                  <c:v>53.999999999999993</c:v>
                </c:pt>
                <c:pt idx="61">
                  <c:v>49.999999999999993</c:v>
                </c:pt>
                <c:pt idx="62">
                  <c:v>31.000000000000004</c:v>
                </c:pt>
                <c:pt idx="63">
                  <c:v>54.000000000000007</c:v>
                </c:pt>
                <c:pt idx="64">
                  <c:v>49.999999999999993</c:v>
                </c:pt>
                <c:pt idx="65">
                  <c:v>31.000000000000004</c:v>
                </c:pt>
                <c:pt idx="66">
                  <c:v>54</c:v>
                </c:pt>
                <c:pt idx="67">
                  <c:v>52.000000000000014</c:v>
                </c:pt>
                <c:pt idx="68">
                  <c:v>31.000000000000004</c:v>
                </c:pt>
                <c:pt idx="69">
                  <c:v>54</c:v>
                </c:pt>
                <c:pt idx="70">
                  <c:v>52.000000000000014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8D7D-4231-A0D1-853D049395B6}"/>
            </c:ext>
          </c:extLst>
        </c:ser>
        <c:ser>
          <c:idx val="116"/>
          <c:order val="116"/>
          <c:tx>
            <c:strRef>
              <c:f>LRMC!$A$120:$C$120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Node_9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LRMC!$D$120:$BW$120</c:f>
              <c:numCache>
                <c:formatCode>0</c:formatCode>
                <c:ptCount val="72"/>
                <c:pt idx="0">
                  <c:v>53.999999999999986</c:v>
                </c:pt>
                <c:pt idx="1">
                  <c:v>53.999999999999993</c:v>
                </c:pt>
                <c:pt idx="2">
                  <c:v>31.000000000000004</c:v>
                </c:pt>
                <c:pt idx="3">
                  <c:v>54</c:v>
                </c:pt>
                <c:pt idx="4">
                  <c:v>54.000000000000014</c:v>
                </c:pt>
                <c:pt idx="5">
                  <c:v>31.000000000000004</c:v>
                </c:pt>
                <c:pt idx="6">
                  <c:v>52.000000000000007</c:v>
                </c:pt>
                <c:pt idx="7">
                  <c:v>49.999999999999993</c:v>
                </c:pt>
                <c:pt idx="8">
                  <c:v>31.000000000000004</c:v>
                </c:pt>
                <c:pt idx="9">
                  <c:v>59.000000000000242</c:v>
                </c:pt>
                <c:pt idx="10">
                  <c:v>49.999999999999993</c:v>
                </c:pt>
                <c:pt idx="11">
                  <c:v>31.000000000000004</c:v>
                </c:pt>
                <c:pt idx="12">
                  <c:v>50</c:v>
                </c:pt>
                <c:pt idx="13">
                  <c:v>50</c:v>
                </c:pt>
                <c:pt idx="14">
                  <c:v>31.000000000000004</c:v>
                </c:pt>
                <c:pt idx="15">
                  <c:v>65.199999999999974</c:v>
                </c:pt>
                <c:pt idx="16">
                  <c:v>49.999999999999993</c:v>
                </c:pt>
                <c:pt idx="17">
                  <c:v>31.000000000000007</c:v>
                </c:pt>
                <c:pt idx="18">
                  <c:v>54.000000000000014</c:v>
                </c:pt>
                <c:pt idx="19">
                  <c:v>54.000000000000007</c:v>
                </c:pt>
                <c:pt idx="20">
                  <c:v>0</c:v>
                </c:pt>
                <c:pt idx="21">
                  <c:v>54</c:v>
                </c:pt>
                <c:pt idx="22">
                  <c:v>50</c:v>
                </c:pt>
                <c:pt idx="23">
                  <c:v>76.896103896103895</c:v>
                </c:pt>
                <c:pt idx="24">
                  <c:v>50</c:v>
                </c:pt>
                <c:pt idx="25">
                  <c:v>50</c:v>
                </c:pt>
                <c:pt idx="26">
                  <c:v>0</c:v>
                </c:pt>
                <c:pt idx="27">
                  <c:v>67.037037037037024</c:v>
                </c:pt>
                <c:pt idx="28">
                  <c:v>64.529914529914564</c:v>
                </c:pt>
                <c:pt idx="29">
                  <c:v>141.66666666666666</c:v>
                </c:pt>
                <c:pt idx="30">
                  <c:v>52.000000000000007</c:v>
                </c:pt>
                <c:pt idx="31">
                  <c:v>34</c:v>
                </c:pt>
                <c:pt idx="32">
                  <c:v>0</c:v>
                </c:pt>
                <c:pt idx="33">
                  <c:v>60.222222222222264</c:v>
                </c:pt>
                <c:pt idx="34">
                  <c:v>87.333333333333329</c:v>
                </c:pt>
                <c:pt idx="35">
                  <c:v>93</c:v>
                </c:pt>
                <c:pt idx="36">
                  <c:v>52.000000000000007</c:v>
                </c:pt>
                <c:pt idx="37">
                  <c:v>50</c:v>
                </c:pt>
                <c:pt idx="38">
                  <c:v>31.000000000000007</c:v>
                </c:pt>
                <c:pt idx="39">
                  <c:v>62.148148148148209</c:v>
                </c:pt>
                <c:pt idx="40">
                  <c:v>62.380952380952422</c:v>
                </c:pt>
                <c:pt idx="41">
                  <c:v>31.000000000000004</c:v>
                </c:pt>
                <c:pt idx="42">
                  <c:v>53.999999999999986</c:v>
                </c:pt>
                <c:pt idx="43">
                  <c:v>53.999999999999986</c:v>
                </c:pt>
                <c:pt idx="44">
                  <c:v>0</c:v>
                </c:pt>
                <c:pt idx="45">
                  <c:v>54.000000000000007</c:v>
                </c:pt>
                <c:pt idx="46">
                  <c:v>49.999999999999993</c:v>
                </c:pt>
                <c:pt idx="47">
                  <c:v>106.7777777777778</c:v>
                </c:pt>
                <c:pt idx="48">
                  <c:v>54.000000000000007</c:v>
                </c:pt>
                <c:pt idx="49">
                  <c:v>50</c:v>
                </c:pt>
                <c:pt idx="50">
                  <c:v>31</c:v>
                </c:pt>
                <c:pt idx="51">
                  <c:v>53.999999999999986</c:v>
                </c:pt>
                <c:pt idx="52">
                  <c:v>49.999999999999993</c:v>
                </c:pt>
                <c:pt idx="53">
                  <c:v>31.000000000000007</c:v>
                </c:pt>
                <c:pt idx="54">
                  <c:v>53.999999999999986</c:v>
                </c:pt>
                <c:pt idx="55">
                  <c:v>50</c:v>
                </c:pt>
                <c:pt idx="56">
                  <c:v>30.999999999999993</c:v>
                </c:pt>
                <c:pt idx="57">
                  <c:v>54.000000000000007</c:v>
                </c:pt>
                <c:pt idx="58">
                  <c:v>31</c:v>
                </c:pt>
                <c:pt idx="59">
                  <c:v>31.000000000000014</c:v>
                </c:pt>
                <c:pt idx="60">
                  <c:v>53.999999999999993</c:v>
                </c:pt>
                <c:pt idx="61">
                  <c:v>49.999999999999993</c:v>
                </c:pt>
                <c:pt idx="62">
                  <c:v>31.000000000000004</c:v>
                </c:pt>
                <c:pt idx="63">
                  <c:v>54.000000000000007</c:v>
                </c:pt>
                <c:pt idx="64">
                  <c:v>49.999999999999993</c:v>
                </c:pt>
                <c:pt idx="65">
                  <c:v>31.000000000000004</c:v>
                </c:pt>
                <c:pt idx="66">
                  <c:v>54</c:v>
                </c:pt>
                <c:pt idx="67">
                  <c:v>52.000000000000014</c:v>
                </c:pt>
                <c:pt idx="68">
                  <c:v>31.000000000000004</c:v>
                </c:pt>
                <c:pt idx="69">
                  <c:v>54</c:v>
                </c:pt>
                <c:pt idx="70">
                  <c:v>52.000000000000014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4-8D7D-4231-A0D1-853D049395B6}"/>
            </c:ext>
          </c:extLst>
        </c:ser>
        <c:ser>
          <c:idx val="117"/>
          <c:order val="117"/>
          <c:tx>
            <c:strRef>
              <c:f>LRMC!$A$121:$C$121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Node_1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LRMC!$D$121:$BW$121</c:f>
              <c:numCache>
                <c:formatCode>0</c:formatCode>
                <c:ptCount val="72"/>
                <c:pt idx="0">
                  <c:v>54.000000000000078</c:v>
                </c:pt>
                <c:pt idx="1">
                  <c:v>53.999999999999964</c:v>
                </c:pt>
                <c:pt idx="2">
                  <c:v>31.000000000000004</c:v>
                </c:pt>
                <c:pt idx="3">
                  <c:v>54</c:v>
                </c:pt>
                <c:pt idx="4">
                  <c:v>54.000000000000007</c:v>
                </c:pt>
                <c:pt idx="5">
                  <c:v>31.000000000000004</c:v>
                </c:pt>
                <c:pt idx="6">
                  <c:v>52.000000000000007</c:v>
                </c:pt>
                <c:pt idx="7">
                  <c:v>54</c:v>
                </c:pt>
                <c:pt idx="8">
                  <c:v>31.000000000000007</c:v>
                </c:pt>
                <c:pt idx="9">
                  <c:v>58.999999999999979</c:v>
                </c:pt>
                <c:pt idx="10">
                  <c:v>54.000000000000007</c:v>
                </c:pt>
                <c:pt idx="11">
                  <c:v>31.000000000000007</c:v>
                </c:pt>
                <c:pt idx="12">
                  <c:v>54</c:v>
                </c:pt>
                <c:pt idx="13">
                  <c:v>54</c:v>
                </c:pt>
                <c:pt idx="14">
                  <c:v>30.999999999999993</c:v>
                </c:pt>
                <c:pt idx="15">
                  <c:v>54.000000000000007</c:v>
                </c:pt>
                <c:pt idx="16">
                  <c:v>49.999999999999993</c:v>
                </c:pt>
                <c:pt idx="17">
                  <c:v>30.999999999999979</c:v>
                </c:pt>
                <c:pt idx="18">
                  <c:v>54</c:v>
                </c:pt>
                <c:pt idx="19">
                  <c:v>53.999999999999993</c:v>
                </c:pt>
                <c:pt idx="20">
                  <c:v>0</c:v>
                </c:pt>
                <c:pt idx="21">
                  <c:v>54</c:v>
                </c:pt>
                <c:pt idx="22">
                  <c:v>49.999999999999993</c:v>
                </c:pt>
                <c:pt idx="23">
                  <c:v>76.896103896103895</c:v>
                </c:pt>
                <c:pt idx="24">
                  <c:v>52</c:v>
                </c:pt>
                <c:pt idx="25">
                  <c:v>51.999999999999979</c:v>
                </c:pt>
                <c:pt idx="26">
                  <c:v>30.999999999999986</c:v>
                </c:pt>
                <c:pt idx="27">
                  <c:v>60.518518518518484</c:v>
                </c:pt>
                <c:pt idx="28">
                  <c:v>50.000000000000007</c:v>
                </c:pt>
                <c:pt idx="29">
                  <c:v>30.999999999999989</c:v>
                </c:pt>
                <c:pt idx="30">
                  <c:v>52</c:v>
                </c:pt>
                <c:pt idx="31">
                  <c:v>52.000000000000014</c:v>
                </c:pt>
                <c:pt idx="32">
                  <c:v>31.000000000000025</c:v>
                </c:pt>
                <c:pt idx="33">
                  <c:v>60.22222222222225</c:v>
                </c:pt>
                <c:pt idx="34">
                  <c:v>58.666666666666671</c:v>
                </c:pt>
                <c:pt idx="35">
                  <c:v>30.999999999999993</c:v>
                </c:pt>
                <c:pt idx="36">
                  <c:v>54.000000000000007</c:v>
                </c:pt>
                <c:pt idx="37">
                  <c:v>54.000000000000007</c:v>
                </c:pt>
                <c:pt idx="38">
                  <c:v>30.999999999999986</c:v>
                </c:pt>
                <c:pt idx="39">
                  <c:v>54</c:v>
                </c:pt>
                <c:pt idx="40">
                  <c:v>54</c:v>
                </c:pt>
                <c:pt idx="41">
                  <c:v>30.999999999999993</c:v>
                </c:pt>
                <c:pt idx="42">
                  <c:v>54</c:v>
                </c:pt>
                <c:pt idx="43">
                  <c:v>54.000000000000021</c:v>
                </c:pt>
                <c:pt idx="44">
                  <c:v>0</c:v>
                </c:pt>
                <c:pt idx="45">
                  <c:v>54</c:v>
                </c:pt>
                <c:pt idx="46">
                  <c:v>51.999999999999979</c:v>
                </c:pt>
                <c:pt idx="47">
                  <c:v>106.77777777777779</c:v>
                </c:pt>
                <c:pt idx="48">
                  <c:v>54.000000000000007</c:v>
                </c:pt>
                <c:pt idx="49">
                  <c:v>54.000000000000007</c:v>
                </c:pt>
                <c:pt idx="50">
                  <c:v>30.999999999999986</c:v>
                </c:pt>
                <c:pt idx="51">
                  <c:v>54.000000000000007</c:v>
                </c:pt>
                <c:pt idx="52">
                  <c:v>54</c:v>
                </c:pt>
                <c:pt idx="53">
                  <c:v>30.999999999999979</c:v>
                </c:pt>
                <c:pt idx="54">
                  <c:v>53.999999999999986</c:v>
                </c:pt>
                <c:pt idx="55">
                  <c:v>54.000000000000007</c:v>
                </c:pt>
                <c:pt idx="56">
                  <c:v>30.999999999999986</c:v>
                </c:pt>
                <c:pt idx="57">
                  <c:v>53.999999999999972</c:v>
                </c:pt>
                <c:pt idx="58">
                  <c:v>31.000000000000004</c:v>
                </c:pt>
                <c:pt idx="59">
                  <c:v>30.999999999999989</c:v>
                </c:pt>
                <c:pt idx="60">
                  <c:v>54</c:v>
                </c:pt>
                <c:pt idx="61">
                  <c:v>54.000000000000021</c:v>
                </c:pt>
                <c:pt idx="62">
                  <c:v>30.999999999999989</c:v>
                </c:pt>
                <c:pt idx="63">
                  <c:v>54</c:v>
                </c:pt>
                <c:pt idx="64">
                  <c:v>54</c:v>
                </c:pt>
                <c:pt idx="65">
                  <c:v>30.999999999999989</c:v>
                </c:pt>
                <c:pt idx="66">
                  <c:v>53.999999999999936</c:v>
                </c:pt>
                <c:pt idx="67">
                  <c:v>54.000000000000007</c:v>
                </c:pt>
                <c:pt idx="68">
                  <c:v>31.000000000000014</c:v>
                </c:pt>
                <c:pt idx="69">
                  <c:v>54.000000000000007</c:v>
                </c:pt>
                <c:pt idx="70">
                  <c:v>54.000000000000021</c:v>
                </c:pt>
                <c:pt idx="71">
                  <c:v>31.000000000000011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5-8D7D-4231-A0D1-853D049395B6}"/>
            </c:ext>
          </c:extLst>
        </c:ser>
        <c:ser>
          <c:idx val="118"/>
          <c:order val="118"/>
          <c:tx>
            <c:strRef>
              <c:f>LRMC!$A$122:$C$122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Node_2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LRMC!$D$122:$BW$122</c:f>
              <c:numCache>
                <c:formatCode>0</c:formatCode>
                <c:ptCount val="72"/>
                <c:pt idx="0">
                  <c:v>54</c:v>
                </c:pt>
                <c:pt idx="1">
                  <c:v>54</c:v>
                </c:pt>
                <c:pt idx="2">
                  <c:v>31.000000000000004</c:v>
                </c:pt>
                <c:pt idx="3">
                  <c:v>54</c:v>
                </c:pt>
                <c:pt idx="4">
                  <c:v>54.000000000000007</c:v>
                </c:pt>
                <c:pt idx="5">
                  <c:v>30.999999999999996</c:v>
                </c:pt>
                <c:pt idx="6">
                  <c:v>52.000000000000007</c:v>
                </c:pt>
                <c:pt idx="7">
                  <c:v>54</c:v>
                </c:pt>
                <c:pt idx="8">
                  <c:v>31.000000000000007</c:v>
                </c:pt>
                <c:pt idx="9">
                  <c:v>58.999999999999979</c:v>
                </c:pt>
                <c:pt idx="10">
                  <c:v>54.000000000000007</c:v>
                </c:pt>
                <c:pt idx="11">
                  <c:v>31.000000000000004</c:v>
                </c:pt>
                <c:pt idx="12">
                  <c:v>54</c:v>
                </c:pt>
                <c:pt idx="13">
                  <c:v>54.000000000000007</c:v>
                </c:pt>
                <c:pt idx="14">
                  <c:v>31.000000000000004</c:v>
                </c:pt>
                <c:pt idx="15">
                  <c:v>54.000000000000007</c:v>
                </c:pt>
                <c:pt idx="16">
                  <c:v>49.999999999999986</c:v>
                </c:pt>
                <c:pt idx="17">
                  <c:v>30.999999999999996</c:v>
                </c:pt>
                <c:pt idx="18">
                  <c:v>54</c:v>
                </c:pt>
                <c:pt idx="19">
                  <c:v>53.999999999999993</c:v>
                </c:pt>
                <c:pt idx="20">
                  <c:v>0</c:v>
                </c:pt>
                <c:pt idx="21">
                  <c:v>54.000000000000007</c:v>
                </c:pt>
                <c:pt idx="22">
                  <c:v>49.999999999999986</c:v>
                </c:pt>
                <c:pt idx="23">
                  <c:v>76.896103896103895</c:v>
                </c:pt>
                <c:pt idx="24">
                  <c:v>52.000000000000007</c:v>
                </c:pt>
                <c:pt idx="25">
                  <c:v>52.000000000000007</c:v>
                </c:pt>
                <c:pt idx="26">
                  <c:v>30.999999999999996</c:v>
                </c:pt>
                <c:pt idx="27">
                  <c:v>60.518518518518505</c:v>
                </c:pt>
                <c:pt idx="28">
                  <c:v>50.000000000000007</c:v>
                </c:pt>
                <c:pt idx="29">
                  <c:v>31.000000000000004</c:v>
                </c:pt>
                <c:pt idx="30">
                  <c:v>52.000000000000007</c:v>
                </c:pt>
                <c:pt idx="31">
                  <c:v>52.000000000000007</c:v>
                </c:pt>
                <c:pt idx="32">
                  <c:v>31.000000000000004</c:v>
                </c:pt>
                <c:pt idx="33">
                  <c:v>60.22222222222225</c:v>
                </c:pt>
                <c:pt idx="34">
                  <c:v>58.666666666666671</c:v>
                </c:pt>
                <c:pt idx="35">
                  <c:v>31.000000000000004</c:v>
                </c:pt>
                <c:pt idx="36">
                  <c:v>54.000000000000007</c:v>
                </c:pt>
                <c:pt idx="37">
                  <c:v>54.000000000000007</c:v>
                </c:pt>
                <c:pt idx="38">
                  <c:v>30.999999999999996</c:v>
                </c:pt>
                <c:pt idx="39">
                  <c:v>54</c:v>
                </c:pt>
                <c:pt idx="40">
                  <c:v>54.000000000000007</c:v>
                </c:pt>
                <c:pt idx="41">
                  <c:v>31.000000000000004</c:v>
                </c:pt>
                <c:pt idx="42">
                  <c:v>54</c:v>
                </c:pt>
                <c:pt idx="43">
                  <c:v>54.000000000000021</c:v>
                </c:pt>
                <c:pt idx="44">
                  <c:v>0</c:v>
                </c:pt>
                <c:pt idx="45">
                  <c:v>54</c:v>
                </c:pt>
                <c:pt idx="46">
                  <c:v>52.000000000000007</c:v>
                </c:pt>
                <c:pt idx="47">
                  <c:v>106.7777777777778</c:v>
                </c:pt>
                <c:pt idx="48">
                  <c:v>54</c:v>
                </c:pt>
                <c:pt idx="49">
                  <c:v>54</c:v>
                </c:pt>
                <c:pt idx="50">
                  <c:v>30.999999999999996</c:v>
                </c:pt>
                <c:pt idx="51">
                  <c:v>54</c:v>
                </c:pt>
                <c:pt idx="52">
                  <c:v>54</c:v>
                </c:pt>
                <c:pt idx="53">
                  <c:v>30.999999999999996</c:v>
                </c:pt>
                <c:pt idx="54">
                  <c:v>54.000000000000007</c:v>
                </c:pt>
                <c:pt idx="55">
                  <c:v>54.000000000000007</c:v>
                </c:pt>
                <c:pt idx="56">
                  <c:v>30.999999999999996</c:v>
                </c:pt>
                <c:pt idx="57">
                  <c:v>54</c:v>
                </c:pt>
                <c:pt idx="58">
                  <c:v>31.000000000000004</c:v>
                </c:pt>
                <c:pt idx="59">
                  <c:v>31.000000000000004</c:v>
                </c:pt>
                <c:pt idx="60">
                  <c:v>54.000000000000007</c:v>
                </c:pt>
                <c:pt idx="61">
                  <c:v>54.000000000000007</c:v>
                </c:pt>
                <c:pt idx="62">
                  <c:v>31.000000000000004</c:v>
                </c:pt>
                <c:pt idx="63">
                  <c:v>54.000000000000028</c:v>
                </c:pt>
                <c:pt idx="64">
                  <c:v>54</c:v>
                </c:pt>
                <c:pt idx="65">
                  <c:v>31.000000000000004</c:v>
                </c:pt>
                <c:pt idx="66">
                  <c:v>54</c:v>
                </c:pt>
                <c:pt idx="67">
                  <c:v>54.000000000000021</c:v>
                </c:pt>
                <c:pt idx="68">
                  <c:v>31.000000000000014</c:v>
                </c:pt>
                <c:pt idx="69">
                  <c:v>54.000000000000021</c:v>
                </c:pt>
                <c:pt idx="70">
                  <c:v>54.000000000000028</c:v>
                </c:pt>
                <c:pt idx="71">
                  <c:v>31.000000000000007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6-8D7D-4231-A0D1-853D049395B6}"/>
            </c:ext>
          </c:extLst>
        </c:ser>
        <c:ser>
          <c:idx val="119"/>
          <c:order val="119"/>
          <c:tx>
            <c:strRef>
              <c:f>LRMC!$A$123:$C$123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Node_3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LRMC!$D$123:$BW$123</c:f>
              <c:numCache>
                <c:formatCode>0</c:formatCode>
                <c:ptCount val="72"/>
                <c:pt idx="0">
                  <c:v>54.000000000000007</c:v>
                </c:pt>
                <c:pt idx="1">
                  <c:v>54.000000000000007</c:v>
                </c:pt>
                <c:pt idx="2">
                  <c:v>31.000000000000004</c:v>
                </c:pt>
                <c:pt idx="3">
                  <c:v>54</c:v>
                </c:pt>
                <c:pt idx="4">
                  <c:v>54.000000000000007</c:v>
                </c:pt>
                <c:pt idx="5">
                  <c:v>30.999999999999989</c:v>
                </c:pt>
                <c:pt idx="6">
                  <c:v>52.000000000000007</c:v>
                </c:pt>
                <c:pt idx="7">
                  <c:v>54</c:v>
                </c:pt>
                <c:pt idx="8">
                  <c:v>31.000000000000007</c:v>
                </c:pt>
                <c:pt idx="9">
                  <c:v>58.999999999999979</c:v>
                </c:pt>
                <c:pt idx="10">
                  <c:v>54.000000000000007</c:v>
                </c:pt>
                <c:pt idx="11">
                  <c:v>30.999999999999986</c:v>
                </c:pt>
                <c:pt idx="12">
                  <c:v>54</c:v>
                </c:pt>
                <c:pt idx="13">
                  <c:v>54.000000000000007</c:v>
                </c:pt>
                <c:pt idx="14">
                  <c:v>31.000000000000004</c:v>
                </c:pt>
                <c:pt idx="15">
                  <c:v>54.000000000000007</c:v>
                </c:pt>
                <c:pt idx="16">
                  <c:v>49.999999999999986</c:v>
                </c:pt>
                <c:pt idx="17">
                  <c:v>30.999999999999996</c:v>
                </c:pt>
                <c:pt idx="18">
                  <c:v>54</c:v>
                </c:pt>
                <c:pt idx="19">
                  <c:v>53.999999999999993</c:v>
                </c:pt>
                <c:pt idx="20">
                  <c:v>0</c:v>
                </c:pt>
                <c:pt idx="21">
                  <c:v>54</c:v>
                </c:pt>
                <c:pt idx="22">
                  <c:v>49.999999999999986</c:v>
                </c:pt>
                <c:pt idx="23">
                  <c:v>76.896103896103895</c:v>
                </c:pt>
                <c:pt idx="24">
                  <c:v>52.000000000000007</c:v>
                </c:pt>
                <c:pt idx="25">
                  <c:v>52.000000000000007</c:v>
                </c:pt>
                <c:pt idx="26">
                  <c:v>30.999999999999996</c:v>
                </c:pt>
                <c:pt idx="27">
                  <c:v>60.518518518518484</c:v>
                </c:pt>
                <c:pt idx="28">
                  <c:v>50.000000000000007</c:v>
                </c:pt>
                <c:pt idx="29">
                  <c:v>31.000000000000004</c:v>
                </c:pt>
                <c:pt idx="30">
                  <c:v>52.000000000000007</c:v>
                </c:pt>
                <c:pt idx="31">
                  <c:v>52.000000000000007</c:v>
                </c:pt>
                <c:pt idx="32">
                  <c:v>31.000000000000004</c:v>
                </c:pt>
                <c:pt idx="33">
                  <c:v>60.22222222222225</c:v>
                </c:pt>
                <c:pt idx="34">
                  <c:v>58.666666666666671</c:v>
                </c:pt>
                <c:pt idx="35">
                  <c:v>31.000000000000004</c:v>
                </c:pt>
                <c:pt idx="36">
                  <c:v>54.000000000000007</c:v>
                </c:pt>
                <c:pt idx="37">
                  <c:v>54.000000000000007</c:v>
                </c:pt>
                <c:pt idx="38">
                  <c:v>30.999999999999996</c:v>
                </c:pt>
                <c:pt idx="39">
                  <c:v>54</c:v>
                </c:pt>
                <c:pt idx="40">
                  <c:v>54.000000000000007</c:v>
                </c:pt>
                <c:pt idx="41">
                  <c:v>31.000000000000004</c:v>
                </c:pt>
                <c:pt idx="42">
                  <c:v>54</c:v>
                </c:pt>
                <c:pt idx="43">
                  <c:v>54.000000000000021</c:v>
                </c:pt>
                <c:pt idx="44">
                  <c:v>0</c:v>
                </c:pt>
                <c:pt idx="45">
                  <c:v>54</c:v>
                </c:pt>
                <c:pt idx="46">
                  <c:v>52.000000000000007</c:v>
                </c:pt>
                <c:pt idx="47">
                  <c:v>106.77777777777779</c:v>
                </c:pt>
                <c:pt idx="48">
                  <c:v>54.000000000000007</c:v>
                </c:pt>
                <c:pt idx="49">
                  <c:v>54</c:v>
                </c:pt>
                <c:pt idx="50">
                  <c:v>30.999999999999996</c:v>
                </c:pt>
                <c:pt idx="51">
                  <c:v>54.000000000000007</c:v>
                </c:pt>
                <c:pt idx="52">
                  <c:v>54</c:v>
                </c:pt>
                <c:pt idx="53">
                  <c:v>30.999999999999996</c:v>
                </c:pt>
                <c:pt idx="54">
                  <c:v>54.000000000000007</c:v>
                </c:pt>
                <c:pt idx="55">
                  <c:v>54.000000000000007</c:v>
                </c:pt>
                <c:pt idx="56">
                  <c:v>30.999999999999996</c:v>
                </c:pt>
                <c:pt idx="57">
                  <c:v>53.999999999999972</c:v>
                </c:pt>
                <c:pt idx="58">
                  <c:v>31.000000000000004</c:v>
                </c:pt>
                <c:pt idx="59">
                  <c:v>31.000000000000004</c:v>
                </c:pt>
                <c:pt idx="60">
                  <c:v>54</c:v>
                </c:pt>
                <c:pt idx="61">
                  <c:v>54.000000000000021</c:v>
                </c:pt>
                <c:pt idx="62">
                  <c:v>31.000000000000004</c:v>
                </c:pt>
                <c:pt idx="63">
                  <c:v>54</c:v>
                </c:pt>
                <c:pt idx="64">
                  <c:v>54</c:v>
                </c:pt>
                <c:pt idx="65">
                  <c:v>31.000000000000004</c:v>
                </c:pt>
                <c:pt idx="66">
                  <c:v>54</c:v>
                </c:pt>
                <c:pt idx="67">
                  <c:v>54.000000000000007</c:v>
                </c:pt>
                <c:pt idx="68">
                  <c:v>31.000000000000014</c:v>
                </c:pt>
                <c:pt idx="69">
                  <c:v>54.000000000000007</c:v>
                </c:pt>
                <c:pt idx="70">
                  <c:v>54.000000000000021</c:v>
                </c:pt>
                <c:pt idx="71">
                  <c:v>30.999999999999993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8D7D-4231-A0D1-853D049395B6}"/>
            </c:ext>
          </c:extLst>
        </c:ser>
        <c:ser>
          <c:idx val="120"/>
          <c:order val="120"/>
          <c:tx>
            <c:strRef>
              <c:f>LRMC!$A$124:$C$124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Node_4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LRMC!$D$124:$BW$124</c:f>
              <c:numCache>
                <c:formatCode>0</c:formatCode>
                <c:ptCount val="72"/>
                <c:pt idx="0">
                  <c:v>54.000000000000057</c:v>
                </c:pt>
                <c:pt idx="1">
                  <c:v>54.000000000000021</c:v>
                </c:pt>
                <c:pt idx="2">
                  <c:v>31.000000000000004</c:v>
                </c:pt>
                <c:pt idx="3">
                  <c:v>54</c:v>
                </c:pt>
                <c:pt idx="4">
                  <c:v>54.000000000000007</c:v>
                </c:pt>
                <c:pt idx="5">
                  <c:v>30.999999999999996</c:v>
                </c:pt>
                <c:pt idx="6">
                  <c:v>52.000000000000007</c:v>
                </c:pt>
                <c:pt idx="7">
                  <c:v>54</c:v>
                </c:pt>
                <c:pt idx="8">
                  <c:v>31.000000000000007</c:v>
                </c:pt>
                <c:pt idx="9">
                  <c:v>58.999999999999979</c:v>
                </c:pt>
                <c:pt idx="10">
                  <c:v>54.000000000000007</c:v>
                </c:pt>
                <c:pt idx="11">
                  <c:v>31.000000000000004</c:v>
                </c:pt>
                <c:pt idx="12">
                  <c:v>54</c:v>
                </c:pt>
                <c:pt idx="13">
                  <c:v>54</c:v>
                </c:pt>
                <c:pt idx="14">
                  <c:v>31.000000000000004</c:v>
                </c:pt>
                <c:pt idx="15">
                  <c:v>54.000000000000007</c:v>
                </c:pt>
                <c:pt idx="16">
                  <c:v>49.999999999999993</c:v>
                </c:pt>
                <c:pt idx="17">
                  <c:v>30.999999999999993</c:v>
                </c:pt>
                <c:pt idx="18">
                  <c:v>54</c:v>
                </c:pt>
                <c:pt idx="19">
                  <c:v>53.999999999999993</c:v>
                </c:pt>
                <c:pt idx="20">
                  <c:v>0</c:v>
                </c:pt>
                <c:pt idx="21">
                  <c:v>54</c:v>
                </c:pt>
                <c:pt idx="22">
                  <c:v>49.999999999999993</c:v>
                </c:pt>
                <c:pt idx="23">
                  <c:v>76.896103896103895</c:v>
                </c:pt>
                <c:pt idx="24">
                  <c:v>52</c:v>
                </c:pt>
                <c:pt idx="25">
                  <c:v>52</c:v>
                </c:pt>
                <c:pt idx="26">
                  <c:v>30.999999999999996</c:v>
                </c:pt>
                <c:pt idx="27">
                  <c:v>60.518518518518484</c:v>
                </c:pt>
                <c:pt idx="28">
                  <c:v>50.000000000000007</c:v>
                </c:pt>
                <c:pt idx="29">
                  <c:v>31.000000000000004</c:v>
                </c:pt>
                <c:pt idx="30">
                  <c:v>52.000000000000007</c:v>
                </c:pt>
                <c:pt idx="31">
                  <c:v>52.000000000000007</c:v>
                </c:pt>
                <c:pt idx="32">
                  <c:v>31.000000000000011</c:v>
                </c:pt>
                <c:pt idx="33">
                  <c:v>60.22222222222225</c:v>
                </c:pt>
                <c:pt idx="34">
                  <c:v>58.666666666666671</c:v>
                </c:pt>
                <c:pt idx="35">
                  <c:v>31.000000000000004</c:v>
                </c:pt>
                <c:pt idx="36">
                  <c:v>54.000000000000007</c:v>
                </c:pt>
                <c:pt idx="37">
                  <c:v>54.000000000000007</c:v>
                </c:pt>
                <c:pt idx="38">
                  <c:v>30.999999999999993</c:v>
                </c:pt>
                <c:pt idx="39">
                  <c:v>53.999999999999993</c:v>
                </c:pt>
                <c:pt idx="40">
                  <c:v>54</c:v>
                </c:pt>
                <c:pt idx="41">
                  <c:v>31.000000000000004</c:v>
                </c:pt>
                <c:pt idx="42">
                  <c:v>54</c:v>
                </c:pt>
                <c:pt idx="43">
                  <c:v>54.000000000000021</c:v>
                </c:pt>
                <c:pt idx="44">
                  <c:v>0</c:v>
                </c:pt>
                <c:pt idx="45">
                  <c:v>54</c:v>
                </c:pt>
                <c:pt idx="46">
                  <c:v>52</c:v>
                </c:pt>
                <c:pt idx="47">
                  <c:v>106.77777777777779</c:v>
                </c:pt>
                <c:pt idx="48">
                  <c:v>54.000000000000007</c:v>
                </c:pt>
                <c:pt idx="49">
                  <c:v>54.000000000000007</c:v>
                </c:pt>
                <c:pt idx="50">
                  <c:v>30.999999999999993</c:v>
                </c:pt>
                <c:pt idx="51">
                  <c:v>54.000000000000007</c:v>
                </c:pt>
                <c:pt idx="52">
                  <c:v>54</c:v>
                </c:pt>
                <c:pt idx="53">
                  <c:v>30.999999999999993</c:v>
                </c:pt>
                <c:pt idx="54">
                  <c:v>54.000000000000007</c:v>
                </c:pt>
                <c:pt idx="55">
                  <c:v>54.000000000000007</c:v>
                </c:pt>
                <c:pt idx="56">
                  <c:v>30.999999999999993</c:v>
                </c:pt>
                <c:pt idx="57">
                  <c:v>53.999999999999972</c:v>
                </c:pt>
                <c:pt idx="58">
                  <c:v>31.000000000000004</c:v>
                </c:pt>
                <c:pt idx="59">
                  <c:v>31.000000000000004</c:v>
                </c:pt>
                <c:pt idx="60">
                  <c:v>54</c:v>
                </c:pt>
                <c:pt idx="61">
                  <c:v>54.000000000000021</c:v>
                </c:pt>
                <c:pt idx="62">
                  <c:v>30.999999999999996</c:v>
                </c:pt>
                <c:pt idx="63">
                  <c:v>54</c:v>
                </c:pt>
                <c:pt idx="64">
                  <c:v>54</c:v>
                </c:pt>
                <c:pt idx="65">
                  <c:v>31.000000000000004</c:v>
                </c:pt>
                <c:pt idx="66">
                  <c:v>53.999999999999993</c:v>
                </c:pt>
                <c:pt idx="67">
                  <c:v>54.000000000000007</c:v>
                </c:pt>
                <c:pt idx="68">
                  <c:v>31.000000000000014</c:v>
                </c:pt>
                <c:pt idx="69">
                  <c:v>54.000000000000007</c:v>
                </c:pt>
                <c:pt idx="70">
                  <c:v>54.000000000000021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8D7D-4231-A0D1-853D049395B6}"/>
            </c:ext>
          </c:extLst>
        </c:ser>
        <c:ser>
          <c:idx val="121"/>
          <c:order val="121"/>
          <c:tx>
            <c:strRef>
              <c:f>LRMC!$A$125:$C$125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Node_5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LRMC!$D$125:$BW$125</c:f>
              <c:numCache>
                <c:formatCode>0</c:formatCode>
                <c:ptCount val="72"/>
                <c:pt idx="0">
                  <c:v>54.000000000000057</c:v>
                </c:pt>
                <c:pt idx="1">
                  <c:v>54.000000000000021</c:v>
                </c:pt>
                <c:pt idx="2">
                  <c:v>31.000000000000004</c:v>
                </c:pt>
                <c:pt idx="3">
                  <c:v>54</c:v>
                </c:pt>
                <c:pt idx="4">
                  <c:v>54.000000000000007</c:v>
                </c:pt>
                <c:pt idx="5">
                  <c:v>30.999999999999996</c:v>
                </c:pt>
                <c:pt idx="6">
                  <c:v>52.000000000000007</c:v>
                </c:pt>
                <c:pt idx="7">
                  <c:v>54</c:v>
                </c:pt>
                <c:pt idx="8">
                  <c:v>31.000000000000007</c:v>
                </c:pt>
                <c:pt idx="9">
                  <c:v>58.999999999999979</c:v>
                </c:pt>
                <c:pt idx="10">
                  <c:v>54.000000000000007</c:v>
                </c:pt>
                <c:pt idx="11">
                  <c:v>31.000000000000004</c:v>
                </c:pt>
                <c:pt idx="12">
                  <c:v>54</c:v>
                </c:pt>
                <c:pt idx="13">
                  <c:v>54</c:v>
                </c:pt>
                <c:pt idx="14">
                  <c:v>31.000000000000004</c:v>
                </c:pt>
                <c:pt idx="15">
                  <c:v>54.000000000000007</c:v>
                </c:pt>
                <c:pt idx="16">
                  <c:v>49.999999999999993</c:v>
                </c:pt>
                <c:pt idx="17">
                  <c:v>30.999999999999993</c:v>
                </c:pt>
                <c:pt idx="18">
                  <c:v>54</c:v>
                </c:pt>
                <c:pt idx="19">
                  <c:v>53.999999999999993</c:v>
                </c:pt>
                <c:pt idx="20">
                  <c:v>0</c:v>
                </c:pt>
                <c:pt idx="21">
                  <c:v>54</c:v>
                </c:pt>
                <c:pt idx="22">
                  <c:v>49.999999999999993</c:v>
                </c:pt>
                <c:pt idx="23">
                  <c:v>76.896103896103895</c:v>
                </c:pt>
                <c:pt idx="24">
                  <c:v>52</c:v>
                </c:pt>
                <c:pt idx="25">
                  <c:v>52</c:v>
                </c:pt>
                <c:pt idx="26">
                  <c:v>30.999999999999996</c:v>
                </c:pt>
                <c:pt idx="27">
                  <c:v>60.518518518518484</c:v>
                </c:pt>
                <c:pt idx="28">
                  <c:v>50.000000000000007</c:v>
                </c:pt>
                <c:pt idx="29">
                  <c:v>31.000000000000004</c:v>
                </c:pt>
                <c:pt idx="30">
                  <c:v>52.000000000000007</c:v>
                </c:pt>
                <c:pt idx="31">
                  <c:v>52.000000000000007</c:v>
                </c:pt>
                <c:pt idx="32">
                  <c:v>31.000000000000011</c:v>
                </c:pt>
                <c:pt idx="33">
                  <c:v>60.22222222222225</c:v>
                </c:pt>
                <c:pt idx="34">
                  <c:v>58.666666666666671</c:v>
                </c:pt>
                <c:pt idx="35">
                  <c:v>31.000000000000004</c:v>
                </c:pt>
                <c:pt idx="36">
                  <c:v>54.000000000000007</c:v>
                </c:pt>
                <c:pt idx="37">
                  <c:v>54.000000000000007</c:v>
                </c:pt>
                <c:pt idx="38">
                  <c:v>30.999999999999993</c:v>
                </c:pt>
                <c:pt idx="39">
                  <c:v>53.999999999999993</c:v>
                </c:pt>
                <c:pt idx="40">
                  <c:v>54</c:v>
                </c:pt>
                <c:pt idx="41">
                  <c:v>31.000000000000004</c:v>
                </c:pt>
                <c:pt idx="42">
                  <c:v>54</c:v>
                </c:pt>
                <c:pt idx="43">
                  <c:v>54.000000000000021</c:v>
                </c:pt>
                <c:pt idx="44">
                  <c:v>0</c:v>
                </c:pt>
                <c:pt idx="45">
                  <c:v>54</c:v>
                </c:pt>
                <c:pt idx="46">
                  <c:v>52</c:v>
                </c:pt>
                <c:pt idx="47">
                  <c:v>106.77777777777779</c:v>
                </c:pt>
                <c:pt idx="48">
                  <c:v>54.000000000000007</c:v>
                </c:pt>
                <c:pt idx="49">
                  <c:v>54.000000000000007</c:v>
                </c:pt>
                <c:pt idx="50">
                  <c:v>30.999999999999993</c:v>
                </c:pt>
                <c:pt idx="51">
                  <c:v>54.000000000000007</c:v>
                </c:pt>
                <c:pt idx="52">
                  <c:v>54</c:v>
                </c:pt>
                <c:pt idx="53">
                  <c:v>30.999999999999993</c:v>
                </c:pt>
                <c:pt idx="54">
                  <c:v>54.000000000000007</c:v>
                </c:pt>
                <c:pt idx="55">
                  <c:v>54.000000000000007</c:v>
                </c:pt>
                <c:pt idx="56">
                  <c:v>30.999999999999993</c:v>
                </c:pt>
                <c:pt idx="57">
                  <c:v>53.999999999999972</c:v>
                </c:pt>
                <c:pt idx="58">
                  <c:v>31.000000000000004</c:v>
                </c:pt>
                <c:pt idx="59">
                  <c:v>31.000000000000004</c:v>
                </c:pt>
                <c:pt idx="60">
                  <c:v>54</c:v>
                </c:pt>
                <c:pt idx="61">
                  <c:v>54.000000000000021</c:v>
                </c:pt>
                <c:pt idx="62">
                  <c:v>30.999999999999996</c:v>
                </c:pt>
                <c:pt idx="63">
                  <c:v>54</c:v>
                </c:pt>
                <c:pt idx="64">
                  <c:v>54</c:v>
                </c:pt>
                <c:pt idx="65">
                  <c:v>31.000000000000004</c:v>
                </c:pt>
                <c:pt idx="66">
                  <c:v>53.999999999999993</c:v>
                </c:pt>
                <c:pt idx="67">
                  <c:v>54.000000000000007</c:v>
                </c:pt>
                <c:pt idx="68">
                  <c:v>31.000000000000014</c:v>
                </c:pt>
                <c:pt idx="69">
                  <c:v>54.000000000000007</c:v>
                </c:pt>
                <c:pt idx="70">
                  <c:v>54.000000000000021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8D7D-4231-A0D1-853D049395B6}"/>
            </c:ext>
          </c:extLst>
        </c:ser>
        <c:ser>
          <c:idx val="122"/>
          <c:order val="122"/>
          <c:tx>
            <c:strRef>
              <c:f>LRMC!$A$126:$C$126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Node_6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LRMC!$D$126:$BW$126</c:f>
              <c:numCache>
                <c:formatCode>0</c:formatCode>
                <c:ptCount val="72"/>
                <c:pt idx="0">
                  <c:v>53.999999999999972</c:v>
                </c:pt>
                <c:pt idx="1">
                  <c:v>54</c:v>
                </c:pt>
                <c:pt idx="2">
                  <c:v>31.000000000000004</c:v>
                </c:pt>
                <c:pt idx="3">
                  <c:v>54</c:v>
                </c:pt>
                <c:pt idx="4">
                  <c:v>54.000000000000007</c:v>
                </c:pt>
                <c:pt idx="5">
                  <c:v>30.999999999999996</c:v>
                </c:pt>
                <c:pt idx="6">
                  <c:v>52.000000000000007</c:v>
                </c:pt>
                <c:pt idx="7">
                  <c:v>54</c:v>
                </c:pt>
                <c:pt idx="8">
                  <c:v>31.000000000000007</c:v>
                </c:pt>
                <c:pt idx="9">
                  <c:v>58.999999999999979</c:v>
                </c:pt>
                <c:pt idx="10">
                  <c:v>54.000000000000007</c:v>
                </c:pt>
                <c:pt idx="11">
                  <c:v>31.000000000000004</c:v>
                </c:pt>
                <c:pt idx="12">
                  <c:v>54</c:v>
                </c:pt>
                <c:pt idx="13">
                  <c:v>54.000000000000007</c:v>
                </c:pt>
                <c:pt idx="14">
                  <c:v>31.000000000000007</c:v>
                </c:pt>
                <c:pt idx="15">
                  <c:v>54.000000000000007</c:v>
                </c:pt>
                <c:pt idx="16">
                  <c:v>49.999999999999986</c:v>
                </c:pt>
                <c:pt idx="17">
                  <c:v>31.000000000000004</c:v>
                </c:pt>
                <c:pt idx="18">
                  <c:v>54</c:v>
                </c:pt>
                <c:pt idx="19">
                  <c:v>53.999999999999993</c:v>
                </c:pt>
                <c:pt idx="20">
                  <c:v>0</c:v>
                </c:pt>
                <c:pt idx="21">
                  <c:v>54.000000000000007</c:v>
                </c:pt>
                <c:pt idx="22">
                  <c:v>49.999999999999986</c:v>
                </c:pt>
                <c:pt idx="23">
                  <c:v>76.896103896103895</c:v>
                </c:pt>
                <c:pt idx="24">
                  <c:v>52.000000000000021</c:v>
                </c:pt>
                <c:pt idx="25">
                  <c:v>52.000000000000014</c:v>
                </c:pt>
                <c:pt idx="26">
                  <c:v>31.000000000000007</c:v>
                </c:pt>
                <c:pt idx="27">
                  <c:v>60.518518518518505</c:v>
                </c:pt>
                <c:pt idx="28">
                  <c:v>50.000000000000007</c:v>
                </c:pt>
                <c:pt idx="29">
                  <c:v>31.000000000000004</c:v>
                </c:pt>
                <c:pt idx="30">
                  <c:v>52.000000000000007</c:v>
                </c:pt>
                <c:pt idx="31">
                  <c:v>52.000000000000007</c:v>
                </c:pt>
                <c:pt idx="32">
                  <c:v>30.999999999999996</c:v>
                </c:pt>
                <c:pt idx="33">
                  <c:v>60.22222222222225</c:v>
                </c:pt>
                <c:pt idx="34">
                  <c:v>58.666666666666671</c:v>
                </c:pt>
                <c:pt idx="35">
                  <c:v>31.000000000000007</c:v>
                </c:pt>
                <c:pt idx="36">
                  <c:v>54.000000000000007</c:v>
                </c:pt>
                <c:pt idx="37">
                  <c:v>54.000000000000007</c:v>
                </c:pt>
                <c:pt idx="38">
                  <c:v>30.999999999999996</c:v>
                </c:pt>
                <c:pt idx="39">
                  <c:v>54</c:v>
                </c:pt>
                <c:pt idx="40">
                  <c:v>54.000000000000007</c:v>
                </c:pt>
                <c:pt idx="41">
                  <c:v>31.000000000000007</c:v>
                </c:pt>
                <c:pt idx="42">
                  <c:v>54</c:v>
                </c:pt>
                <c:pt idx="43">
                  <c:v>54.000000000000021</c:v>
                </c:pt>
                <c:pt idx="44">
                  <c:v>0</c:v>
                </c:pt>
                <c:pt idx="45">
                  <c:v>54</c:v>
                </c:pt>
                <c:pt idx="46">
                  <c:v>52.000000000000014</c:v>
                </c:pt>
                <c:pt idx="47">
                  <c:v>106.7777777777778</c:v>
                </c:pt>
                <c:pt idx="48">
                  <c:v>54.000000000000007</c:v>
                </c:pt>
                <c:pt idx="49">
                  <c:v>54.000000000000007</c:v>
                </c:pt>
                <c:pt idx="50">
                  <c:v>31.000000000000007</c:v>
                </c:pt>
                <c:pt idx="51">
                  <c:v>54.000000000000007</c:v>
                </c:pt>
                <c:pt idx="52">
                  <c:v>54</c:v>
                </c:pt>
                <c:pt idx="53">
                  <c:v>31.000000000000004</c:v>
                </c:pt>
                <c:pt idx="54">
                  <c:v>54</c:v>
                </c:pt>
                <c:pt idx="55">
                  <c:v>54.000000000000007</c:v>
                </c:pt>
                <c:pt idx="56">
                  <c:v>30.999999999999996</c:v>
                </c:pt>
                <c:pt idx="57">
                  <c:v>54</c:v>
                </c:pt>
                <c:pt idx="58">
                  <c:v>31.000000000000007</c:v>
                </c:pt>
                <c:pt idx="59">
                  <c:v>31.000000000000004</c:v>
                </c:pt>
                <c:pt idx="60">
                  <c:v>54.000000000000007</c:v>
                </c:pt>
                <c:pt idx="61">
                  <c:v>54.000000000000007</c:v>
                </c:pt>
                <c:pt idx="62">
                  <c:v>31.000000000000007</c:v>
                </c:pt>
                <c:pt idx="63">
                  <c:v>54.000000000000028</c:v>
                </c:pt>
                <c:pt idx="64">
                  <c:v>54</c:v>
                </c:pt>
                <c:pt idx="65">
                  <c:v>31.000000000000004</c:v>
                </c:pt>
                <c:pt idx="66">
                  <c:v>54</c:v>
                </c:pt>
                <c:pt idx="67">
                  <c:v>54.000000000000021</c:v>
                </c:pt>
                <c:pt idx="68">
                  <c:v>31.000000000000014</c:v>
                </c:pt>
                <c:pt idx="69">
                  <c:v>54.000000000000021</c:v>
                </c:pt>
                <c:pt idx="70">
                  <c:v>54.000000000000028</c:v>
                </c:pt>
                <c:pt idx="71">
                  <c:v>31.000000000000007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8D7D-4231-A0D1-853D049395B6}"/>
            </c:ext>
          </c:extLst>
        </c:ser>
        <c:ser>
          <c:idx val="123"/>
          <c:order val="123"/>
          <c:tx>
            <c:strRef>
              <c:f>LRMC!$A$127:$C$127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Node_7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LRMC!$D$127:$BW$127</c:f>
              <c:numCache>
                <c:formatCode>0</c:formatCode>
                <c:ptCount val="72"/>
                <c:pt idx="0">
                  <c:v>53.999999999999972</c:v>
                </c:pt>
                <c:pt idx="1">
                  <c:v>54</c:v>
                </c:pt>
                <c:pt idx="2">
                  <c:v>31.000000000000004</c:v>
                </c:pt>
                <c:pt idx="3">
                  <c:v>54</c:v>
                </c:pt>
                <c:pt idx="4">
                  <c:v>54.000000000000007</c:v>
                </c:pt>
                <c:pt idx="5">
                  <c:v>30.999999999999996</c:v>
                </c:pt>
                <c:pt idx="6">
                  <c:v>52.000000000000007</c:v>
                </c:pt>
                <c:pt idx="7">
                  <c:v>54</c:v>
                </c:pt>
                <c:pt idx="8">
                  <c:v>31.000000000000007</c:v>
                </c:pt>
                <c:pt idx="9">
                  <c:v>58.999999999999979</c:v>
                </c:pt>
                <c:pt idx="10">
                  <c:v>54.000000000000007</c:v>
                </c:pt>
                <c:pt idx="11">
                  <c:v>31.000000000000004</c:v>
                </c:pt>
                <c:pt idx="12">
                  <c:v>54</c:v>
                </c:pt>
                <c:pt idx="13">
                  <c:v>54</c:v>
                </c:pt>
                <c:pt idx="14">
                  <c:v>31.000000000000007</c:v>
                </c:pt>
                <c:pt idx="15">
                  <c:v>54.000000000000007</c:v>
                </c:pt>
                <c:pt idx="16">
                  <c:v>49.999999999999986</c:v>
                </c:pt>
                <c:pt idx="17">
                  <c:v>31.000000000000004</c:v>
                </c:pt>
                <c:pt idx="18">
                  <c:v>54</c:v>
                </c:pt>
                <c:pt idx="19">
                  <c:v>53.999999999999993</c:v>
                </c:pt>
                <c:pt idx="20">
                  <c:v>0</c:v>
                </c:pt>
                <c:pt idx="21">
                  <c:v>53.999999999999993</c:v>
                </c:pt>
                <c:pt idx="22">
                  <c:v>49.999999999999986</c:v>
                </c:pt>
                <c:pt idx="23">
                  <c:v>76.896103896103895</c:v>
                </c:pt>
                <c:pt idx="24">
                  <c:v>52.000000000000021</c:v>
                </c:pt>
                <c:pt idx="25">
                  <c:v>52.000000000000014</c:v>
                </c:pt>
                <c:pt idx="26">
                  <c:v>31.000000000000007</c:v>
                </c:pt>
                <c:pt idx="27">
                  <c:v>60.518518518518484</c:v>
                </c:pt>
                <c:pt idx="28">
                  <c:v>50.000000000000007</c:v>
                </c:pt>
                <c:pt idx="29">
                  <c:v>31.000000000000004</c:v>
                </c:pt>
                <c:pt idx="30">
                  <c:v>52.000000000000007</c:v>
                </c:pt>
                <c:pt idx="31">
                  <c:v>52.000000000000007</c:v>
                </c:pt>
                <c:pt idx="32">
                  <c:v>30.999999999999996</c:v>
                </c:pt>
                <c:pt idx="33">
                  <c:v>60.22222222222225</c:v>
                </c:pt>
                <c:pt idx="34">
                  <c:v>58.666666666666671</c:v>
                </c:pt>
                <c:pt idx="35">
                  <c:v>31.000000000000007</c:v>
                </c:pt>
                <c:pt idx="36">
                  <c:v>54.000000000000007</c:v>
                </c:pt>
                <c:pt idx="37">
                  <c:v>54.000000000000007</c:v>
                </c:pt>
                <c:pt idx="38">
                  <c:v>30.999999999999996</c:v>
                </c:pt>
                <c:pt idx="39">
                  <c:v>54</c:v>
                </c:pt>
                <c:pt idx="40">
                  <c:v>54.000000000000007</c:v>
                </c:pt>
                <c:pt idx="41">
                  <c:v>31.000000000000007</c:v>
                </c:pt>
                <c:pt idx="42">
                  <c:v>54</c:v>
                </c:pt>
                <c:pt idx="43">
                  <c:v>54.000000000000021</c:v>
                </c:pt>
                <c:pt idx="44">
                  <c:v>0</c:v>
                </c:pt>
                <c:pt idx="45">
                  <c:v>54</c:v>
                </c:pt>
                <c:pt idx="46">
                  <c:v>52.000000000000014</c:v>
                </c:pt>
                <c:pt idx="47">
                  <c:v>106.7777777777778</c:v>
                </c:pt>
                <c:pt idx="48">
                  <c:v>54</c:v>
                </c:pt>
                <c:pt idx="49">
                  <c:v>54.000000000000007</c:v>
                </c:pt>
                <c:pt idx="50">
                  <c:v>31.000000000000007</c:v>
                </c:pt>
                <c:pt idx="51">
                  <c:v>54</c:v>
                </c:pt>
                <c:pt idx="52">
                  <c:v>54</c:v>
                </c:pt>
                <c:pt idx="53">
                  <c:v>31.000000000000004</c:v>
                </c:pt>
                <c:pt idx="54">
                  <c:v>54</c:v>
                </c:pt>
                <c:pt idx="55">
                  <c:v>54.000000000000007</c:v>
                </c:pt>
                <c:pt idx="56">
                  <c:v>30.999999999999996</c:v>
                </c:pt>
                <c:pt idx="57">
                  <c:v>54</c:v>
                </c:pt>
                <c:pt idx="58">
                  <c:v>31.000000000000007</c:v>
                </c:pt>
                <c:pt idx="59">
                  <c:v>31.000000000000004</c:v>
                </c:pt>
                <c:pt idx="60">
                  <c:v>54</c:v>
                </c:pt>
                <c:pt idx="61">
                  <c:v>54.000000000000007</c:v>
                </c:pt>
                <c:pt idx="62">
                  <c:v>31.000000000000007</c:v>
                </c:pt>
                <c:pt idx="63">
                  <c:v>54.000000000000007</c:v>
                </c:pt>
                <c:pt idx="64">
                  <c:v>54</c:v>
                </c:pt>
                <c:pt idx="65">
                  <c:v>31.000000000000004</c:v>
                </c:pt>
                <c:pt idx="66">
                  <c:v>54</c:v>
                </c:pt>
                <c:pt idx="67">
                  <c:v>54.000000000000007</c:v>
                </c:pt>
                <c:pt idx="68">
                  <c:v>31.000000000000014</c:v>
                </c:pt>
                <c:pt idx="69">
                  <c:v>54</c:v>
                </c:pt>
                <c:pt idx="70">
                  <c:v>54.000000000000021</c:v>
                </c:pt>
                <c:pt idx="71">
                  <c:v>31.000000000000007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8D7D-4231-A0D1-853D049395B6}"/>
            </c:ext>
          </c:extLst>
        </c:ser>
        <c:ser>
          <c:idx val="124"/>
          <c:order val="124"/>
          <c:tx>
            <c:strRef>
              <c:f>LRMC!$A$128:$C$128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Node_8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LRMC!$D$128:$BW$128</c:f>
              <c:numCache>
                <c:formatCode>0</c:formatCode>
                <c:ptCount val="72"/>
                <c:pt idx="0">
                  <c:v>53.999999999999972</c:v>
                </c:pt>
                <c:pt idx="1">
                  <c:v>54</c:v>
                </c:pt>
                <c:pt idx="2">
                  <c:v>31.000000000000004</c:v>
                </c:pt>
                <c:pt idx="3">
                  <c:v>54</c:v>
                </c:pt>
                <c:pt idx="4">
                  <c:v>54.000000000000007</c:v>
                </c:pt>
                <c:pt idx="5">
                  <c:v>30.999999999999996</c:v>
                </c:pt>
                <c:pt idx="6">
                  <c:v>52.000000000000007</c:v>
                </c:pt>
                <c:pt idx="7">
                  <c:v>54</c:v>
                </c:pt>
                <c:pt idx="8">
                  <c:v>31.000000000000007</c:v>
                </c:pt>
                <c:pt idx="9">
                  <c:v>58.999999999999979</c:v>
                </c:pt>
                <c:pt idx="10">
                  <c:v>54.000000000000007</c:v>
                </c:pt>
                <c:pt idx="11">
                  <c:v>31.000000000000004</c:v>
                </c:pt>
                <c:pt idx="12">
                  <c:v>54</c:v>
                </c:pt>
                <c:pt idx="13">
                  <c:v>54</c:v>
                </c:pt>
                <c:pt idx="14">
                  <c:v>31.000000000000007</c:v>
                </c:pt>
                <c:pt idx="15">
                  <c:v>54.000000000000007</c:v>
                </c:pt>
                <c:pt idx="16">
                  <c:v>49.999999999999986</c:v>
                </c:pt>
                <c:pt idx="17">
                  <c:v>31.000000000000004</c:v>
                </c:pt>
                <c:pt idx="18">
                  <c:v>54</c:v>
                </c:pt>
                <c:pt idx="19">
                  <c:v>53.999999999999993</c:v>
                </c:pt>
                <c:pt idx="20">
                  <c:v>0</c:v>
                </c:pt>
                <c:pt idx="21">
                  <c:v>53.999999999999993</c:v>
                </c:pt>
                <c:pt idx="22">
                  <c:v>49.999999999999986</c:v>
                </c:pt>
                <c:pt idx="23">
                  <c:v>76.896103896103895</c:v>
                </c:pt>
                <c:pt idx="24">
                  <c:v>52.000000000000021</c:v>
                </c:pt>
                <c:pt idx="25">
                  <c:v>52.000000000000014</c:v>
                </c:pt>
                <c:pt idx="26">
                  <c:v>31.000000000000007</c:v>
                </c:pt>
                <c:pt idx="27">
                  <c:v>60.518518518518484</c:v>
                </c:pt>
                <c:pt idx="28">
                  <c:v>50.000000000000007</c:v>
                </c:pt>
                <c:pt idx="29">
                  <c:v>31.000000000000004</c:v>
                </c:pt>
                <c:pt idx="30">
                  <c:v>52.000000000000007</c:v>
                </c:pt>
                <c:pt idx="31">
                  <c:v>52.000000000000007</c:v>
                </c:pt>
                <c:pt idx="32">
                  <c:v>30.999999999999996</c:v>
                </c:pt>
                <c:pt idx="33">
                  <c:v>60.22222222222225</c:v>
                </c:pt>
                <c:pt idx="34">
                  <c:v>58.666666666666671</c:v>
                </c:pt>
                <c:pt idx="35">
                  <c:v>31.000000000000007</c:v>
                </c:pt>
                <c:pt idx="36">
                  <c:v>54.000000000000007</c:v>
                </c:pt>
                <c:pt idx="37">
                  <c:v>54.000000000000007</c:v>
                </c:pt>
                <c:pt idx="38">
                  <c:v>30.999999999999996</c:v>
                </c:pt>
                <c:pt idx="39">
                  <c:v>54</c:v>
                </c:pt>
                <c:pt idx="40">
                  <c:v>54.000000000000007</c:v>
                </c:pt>
                <c:pt idx="41">
                  <c:v>31.000000000000007</c:v>
                </c:pt>
                <c:pt idx="42">
                  <c:v>54</c:v>
                </c:pt>
                <c:pt idx="43">
                  <c:v>54.000000000000021</c:v>
                </c:pt>
                <c:pt idx="44">
                  <c:v>0</c:v>
                </c:pt>
                <c:pt idx="45">
                  <c:v>54</c:v>
                </c:pt>
                <c:pt idx="46">
                  <c:v>52.000000000000014</c:v>
                </c:pt>
                <c:pt idx="47">
                  <c:v>106.7777777777778</c:v>
                </c:pt>
                <c:pt idx="48">
                  <c:v>54</c:v>
                </c:pt>
                <c:pt idx="49">
                  <c:v>54.000000000000007</c:v>
                </c:pt>
                <c:pt idx="50">
                  <c:v>31.000000000000007</c:v>
                </c:pt>
                <c:pt idx="51">
                  <c:v>54</c:v>
                </c:pt>
                <c:pt idx="52">
                  <c:v>54</c:v>
                </c:pt>
                <c:pt idx="53">
                  <c:v>31.000000000000004</c:v>
                </c:pt>
                <c:pt idx="54">
                  <c:v>54</c:v>
                </c:pt>
                <c:pt idx="55">
                  <c:v>54.000000000000007</c:v>
                </c:pt>
                <c:pt idx="56">
                  <c:v>30.999999999999996</c:v>
                </c:pt>
                <c:pt idx="57">
                  <c:v>54</c:v>
                </c:pt>
                <c:pt idx="58">
                  <c:v>31.000000000000007</c:v>
                </c:pt>
                <c:pt idx="59">
                  <c:v>31.000000000000004</c:v>
                </c:pt>
                <c:pt idx="60">
                  <c:v>54</c:v>
                </c:pt>
                <c:pt idx="61">
                  <c:v>54.000000000000007</c:v>
                </c:pt>
                <c:pt idx="62">
                  <c:v>31.000000000000007</c:v>
                </c:pt>
                <c:pt idx="63">
                  <c:v>54.000000000000007</c:v>
                </c:pt>
                <c:pt idx="64">
                  <c:v>54</c:v>
                </c:pt>
                <c:pt idx="65">
                  <c:v>31.000000000000004</c:v>
                </c:pt>
                <c:pt idx="66">
                  <c:v>54</c:v>
                </c:pt>
                <c:pt idx="67">
                  <c:v>54.000000000000007</c:v>
                </c:pt>
                <c:pt idx="68">
                  <c:v>31.000000000000014</c:v>
                </c:pt>
                <c:pt idx="69">
                  <c:v>54</c:v>
                </c:pt>
                <c:pt idx="70">
                  <c:v>54.000000000000021</c:v>
                </c:pt>
                <c:pt idx="71">
                  <c:v>31.000000000000007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8D7D-4231-A0D1-853D049395B6}"/>
            </c:ext>
          </c:extLst>
        </c:ser>
        <c:ser>
          <c:idx val="125"/>
          <c:order val="125"/>
          <c:tx>
            <c:strRef>
              <c:f>LRMC!$A$129:$C$129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Node_9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LRMC!$D$129:$BW$129</c:f>
              <c:numCache>
                <c:formatCode>0</c:formatCode>
                <c:ptCount val="72"/>
                <c:pt idx="0">
                  <c:v>53.999999999999972</c:v>
                </c:pt>
                <c:pt idx="1">
                  <c:v>54</c:v>
                </c:pt>
                <c:pt idx="2">
                  <c:v>31.000000000000004</c:v>
                </c:pt>
                <c:pt idx="3">
                  <c:v>54</c:v>
                </c:pt>
                <c:pt idx="4">
                  <c:v>54.000000000000007</c:v>
                </c:pt>
                <c:pt idx="5">
                  <c:v>30.999999999999996</c:v>
                </c:pt>
                <c:pt idx="6">
                  <c:v>52.000000000000007</c:v>
                </c:pt>
                <c:pt idx="7">
                  <c:v>54</c:v>
                </c:pt>
                <c:pt idx="8">
                  <c:v>31.000000000000007</c:v>
                </c:pt>
                <c:pt idx="9">
                  <c:v>58.999999999999979</c:v>
                </c:pt>
                <c:pt idx="10">
                  <c:v>54.000000000000007</c:v>
                </c:pt>
                <c:pt idx="11">
                  <c:v>31.000000000000004</c:v>
                </c:pt>
                <c:pt idx="12">
                  <c:v>54</c:v>
                </c:pt>
                <c:pt idx="13">
                  <c:v>54</c:v>
                </c:pt>
                <c:pt idx="14">
                  <c:v>31.000000000000007</c:v>
                </c:pt>
                <c:pt idx="15">
                  <c:v>54.000000000000007</c:v>
                </c:pt>
                <c:pt idx="16">
                  <c:v>49.999999999999986</c:v>
                </c:pt>
                <c:pt idx="17">
                  <c:v>31.000000000000004</c:v>
                </c:pt>
                <c:pt idx="18">
                  <c:v>54</c:v>
                </c:pt>
                <c:pt idx="19">
                  <c:v>53.999999999999993</c:v>
                </c:pt>
                <c:pt idx="20">
                  <c:v>0</c:v>
                </c:pt>
                <c:pt idx="21">
                  <c:v>53.999999999999993</c:v>
                </c:pt>
                <c:pt idx="22">
                  <c:v>49.999999999999986</c:v>
                </c:pt>
                <c:pt idx="23">
                  <c:v>76.896103896103895</c:v>
                </c:pt>
                <c:pt idx="24">
                  <c:v>52.000000000000021</c:v>
                </c:pt>
                <c:pt idx="25">
                  <c:v>52.000000000000014</c:v>
                </c:pt>
                <c:pt idx="26">
                  <c:v>31.000000000000007</c:v>
                </c:pt>
                <c:pt idx="27">
                  <c:v>60.518518518518484</c:v>
                </c:pt>
                <c:pt idx="28">
                  <c:v>50.000000000000007</c:v>
                </c:pt>
                <c:pt idx="29">
                  <c:v>31.000000000000004</c:v>
                </c:pt>
                <c:pt idx="30">
                  <c:v>52.000000000000007</c:v>
                </c:pt>
                <c:pt idx="31">
                  <c:v>52.000000000000007</c:v>
                </c:pt>
                <c:pt idx="32">
                  <c:v>30.999999999999996</c:v>
                </c:pt>
                <c:pt idx="33">
                  <c:v>60.22222222222225</c:v>
                </c:pt>
                <c:pt idx="34">
                  <c:v>58.666666666666671</c:v>
                </c:pt>
                <c:pt idx="35">
                  <c:v>31.000000000000007</c:v>
                </c:pt>
                <c:pt idx="36">
                  <c:v>54.000000000000007</c:v>
                </c:pt>
                <c:pt idx="37">
                  <c:v>54.000000000000007</c:v>
                </c:pt>
                <c:pt idx="38">
                  <c:v>30.999999999999996</c:v>
                </c:pt>
                <c:pt idx="39">
                  <c:v>54</c:v>
                </c:pt>
                <c:pt idx="40">
                  <c:v>54.000000000000007</c:v>
                </c:pt>
                <c:pt idx="41">
                  <c:v>31.000000000000007</c:v>
                </c:pt>
                <c:pt idx="42">
                  <c:v>54</c:v>
                </c:pt>
                <c:pt idx="43">
                  <c:v>54.000000000000021</c:v>
                </c:pt>
                <c:pt idx="44">
                  <c:v>0</c:v>
                </c:pt>
                <c:pt idx="45">
                  <c:v>54</c:v>
                </c:pt>
                <c:pt idx="46">
                  <c:v>52.000000000000014</c:v>
                </c:pt>
                <c:pt idx="47">
                  <c:v>106.7777777777778</c:v>
                </c:pt>
                <c:pt idx="48">
                  <c:v>54</c:v>
                </c:pt>
                <c:pt idx="49">
                  <c:v>54.000000000000007</c:v>
                </c:pt>
                <c:pt idx="50">
                  <c:v>31.000000000000007</c:v>
                </c:pt>
                <c:pt idx="51">
                  <c:v>54</c:v>
                </c:pt>
                <c:pt idx="52">
                  <c:v>54</c:v>
                </c:pt>
                <c:pt idx="53">
                  <c:v>31.000000000000004</c:v>
                </c:pt>
                <c:pt idx="54">
                  <c:v>54</c:v>
                </c:pt>
                <c:pt idx="55">
                  <c:v>54.000000000000007</c:v>
                </c:pt>
                <c:pt idx="56">
                  <c:v>30.999999999999996</c:v>
                </c:pt>
                <c:pt idx="57">
                  <c:v>54</c:v>
                </c:pt>
                <c:pt idx="58">
                  <c:v>31.000000000000007</c:v>
                </c:pt>
                <c:pt idx="59">
                  <c:v>31.000000000000004</c:v>
                </c:pt>
                <c:pt idx="60">
                  <c:v>54</c:v>
                </c:pt>
                <c:pt idx="61">
                  <c:v>54.000000000000007</c:v>
                </c:pt>
                <c:pt idx="62">
                  <c:v>31.000000000000007</c:v>
                </c:pt>
                <c:pt idx="63">
                  <c:v>54.000000000000007</c:v>
                </c:pt>
                <c:pt idx="64">
                  <c:v>54</c:v>
                </c:pt>
                <c:pt idx="65">
                  <c:v>31.000000000000004</c:v>
                </c:pt>
                <c:pt idx="66">
                  <c:v>54</c:v>
                </c:pt>
                <c:pt idx="67">
                  <c:v>54.000000000000007</c:v>
                </c:pt>
                <c:pt idx="68">
                  <c:v>31.000000000000014</c:v>
                </c:pt>
                <c:pt idx="69">
                  <c:v>54</c:v>
                </c:pt>
                <c:pt idx="70">
                  <c:v>54.000000000000021</c:v>
                </c:pt>
                <c:pt idx="71">
                  <c:v>31.000000000000007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8D7D-4231-A0D1-853D049395B6}"/>
            </c:ext>
          </c:extLst>
        </c:ser>
        <c:ser>
          <c:idx val="126"/>
          <c:order val="126"/>
          <c:tx>
            <c:strRef>
              <c:f>LRMC!$A$130:$C$130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Node_1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LRMC!$D$130:$BW$130</c:f>
              <c:numCache>
                <c:formatCode>0</c:formatCode>
                <c:ptCount val="72"/>
                <c:pt idx="0">
                  <c:v>34</c:v>
                </c:pt>
                <c:pt idx="1">
                  <c:v>49.999999999999993</c:v>
                </c:pt>
                <c:pt idx="2">
                  <c:v>0</c:v>
                </c:pt>
                <c:pt idx="3">
                  <c:v>9999.9999999999854</c:v>
                </c:pt>
                <c:pt idx="4">
                  <c:v>118.88888888888889</c:v>
                </c:pt>
                <c:pt idx="5">
                  <c:v>106.77777777777776</c:v>
                </c:pt>
                <c:pt idx="6">
                  <c:v>50.000000000000043</c:v>
                </c:pt>
                <c:pt idx="7">
                  <c:v>49.999999999999993</c:v>
                </c:pt>
                <c:pt idx="8">
                  <c:v>30.999999999999993</c:v>
                </c:pt>
                <c:pt idx="9">
                  <c:v>50.000000000000007</c:v>
                </c:pt>
                <c:pt idx="10">
                  <c:v>49.999999999999993</c:v>
                </c:pt>
                <c:pt idx="11">
                  <c:v>30.999999999999996</c:v>
                </c:pt>
                <c:pt idx="12">
                  <c:v>49.999999999999993</c:v>
                </c:pt>
                <c:pt idx="13">
                  <c:v>50.000000000000007</c:v>
                </c:pt>
                <c:pt idx="14">
                  <c:v>30.999999999999996</c:v>
                </c:pt>
                <c:pt idx="15">
                  <c:v>50.000000000000078</c:v>
                </c:pt>
                <c:pt idx="16">
                  <c:v>31.000000000000025</c:v>
                </c:pt>
                <c:pt idx="17">
                  <c:v>30.999999999999993</c:v>
                </c:pt>
                <c:pt idx="18">
                  <c:v>52.000000000000007</c:v>
                </c:pt>
                <c:pt idx="19">
                  <c:v>49.999999999999993</c:v>
                </c:pt>
                <c:pt idx="20">
                  <c:v>0</c:v>
                </c:pt>
                <c:pt idx="21">
                  <c:v>50.000000000000007</c:v>
                </c:pt>
                <c:pt idx="22">
                  <c:v>30.999999999999986</c:v>
                </c:pt>
                <c:pt idx="23">
                  <c:v>76.896103896103924</c:v>
                </c:pt>
                <c:pt idx="24">
                  <c:v>52.000000000000021</c:v>
                </c:pt>
                <c:pt idx="25">
                  <c:v>50.000000000000021</c:v>
                </c:pt>
                <c:pt idx="26">
                  <c:v>31.000000000000004</c:v>
                </c:pt>
                <c:pt idx="27">
                  <c:v>50.000000000000021</c:v>
                </c:pt>
                <c:pt idx="28">
                  <c:v>50.000000000000007</c:v>
                </c:pt>
                <c:pt idx="29">
                  <c:v>31.000000000000007</c:v>
                </c:pt>
                <c:pt idx="30">
                  <c:v>50.000000000000014</c:v>
                </c:pt>
                <c:pt idx="31">
                  <c:v>50.000000000000014</c:v>
                </c:pt>
                <c:pt idx="32">
                  <c:v>0</c:v>
                </c:pt>
                <c:pt idx="33">
                  <c:v>49.999999999999993</c:v>
                </c:pt>
                <c:pt idx="34">
                  <c:v>50.000000000000007</c:v>
                </c:pt>
                <c:pt idx="35">
                  <c:v>93</c:v>
                </c:pt>
                <c:pt idx="36">
                  <c:v>50.000000000000028</c:v>
                </c:pt>
                <c:pt idx="37">
                  <c:v>50.000000000000007</c:v>
                </c:pt>
                <c:pt idx="38">
                  <c:v>30.999999999999986</c:v>
                </c:pt>
                <c:pt idx="39">
                  <c:v>49.999999999999964</c:v>
                </c:pt>
                <c:pt idx="40">
                  <c:v>50.000000000000043</c:v>
                </c:pt>
                <c:pt idx="41">
                  <c:v>31.000000000000004</c:v>
                </c:pt>
                <c:pt idx="42">
                  <c:v>52.000000000000021</c:v>
                </c:pt>
                <c:pt idx="43">
                  <c:v>50.000000000000014</c:v>
                </c:pt>
                <c:pt idx="44">
                  <c:v>0</c:v>
                </c:pt>
                <c:pt idx="45">
                  <c:v>50.000000000000021</c:v>
                </c:pt>
                <c:pt idx="46">
                  <c:v>50.000000000000007</c:v>
                </c:pt>
                <c:pt idx="47">
                  <c:v>106.7777777777778</c:v>
                </c:pt>
                <c:pt idx="48">
                  <c:v>50.000000000000028</c:v>
                </c:pt>
                <c:pt idx="49">
                  <c:v>50.000000000000007</c:v>
                </c:pt>
                <c:pt idx="50">
                  <c:v>0</c:v>
                </c:pt>
                <c:pt idx="51">
                  <c:v>50.000000000000007</c:v>
                </c:pt>
                <c:pt idx="52">
                  <c:v>31.000000000000007</c:v>
                </c:pt>
                <c:pt idx="53">
                  <c:v>85.25</c:v>
                </c:pt>
                <c:pt idx="54">
                  <c:v>34</c:v>
                </c:pt>
                <c:pt idx="55">
                  <c:v>33.999999999999986</c:v>
                </c:pt>
                <c:pt idx="56">
                  <c:v>30.999999999999986</c:v>
                </c:pt>
                <c:pt idx="57">
                  <c:v>33.999999999999993</c:v>
                </c:pt>
                <c:pt idx="58">
                  <c:v>31.000000000000021</c:v>
                </c:pt>
                <c:pt idx="59">
                  <c:v>31.000000000000025</c:v>
                </c:pt>
                <c:pt idx="60">
                  <c:v>51.999999999999979</c:v>
                </c:pt>
                <c:pt idx="61">
                  <c:v>33.999999999999986</c:v>
                </c:pt>
                <c:pt idx="62">
                  <c:v>30.000000000000004</c:v>
                </c:pt>
                <c:pt idx="63">
                  <c:v>33.999999999999993</c:v>
                </c:pt>
                <c:pt idx="64">
                  <c:v>31.000000000000004</c:v>
                </c:pt>
                <c:pt idx="65">
                  <c:v>30.000000000000011</c:v>
                </c:pt>
                <c:pt idx="66">
                  <c:v>53.999999999999936</c:v>
                </c:pt>
                <c:pt idx="67">
                  <c:v>50.000000000000007</c:v>
                </c:pt>
                <c:pt idx="68">
                  <c:v>30.999999999999986</c:v>
                </c:pt>
                <c:pt idx="69">
                  <c:v>53.999999999999964</c:v>
                </c:pt>
                <c:pt idx="70">
                  <c:v>30.999999999999993</c:v>
                </c:pt>
                <c:pt idx="71">
                  <c:v>29.999999999999986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8D7D-4231-A0D1-853D049395B6}"/>
            </c:ext>
          </c:extLst>
        </c:ser>
        <c:ser>
          <c:idx val="127"/>
          <c:order val="127"/>
          <c:tx>
            <c:strRef>
              <c:f>LRMC!$A$131:$C$131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Node_2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LRMC!$D$131:$BW$131</c:f>
              <c:numCache>
                <c:formatCode>0</c:formatCode>
                <c:ptCount val="72"/>
                <c:pt idx="0">
                  <c:v>34</c:v>
                </c:pt>
                <c:pt idx="1">
                  <c:v>49.999999999999986</c:v>
                </c:pt>
                <c:pt idx="2">
                  <c:v>0</c:v>
                </c:pt>
                <c:pt idx="3">
                  <c:v>10000.000000000002</c:v>
                </c:pt>
                <c:pt idx="4">
                  <c:v>118.88888888888889</c:v>
                </c:pt>
                <c:pt idx="5">
                  <c:v>106.77777777777776</c:v>
                </c:pt>
                <c:pt idx="6">
                  <c:v>50.000000000000043</c:v>
                </c:pt>
                <c:pt idx="7">
                  <c:v>49.999999999999993</c:v>
                </c:pt>
                <c:pt idx="8">
                  <c:v>30.999999999999993</c:v>
                </c:pt>
                <c:pt idx="9">
                  <c:v>50.000000000000007</c:v>
                </c:pt>
                <c:pt idx="10">
                  <c:v>49.999999999999993</c:v>
                </c:pt>
                <c:pt idx="11">
                  <c:v>30.999999999999993</c:v>
                </c:pt>
                <c:pt idx="12">
                  <c:v>49.999999999999993</c:v>
                </c:pt>
                <c:pt idx="13">
                  <c:v>49.999999999999993</c:v>
                </c:pt>
                <c:pt idx="14">
                  <c:v>30.999999999999993</c:v>
                </c:pt>
                <c:pt idx="15">
                  <c:v>50.000000000000078</c:v>
                </c:pt>
                <c:pt idx="16">
                  <c:v>31.000000000000004</c:v>
                </c:pt>
                <c:pt idx="17">
                  <c:v>30.999999999999993</c:v>
                </c:pt>
                <c:pt idx="18">
                  <c:v>52.000000000000007</c:v>
                </c:pt>
                <c:pt idx="19">
                  <c:v>49.999999999999993</c:v>
                </c:pt>
                <c:pt idx="20">
                  <c:v>0</c:v>
                </c:pt>
                <c:pt idx="21">
                  <c:v>50.000000000000007</c:v>
                </c:pt>
                <c:pt idx="22">
                  <c:v>30.999999999999996</c:v>
                </c:pt>
                <c:pt idx="23">
                  <c:v>76.896103896103924</c:v>
                </c:pt>
                <c:pt idx="24">
                  <c:v>52.000000000000007</c:v>
                </c:pt>
                <c:pt idx="25">
                  <c:v>50.000000000000021</c:v>
                </c:pt>
                <c:pt idx="26">
                  <c:v>31.000000000000004</c:v>
                </c:pt>
                <c:pt idx="27">
                  <c:v>50.000000000000021</c:v>
                </c:pt>
                <c:pt idx="28">
                  <c:v>50.000000000000007</c:v>
                </c:pt>
                <c:pt idx="29">
                  <c:v>31.000000000000007</c:v>
                </c:pt>
                <c:pt idx="30">
                  <c:v>50.000000000000014</c:v>
                </c:pt>
                <c:pt idx="31">
                  <c:v>50.000000000000014</c:v>
                </c:pt>
                <c:pt idx="32">
                  <c:v>0</c:v>
                </c:pt>
                <c:pt idx="33">
                  <c:v>49.999999999999993</c:v>
                </c:pt>
                <c:pt idx="34">
                  <c:v>50.000000000000007</c:v>
                </c:pt>
                <c:pt idx="35">
                  <c:v>93.000000000000028</c:v>
                </c:pt>
                <c:pt idx="36">
                  <c:v>50.000000000000028</c:v>
                </c:pt>
                <c:pt idx="37">
                  <c:v>50.000000000000014</c:v>
                </c:pt>
                <c:pt idx="38">
                  <c:v>30.999999999999996</c:v>
                </c:pt>
                <c:pt idx="39">
                  <c:v>49.999999999999993</c:v>
                </c:pt>
                <c:pt idx="40">
                  <c:v>50.000000000000007</c:v>
                </c:pt>
                <c:pt idx="41">
                  <c:v>31.000000000000004</c:v>
                </c:pt>
                <c:pt idx="42">
                  <c:v>52.000000000000007</c:v>
                </c:pt>
                <c:pt idx="43">
                  <c:v>50.000000000000014</c:v>
                </c:pt>
                <c:pt idx="44">
                  <c:v>0</c:v>
                </c:pt>
                <c:pt idx="45">
                  <c:v>50.000000000000021</c:v>
                </c:pt>
                <c:pt idx="46">
                  <c:v>50.000000000000007</c:v>
                </c:pt>
                <c:pt idx="47">
                  <c:v>106.7777777777778</c:v>
                </c:pt>
                <c:pt idx="48">
                  <c:v>50.000000000000028</c:v>
                </c:pt>
                <c:pt idx="49">
                  <c:v>50.000000000000007</c:v>
                </c:pt>
                <c:pt idx="50">
                  <c:v>0</c:v>
                </c:pt>
                <c:pt idx="51">
                  <c:v>50.000000000000007</c:v>
                </c:pt>
                <c:pt idx="52">
                  <c:v>31.000000000000007</c:v>
                </c:pt>
                <c:pt idx="53">
                  <c:v>85.25</c:v>
                </c:pt>
                <c:pt idx="54">
                  <c:v>34</c:v>
                </c:pt>
                <c:pt idx="55">
                  <c:v>33.999999999999986</c:v>
                </c:pt>
                <c:pt idx="56">
                  <c:v>30.999999999999996</c:v>
                </c:pt>
                <c:pt idx="57">
                  <c:v>34</c:v>
                </c:pt>
                <c:pt idx="58">
                  <c:v>31.000000000000004</c:v>
                </c:pt>
                <c:pt idx="59">
                  <c:v>31.000000000000025</c:v>
                </c:pt>
                <c:pt idx="60">
                  <c:v>52.000000000000007</c:v>
                </c:pt>
                <c:pt idx="61">
                  <c:v>33.999999999999986</c:v>
                </c:pt>
                <c:pt idx="62">
                  <c:v>30.000000000000004</c:v>
                </c:pt>
                <c:pt idx="63">
                  <c:v>34</c:v>
                </c:pt>
                <c:pt idx="64">
                  <c:v>31.000000000000004</c:v>
                </c:pt>
                <c:pt idx="65">
                  <c:v>30</c:v>
                </c:pt>
                <c:pt idx="66">
                  <c:v>54</c:v>
                </c:pt>
                <c:pt idx="67">
                  <c:v>50.000000000000007</c:v>
                </c:pt>
                <c:pt idx="68">
                  <c:v>31.000000000000004</c:v>
                </c:pt>
                <c:pt idx="69">
                  <c:v>54</c:v>
                </c:pt>
                <c:pt idx="70">
                  <c:v>30.999999999999993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8D7D-4231-A0D1-853D049395B6}"/>
            </c:ext>
          </c:extLst>
        </c:ser>
        <c:ser>
          <c:idx val="128"/>
          <c:order val="128"/>
          <c:tx>
            <c:strRef>
              <c:f>LRMC!$A$132:$C$132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Node_3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LRMC!$D$132:$BW$132</c:f>
              <c:numCache>
                <c:formatCode>0</c:formatCode>
                <c:ptCount val="72"/>
                <c:pt idx="0">
                  <c:v>34</c:v>
                </c:pt>
                <c:pt idx="1">
                  <c:v>49.999999999999986</c:v>
                </c:pt>
                <c:pt idx="2">
                  <c:v>0</c:v>
                </c:pt>
                <c:pt idx="3">
                  <c:v>10000.000000000002</c:v>
                </c:pt>
                <c:pt idx="4">
                  <c:v>118.88888888888889</c:v>
                </c:pt>
                <c:pt idx="5">
                  <c:v>106.77777777777776</c:v>
                </c:pt>
                <c:pt idx="6">
                  <c:v>50.000000000000043</c:v>
                </c:pt>
                <c:pt idx="7">
                  <c:v>49.999999999999993</c:v>
                </c:pt>
                <c:pt idx="8">
                  <c:v>30.999999999999993</c:v>
                </c:pt>
                <c:pt idx="9">
                  <c:v>50.000000000000007</c:v>
                </c:pt>
                <c:pt idx="10">
                  <c:v>49.999999999999993</c:v>
                </c:pt>
                <c:pt idx="11">
                  <c:v>30.999999999999993</c:v>
                </c:pt>
                <c:pt idx="12">
                  <c:v>49.999999999999993</c:v>
                </c:pt>
                <c:pt idx="13">
                  <c:v>49.999999999999993</c:v>
                </c:pt>
                <c:pt idx="14">
                  <c:v>30.999999999999993</c:v>
                </c:pt>
                <c:pt idx="15">
                  <c:v>50.000000000000078</c:v>
                </c:pt>
                <c:pt idx="16">
                  <c:v>31.000000000000004</c:v>
                </c:pt>
                <c:pt idx="17">
                  <c:v>30.999999999999993</c:v>
                </c:pt>
                <c:pt idx="18">
                  <c:v>52.000000000000007</c:v>
                </c:pt>
                <c:pt idx="19">
                  <c:v>49.999999999999993</c:v>
                </c:pt>
                <c:pt idx="20">
                  <c:v>0</c:v>
                </c:pt>
                <c:pt idx="21">
                  <c:v>50.000000000000007</c:v>
                </c:pt>
                <c:pt idx="22">
                  <c:v>30.999999999999996</c:v>
                </c:pt>
                <c:pt idx="23">
                  <c:v>76.896103896103924</c:v>
                </c:pt>
                <c:pt idx="24">
                  <c:v>52.000000000000007</c:v>
                </c:pt>
                <c:pt idx="25">
                  <c:v>50.000000000000021</c:v>
                </c:pt>
                <c:pt idx="26">
                  <c:v>31.000000000000004</c:v>
                </c:pt>
                <c:pt idx="27">
                  <c:v>50.000000000000021</c:v>
                </c:pt>
                <c:pt idx="28">
                  <c:v>50.000000000000007</c:v>
                </c:pt>
                <c:pt idx="29">
                  <c:v>31.000000000000007</c:v>
                </c:pt>
                <c:pt idx="30">
                  <c:v>50.000000000000014</c:v>
                </c:pt>
                <c:pt idx="31">
                  <c:v>50.000000000000014</c:v>
                </c:pt>
                <c:pt idx="32">
                  <c:v>0</c:v>
                </c:pt>
                <c:pt idx="33">
                  <c:v>49.999999999999993</c:v>
                </c:pt>
                <c:pt idx="34">
                  <c:v>50.000000000000007</c:v>
                </c:pt>
                <c:pt idx="35">
                  <c:v>93</c:v>
                </c:pt>
                <c:pt idx="36">
                  <c:v>50.000000000000028</c:v>
                </c:pt>
                <c:pt idx="37">
                  <c:v>50.000000000000014</c:v>
                </c:pt>
                <c:pt idx="38">
                  <c:v>30.999999999999996</c:v>
                </c:pt>
                <c:pt idx="39">
                  <c:v>50.000000000000007</c:v>
                </c:pt>
                <c:pt idx="40">
                  <c:v>49.999999999999986</c:v>
                </c:pt>
                <c:pt idx="41">
                  <c:v>31.000000000000004</c:v>
                </c:pt>
                <c:pt idx="42">
                  <c:v>52.000000000000007</c:v>
                </c:pt>
                <c:pt idx="43">
                  <c:v>50.000000000000014</c:v>
                </c:pt>
                <c:pt idx="44">
                  <c:v>0</c:v>
                </c:pt>
                <c:pt idx="45">
                  <c:v>50.000000000000021</c:v>
                </c:pt>
                <c:pt idx="46">
                  <c:v>50.000000000000007</c:v>
                </c:pt>
                <c:pt idx="47">
                  <c:v>106.7777777777778</c:v>
                </c:pt>
                <c:pt idx="48">
                  <c:v>50.000000000000028</c:v>
                </c:pt>
                <c:pt idx="49">
                  <c:v>50.000000000000007</c:v>
                </c:pt>
                <c:pt idx="50">
                  <c:v>0</c:v>
                </c:pt>
                <c:pt idx="51">
                  <c:v>50.000000000000007</c:v>
                </c:pt>
                <c:pt idx="52">
                  <c:v>31.000000000000007</c:v>
                </c:pt>
                <c:pt idx="53">
                  <c:v>85.249999999999986</c:v>
                </c:pt>
                <c:pt idx="54">
                  <c:v>34</c:v>
                </c:pt>
                <c:pt idx="55">
                  <c:v>33.999999999999993</c:v>
                </c:pt>
                <c:pt idx="56">
                  <c:v>30.999999999999996</c:v>
                </c:pt>
                <c:pt idx="57">
                  <c:v>33.999999999999993</c:v>
                </c:pt>
                <c:pt idx="58">
                  <c:v>31.000000000000004</c:v>
                </c:pt>
                <c:pt idx="59">
                  <c:v>31.000000000000025</c:v>
                </c:pt>
                <c:pt idx="60">
                  <c:v>52.000000000000007</c:v>
                </c:pt>
                <c:pt idx="61">
                  <c:v>33.999999999999993</c:v>
                </c:pt>
                <c:pt idx="62">
                  <c:v>30.000000000000004</c:v>
                </c:pt>
                <c:pt idx="63">
                  <c:v>33.999999999999993</c:v>
                </c:pt>
                <c:pt idx="64">
                  <c:v>31.000000000000004</c:v>
                </c:pt>
                <c:pt idx="65">
                  <c:v>30</c:v>
                </c:pt>
                <c:pt idx="66">
                  <c:v>54</c:v>
                </c:pt>
                <c:pt idx="67">
                  <c:v>50.000000000000007</c:v>
                </c:pt>
                <c:pt idx="68">
                  <c:v>31.000000000000004</c:v>
                </c:pt>
                <c:pt idx="69">
                  <c:v>54</c:v>
                </c:pt>
                <c:pt idx="70">
                  <c:v>30.999999999999993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8D7D-4231-A0D1-853D049395B6}"/>
            </c:ext>
          </c:extLst>
        </c:ser>
        <c:ser>
          <c:idx val="129"/>
          <c:order val="129"/>
          <c:tx>
            <c:strRef>
              <c:f>LRMC!$A$133:$C$133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Node_4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LRMC!$D$133:$BW$133</c:f>
              <c:numCache>
                <c:formatCode>0</c:formatCode>
                <c:ptCount val="72"/>
                <c:pt idx="0">
                  <c:v>34</c:v>
                </c:pt>
                <c:pt idx="1">
                  <c:v>49.999999999999993</c:v>
                </c:pt>
                <c:pt idx="2">
                  <c:v>0</c:v>
                </c:pt>
                <c:pt idx="3">
                  <c:v>9999.9999999999909</c:v>
                </c:pt>
                <c:pt idx="4">
                  <c:v>118.88888888888889</c:v>
                </c:pt>
                <c:pt idx="5">
                  <c:v>106.77777777777776</c:v>
                </c:pt>
                <c:pt idx="6">
                  <c:v>50.000000000000043</c:v>
                </c:pt>
                <c:pt idx="7">
                  <c:v>49.999999999999993</c:v>
                </c:pt>
                <c:pt idx="8">
                  <c:v>30.999999999999993</c:v>
                </c:pt>
                <c:pt idx="9">
                  <c:v>50.000000000000007</c:v>
                </c:pt>
                <c:pt idx="10">
                  <c:v>49.999999999999993</c:v>
                </c:pt>
                <c:pt idx="11">
                  <c:v>30.999999999999996</c:v>
                </c:pt>
                <c:pt idx="12">
                  <c:v>49.999999999999993</c:v>
                </c:pt>
                <c:pt idx="13">
                  <c:v>50.000000000000007</c:v>
                </c:pt>
                <c:pt idx="14">
                  <c:v>30.999999999999996</c:v>
                </c:pt>
                <c:pt idx="15">
                  <c:v>50.000000000000078</c:v>
                </c:pt>
                <c:pt idx="16">
                  <c:v>31.000000000000011</c:v>
                </c:pt>
                <c:pt idx="17">
                  <c:v>30.999999999999993</c:v>
                </c:pt>
                <c:pt idx="18">
                  <c:v>52.000000000000007</c:v>
                </c:pt>
                <c:pt idx="19">
                  <c:v>49.999999999999993</c:v>
                </c:pt>
                <c:pt idx="20">
                  <c:v>0</c:v>
                </c:pt>
                <c:pt idx="21">
                  <c:v>50.000000000000007</c:v>
                </c:pt>
                <c:pt idx="22">
                  <c:v>30.999999999999993</c:v>
                </c:pt>
                <c:pt idx="23">
                  <c:v>76.896103896103924</c:v>
                </c:pt>
                <c:pt idx="24">
                  <c:v>52.000000000000007</c:v>
                </c:pt>
                <c:pt idx="25">
                  <c:v>50.000000000000021</c:v>
                </c:pt>
                <c:pt idx="26">
                  <c:v>30.999999999999996</c:v>
                </c:pt>
                <c:pt idx="27">
                  <c:v>50.000000000000021</c:v>
                </c:pt>
                <c:pt idx="28">
                  <c:v>50.000000000000007</c:v>
                </c:pt>
                <c:pt idx="29">
                  <c:v>31.000000000000011</c:v>
                </c:pt>
                <c:pt idx="30">
                  <c:v>50.000000000000014</c:v>
                </c:pt>
                <c:pt idx="31">
                  <c:v>50.000000000000014</c:v>
                </c:pt>
                <c:pt idx="32">
                  <c:v>0</c:v>
                </c:pt>
                <c:pt idx="33">
                  <c:v>49.999999999999993</c:v>
                </c:pt>
                <c:pt idx="34">
                  <c:v>50.000000000000007</c:v>
                </c:pt>
                <c:pt idx="35">
                  <c:v>93</c:v>
                </c:pt>
                <c:pt idx="36">
                  <c:v>50.000000000000028</c:v>
                </c:pt>
                <c:pt idx="37">
                  <c:v>50.000000000000007</c:v>
                </c:pt>
                <c:pt idx="38">
                  <c:v>30.999999999999993</c:v>
                </c:pt>
                <c:pt idx="39">
                  <c:v>50.000000000000007</c:v>
                </c:pt>
                <c:pt idx="40">
                  <c:v>50.000000000000007</c:v>
                </c:pt>
                <c:pt idx="41">
                  <c:v>31.000000000000004</c:v>
                </c:pt>
                <c:pt idx="42">
                  <c:v>52.000000000000007</c:v>
                </c:pt>
                <c:pt idx="43">
                  <c:v>50.000000000000014</c:v>
                </c:pt>
                <c:pt idx="44">
                  <c:v>0</c:v>
                </c:pt>
                <c:pt idx="45">
                  <c:v>50.000000000000021</c:v>
                </c:pt>
                <c:pt idx="46">
                  <c:v>50.000000000000007</c:v>
                </c:pt>
                <c:pt idx="47">
                  <c:v>106.7777777777778</c:v>
                </c:pt>
                <c:pt idx="48">
                  <c:v>50.000000000000028</c:v>
                </c:pt>
                <c:pt idx="49">
                  <c:v>50.000000000000007</c:v>
                </c:pt>
                <c:pt idx="50">
                  <c:v>0</c:v>
                </c:pt>
                <c:pt idx="51">
                  <c:v>50.000000000000007</c:v>
                </c:pt>
                <c:pt idx="52">
                  <c:v>31.000000000000007</c:v>
                </c:pt>
                <c:pt idx="53">
                  <c:v>85.249999999999986</c:v>
                </c:pt>
                <c:pt idx="54">
                  <c:v>34</c:v>
                </c:pt>
                <c:pt idx="55">
                  <c:v>34</c:v>
                </c:pt>
                <c:pt idx="56">
                  <c:v>30.999999999999993</c:v>
                </c:pt>
                <c:pt idx="57">
                  <c:v>33.999999999999993</c:v>
                </c:pt>
                <c:pt idx="58">
                  <c:v>31.000000000000004</c:v>
                </c:pt>
                <c:pt idx="59">
                  <c:v>31.000000000000025</c:v>
                </c:pt>
                <c:pt idx="60">
                  <c:v>52</c:v>
                </c:pt>
                <c:pt idx="61">
                  <c:v>34</c:v>
                </c:pt>
                <c:pt idx="62">
                  <c:v>30.000000000000004</c:v>
                </c:pt>
                <c:pt idx="63">
                  <c:v>33.999999999999993</c:v>
                </c:pt>
                <c:pt idx="64">
                  <c:v>31.000000000000004</c:v>
                </c:pt>
                <c:pt idx="65">
                  <c:v>30.000000000000011</c:v>
                </c:pt>
                <c:pt idx="66">
                  <c:v>53.999999999999993</c:v>
                </c:pt>
                <c:pt idx="67">
                  <c:v>50.000000000000007</c:v>
                </c:pt>
                <c:pt idx="68">
                  <c:v>30.999999999999996</c:v>
                </c:pt>
                <c:pt idx="69">
                  <c:v>54</c:v>
                </c:pt>
                <c:pt idx="70">
                  <c:v>30.999999999999993</c:v>
                </c:pt>
                <c:pt idx="71">
                  <c:v>30.000000000000004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8D7D-4231-A0D1-853D049395B6}"/>
            </c:ext>
          </c:extLst>
        </c:ser>
        <c:ser>
          <c:idx val="130"/>
          <c:order val="130"/>
          <c:tx>
            <c:strRef>
              <c:f>LRMC!$A$134:$C$134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Node_5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LRMC!$D$134:$BW$134</c:f>
              <c:numCache>
                <c:formatCode>0</c:formatCode>
                <c:ptCount val="72"/>
                <c:pt idx="0">
                  <c:v>34</c:v>
                </c:pt>
                <c:pt idx="1">
                  <c:v>49.999999999999993</c:v>
                </c:pt>
                <c:pt idx="2">
                  <c:v>0</c:v>
                </c:pt>
                <c:pt idx="3">
                  <c:v>9999.9999999999909</c:v>
                </c:pt>
                <c:pt idx="4">
                  <c:v>118.88888888888889</c:v>
                </c:pt>
                <c:pt idx="5">
                  <c:v>106.77777777777776</c:v>
                </c:pt>
                <c:pt idx="6">
                  <c:v>50.000000000000043</c:v>
                </c:pt>
                <c:pt idx="7">
                  <c:v>49.999999999999993</c:v>
                </c:pt>
                <c:pt idx="8">
                  <c:v>30.999999999999993</c:v>
                </c:pt>
                <c:pt idx="9">
                  <c:v>50.000000000000007</c:v>
                </c:pt>
                <c:pt idx="10">
                  <c:v>49.999999999999993</c:v>
                </c:pt>
                <c:pt idx="11">
                  <c:v>30.999999999999996</c:v>
                </c:pt>
                <c:pt idx="12">
                  <c:v>49.999999999999993</c:v>
                </c:pt>
                <c:pt idx="13">
                  <c:v>50.000000000000007</c:v>
                </c:pt>
                <c:pt idx="14">
                  <c:v>30.999999999999996</c:v>
                </c:pt>
                <c:pt idx="15">
                  <c:v>50.000000000000078</c:v>
                </c:pt>
                <c:pt idx="16">
                  <c:v>31.000000000000011</c:v>
                </c:pt>
                <c:pt idx="17">
                  <c:v>30.999999999999993</c:v>
                </c:pt>
                <c:pt idx="18">
                  <c:v>52.000000000000007</c:v>
                </c:pt>
                <c:pt idx="19">
                  <c:v>49.999999999999993</c:v>
                </c:pt>
                <c:pt idx="20">
                  <c:v>0</c:v>
                </c:pt>
                <c:pt idx="21">
                  <c:v>50.000000000000007</c:v>
                </c:pt>
                <c:pt idx="22">
                  <c:v>30.999999999999993</c:v>
                </c:pt>
                <c:pt idx="23">
                  <c:v>76.896103896103924</c:v>
                </c:pt>
                <c:pt idx="24">
                  <c:v>52.000000000000007</c:v>
                </c:pt>
                <c:pt idx="25">
                  <c:v>50.000000000000021</c:v>
                </c:pt>
                <c:pt idx="26">
                  <c:v>30.999999999999996</c:v>
                </c:pt>
                <c:pt idx="27">
                  <c:v>50.000000000000021</c:v>
                </c:pt>
                <c:pt idx="28">
                  <c:v>50.000000000000007</c:v>
                </c:pt>
                <c:pt idx="29">
                  <c:v>31.000000000000011</c:v>
                </c:pt>
                <c:pt idx="30">
                  <c:v>50.000000000000014</c:v>
                </c:pt>
                <c:pt idx="31">
                  <c:v>50.000000000000014</c:v>
                </c:pt>
                <c:pt idx="32">
                  <c:v>0</c:v>
                </c:pt>
                <c:pt idx="33">
                  <c:v>49.999999999999993</c:v>
                </c:pt>
                <c:pt idx="34">
                  <c:v>50.000000000000007</c:v>
                </c:pt>
                <c:pt idx="35">
                  <c:v>93</c:v>
                </c:pt>
                <c:pt idx="36">
                  <c:v>50.000000000000028</c:v>
                </c:pt>
                <c:pt idx="37">
                  <c:v>50.000000000000007</c:v>
                </c:pt>
                <c:pt idx="38">
                  <c:v>30.999999999999993</c:v>
                </c:pt>
                <c:pt idx="39">
                  <c:v>50.000000000000007</c:v>
                </c:pt>
                <c:pt idx="40">
                  <c:v>50.000000000000007</c:v>
                </c:pt>
                <c:pt idx="41">
                  <c:v>31.000000000000004</c:v>
                </c:pt>
                <c:pt idx="42">
                  <c:v>52.000000000000007</c:v>
                </c:pt>
                <c:pt idx="43">
                  <c:v>50.000000000000014</c:v>
                </c:pt>
                <c:pt idx="44">
                  <c:v>0</c:v>
                </c:pt>
                <c:pt idx="45">
                  <c:v>50.000000000000021</c:v>
                </c:pt>
                <c:pt idx="46">
                  <c:v>50.000000000000007</c:v>
                </c:pt>
                <c:pt idx="47">
                  <c:v>106.7777777777778</c:v>
                </c:pt>
                <c:pt idx="48">
                  <c:v>50.000000000000028</c:v>
                </c:pt>
                <c:pt idx="49">
                  <c:v>50.000000000000007</c:v>
                </c:pt>
                <c:pt idx="50">
                  <c:v>0</c:v>
                </c:pt>
                <c:pt idx="51">
                  <c:v>50.000000000000007</c:v>
                </c:pt>
                <c:pt idx="52">
                  <c:v>31.000000000000007</c:v>
                </c:pt>
                <c:pt idx="53">
                  <c:v>85.249999999999986</c:v>
                </c:pt>
                <c:pt idx="54">
                  <c:v>34</c:v>
                </c:pt>
                <c:pt idx="55">
                  <c:v>34</c:v>
                </c:pt>
                <c:pt idx="56">
                  <c:v>30.999999999999993</c:v>
                </c:pt>
                <c:pt idx="57">
                  <c:v>33.999999999999993</c:v>
                </c:pt>
                <c:pt idx="58">
                  <c:v>31.000000000000004</c:v>
                </c:pt>
                <c:pt idx="59">
                  <c:v>31.000000000000025</c:v>
                </c:pt>
                <c:pt idx="60">
                  <c:v>52</c:v>
                </c:pt>
                <c:pt idx="61">
                  <c:v>34</c:v>
                </c:pt>
                <c:pt idx="62">
                  <c:v>30.000000000000004</c:v>
                </c:pt>
                <c:pt idx="63">
                  <c:v>33.999999999999993</c:v>
                </c:pt>
                <c:pt idx="64">
                  <c:v>31.000000000000004</c:v>
                </c:pt>
                <c:pt idx="65">
                  <c:v>30.000000000000011</c:v>
                </c:pt>
                <c:pt idx="66">
                  <c:v>53.999999999999993</c:v>
                </c:pt>
                <c:pt idx="67">
                  <c:v>50.000000000000007</c:v>
                </c:pt>
                <c:pt idx="68">
                  <c:v>30.999999999999996</c:v>
                </c:pt>
                <c:pt idx="69">
                  <c:v>54</c:v>
                </c:pt>
                <c:pt idx="70">
                  <c:v>30.999999999999993</c:v>
                </c:pt>
                <c:pt idx="71">
                  <c:v>30.000000000000004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8D7D-4231-A0D1-853D049395B6}"/>
            </c:ext>
          </c:extLst>
        </c:ser>
        <c:ser>
          <c:idx val="131"/>
          <c:order val="131"/>
          <c:tx>
            <c:strRef>
              <c:f>LRMC!$A$135:$C$135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Node_6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LRMC!$D$135:$BW$135</c:f>
              <c:numCache>
                <c:formatCode>0</c:formatCode>
                <c:ptCount val="72"/>
                <c:pt idx="0">
                  <c:v>34</c:v>
                </c:pt>
                <c:pt idx="1">
                  <c:v>49.999999999999986</c:v>
                </c:pt>
                <c:pt idx="2">
                  <c:v>0</c:v>
                </c:pt>
                <c:pt idx="3">
                  <c:v>10000.000000000002</c:v>
                </c:pt>
                <c:pt idx="4">
                  <c:v>118.88888888888889</c:v>
                </c:pt>
                <c:pt idx="5">
                  <c:v>106.77777777777776</c:v>
                </c:pt>
                <c:pt idx="6">
                  <c:v>50.000000000000043</c:v>
                </c:pt>
                <c:pt idx="7">
                  <c:v>49.999999999999993</c:v>
                </c:pt>
                <c:pt idx="8">
                  <c:v>30.999999999999993</c:v>
                </c:pt>
                <c:pt idx="9">
                  <c:v>50.000000000000007</c:v>
                </c:pt>
                <c:pt idx="10">
                  <c:v>49.999999999999993</c:v>
                </c:pt>
                <c:pt idx="11">
                  <c:v>30.999999999999993</c:v>
                </c:pt>
                <c:pt idx="12">
                  <c:v>49.999999999999993</c:v>
                </c:pt>
                <c:pt idx="13">
                  <c:v>49.999999999999993</c:v>
                </c:pt>
                <c:pt idx="14">
                  <c:v>30.999999999999993</c:v>
                </c:pt>
                <c:pt idx="15">
                  <c:v>50.000000000000078</c:v>
                </c:pt>
                <c:pt idx="16">
                  <c:v>30.999999999999993</c:v>
                </c:pt>
                <c:pt idx="17">
                  <c:v>30.999999999999993</c:v>
                </c:pt>
                <c:pt idx="18">
                  <c:v>52.000000000000007</c:v>
                </c:pt>
                <c:pt idx="19">
                  <c:v>49.999999999999993</c:v>
                </c:pt>
                <c:pt idx="20">
                  <c:v>0</c:v>
                </c:pt>
                <c:pt idx="21">
                  <c:v>50.000000000000007</c:v>
                </c:pt>
                <c:pt idx="22">
                  <c:v>30.999999999999996</c:v>
                </c:pt>
                <c:pt idx="23">
                  <c:v>76.896103896103924</c:v>
                </c:pt>
                <c:pt idx="24">
                  <c:v>52.000000000000007</c:v>
                </c:pt>
                <c:pt idx="25">
                  <c:v>50.000000000000021</c:v>
                </c:pt>
                <c:pt idx="26">
                  <c:v>31.000000000000004</c:v>
                </c:pt>
                <c:pt idx="27">
                  <c:v>50.000000000000021</c:v>
                </c:pt>
                <c:pt idx="28">
                  <c:v>50.000000000000007</c:v>
                </c:pt>
                <c:pt idx="29">
                  <c:v>31.000000000000007</c:v>
                </c:pt>
                <c:pt idx="30">
                  <c:v>50.000000000000014</c:v>
                </c:pt>
                <c:pt idx="31">
                  <c:v>50.000000000000014</c:v>
                </c:pt>
                <c:pt idx="32">
                  <c:v>0</c:v>
                </c:pt>
                <c:pt idx="33">
                  <c:v>49.999999999999993</c:v>
                </c:pt>
                <c:pt idx="34">
                  <c:v>50.000000000000007</c:v>
                </c:pt>
                <c:pt idx="35">
                  <c:v>93.000000000000028</c:v>
                </c:pt>
                <c:pt idx="36">
                  <c:v>50.000000000000028</c:v>
                </c:pt>
                <c:pt idx="37">
                  <c:v>50.000000000000014</c:v>
                </c:pt>
                <c:pt idx="38">
                  <c:v>30.999999999999996</c:v>
                </c:pt>
                <c:pt idx="39">
                  <c:v>49.999999999999993</c:v>
                </c:pt>
                <c:pt idx="40">
                  <c:v>50.000000000000007</c:v>
                </c:pt>
                <c:pt idx="41">
                  <c:v>31.000000000000007</c:v>
                </c:pt>
                <c:pt idx="42">
                  <c:v>52.000000000000007</c:v>
                </c:pt>
                <c:pt idx="43">
                  <c:v>50.000000000000014</c:v>
                </c:pt>
                <c:pt idx="44">
                  <c:v>0</c:v>
                </c:pt>
                <c:pt idx="45">
                  <c:v>50.000000000000021</c:v>
                </c:pt>
                <c:pt idx="46">
                  <c:v>50.000000000000007</c:v>
                </c:pt>
                <c:pt idx="47">
                  <c:v>106.7777777777778</c:v>
                </c:pt>
                <c:pt idx="48">
                  <c:v>50.000000000000028</c:v>
                </c:pt>
                <c:pt idx="49">
                  <c:v>50.000000000000007</c:v>
                </c:pt>
                <c:pt idx="50">
                  <c:v>0</c:v>
                </c:pt>
                <c:pt idx="51">
                  <c:v>50.000000000000007</c:v>
                </c:pt>
                <c:pt idx="52">
                  <c:v>31.000000000000007</c:v>
                </c:pt>
                <c:pt idx="53">
                  <c:v>85.25</c:v>
                </c:pt>
                <c:pt idx="54">
                  <c:v>34</c:v>
                </c:pt>
                <c:pt idx="55">
                  <c:v>33.999999999999986</c:v>
                </c:pt>
                <c:pt idx="56">
                  <c:v>30.999999999999996</c:v>
                </c:pt>
                <c:pt idx="57">
                  <c:v>34</c:v>
                </c:pt>
                <c:pt idx="58">
                  <c:v>31.000000000000007</c:v>
                </c:pt>
                <c:pt idx="59">
                  <c:v>31.000000000000025</c:v>
                </c:pt>
                <c:pt idx="60">
                  <c:v>52.000000000000014</c:v>
                </c:pt>
                <c:pt idx="61">
                  <c:v>33.999999999999986</c:v>
                </c:pt>
                <c:pt idx="62">
                  <c:v>30.000000000000004</c:v>
                </c:pt>
                <c:pt idx="63">
                  <c:v>34</c:v>
                </c:pt>
                <c:pt idx="64">
                  <c:v>31.000000000000007</c:v>
                </c:pt>
                <c:pt idx="65">
                  <c:v>30</c:v>
                </c:pt>
                <c:pt idx="66">
                  <c:v>54</c:v>
                </c:pt>
                <c:pt idx="67">
                  <c:v>50.000000000000007</c:v>
                </c:pt>
                <c:pt idx="68">
                  <c:v>31.000000000000007</c:v>
                </c:pt>
                <c:pt idx="69">
                  <c:v>54</c:v>
                </c:pt>
                <c:pt idx="70">
                  <c:v>31.000000000000004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8D7D-4231-A0D1-853D049395B6}"/>
            </c:ext>
          </c:extLst>
        </c:ser>
        <c:ser>
          <c:idx val="132"/>
          <c:order val="132"/>
          <c:tx>
            <c:strRef>
              <c:f>LRMC!$A$136:$C$136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Node_7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LRMC!$D$136:$BW$136</c:f>
              <c:numCache>
                <c:formatCode>0</c:formatCode>
                <c:ptCount val="72"/>
                <c:pt idx="0">
                  <c:v>34</c:v>
                </c:pt>
                <c:pt idx="1">
                  <c:v>49.999999999999986</c:v>
                </c:pt>
                <c:pt idx="2">
                  <c:v>0</c:v>
                </c:pt>
                <c:pt idx="3">
                  <c:v>10000</c:v>
                </c:pt>
                <c:pt idx="4">
                  <c:v>118.88888888888889</c:v>
                </c:pt>
                <c:pt idx="5">
                  <c:v>106.77777777777776</c:v>
                </c:pt>
                <c:pt idx="6">
                  <c:v>50.000000000000043</c:v>
                </c:pt>
                <c:pt idx="7">
                  <c:v>49.999999999999993</c:v>
                </c:pt>
                <c:pt idx="8">
                  <c:v>30.999999999999993</c:v>
                </c:pt>
                <c:pt idx="9">
                  <c:v>50.000000000000007</c:v>
                </c:pt>
                <c:pt idx="10">
                  <c:v>49.999999999999993</c:v>
                </c:pt>
                <c:pt idx="11">
                  <c:v>30.999999999999996</c:v>
                </c:pt>
                <c:pt idx="12">
                  <c:v>49.999999999999993</c:v>
                </c:pt>
                <c:pt idx="13">
                  <c:v>49.999999999999993</c:v>
                </c:pt>
                <c:pt idx="14">
                  <c:v>30.999999999999996</c:v>
                </c:pt>
                <c:pt idx="15">
                  <c:v>50.000000000000078</c:v>
                </c:pt>
                <c:pt idx="16">
                  <c:v>30.999999999999993</c:v>
                </c:pt>
                <c:pt idx="17">
                  <c:v>30.999999999999993</c:v>
                </c:pt>
                <c:pt idx="18">
                  <c:v>52.000000000000007</c:v>
                </c:pt>
                <c:pt idx="19">
                  <c:v>49.999999999999993</c:v>
                </c:pt>
                <c:pt idx="20">
                  <c:v>0</c:v>
                </c:pt>
                <c:pt idx="21">
                  <c:v>50.000000000000007</c:v>
                </c:pt>
                <c:pt idx="22">
                  <c:v>30.999999999999996</c:v>
                </c:pt>
                <c:pt idx="23">
                  <c:v>76.896103896103924</c:v>
                </c:pt>
                <c:pt idx="24">
                  <c:v>52.000000000000007</c:v>
                </c:pt>
                <c:pt idx="25">
                  <c:v>50.000000000000021</c:v>
                </c:pt>
                <c:pt idx="26">
                  <c:v>30.999999999999996</c:v>
                </c:pt>
                <c:pt idx="27">
                  <c:v>50.000000000000021</c:v>
                </c:pt>
                <c:pt idx="28">
                  <c:v>50.000000000000007</c:v>
                </c:pt>
                <c:pt idx="29">
                  <c:v>31.000000000000011</c:v>
                </c:pt>
                <c:pt idx="30">
                  <c:v>50.000000000000014</c:v>
                </c:pt>
                <c:pt idx="31">
                  <c:v>50.000000000000014</c:v>
                </c:pt>
                <c:pt idx="32">
                  <c:v>0</c:v>
                </c:pt>
                <c:pt idx="33">
                  <c:v>49.999999999999993</c:v>
                </c:pt>
                <c:pt idx="34">
                  <c:v>50.000000000000007</c:v>
                </c:pt>
                <c:pt idx="35">
                  <c:v>93.000000000000028</c:v>
                </c:pt>
                <c:pt idx="36">
                  <c:v>50.000000000000028</c:v>
                </c:pt>
                <c:pt idx="37">
                  <c:v>50.000000000000014</c:v>
                </c:pt>
                <c:pt idx="38">
                  <c:v>30.999999999999996</c:v>
                </c:pt>
                <c:pt idx="39">
                  <c:v>49.999999999999993</c:v>
                </c:pt>
                <c:pt idx="40">
                  <c:v>50.000000000000007</c:v>
                </c:pt>
                <c:pt idx="41">
                  <c:v>31.000000000000007</c:v>
                </c:pt>
                <c:pt idx="42">
                  <c:v>52.000000000000007</c:v>
                </c:pt>
                <c:pt idx="43">
                  <c:v>50.000000000000014</c:v>
                </c:pt>
                <c:pt idx="44">
                  <c:v>0</c:v>
                </c:pt>
                <c:pt idx="45">
                  <c:v>50.000000000000021</c:v>
                </c:pt>
                <c:pt idx="46">
                  <c:v>50.000000000000007</c:v>
                </c:pt>
                <c:pt idx="47">
                  <c:v>106.7777777777778</c:v>
                </c:pt>
                <c:pt idx="48">
                  <c:v>50.000000000000028</c:v>
                </c:pt>
                <c:pt idx="49">
                  <c:v>50.000000000000007</c:v>
                </c:pt>
                <c:pt idx="50">
                  <c:v>0</c:v>
                </c:pt>
                <c:pt idx="51">
                  <c:v>50.000000000000007</c:v>
                </c:pt>
                <c:pt idx="52">
                  <c:v>31.000000000000007</c:v>
                </c:pt>
                <c:pt idx="53">
                  <c:v>85.25</c:v>
                </c:pt>
                <c:pt idx="54">
                  <c:v>34</c:v>
                </c:pt>
                <c:pt idx="55">
                  <c:v>34</c:v>
                </c:pt>
                <c:pt idx="56">
                  <c:v>30.999999999999996</c:v>
                </c:pt>
                <c:pt idx="57">
                  <c:v>33.999999999999979</c:v>
                </c:pt>
                <c:pt idx="58">
                  <c:v>31.000000000000007</c:v>
                </c:pt>
                <c:pt idx="59">
                  <c:v>31.000000000000025</c:v>
                </c:pt>
                <c:pt idx="60">
                  <c:v>52.000000000000014</c:v>
                </c:pt>
                <c:pt idx="61">
                  <c:v>34</c:v>
                </c:pt>
                <c:pt idx="62">
                  <c:v>30.000000000000004</c:v>
                </c:pt>
                <c:pt idx="63">
                  <c:v>33.999999999999979</c:v>
                </c:pt>
                <c:pt idx="64">
                  <c:v>31.000000000000007</c:v>
                </c:pt>
                <c:pt idx="65">
                  <c:v>30</c:v>
                </c:pt>
                <c:pt idx="66">
                  <c:v>54</c:v>
                </c:pt>
                <c:pt idx="67">
                  <c:v>50.000000000000007</c:v>
                </c:pt>
                <c:pt idx="68">
                  <c:v>31.000000000000007</c:v>
                </c:pt>
                <c:pt idx="69">
                  <c:v>54</c:v>
                </c:pt>
                <c:pt idx="70">
                  <c:v>31.000000000000004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8D7D-4231-A0D1-853D049395B6}"/>
            </c:ext>
          </c:extLst>
        </c:ser>
        <c:ser>
          <c:idx val="133"/>
          <c:order val="133"/>
          <c:tx>
            <c:strRef>
              <c:f>LRMC!$A$137:$C$137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Node_8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LRMC!$D$137:$BW$137</c:f>
              <c:numCache>
                <c:formatCode>0</c:formatCode>
                <c:ptCount val="72"/>
                <c:pt idx="0">
                  <c:v>34</c:v>
                </c:pt>
                <c:pt idx="1">
                  <c:v>49.999999999999986</c:v>
                </c:pt>
                <c:pt idx="2">
                  <c:v>0</c:v>
                </c:pt>
                <c:pt idx="3">
                  <c:v>10000</c:v>
                </c:pt>
                <c:pt idx="4">
                  <c:v>118.88888888888889</c:v>
                </c:pt>
                <c:pt idx="5">
                  <c:v>106.77777777777776</c:v>
                </c:pt>
                <c:pt idx="6">
                  <c:v>50.000000000000043</c:v>
                </c:pt>
                <c:pt idx="7">
                  <c:v>49.999999999999993</c:v>
                </c:pt>
                <c:pt idx="8">
                  <c:v>30.999999999999993</c:v>
                </c:pt>
                <c:pt idx="9">
                  <c:v>50.000000000000007</c:v>
                </c:pt>
                <c:pt idx="10">
                  <c:v>49.999999999999993</c:v>
                </c:pt>
                <c:pt idx="11">
                  <c:v>30.999999999999996</c:v>
                </c:pt>
                <c:pt idx="12">
                  <c:v>49.999999999999993</c:v>
                </c:pt>
                <c:pt idx="13">
                  <c:v>49.999999999999993</c:v>
                </c:pt>
                <c:pt idx="14">
                  <c:v>30.999999999999996</c:v>
                </c:pt>
                <c:pt idx="15">
                  <c:v>50.000000000000078</c:v>
                </c:pt>
                <c:pt idx="16">
                  <c:v>30.999999999999993</c:v>
                </c:pt>
                <c:pt idx="17">
                  <c:v>30.999999999999993</c:v>
                </c:pt>
                <c:pt idx="18">
                  <c:v>52.000000000000007</c:v>
                </c:pt>
                <c:pt idx="19">
                  <c:v>49.999999999999993</c:v>
                </c:pt>
                <c:pt idx="20">
                  <c:v>0</c:v>
                </c:pt>
                <c:pt idx="21">
                  <c:v>50.000000000000007</c:v>
                </c:pt>
                <c:pt idx="22">
                  <c:v>30.999999999999996</c:v>
                </c:pt>
                <c:pt idx="23">
                  <c:v>76.896103896103924</c:v>
                </c:pt>
                <c:pt idx="24">
                  <c:v>52.000000000000007</c:v>
                </c:pt>
                <c:pt idx="25">
                  <c:v>50.000000000000021</c:v>
                </c:pt>
                <c:pt idx="26">
                  <c:v>30.999999999999996</c:v>
                </c:pt>
                <c:pt idx="27">
                  <c:v>50.000000000000021</c:v>
                </c:pt>
                <c:pt idx="28">
                  <c:v>50.000000000000007</c:v>
                </c:pt>
                <c:pt idx="29">
                  <c:v>31.000000000000011</c:v>
                </c:pt>
                <c:pt idx="30">
                  <c:v>50.000000000000014</c:v>
                </c:pt>
                <c:pt idx="31">
                  <c:v>50.000000000000014</c:v>
                </c:pt>
                <c:pt idx="32">
                  <c:v>0</c:v>
                </c:pt>
                <c:pt idx="33">
                  <c:v>49.999999999999993</c:v>
                </c:pt>
                <c:pt idx="34">
                  <c:v>50.000000000000007</c:v>
                </c:pt>
                <c:pt idx="35">
                  <c:v>93.000000000000028</c:v>
                </c:pt>
                <c:pt idx="36">
                  <c:v>50.000000000000028</c:v>
                </c:pt>
                <c:pt idx="37">
                  <c:v>50.000000000000014</c:v>
                </c:pt>
                <c:pt idx="38">
                  <c:v>30.999999999999996</c:v>
                </c:pt>
                <c:pt idx="39">
                  <c:v>49.999999999999993</c:v>
                </c:pt>
                <c:pt idx="40">
                  <c:v>50.000000000000007</c:v>
                </c:pt>
                <c:pt idx="41">
                  <c:v>31.000000000000007</c:v>
                </c:pt>
                <c:pt idx="42">
                  <c:v>52.000000000000007</c:v>
                </c:pt>
                <c:pt idx="43">
                  <c:v>50.000000000000014</c:v>
                </c:pt>
                <c:pt idx="44">
                  <c:v>0</c:v>
                </c:pt>
                <c:pt idx="45">
                  <c:v>50.000000000000021</c:v>
                </c:pt>
                <c:pt idx="46">
                  <c:v>50.000000000000007</c:v>
                </c:pt>
                <c:pt idx="47">
                  <c:v>106.7777777777778</c:v>
                </c:pt>
                <c:pt idx="48">
                  <c:v>50.000000000000028</c:v>
                </c:pt>
                <c:pt idx="49">
                  <c:v>50.000000000000007</c:v>
                </c:pt>
                <c:pt idx="50">
                  <c:v>0</c:v>
                </c:pt>
                <c:pt idx="51">
                  <c:v>50.000000000000007</c:v>
                </c:pt>
                <c:pt idx="52">
                  <c:v>31.000000000000007</c:v>
                </c:pt>
                <c:pt idx="53">
                  <c:v>85.25</c:v>
                </c:pt>
                <c:pt idx="54">
                  <c:v>34</c:v>
                </c:pt>
                <c:pt idx="55">
                  <c:v>34</c:v>
                </c:pt>
                <c:pt idx="56">
                  <c:v>30.999999999999996</c:v>
                </c:pt>
                <c:pt idx="57">
                  <c:v>33.999999999999979</c:v>
                </c:pt>
                <c:pt idx="58">
                  <c:v>31.000000000000007</c:v>
                </c:pt>
                <c:pt idx="59">
                  <c:v>31.000000000000025</c:v>
                </c:pt>
                <c:pt idx="60">
                  <c:v>52.000000000000014</c:v>
                </c:pt>
                <c:pt idx="61">
                  <c:v>34</c:v>
                </c:pt>
                <c:pt idx="62">
                  <c:v>30.000000000000004</c:v>
                </c:pt>
                <c:pt idx="63">
                  <c:v>33.999999999999979</c:v>
                </c:pt>
                <c:pt idx="64">
                  <c:v>31.000000000000007</c:v>
                </c:pt>
                <c:pt idx="65">
                  <c:v>30</c:v>
                </c:pt>
                <c:pt idx="66">
                  <c:v>54</c:v>
                </c:pt>
                <c:pt idx="67">
                  <c:v>50.000000000000007</c:v>
                </c:pt>
                <c:pt idx="68">
                  <c:v>31.000000000000007</c:v>
                </c:pt>
                <c:pt idx="69">
                  <c:v>54</c:v>
                </c:pt>
                <c:pt idx="70">
                  <c:v>31.000000000000004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8D7D-4231-A0D1-853D049395B6}"/>
            </c:ext>
          </c:extLst>
        </c:ser>
        <c:ser>
          <c:idx val="134"/>
          <c:order val="134"/>
          <c:tx>
            <c:strRef>
              <c:f>LRMC!$A$138:$C$138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Node_9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LRMC!$D$138:$BW$138</c:f>
              <c:numCache>
                <c:formatCode>0</c:formatCode>
                <c:ptCount val="72"/>
                <c:pt idx="0">
                  <c:v>34</c:v>
                </c:pt>
                <c:pt idx="1">
                  <c:v>49.999999999999986</c:v>
                </c:pt>
                <c:pt idx="2">
                  <c:v>0</c:v>
                </c:pt>
                <c:pt idx="3">
                  <c:v>9999.9999999999945</c:v>
                </c:pt>
                <c:pt idx="4">
                  <c:v>118.88888888888889</c:v>
                </c:pt>
                <c:pt idx="5">
                  <c:v>106.77777777777776</c:v>
                </c:pt>
                <c:pt idx="6">
                  <c:v>50.000000000000043</c:v>
                </c:pt>
                <c:pt idx="7">
                  <c:v>49.999999999999993</c:v>
                </c:pt>
                <c:pt idx="8">
                  <c:v>30.999999999999993</c:v>
                </c:pt>
                <c:pt idx="9">
                  <c:v>50.000000000000007</c:v>
                </c:pt>
                <c:pt idx="10">
                  <c:v>49.999999999999993</c:v>
                </c:pt>
                <c:pt idx="11">
                  <c:v>30.999999999999996</c:v>
                </c:pt>
                <c:pt idx="12">
                  <c:v>49.999999999999993</c:v>
                </c:pt>
                <c:pt idx="13">
                  <c:v>49.999999999999993</c:v>
                </c:pt>
                <c:pt idx="14">
                  <c:v>30.999999999999996</c:v>
                </c:pt>
                <c:pt idx="15">
                  <c:v>50.000000000000078</c:v>
                </c:pt>
                <c:pt idx="16">
                  <c:v>30.999999999999993</c:v>
                </c:pt>
                <c:pt idx="17">
                  <c:v>30.999999999999993</c:v>
                </c:pt>
                <c:pt idx="18">
                  <c:v>52.000000000000007</c:v>
                </c:pt>
                <c:pt idx="19">
                  <c:v>49.999999999999993</c:v>
                </c:pt>
                <c:pt idx="20">
                  <c:v>0</c:v>
                </c:pt>
                <c:pt idx="21">
                  <c:v>50.000000000000007</c:v>
                </c:pt>
                <c:pt idx="22">
                  <c:v>30.999999999999996</c:v>
                </c:pt>
                <c:pt idx="23">
                  <c:v>76.896103896103924</c:v>
                </c:pt>
                <c:pt idx="24">
                  <c:v>52.000000000000007</c:v>
                </c:pt>
                <c:pt idx="25">
                  <c:v>50.000000000000021</c:v>
                </c:pt>
                <c:pt idx="26">
                  <c:v>30.999999999999996</c:v>
                </c:pt>
                <c:pt idx="27">
                  <c:v>50.000000000000021</c:v>
                </c:pt>
                <c:pt idx="28">
                  <c:v>50.000000000000007</c:v>
                </c:pt>
                <c:pt idx="29">
                  <c:v>31.000000000000011</c:v>
                </c:pt>
                <c:pt idx="30">
                  <c:v>50.000000000000014</c:v>
                </c:pt>
                <c:pt idx="31">
                  <c:v>50.000000000000014</c:v>
                </c:pt>
                <c:pt idx="32">
                  <c:v>0</c:v>
                </c:pt>
                <c:pt idx="33">
                  <c:v>49.999999999999993</c:v>
                </c:pt>
                <c:pt idx="34">
                  <c:v>50.000000000000007</c:v>
                </c:pt>
                <c:pt idx="35">
                  <c:v>93.000000000000028</c:v>
                </c:pt>
                <c:pt idx="36">
                  <c:v>50.000000000000028</c:v>
                </c:pt>
                <c:pt idx="37">
                  <c:v>50.000000000000014</c:v>
                </c:pt>
                <c:pt idx="38">
                  <c:v>30.999999999999996</c:v>
                </c:pt>
                <c:pt idx="39">
                  <c:v>49.999999999999993</c:v>
                </c:pt>
                <c:pt idx="40">
                  <c:v>50.000000000000007</c:v>
                </c:pt>
                <c:pt idx="41">
                  <c:v>31.000000000000007</c:v>
                </c:pt>
                <c:pt idx="42">
                  <c:v>52.000000000000007</c:v>
                </c:pt>
                <c:pt idx="43">
                  <c:v>50.000000000000014</c:v>
                </c:pt>
                <c:pt idx="44">
                  <c:v>0</c:v>
                </c:pt>
                <c:pt idx="45">
                  <c:v>50.000000000000021</c:v>
                </c:pt>
                <c:pt idx="46">
                  <c:v>50.000000000000007</c:v>
                </c:pt>
                <c:pt idx="47">
                  <c:v>106.7777777777778</c:v>
                </c:pt>
                <c:pt idx="48">
                  <c:v>50.000000000000028</c:v>
                </c:pt>
                <c:pt idx="49">
                  <c:v>50.000000000000007</c:v>
                </c:pt>
                <c:pt idx="50">
                  <c:v>0</c:v>
                </c:pt>
                <c:pt idx="51">
                  <c:v>50.000000000000007</c:v>
                </c:pt>
                <c:pt idx="52">
                  <c:v>31.000000000000007</c:v>
                </c:pt>
                <c:pt idx="53">
                  <c:v>85.25</c:v>
                </c:pt>
                <c:pt idx="54">
                  <c:v>34</c:v>
                </c:pt>
                <c:pt idx="55">
                  <c:v>34</c:v>
                </c:pt>
                <c:pt idx="56">
                  <c:v>30.999999999999996</c:v>
                </c:pt>
                <c:pt idx="57">
                  <c:v>33.999999999999979</c:v>
                </c:pt>
                <c:pt idx="58">
                  <c:v>31.000000000000007</c:v>
                </c:pt>
                <c:pt idx="59">
                  <c:v>31.000000000000025</c:v>
                </c:pt>
                <c:pt idx="60">
                  <c:v>52.000000000000014</c:v>
                </c:pt>
                <c:pt idx="61">
                  <c:v>34</c:v>
                </c:pt>
                <c:pt idx="62">
                  <c:v>30.000000000000004</c:v>
                </c:pt>
                <c:pt idx="63">
                  <c:v>33.999999999999979</c:v>
                </c:pt>
                <c:pt idx="64">
                  <c:v>31.000000000000007</c:v>
                </c:pt>
                <c:pt idx="65">
                  <c:v>30</c:v>
                </c:pt>
                <c:pt idx="66">
                  <c:v>54</c:v>
                </c:pt>
                <c:pt idx="67">
                  <c:v>50.000000000000007</c:v>
                </c:pt>
                <c:pt idx="68">
                  <c:v>31.000000000000007</c:v>
                </c:pt>
                <c:pt idx="69">
                  <c:v>54</c:v>
                </c:pt>
                <c:pt idx="70">
                  <c:v>31.000000000000004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8D7D-4231-A0D1-853D04939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6021872"/>
        <c:axId val="386023120"/>
      </c:barChart>
      <c:catAx>
        <c:axId val="38602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Load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6023120"/>
        <c:crosses val="autoZero"/>
        <c:auto val="1"/>
        <c:lblAlgn val="ctr"/>
        <c:lblOffset val="100"/>
        <c:noMultiLvlLbl val="0"/>
      </c:catAx>
      <c:valAx>
        <c:axId val="38602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LRMC [EUR/MWh]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602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>
    <tabColor rgb="FF00B0F0"/>
  </sheetPr>
  <sheetViews>
    <sheetView zoomScale="89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>
    <tabColor rgb="FF00B0F0"/>
  </sheetPr>
  <sheetViews>
    <sheetView zoomScale="89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>
    <tabColor rgb="FF00B0F0"/>
  </sheetPr>
  <sheetViews>
    <sheetView zoomScale="8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>
    <tabColor rgb="FF00B0F0"/>
  </sheetPr>
  <sheetViews>
    <sheetView zoomScale="89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>
    <tabColor rgb="FF00B0F0"/>
  </sheetPr>
  <sheetViews>
    <sheetView zoomScale="89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500-000000000000}">
  <sheetPr>
    <tabColor rgb="FF00B0F0"/>
  </sheetPr>
  <sheetViews>
    <sheetView zoomScale="8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1089660</xdr:colOff>
          <xdr:row>23</xdr:row>
          <xdr:rowOff>60960</xdr:rowOff>
        </xdr:from>
        <xdr:to>
          <xdr:col>5</xdr:col>
          <xdr:colOff>2971800</xdr:colOff>
          <xdr:row>24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1089660</xdr:colOff>
          <xdr:row>25</xdr:row>
          <xdr:rowOff>83820</xdr:rowOff>
        </xdr:from>
        <xdr:to>
          <xdr:col>5</xdr:col>
          <xdr:colOff>2971800</xdr:colOff>
          <xdr:row>27</xdr:row>
          <xdr:rowOff>22860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results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701040</xdr:colOff>
      <xdr:row>6</xdr:row>
      <xdr:rowOff>30480</xdr:rowOff>
    </xdr:from>
    <xdr:to>
      <xdr:col>7</xdr:col>
      <xdr:colOff>383965</xdr:colOff>
      <xdr:row>16</xdr:row>
      <xdr:rowOff>135032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64080" y="1242060"/>
          <a:ext cx="6761905" cy="1780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66675</xdr:colOff>
      <xdr:row>1</xdr:row>
      <xdr:rowOff>0</xdr:rowOff>
    </xdr:from>
    <xdr:to>
      <xdr:col>19</xdr:col>
      <xdr:colOff>619125</xdr:colOff>
      <xdr:row>21</xdr:row>
      <xdr:rowOff>104775</xdr:rowOff>
    </xdr:to>
    <xdr:graphicFrame macro="">
      <xdr:nvGraphicFramePr>
        <xdr:cNvPr id="4109" name="Chart 1">
          <a:extLst>
            <a:ext uri="{FF2B5EF4-FFF2-40B4-BE49-F238E27FC236}">
              <a16:creationId xmlns:a16="http://schemas.microsoft.com/office/drawing/2014/main" id="{00000000-0008-0000-0300-00000D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112" cy="607031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8112" cy="607031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8112" cy="607031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98112" cy="607031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8112" cy="607031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8112" cy="607031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://www.iit.comillas.edu/aramos/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ailto:andres.ramos@comillas.edu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>
    <tabColor indexed="51"/>
  </sheetPr>
  <dimension ref="A1:I22"/>
  <sheetViews>
    <sheetView showGridLines="0" showRowColHeaders="0" tabSelected="1" workbookViewId="0"/>
  </sheetViews>
  <sheetFormatPr baseColWidth="10" defaultColWidth="10.6640625" defaultRowHeight="13.2" x14ac:dyDescent="0.25"/>
  <cols>
    <col min="1" max="5" width="10.6640625" customWidth="1"/>
    <col min="6" max="6" width="60.5546875" style="1" bestFit="1" customWidth="1"/>
  </cols>
  <sheetData>
    <row r="1" spans="1:9" ht="13.8" x14ac:dyDescent="0.3">
      <c r="A1" s="6"/>
    </row>
    <row r="4" spans="1:9" ht="28.8" x14ac:dyDescent="0.65">
      <c r="C4" s="4"/>
      <c r="D4" s="4"/>
      <c r="E4" s="4"/>
      <c r="F4" s="5" t="s">
        <v>105</v>
      </c>
      <c r="G4" s="4"/>
      <c r="H4" s="4"/>
      <c r="I4" s="4"/>
    </row>
    <row r="20" spans="6:6" ht="25.8" x14ac:dyDescent="0.55000000000000004">
      <c r="F20" s="3" t="s">
        <v>13</v>
      </c>
    </row>
    <row r="21" spans="6:6" ht="18" x14ac:dyDescent="0.35">
      <c r="F21" s="2" t="s">
        <v>170</v>
      </c>
    </row>
    <row r="22" spans="6:6" ht="18" x14ac:dyDescent="0.35">
      <c r="F22" s="2" t="s">
        <v>164</v>
      </c>
    </row>
  </sheetData>
  <customSheetViews>
    <customSheetView guid="{162D0EED-4A71-4EB6-8FDF-A42498BFDBC9}" showGridLines="0" showRuler="0">
      <selection activeCell="B4" sqref="B4"/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hyperlinks>
    <hyperlink ref="F22" r:id="rId2" xr:uid="{00000000-0004-0000-0000-000000000000}"/>
    <hyperlink ref="F21" r:id="rId3" display="http://www.iit.comillas.edu/aramos/" xr:uid="{00000000-0004-0000-0000-000001000000}"/>
  </hyperlinks>
  <pageMargins left="0.75" right="0.75" top="1" bottom="1" header="0" footer="0"/>
  <pageSetup paperSize="9" orientation="portrait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ModelExecution">
                <anchor moveWithCells="1">
                  <from>
                    <xdr:col>5</xdr:col>
                    <xdr:colOff>1089660</xdr:colOff>
                    <xdr:row>23</xdr:row>
                    <xdr:rowOff>60960</xdr:rowOff>
                  </from>
                  <to>
                    <xdr:col>5</xdr:col>
                    <xdr:colOff>2971800</xdr:colOff>
                    <xdr:row>24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CollectResults">
                <anchor moveWithCells="1" sizeWithCells="1">
                  <from>
                    <xdr:col>5</xdr:col>
                    <xdr:colOff>1089660</xdr:colOff>
                    <xdr:row>25</xdr:row>
                    <xdr:rowOff>83820</xdr:rowOff>
                  </from>
                  <to>
                    <xdr:col>5</xdr:col>
                    <xdr:colOff>2971800</xdr:colOff>
                    <xdr:row>27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>
    <tabColor indexed="57"/>
  </sheetPr>
  <dimension ref="B1:J107"/>
  <sheetViews>
    <sheetView showGridLines="0" topLeftCell="A90" workbookViewId="0">
      <selection activeCell="A118" sqref="A118"/>
    </sheetView>
  </sheetViews>
  <sheetFormatPr baseColWidth="10" defaultColWidth="11.44140625" defaultRowHeight="13.8" x14ac:dyDescent="0.3"/>
  <cols>
    <col min="1" max="2" width="3.6640625" style="6" customWidth="1"/>
    <col min="3" max="3" width="8.33203125" style="6" bestFit="1" customWidth="1"/>
    <col min="4" max="4" width="34.5546875" style="6" bestFit="1" customWidth="1"/>
    <col min="5" max="5" width="1.6640625" style="6" bestFit="1" customWidth="1"/>
    <col min="6" max="6" width="24.44140625" style="6" bestFit="1" customWidth="1"/>
    <col min="7" max="7" width="1.88671875" style="10" bestFit="1" customWidth="1"/>
    <col min="8" max="8" width="18.6640625" style="6" bestFit="1" customWidth="1"/>
    <col min="9" max="9" width="1.6640625" style="6" bestFit="1" customWidth="1"/>
    <col min="10" max="10" width="3.6640625" style="6" customWidth="1"/>
    <col min="11" max="16384" width="11.44140625" style="6"/>
  </cols>
  <sheetData>
    <row r="1" spans="2:10" ht="14.4" thickBot="1" x14ac:dyDescent="0.35"/>
    <row r="2" spans="2:10" x14ac:dyDescent="0.3">
      <c r="B2" s="11"/>
      <c r="C2" s="12"/>
      <c r="D2" s="12"/>
      <c r="E2" s="12"/>
      <c r="F2" s="12"/>
      <c r="G2" s="13"/>
      <c r="H2" s="12"/>
      <c r="I2" s="12"/>
      <c r="J2" s="14"/>
    </row>
    <row r="3" spans="2:10" x14ac:dyDescent="0.3">
      <c r="B3" s="15" t="s">
        <v>14</v>
      </c>
      <c r="J3" s="16"/>
    </row>
    <row r="4" spans="2:10" x14ac:dyDescent="0.3">
      <c r="B4" s="15"/>
      <c r="J4" s="16"/>
    </row>
    <row r="5" spans="2:10" x14ac:dyDescent="0.3">
      <c r="B5" s="17"/>
      <c r="C5" s="6" t="s">
        <v>87</v>
      </c>
      <c r="D5" s="18" t="s">
        <v>88</v>
      </c>
      <c r="E5" s="19" t="s">
        <v>3</v>
      </c>
      <c r="F5" s="20" t="s">
        <v>89</v>
      </c>
      <c r="G5" s="10" t="s">
        <v>15</v>
      </c>
      <c r="H5" s="20" t="s">
        <v>100</v>
      </c>
      <c r="I5" s="19" t="s">
        <v>3</v>
      </c>
      <c r="J5" s="16"/>
    </row>
    <row r="6" spans="2:10" x14ac:dyDescent="0.3">
      <c r="B6" s="17"/>
      <c r="C6" s="6" t="s">
        <v>17</v>
      </c>
      <c r="D6" s="18" t="s">
        <v>20</v>
      </c>
      <c r="E6" s="19" t="s">
        <v>3</v>
      </c>
      <c r="F6" s="20" t="s">
        <v>21</v>
      </c>
      <c r="G6" s="10" t="s">
        <v>15</v>
      </c>
      <c r="H6" s="20" t="s">
        <v>22</v>
      </c>
      <c r="I6" s="19" t="s">
        <v>3</v>
      </c>
      <c r="J6" s="16"/>
    </row>
    <row r="7" spans="2:10" x14ac:dyDescent="0.3">
      <c r="B7" s="17"/>
      <c r="C7" s="6" t="s">
        <v>0</v>
      </c>
      <c r="D7" s="18" t="s">
        <v>23</v>
      </c>
      <c r="E7" s="19" t="s">
        <v>3</v>
      </c>
      <c r="F7" s="20" t="s">
        <v>156</v>
      </c>
      <c r="G7" s="10" t="s">
        <v>53</v>
      </c>
      <c r="H7" s="20" t="s">
        <v>39</v>
      </c>
      <c r="I7" s="19" t="s">
        <v>3</v>
      </c>
      <c r="J7" s="16"/>
    </row>
    <row r="8" spans="2:10" x14ac:dyDescent="0.3">
      <c r="B8" s="17"/>
      <c r="C8" s="6" t="s">
        <v>24</v>
      </c>
      <c r="D8" s="18" t="s">
        <v>25</v>
      </c>
      <c r="E8" s="19" t="s">
        <v>3</v>
      </c>
      <c r="F8" s="20" t="s">
        <v>26</v>
      </c>
      <c r="G8" s="10" t="s">
        <v>15</v>
      </c>
      <c r="H8" s="20" t="s">
        <v>57</v>
      </c>
      <c r="I8" s="19" t="s">
        <v>3</v>
      </c>
      <c r="J8" s="16"/>
    </row>
    <row r="9" spans="2:10" x14ac:dyDescent="0.3">
      <c r="B9" s="17"/>
      <c r="C9" s="6" t="s">
        <v>55</v>
      </c>
      <c r="D9" s="18" t="s">
        <v>2</v>
      </c>
      <c r="E9" s="19" t="s">
        <v>3</v>
      </c>
      <c r="F9" s="20" t="s">
        <v>8</v>
      </c>
      <c r="G9" s="10" t="s">
        <v>15</v>
      </c>
      <c r="H9" s="20" t="s">
        <v>10</v>
      </c>
      <c r="I9" s="19" t="s">
        <v>3</v>
      </c>
      <c r="J9" s="16"/>
    </row>
    <row r="10" spans="2:10" x14ac:dyDescent="0.3">
      <c r="B10" s="17"/>
      <c r="D10" s="18"/>
      <c r="J10" s="16"/>
    </row>
    <row r="11" spans="2:10" x14ac:dyDescent="0.3">
      <c r="B11" s="17"/>
      <c r="C11" s="6" t="s">
        <v>54</v>
      </c>
      <c r="D11" s="18" t="s">
        <v>1</v>
      </c>
      <c r="E11" s="19" t="s">
        <v>3</v>
      </c>
      <c r="F11" s="19"/>
      <c r="G11" s="21"/>
      <c r="H11" s="19"/>
      <c r="I11" s="19"/>
      <c r="J11" s="16"/>
    </row>
    <row r="12" spans="2:10" x14ac:dyDescent="0.3">
      <c r="B12" s="17"/>
      <c r="D12" s="18"/>
      <c r="E12" s="19"/>
      <c r="F12" s="22" t="s">
        <v>60</v>
      </c>
      <c r="G12" s="21"/>
      <c r="H12" s="19"/>
      <c r="I12" s="19"/>
      <c r="J12" s="16"/>
    </row>
    <row r="13" spans="2:10" x14ac:dyDescent="0.3">
      <c r="B13" s="17"/>
      <c r="D13" s="18"/>
      <c r="E13" s="19"/>
      <c r="F13" s="22" t="s">
        <v>150</v>
      </c>
      <c r="G13" s="21"/>
      <c r="H13" s="19"/>
      <c r="I13" s="19"/>
      <c r="J13" s="16"/>
    </row>
    <row r="14" spans="2:10" x14ac:dyDescent="0.3">
      <c r="B14" s="17"/>
      <c r="D14" s="18"/>
      <c r="E14" s="19"/>
      <c r="F14" s="22" t="s">
        <v>61</v>
      </c>
      <c r="G14" s="21"/>
      <c r="H14" s="19"/>
      <c r="I14" s="19"/>
      <c r="J14" s="16"/>
    </row>
    <row r="15" spans="2:10" x14ac:dyDescent="0.3">
      <c r="B15" s="17"/>
      <c r="D15" s="18"/>
      <c r="E15" s="19"/>
      <c r="F15" s="22" t="s">
        <v>152</v>
      </c>
      <c r="G15" s="21"/>
      <c r="H15" s="19"/>
      <c r="I15" s="19"/>
      <c r="J15" s="16"/>
    </row>
    <row r="16" spans="2:10" x14ac:dyDescent="0.3">
      <c r="B16" s="17"/>
      <c r="D16" s="18"/>
      <c r="E16" s="19"/>
      <c r="F16" s="22" t="s">
        <v>151</v>
      </c>
      <c r="G16" s="21"/>
      <c r="H16" s="19"/>
      <c r="I16" s="19"/>
      <c r="J16" s="16"/>
    </row>
    <row r="17" spans="2:10" x14ac:dyDescent="0.3">
      <c r="B17" s="17"/>
      <c r="D17" s="18"/>
      <c r="E17" s="19"/>
      <c r="F17" s="22" t="s">
        <v>62</v>
      </c>
      <c r="G17" s="21"/>
      <c r="H17" s="19"/>
      <c r="I17" s="19"/>
      <c r="J17" s="16"/>
    </row>
    <row r="18" spans="2:10" x14ac:dyDescent="0.3">
      <c r="B18" s="17"/>
      <c r="D18" s="18"/>
      <c r="E18" s="19"/>
      <c r="F18" s="22" t="s">
        <v>63</v>
      </c>
      <c r="G18" s="21"/>
      <c r="H18" s="19"/>
      <c r="I18" s="19"/>
      <c r="J18" s="16"/>
    </row>
    <row r="19" spans="2:10" x14ac:dyDescent="0.3">
      <c r="B19" s="17"/>
      <c r="D19" s="18"/>
      <c r="E19" s="19"/>
      <c r="F19" s="22" t="s">
        <v>64</v>
      </c>
      <c r="G19" s="21"/>
      <c r="H19" s="19"/>
      <c r="I19" s="19"/>
      <c r="J19" s="16"/>
    </row>
    <row r="20" spans="2:10" x14ac:dyDescent="0.3">
      <c r="B20" s="17"/>
      <c r="D20" s="18"/>
      <c r="E20" s="19"/>
      <c r="F20" s="22" t="s">
        <v>65</v>
      </c>
      <c r="G20" s="21"/>
      <c r="H20" s="19"/>
      <c r="I20" s="19"/>
      <c r="J20" s="16"/>
    </row>
    <row r="21" spans="2:10" x14ac:dyDescent="0.3">
      <c r="B21" s="17"/>
      <c r="D21" s="18"/>
      <c r="E21" s="19"/>
      <c r="F21" s="22" t="s">
        <v>66</v>
      </c>
      <c r="G21" s="21"/>
      <c r="H21" s="19"/>
      <c r="I21" s="19"/>
      <c r="J21" s="16"/>
    </row>
    <row r="22" spans="2:10" x14ac:dyDescent="0.3">
      <c r="B22" s="17"/>
      <c r="D22" s="18"/>
      <c r="E22" s="19"/>
      <c r="F22" s="22" t="s">
        <v>67</v>
      </c>
      <c r="G22" s="21"/>
      <c r="H22" s="19"/>
      <c r="I22" s="19"/>
      <c r="J22" s="16"/>
    </row>
    <row r="23" spans="2:10" x14ac:dyDescent="0.3">
      <c r="B23" s="17"/>
      <c r="D23" s="18"/>
      <c r="E23" s="19"/>
      <c r="F23" s="22" t="s">
        <v>68</v>
      </c>
      <c r="G23" s="21"/>
      <c r="H23" s="19"/>
      <c r="I23" s="19"/>
      <c r="J23" s="16"/>
    </row>
    <row r="24" spans="2:10" x14ac:dyDescent="0.3">
      <c r="B24" s="17"/>
      <c r="D24" s="18"/>
      <c r="E24" s="19"/>
      <c r="F24" s="22" t="s">
        <v>69</v>
      </c>
      <c r="G24" s="21"/>
      <c r="H24" s="19"/>
      <c r="I24" s="19"/>
      <c r="J24" s="16"/>
    </row>
    <row r="25" spans="2:10" x14ac:dyDescent="0.3">
      <c r="B25" s="17"/>
      <c r="D25" s="18"/>
      <c r="E25" s="19"/>
      <c r="F25" s="22"/>
      <c r="G25" s="21"/>
      <c r="H25" s="19"/>
      <c r="I25" s="19"/>
      <c r="J25" s="16"/>
    </row>
    <row r="26" spans="2:10" x14ac:dyDescent="0.3">
      <c r="B26" s="23" t="s">
        <v>15</v>
      </c>
      <c r="D26" s="18" t="s">
        <v>59</v>
      </c>
      <c r="E26" s="19"/>
      <c r="F26" s="19"/>
      <c r="G26" s="21"/>
      <c r="H26" s="19"/>
      <c r="I26" s="19"/>
      <c r="J26" s="16"/>
    </row>
    <row r="27" spans="2:10" x14ac:dyDescent="0.3">
      <c r="B27" s="17"/>
      <c r="D27" s="18"/>
      <c r="E27" s="19"/>
      <c r="F27" s="22" t="s">
        <v>27</v>
      </c>
      <c r="G27" s="21"/>
      <c r="H27" s="19"/>
      <c r="I27" s="19"/>
      <c r="J27" s="16"/>
    </row>
    <row r="28" spans="2:10" x14ac:dyDescent="0.3">
      <c r="B28" s="17"/>
      <c r="D28" s="18"/>
      <c r="E28" s="19"/>
      <c r="F28" s="22" t="s">
        <v>144</v>
      </c>
      <c r="G28" s="21"/>
      <c r="H28" s="19"/>
      <c r="I28" s="19"/>
      <c r="J28" s="16"/>
    </row>
    <row r="29" spans="2:10" x14ac:dyDescent="0.3">
      <c r="B29" s="17"/>
      <c r="D29" s="18"/>
      <c r="E29" s="19"/>
      <c r="F29" s="22" t="s">
        <v>145</v>
      </c>
      <c r="G29" s="21"/>
      <c r="H29" s="19"/>
      <c r="I29" s="19"/>
      <c r="J29" s="16"/>
    </row>
    <row r="30" spans="2:10" x14ac:dyDescent="0.3">
      <c r="B30" s="17"/>
      <c r="D30" s="18"/>
      <c r="E30" s="19"/>
      <c r="F30" s="22" t="s">
        <v>146</v>
      </c>
      <c r="G30" s="21"/>
      <c r="H30" s="19"/>
      <c r="I30" s="19"/>
      <c r="J30" s="16"/>
    </row>
    <row r="31" spans="2:10" x14ac:dyDescent="0.3">
      <c r="B31" s="17"/>
      <c r="D31" s="18"/>
      <c r="E31" s="19"/>
      <c r="F31" s="22" t="s">
        <v>28</v>
      </c>
      <c r="G31" s="21"/>
      <c r="H31" s="19"/>
      <c r="I31" s="19"/>
      <c r="J31" s="16"/>
    </row>
    <row r="32" spans="2:10" x14ac:dyDescent="0.3">
      <c r="B32" s="17"/>
      <c r="D32" s="18"/>
      <c r="E32" s="19"/>
      <c r="F32" s="22"/>
      <c r="G32" s="21"/>
      <c r="H32" s="19"/>
      <c r="I32" s="19"/>
      <c r="J32" s="16"/>
    </row>
    <row r="33" spans="2:10" x14ac:dyDescent="0.3">
      <c r="B33" s="17"/>
      <c r="D33" s="18"/>
      <c r="E33" s="19"/>
      <c r="F33" s="19"/>
      <c r="G33" s="21"/>
      <c r="H33" s="19"/>
      <c r="I33" s="19" t="s">
        <v>3</v>
      </c>
      <c r="J33" s="16"/>
    </row>
    <row r="34" spans="2:10" x14ac:dyDescent="0.3">
      <c r="B34" s="23"/>
      <c r="C34" s="6" t="s">
        <v>71</v>
      </c>
      <c r="D34" s="18" t="s">
        <v>70</v>
      </c>
      <c r="E34" s="19"/>
      <c r="F34" s="19"/>
      <c r="G34" s="21"/>
      <c r="H34" s="19"/>
      <c r="I34" s="19"/>
      <c r="J34" s="16"/>
    </row>
    <row r="35" spans="2:10" x14ac:dyDescent="0.3">
      <c r="B35" s="17"/>
      <c r="D35" s="18"/>
      <c r="E35" s="19"/>
      <c r="F35" s="19"/>
      <c r="G35" s="21"/>
      <c r="H35" s="19"/>
      <c r="I35" s="19" t="s">
        <v>3</v>
      </c>
      <c r="J35" s="16"/>
    </row>
    <row r="36" spans="2:10" x14ac:dyDescent="0.3">
      <c r="B36" s="17"/>
      <c r="D36" s="18"/>
      <c r="E36" s="19"/>
      <c r="F36" s="22" t="s">
        <v>27</v>
      </c>
      <c r="G36" s="21"/>
      <c r="H36" s="19"/>
      <c r="I36" s="19"/>
      <c r="J36" s="16"/>
    </row>
    <row r="37" spans="2:10" x14ac:dyDescent="0.3">
      <c r="B37" s="17"/>
      <c r="D37" s="18"/>
      <c r="E37" s="19"/>
      <c r="F37" s="22" t="s">
        <v>147</v>
      </c>
      <c r="G37" s="21"/>
      <c r="H37" s="19"/>
      <c r="I37" s="19"/>
      <c r="J37" s="16"/>
    </row>
    <row r="38" spans="2:10" x14ac:dyDescent="0.3">
      <c r="B38" s="17"/>
      <c r="D38" s="18"/>
      <c r="E38" s="19"/>
      <c r="F38" s="22" t="s">
        <v>148</v>
      </c>
      <c r="G38" s="21"/>
      <c r="H38" s="19"/>
      <c r="I38" s="19"/>
      <c r="J38" s="16"/>
    </row>
    <row r="39" spans="2:10" x14ac:dyDescent="0.3">
      <c r="B39" s="17"/>
      <c r="D39" s="18"/>
      <c r="E39" s="19"/>
      <c r="F39" s="22" t="s">
        <v>149</v>
      </c>
      <c r="G39" s="21"/>
      <c r="H39" s="19"/>
      <c r="I39" s="19"/>
      <c r="J39" s="16"/>
    </row>
    <row r="40" spans="2:10" x14ac:dyDescent="0.3">
      <c r="B40" s="17"/>
      <c r="D40" s="18"/>
      <c r="E40" s="19"/>
      <c r="F40" s="22" t="s">
        <v>28</v>
      </c>
      <c r="G40" s="21"/>
      <c r="H40" s="19"/>
      <c r="I40" s="19"/>
      <c r="J40" s="16"/>
    </row>
    <row r="41" spans="2:10" x14ac:dyDescent="0.3">
      <c r="B41" s="17"/>
      <c r="D41" s="18"/>
      <c r="E41" s="19"/>
      <c r="F41" s="22"/>
      <c r="G41" s="21"/>
      <c r="H41" s="19"/>
      <c r="I41" s="19"/>
      <c r="J41" s="16"/>
    </row>
    <row r="42" spans="2:10" x14ac:dyDescent="0.3">
      <c r="B42" s="17"/>
      <c r="D42" s="18"/>
      <c r="E42" s="19"/>
      <c r="F42" s="19"/>
      <c r="G42" s="21"/>
      <c r="H42" s="19"/>
      <c r="I42" s="19" t="s">
        <v>3</v>
      </c>
      <c r="J42" s="16"/>
    </row>
    <row r="43" spans="2:10" x14ac:dyDescent="0.3">
      <c r="B43" s="23"/>
      <c r="C43" s="6" t="s">
        <v>106</v>
      </c>
      <c r="D43" s="18" t="s">
        <v>107</v>
      </c>
      <c r="E43" s="19"/>
      <c r="F43" s="19"/>
      <c r="G43" s="21"/>
      <c r="H43" s="19"/>
      <c r="I43" s="19"/>
      <c r="J43" s="16"/>
    </row>
    <row r="44" spans="2:10" x14ac:dyDescent="0.3">
      <c r="B44" s="17"/>
      <c r="D44" s="18"/>
      <c r="E44" s="19"/>
      <c r="F44" s="19"/>
      <c r="G44" s="21"/>
      <c r="H44" s="19"/>
      <c r="I44" s="19" t="s">
        <v>3</v>
      </c>
      <c r="J44" s="16"/>
    </row>
    <row r="45" spans="2:10" x14ac:dyDescent="0.3">
      <c r="B45" s="17"/>
      <c r="D45" s="18"/>
      <c r="E45" s="19"/>
      <c r="F45" s="22" t="s">
        <v>108</v>
      </c>
      <c r="G45" s="21"/>
      <c r="H45" s="19"/>
      <c r="I45" s="19"/>
      <c r="J45" s="16"/>
    </row>
    <row r="46" spans="2:10" x14ac:dyDescent="0.3">
      <c r="B46" s="17"/>
      <c r="D46" s="18"/>
      <c r="E46" s="19"/>
      <c r="F46" s="22" t="s">
        <v>109</v>
      </c>
      <c r="G46" s="21"/>
      <c r="H46" s="19"/>
      <c r="I46" s="19"/>
      <c r="J46" s="16"/>
    </row>
    <row r="47" spans="2:10" x14ac:dyDescent="0.3">
      <c r="B47" s="17"/>
      <c r="D47" s="18"/>
      <c r="E47" s="19"/>
      <c r="F47" s="22" t="s">
        <v>110</v>
      </c>
      <c r="G47" s="21"/>
      <c r="H47" s="19"/>
      <c r="I47" s="19"/>
      <c r="J47" s="16"/>
    </row>
    <row r="48" spans="2:10" x14ac:dyDescent="0.3">
      <c r="B48" s="17"/>
      <c r="D48" s="18"/>
      <c r="E48" s="19"/>
      <c r="F48" s="22" t="s">
        <v>111</v>
      </c>
      <c r="G48" s="21"/>
      <c r="H48" s="19"/>
      <c r="I48" s="19"/>
      <c r="J48" s="16"/>
    </row>
    <row r="49" spans="2:10" x14ac:dyDescent="0.3">
      <c r="B49" s="17"/>
      <c r="D49" s="18"/>
      <c r="E49" s="19"/>
      <c r="F49" s="22" t="s">
        <v>112</v>
      </c>
      <c r="G49" s="21"/>
      <c r="H49" s="19"/>
      <c r="I49" s="19"/>
      <c r="J49" s="16"/>
    </row>
    <row r="50" spans="2:10" x14ac:dyDescent="0.3">
      <c r="B50" s="17"/>
      <c r="D50" s="18"/>
      <c r="E50" s="19"/>
      <c r="F50" s="22" t="s">
        <v>115</v>
      </c>
      <c r="G50" s="21"/>
      <c r="H50" s="19"/>
      <c r="I50" s="19"/>
      <c r="J50" s="16"/>
    </row>
    <row r="51" spans="2:10" x14ac:dyDescent="0.3">
      <c r="B51" s="17"/>
      <c r="D51" s="18"/>
      <c r="E51" s="19"/>
      <c r="F51" s="22" t="s">
        <v>116</v>
      </c>
      <c r="G51" s="21"/>
      <c r="H51" s="19"/>
      <c r="I51" s="19"/>
      <c r="J51" s="16"/>
    </row>
    <row r="52" spans="2:10" x14ac:dyDescent="0.3">
      <c r="B52" s="17"/>
      <c r="D52" s="18"/>
      <c r="E52" s="19"/>
      <c r="F52" s="22" t="s">
        <v>117</v>
      </c>
      <c r="G52" s="21"/>
      <c r="H52" s="19"/>
      <c r="I52" s="19"/>
      <c r="J52" s="16"/>
    </row>
    <row r="53" spans="2:10" x14ac:dyDescent="0.3">
      <c r="B53" s="17"/>
      <c r="D53" s="18"/>
      <c r="E53" s="19"/>
      <c r="F53" s="22" t="s">
        <v>118</v>
      </c>
      <c r="G53" s="21"/>
      <c r="H53" s="19"/>
      <c r="I53" s="19"/>
      <c r="J53" s="16"/>
    </row>
    <row r="54" spans="2:10" x14ac:dyDescent="0.3">
      <c r="B54" s="17"/>
      <c r="D54" s="18"/>
      <c r="E54" s="19"/>
      <c r="F54" s="22"/>
      <c r="G54" s="21"/>
      <c r="H54" s="19"/>
      <c r="I54" s="19"/>
      <c r="J54" s="16"/>
    </row>
    <row r="55" spans="2:10" x14ac:dyDescent="0.3">
      <c r="B55" s="17"/>
      <c r="D55" s="18"/>
      <c r="E55" s="19"/>
      <c r="F55" s="19"/>
      <c r="G55" s="21"/>
      <c r="H55" s="19"/>
      <c r="I55" s="19" t="s">
        <v>3</v>
      </c>
      <c r="J55" s="16"/>
    </row>
    <row r="56" spans="2:10" x14ac:dyDescent="0.3">
      <c r="B56" s="17"/>
      <c r="C56" s="6" t="s">
        <v>123</v>
      </c>
      <c r="D56" s="18" t="s">
        <v>113</v>
      </c>
      <c r="E56" s="19" t="s">
        <v>3</v>
      </c>
      <c r="F56" s="19"/>
      <c r="G56" s="21"/>
      <c r="H56" s="19"/>
      <c r="I56" s="19"/>
      <c r="J56" s="16"/>
    </row>
    <row r="57" spans="2:10" x14ac:dyDescent="0.3">
      <c r="B57" s="17"/>
      <c r="D57" s="18"/>
      <c r="E57" s="19"/>
      <c r="F57" s="22" t="s">
        <v>60</v>
      </c>
      <c r="G57" s="10" t="s">
        <v>48</v>
      </c>
      <c r="H57" s="22" t="s">
        <v>108</v>
      </c>
      <c r="I57" s="19"/>
      <c r="J57" s="16"/>
    </row>
    <row r="58" spans="2:10" x14ac:dyDescent="0.3">
      <c r="B58" s="17"/>
      <c r="D58" s="18"/>
      <c r="E58" s="19"/>
      <c r="F58" s="22" t="s">
        <v>150</v>
      </c>
      <c r="G58" s="10" t="s">
        <v>48</v>
      </c>
      <c r="H58" s="22" t="s">
        <v>109</v>
      </c>
      <c r="I58" s="19"/>
      <c r="J58" s="16"/>
    </row>
    <row r="59" spans="2:10" x14ac:dyDescent="0.3">
      <c r="B59" s="17"/>
      <c r="D59" s="18"/>
      <c r="E59" s="19"/>
      <c r="F59" s="22" t="s">
        <v>61</v>
      </c>
      <c r="G59" s="10" t="s">
        <v>48</v>
      </c>
      <c r="H59" s="22" t="s">
        <v>110</v>
      </c>
      <c r="I59" s="19"/>
      <c r="J59" s="16"/>
    </row>
    <row r="60" spans="2:10" x14ac:dyDescent="0.3">
      <c r="B60" s="17"/>
      <c r="D60" s="18"/>
      <c r="E60" s="19"/>
      <c r="F60" s="22" t="s">
        <v>152</v>
      </c>
      <c r="G60" s="10" t="s">
        <v>48</v>
      </c>
      <c r="H60" s="22" t="s">
        <v>111</v>
      </c>
      <c r="I60" s="19"/>
      <c r="J60" s="16"/>
    </row>
    <row r="61" spans="2:10" x14ac:dyDescent="0.3">
      <c r="B61" s="17"/>
      <c r="D61" s="18"/>
      <c r="E61" s="19"/>
      <c r="F61" s="22" t="s">
        <v>151</v>
      </c>
      <c r="G61" s="10" t="s">
        <v>48</v>
      </c>
      <c r="H61" s="22" t="s">
        <v>108</v>
      </c>
      <c r="I61" s="19"/>
      <c r="J61" s="16"/>
    </row>
    <row r="62" spans="2:10" x14ac:dyDescent="0.3">
      <c r="B62" s="17"/>
      <c r="D62" s="18"/>
      <c r="E62" s="19"/>
      <c r="F62" s="22" t="s">
        <v>62</v>
      </c>
      <c r="G62" s="10" t="s">
        <v>48</v>
      </c>
      <c r="H62" s="22" t="s">
        <v>109</v>
      </c>
      <c r="I62" s="19"/>
      <c r="J62" s="16"/>
    </row>
    <row r="63" spans="2:10" x14ac:dyDescent="0.3">
      <c r="B63" s="17"/>
      <c r="D63" s="18"/>
      <c r="E63" s="19"/>
      <c r="F63" s="22" t="s">
        <v>63</v>
      </c>
      <c r="G63" s="10" t="s">
        <v>48</v>
      </c>
      <c r="H63" s="22" t="s">
        <v>110</v>
      </c>
      <c r="I63" s="19"/>
      <c r="J63" s="16"/>
    </row>
    <row r="64" spans="2:10" x14ac:dyDescent="0.3">
      <c r="B64" s="17"/>
      <c r="D64" s="18"/>
      <c r="E64" s="19"/>
      <c r="F64" s="22" t="s">
        <v>64</v>
      </c>
      <c r="G64" s="10" t="s">
        <v>48</v>
      </c>
      <c r="H64" s="22" t="s">
        <v>111</v>
      </c>
      <c r="I64" s="19"/>
      <c r="J64" s="16"/>
    </row>
    <row r="65" spans="2:10" x14ac:dyDescent="0.3">
      <c r="B65" s="17"/>
      <c r="D65" s="18"/>
      <c r="E65" s="19"/>
      <c r="F65" s="22" t="s">
        <v>65</v>
      </c>
      <c r="G65" s="10" t="s">
        <v>48</v>
      </c>
      <c r="H65" s="22" t="s">
        <v>108</v>
      </c>
      <c r="I65" s="19"/>
      <c r="J65" s="16"/>
    </row>
    <row r="66" spans="2:10" x14ac:dyDescent="0.3">
      <c r="B66" s="17"/>
      <c r="D66" s="18"/>
      <c r="E66" s="19"/>
      <c r="F66" s="22" t="s">
        <v>66</v>
      </c>
      <c r="G66" s="10" t="s">
        <v>48</v>
      </c>
      <c r="H66" s="22" t="s">
        <v>109</v>
      </c>
      <c r="I66" s="19"/>
      <c r="J66" s="16"/>
    </row>
    <row r="67" spans="2:10" x14ac:dyDescent="0.3">
      <c r="B67" s="17"/>
      <c r="D67" s="18"/>
      <c r="E67" s="19"/>
      <c r="F67" s="22" t="s">
        <v>67</v>
      </c>
      <c r="G67" s="10" t="s">
        <v>48</v>
      </c>
      <c r="H67" s="22" t="s">
        <v>110</v>
      </c>
      <c r="I67" s="19"/>
      <c r="J67" s="16"/>
    </row>
    <row r="68" spans="2:10" x14ac:dyDescent="0.3">
      <c r="B68" s="17"/>
      <c r="D68" s="18"/>
      <c r="E68" s="19"/>
      <c r="F68" s="22" t="s">
        <v>68</v>
      </c>
      <c r="G68" s="10" t="s">
        <v>48</v>
      </c>
      <c r="H68" s="22" t="s">
        <v>111</v>
      </c>
      <c r="I68" s="19"/>
      <c r="J68" s="16"/>
    </row>
    <row r="69" spans="2:10" x14ac:dyDescent="0.3">
      <c r="B69" s="17"/>
      <c r="D69" s="18"/>
      <c r="E69" s="19"/>
      <c r="F69" s="22" t="s">
        <v>69</v>
      </c>
      <c r="G69" s="10" t="s">
        <v>48</v>
      </c>
      <c r="H69" s="22" t="s">
        <v>108</v>
      </c>
      <c r="I69" s="19"/>
      <c r="J69" s="16"/>
    </row>
    <row r="70" spans="2:10" x14ac:dyDescent="0.3">
      <c r="B70" s="17"/>
      <c r="D70" s="18"/>
      <c r="E70" s="19"/>
      <c r="F70" s="22"/>
      <c r="G70" s="21"/>
      <c r="H70" s="22"/>
      <c r="I70" s="19"/>
      <c r="J70" s="16"/>
    </row>
    <row r="71" spans="2:10" x14ac:dyDescent="0.3">
      <c r="B71" s="23" t="s">
        <v>15</v>
      </c>
      <c r="D71" s="18" t="s">
        <v>114</v>
      </c>
      <c r="E71" s="19"/>
      <c r="F71" s="19"/>
      <c r="G71" s="21"/>
      <c r="H71" s="19"/>
      <c r="I71" s="19"/>
      <c r="J71" s="16"/>
    </row>
    <row r="72" spans="2:10" x14ac:dyDescent="0.3">
      <c r="B72" s="17"/>
      <c r="D72" s="18"/>
      <c r="E72" s="19"/>
      <c r="F72" s="22" t="s">
        <v>27</v>
      </c>
      <c r="G72" s="10" t="s">
        <v>48</v>
      </c>
      <c r="H72" s="22" t="s">
        <v>108</v>
      </c>
      <c r="I72" s="19"/>
      <c r="J72" s="16"/>
    </row>
    <row r="73" spans="2:10" x14ac:dyDescent="0.3">
      <c r="B73" s="17"/>
      <c r="D73" s="18"/>
      <c r="E73" s="19"/>
      <c r="F73" s="22" t="s">
        <v>144</v>
      </c>
      <c r="G73" s="10" t="s">
        <v>48</v>
      </c>
      <c r="H73" s="22" t="s">
        <v>110</v>
      </c>
      <c r="I73" s="19"/>
      <c r="J73" s="16"/>
    </row>
    <row r="74" spans="2:10" x14ac:dyDescent="0.3">
      <c r="B74" s="17"/>
      <c r="D74" s="18"/>
      <c r="E74" s="19"/>
      <c r="F74" s="22" t="s">
        <v>145</v>
      </c>
      <c r="G74" s="10" t="s">
        <v>48</v>
      </c>
      <c r="H74" s="22" t="s">
        <v>110</v>
      </c>
      <c r="I74" s="19"/>
      <c r="J74" s="16"/>
    </row>
    <row r="75" spans="2:10" x14ac:dyDescent="0.3">
      <c r="B75" s="17"/>
      <c r="D75" s="18"/>
      <c r="E75" s="19"/>
      <c r="F75" s="22" t="s">
        <v>146</v>
      </c>
      <c r="G75" s="10" t="s">
        <v>48</v>
      </c>
      <c r="H75" s="22" t="s">
        <v>115</v>
      </c>
      <c r="I75" s="19"/>
      <c r="J75" s="16"/>
    </row>
    <row r="76" spans="2:10" x14ac:dyDescent="0.3">
      <c r="B76" s="17"/>
      <c r="D76" s="18"/>
      <c r="E76" s="19"/>
      <c r="F76" s="22" t="s">
        <v>28</v>
      </c>
      <c r="G76" s="10" t="s">
        <v>48</v>
      </c>
      <c r="H76" s="22" t="s">
        <v>117</v>
      </c>
      <c r="I76" s="19"/>
      <c r="J76" s="16"/>
    </row>
    <row r="77" spans="2:10" x14ac:dyDescent="0.3">
      <c r="B77" s="17"/>
      <c r="D77" s="18"/>
      <c r="E77" s="19"/>
      <c r="F77" s="22"/>
      <c r="G77" s="21"/>
      <c r="H77" s="22"/>
      <c r="I77" s="19"/>
      <c r="J77" s="16"/>
    </row>
    <row r="78" spans="2:10" x14ac:dyDescent="0.3">
      <c r="B78" s="17"/>
      <c r="D78" s="18"/>
      <c r="E78" s="19"/>
      <c r="F78" s="19"/>
      <c r="G78" s="21"/>
      <c r="H78" s="19"/>
      <c r="I78" s="19" t="s">
        <v>3</v>
      </c>
      <c r="J78" s="16"/>
    </row>
    <row r="79" spans="2:10" x14ac:dyDescent="0.3">
      <c r="B79" s="23"/>
      <c r="C79" s="6" t="s">
        <v>76</v>
      </c>
      <c r="D79" s="18" t="s">
        <v>75</v>
      </c>
      <c r="E79" s="19"/>
      <c r="F79" s="19"/>
      <c r="G79" s="21"/>
      <c r="H79" s="19"/>
      <c r="I79" s="19"/>
      <c r="J79" s="16"/>
    </row>
    <row r="80" spans="2:10" x14ac:dyDescent="0.3">
      <c r="B80" s="17"/>
      <c r="D80" s="18"/>
      <c r="E80" s="19"/>
      <c r="F80" s="19"/>
      <c r="G80" s="21"/>
      <c r="H80" s="19"/>
      <c r="I80" s="19" t="s">
        <v>3</v>
      </c>
      <c r="J80" s="16"/>
    </row>
    <row r="81" spans="2:10" x14ac:dyDescent="0.3">
      <c r="B81" s="17"/>
      <c r="D81" s="18"/>
      <c r="E81" s="19"/>
      <c r="F81" s="22" t="s">
        <v>27</v>
      </c>
      <c r="G81" s="10" t="s">
        <v>48</v>
      </c>
      <c r="H81" s="22" t="s">
        <v>27</v>
      </c>
      <c r="I81" s="19"/>
      <c r="J81" s="16"/>
    </row>
    <row r="82" spans="2:10" x14ac:dyDescent="0.3">
      <c r="B82" s="17"/>
      <c r="D82" s="18"/>
      <c r="E82" s="19"/>
      <c r="F82" s="22" t="s">
        <v>147</v>
      </c>
      <c r="G82" s="10" t="s">
        <v>48</v>
      </c>
      <c r="H82" s="22" t="s">
        <v>144</v>
      </c>
      <c r="I82" s="19"/>
      <c r="J82" s="16"/>
    </row>
    <row r="83" spans="2:10" x14ac:dyDescent="0.3">
      <c r="B83" s="17"/>
      <c r="D83" s="18"/>
      <c r="E83" s="19"/>
      <c r="F83" s="22" t="s">
        <v>148</v>
      </c>
      <c r="G83" s="10" t="s">
        <v>48</v>
      </c>
      <c r="H83" s="22" t="s">
        <v>145</v>
      </c>
      <c r="I83" s="19"/>
      <c r="J83" s="16"/>
    </row>
    <row r="84" spans="2:10" x14ac:dyDescent="0.3">
      <c r="B84" s="17"/>
      <c r="D84" s="18"/>
      <c r="E84" s="19"/>
      <c r="F84" s="22" t="s">
        <v>149</v>
      </c>
      <c r="G84" s="10" t="s">
        <v>48</v>
      </c>
      <c r="H84" s="22" t="s">
        <v>146</v>
      </c>
      <c r="I84" s="19"/>
      <c r="J84" s="16"/>
    </row>
    <row r="85" spans="2:10" x14ac:dyDescent="0.3">
      <c r="B85" s="17"/>
      <c r="D85" s="18"/>
      <c r="E85" s="19"/>
      <c r="F85" s="22"/>
      <c r="G85" s="21"/>
      <c r="H85" s="22"/>
      <c r="I85" s="19"/>
      <c r="J85" s="16"/>
    </row>
    <row r="86" spans="2:10" x14ac:dyDescent="0.3">
      <c r="B86" s="17"/>
      <c r="D86" s="18"/>
      <c r="E86" s="19"/>
      <c r="F86" s="19"/>
      <c r="G86" s="21"/>
      <c r="H86" s="19"/>
      <c r="I86" s="19" t="s">
        <v>3</v>
      </c>
      <c r="J86" s="16"/>
    </row>
    <row r="87" spans="2:10" x14ac:dyDescent="0.3">
      <c r="B87" s="23"/>
      <c r="C87" s="6" t="s">
        <v>85</v>
      </c>
      <c r="D87" s="18" t="s">
        <v>86</v>
      </c>
      <c r="E87" s="19"/>
      <c r="F87" s="19"/>
      <c r="G87" s="21"/>
      <c r="H87" s="19"/>
      <c r="I87" s="19"/>
      <c r="J87" s="16"/>
    </row>
    <row r="88" spans="2:10" x14ac:dyDescent="0.3">
      <c r="B88" s="17"/>
      <c r="D88" s="18"/>
      <c r="E88" s="19"/>
      <c r="F88" s="19"/>
      <c r="G88" s="21"/>
      <c r="H88" s="19"/>
      <c r="I88" s="19" t="s">
        <v>3</v>
      </c>
      <c r="J88" s="16"/>
    </row>
    <row r="89" spans="2:10" x14ac:dyDescent="0.3">
      <c r="B89" s="17"/>
      <c r="D89" s="18"/>
      <c r="E89" s="19"/>
      <c r="F89" s="22" t="s">
        <v>28</v>
      </c>
      <c r="G89" s="10" t="s">
        <v>48</v>
      </c>
      <c r="H89" s="22" t="s">
        <v>28</v>
      </c>
      <c r="I89" s="19"/>
      <c r="J89" s="16"/>
    </row>
    <row r="90" spans="2:10" x14ac:dyDescent="0.3">
      <c r="B90" s="17"/>
      <c r="D90" s="18"/>
      <c r="E90" s="19"/>
      <c r="F90" s="19"/>
      <c r="G90" s="21"/>
      <c r="H90" s="19"/>
      <c r="I90" s="19" t="s">
        <v>3</v>
      </c>
      <c r="J90" s="16"/>
    </row>
    <row r="91" spans="2:10" x14ac:dyDescent="0.3">
      <c r="B91" s="23"/>
      <c r="C91" s="6" t="s">
        <v>80</v>
      </c>
      <c r="D91" s="18" t="s">
        <v>79</v>
      </c>
      <c r="E91" s="19"/>
      <c r="F91" s="19"/>
      <c r="G91" s="21"/>
      <c r="H91" s="19"/>
      <c r="I91" s="19"/>
      <c r="J91" s="16"/>
    </row>
    <row r="92" spans="2:10" x14ac:dyDescent="0.3">
      <c r="B92" s="17"/>
      <c r="D92" s="18"/>
      <c r="E92" s="19"/>
      <c r="F92" s="19"/>
      <c r="G92" s="21"/>
      <c r="H92" s="19"/>
      <c r="I92" s="19" t="s">
        <v>3</v>
      </c>
      <c r="J92" s="16"/>
    </row>
    <row r="93" spans="2:10" x14ac:dyDescent="0.3">
      <c r="B93" s="17"/>
      <c r="D93" s="18"/>
      <c r="E93" s="19"/>
      <c r="F93" s="22" t="s">
        <v>144</v>
      </c>
      <c r="G93" s="10" t="s">
        <v>48</v>
      </c>
      <c r="H93" s="22" t="s">
        <v>149</v>
      </c>
      <c r="I93" s="19"/>
      <c r="J93" s="16"/>
    </row>
    <row r="94" spans="2:10" x14ac:dyDescent="0.3">
      <c r="B94" s="17"/>
      <c r="D94" s="18"/>
      <c r="E94" s="19"/>
      <c r="F94" s="22" t="s">
        <v>145</v>
      </c>
      <c r="G94" s="10" t="s">
        <v>48</v>
      </c>
      <c r="H94" s="22" t="s">
        <v>149</v>
      </c>
      <c r="I94" s="19"/>
      <c r="J94" s="16"/>
    </row>
    <row r="95" spans="2:10" x14ac:dyDescent="0.3">
      <c r="B95" s="17"/>
      <c r="D95" s="18"/>
      <c r="E95" s="19"/>
      <c r="F95" s="22"/>
      <c r="G95" s="21"/>
      <c r="H95" s="22"/>
      <c r="I95" s="19"/>
      <c r="J95" s="16"/>
    </row>
    <row r="96" spans="2:10" x14ac:dyDescent="0.3">
      <c r="B96" s="17"/>
      <c r="D96" s="18"/>
      <c r="E96" s="19"/>
      <c r="F96" s="19"/>
      <c r="G96" s="21"/>
      <c r="H96" s="19"/>
      <c r="I96" s="19" t="s">
        <v>3</v>
      </c>
      <c r="J96" s="16"/>
    </row>
    <row r="97" spans="2:10" x14ac:dyDescent="0.3">
      <c r="B97" s="23"/>
      <c r="C97" s="6" t="s">
        <v>83</v>
      </c>
      <c r="D97" s="18" t="s">
        <v>84</v>
      </c>
      <c r="E97" s="19"/>
      <c r="F97" s="19"/>
      <c r="G97" s="21"/>
      <c r="H97" s="19"/>
      <c r="I97" s="19"/>
      <c r="J97" s="16"/>
    </row>
    <row r="98" spans="2:10" x14ac:dyDescent="0.3">
      <c r="B98" s="17"/>
      <c r="D98" s="18"/>
      <c r="E98" s="19"/>
      <c r="F98" s="19"/>
      <c r="G98" s="21"/>
      <c r="H98" s="19"/>
      <c r="I98" s="19" t="s">
        <v>3</v>
      </c>
      <c r="J98" s="16"/>
    </row>
    <row r="99" spans="2:10" x14ac:dyDescent="0.3">
      <c r="B99" s="17"/>
      <c r="D99" s="18"/>
      <c r="E99" s="19"/>
      <c r="F99" s="22" t="s">
        <v>28</v>
      </c>
      <c r="G99" s="10" t="s">
        <v>48</v>
      </c>
      <c r="H99" s="22" t="s">
        <v>28</v>
      </c>
      <c r="I99" s="19"/>
      <c r="J99" s="16"/>
    </row>
    <row r="100" spans="2:10" x14ac:dyDescent="0.3">
      <c r="B100" s="17"/>
      <c r="D100" s="18"/>
      <c r="E100" s="19"/>
      <c r="F100" s="19"/>
      <c r="G100" s="21"/>
      <c r="H100" s="19"/>
      <c r="I100" s="19" t="s">
        <v>3</v>
      </c>
      <c r="J100" s="16"/>
    </row>
    <row r="101" spans="2:10" x14ac:dyDescent="0.3">
      <c r="B101" s="23"/>
      <c r="C101" s="6" t="s">
        <v>72</v>
      </c>
      <c r="D101" s="18" t="s">
        <v>82</v>
      </c>
      <c r="E101" s="19"/>
      <c r="F101" s="19"/>
      <c r="G101" s="21"/>
      <c r="H101" s="19"/>
      <c r="I101" s="19"/>
      <c r="J101" s="16"/>
    </row>
    <row r="102" spans="2:10" x14ac:dyDescent="0.3">
      <c r="B102" s="17"/>
      <c r="D102" s="18"/>
      <c r="E102" s="19"/>
      <c r="F102" s="19"/>
      <c r="G102" s="21"/>
      <c r="H102" s="19"/>
      <c r="I102" s="19" t="s">
        <v>3</v>
      </c>
      <c r="J102" s="16"/>
    </row>
    <row r="103" spans="2:10" x14ac:dyDescent="0.3">
      <c r="B103" s="17"/>
      <c r="D103" s="18"/>
      <c r="E103" s="19"/>
      <c r="F103" s="22" t="s">
        <v>147</v>
      </c>
      <c r="G103" s="10" t="s">
        <v>48</v>
      </c>
      <c r="H103" s="22" t="s">
        <v>149</v>
      </c>
      <c r="I103" s="19"/>
      <c r="J103" s="16"/>
    </row>
    <row r="104" spans="2:10" x14ac:dyDescent="0.3">
      <c r="B104" s="17"/>
      <c r="D104" s="18"/>
      <c r="E104" s="19"/>
      <c r="F104" s="22" t="s">
        <v>148</v>
      </c>
      <c r="G104" s="10" t="s">
        <v>48</v>
      </c>
      <c r="H104" s="22" t="s">
        <v>149</v>
      </c>
      <c r="I104" s="19"/>
      <c r="J104" s="16"/>
    </row>
    <row r="105" spans="2:10" x14ac:dyDescent="0.3">
      <c r="B105" s="17"/>
      <c r="D105" s="18"/>
      <c r="E105" s="19"/>
      <c r="F105" s="22"/>
      <c r="G105" s="21"/>
      <c r="H105" s="22"/>
      <c r="I105" s="19"/>
      <c r="J105" s="16"/>
    </row>
    <row r="106" spans="2:10" x14ac:dyDescent="0.3">
      <c r="B106" s="17"/>
      <c r="D106" s="18"/>
      <c r="E106" s="19"/>
      <c r="F106" s="19"/>
      <c r="G106" s="21"/>
      <c r="H106" s="19"/>
      <c r="I106" s="19" t="s">
        <v>3</v>
      </c>
      <c r="J106" s="16"/>
    </row>
    <row r="107" spans="2:10" ht="14.4" thickBot="1" x14ac:dyDescent="0.35">
      <c r="B107" s="24"/>
      <c r="C107" s="25"/>
      <c r="D107" s="25"/>
      <c r="E107" s="25"/>
      <c r="F107" s="25"/>
      <c r="G107" s="26"/>
      <c r="H107" s="25"/>
      <c r="I107" s="25"/>
      <c r="J107" s="27"/>
    </row>
  </sheetData>
  <customSheetViews>
    <customSheetView guid="{162D0EED-4A71-4EB6-8FDF-A42498BFDBC9}" showRuler="0"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pageMargins left="0.75" right="0.75" top="1" bottom="1" header="0" footer="0"/>
  <pageSetup paperSize="9"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>
    <tabColor indexed="57"/>
  </sheetPr>
  <dimension ref="B1:H33"/>
  <sheetViews>
    <sheetView showGridLines="0" workbookViewId="0">
      <selection activeCell="F20" sqref="F20:F28"/>
    </sheetView>
  </sheetViews>
  <sheetFormatPr baseColWidth="10" defaultColWidth="11.44140625" defaultRowHeight="13.8" x14ac:dyDescent="0.3"/>
  <cols>
    <col min="1" max="2" width="3.6640625" style="6" customWidth="1"/>
    <col min="3" max="3" width="9.88671875" style="6" bestFit="1" customWidth="1"/>
    <col min="4" max="4" width="9.6640625" style="6" bestFit="1" customWidth="1"/>
    <col min="5" max="5" width="1.88671875" style="6" bestFit="1" customWidth="1"/>
    <col min="6" max="6" width="8.33203125" style="6" bestFit="1" customWidth="1"/>
    <col min="7" max="7" width="1.5546875" style="6" bestFit="1" customWidth="1"/>
    <col min="8" max="8" width="3.6640625" style="6" customWidth="1"/>
    <col min="9" max="16384" width="11.44140625" style="6"/>
  </cols>
  <sheetData>
    <row r="1" spans="2:8" ht="14.4" thickBot="1" x14ac:dyDescent="0.35"/>
    <row r="2" spans="2:8" x14ac:dyDescent="0.3">
      <c r="B2" s="11"/>
      <c r="C2" s="12"/>
      <c r="D2" s="12"/>
      <c r="E2" s="12"/>
      <c r="F2" s="12"/>
      <c r="G2" s="12"/>
      <c r="H2" s="14"/>
    </row>
    <row r="3" spans="2:8" x14ac:dyDescent="0.3">
      <c r="B3" s="28" t="s">
        <v>6</v>
      </c>
      <c r="C3" s="29"/>
      <c r="D3" s="29"/>
      <c r="H3" s="16"/>
    </row>
    <row r="4" spans="2:8" x14ac:dyDescent="0.3">
      <c r="B4" s="17"/>
      <c r="H4" s="16"/>
    </row>
    <row r="5" spans="2:8" x14ac:dyDescent="0.3">
      <c r="B5" s="30" t="s">
        <v>98</v>
      </c>
      <c r="C5" s="31"/>
      <c r="D5" s="31"/>
      <c r="E5" s="31"/>
      <c r="F5" s="32" t="s">
        <v>180</v>
      </c>
      <c r="G5" s="32"/>
      <c r="H5" s="16"/>
    </row>
    <row r="6" spans="2:8" x14ac:dyDescent="0.3">
      <c r="B6" s="17"/>
      <c r="C6" s="6" t="s">
        <v>96</v>
      </c>
      <c r="E6" s="6" t="s">
        <v>4</v>
      </c>
      <c r="F6" s="33">
        <v>10000</v>
      </c>
      <c r="G6" s="6" t="s">
        <v>5</v>
      </c>
      <c r="H6" s="16"/>
    </row>
    <row r="7" spans="2:8" x14ac:dyDescent="0.3">
      <c r="B7" s="17"/>
      <c r="H7" s="16"/>
    </row>
    <row r="8" spans="2:8" x14ac:dyDescent="0.3">
      <c r="B8" s="30" t="s">
        <v>99</v>
      </c>
      <c r="C8" s="31"/>
      <c r="D8" s="31"/>
      <c r="E8" s="31"/>
      <c r="F8" s="32" t="s">
        <v>181</v>
      </c>
      <c r="G8" s="32"/>
      <c r="H8" s="16"/>
    </row>
    <row r="9" spans="2:8" x14ac:dyDescent="0.3">
      <c r="B9" s="17"/>
      <c r="C9" s="6" t="s">
        <v>97</v>
      </c>
      <c r="E9" s="6" t="s">
        <v>4</v>
      </c>
      <c r="F9" s="33">
        <v>30000</v>
      </c>
      <c r="G9" s="6" t="s">
        <v>5</v>
      </c>
      <c r="H9" s="16"/>
    </row>
    <row r="10" spans="2:8" x14ac:dyDescent="0.3">
      <c r="B10" s="17"/>
      <c r="H10" s="16"/>
    </row>
    <row r="11" spans="2:8" x14ac:dyDescent="0.3">
      <c r="B11" s="30" t="s">
        <v>179</v>
      </c>
      <c r="C11" s="31"/>
      <c r="D11" s="31"/>
      <c r="E11" s="31"/>
      <c r="F11" s="32" t="s">
        <v>11</v>
      </c>
      <c r="G11" s="32"/>
      <c r="H11" s="16"/>
    </row>
    <row r="12" spans="2:8" x14ac:dyDescent="0.3">
      <c r="B12" s="17"/>
      <c r="C12" s="6" t="s">
        <v>119</v>
      </c>
      <c r="D12" s="34" t="s">
        <v>124</v>
      </c>
      <c r="E12" s="6" t="s">
        <v>4</v>
      </c>
      <c r="F12" s="33">
        <v>0</v>
      </c>
      <c r="G12" s="6" t="s">
        <v>5</v>
      </c>
      <c r="H12" s="16"/>
    </row>
    <row r="13" spans="2:8" x14ac:dyDescent="0.3">
      <c r="B13" s="17"/>
      <c r="C13" s="6" t="s">
        <v>119</v>
      </c>
      <c r="D13" s="34" t="s">
        <v>125</v>
      </c>
      <c r="E13" s="6" t="s">
        <v>4</v>
      </c>
      <c r="F13" s="33">
        <v>0.01</v>
      </c>
      <c r="G13" s="6" t="s">
        <v>5</v>
      </c>
      <c r="H13" s="16"/>
    </row>
    <row r="14" spans="2:8" x14ac:dyDescent="0.3">
      <c r="B14" s="17"/>
      <c r="C14" s="6" t="s">
        <v>119</v>
      </c>
      <c r="D14" s="34" t="s">
        <v>126</v>
      </c>
      <c r="E14" s="6" t="s">
        <v>4</v>
      </c>
      <c r="F14" s="33">
        <v>0.01</v>
      </c>
      <c r="G14" s="6" t="s">
        <v>5</v>
      </c>
      <c r="H14" s="16"/>
    </row>
    <row r="15" spans="2:8" x14ac:dyDescent="0.3">
      <c r="B15" s="17"/>
      <c r="C15" s="6" t="s">
        <v>119</v>
      </c>
      <c r="D15" s="34" t="s">
        <v>127</v>
      </c>
      <c r="E15" s="6" t="s">
        <v>4</v>
      </c>
      <c r="F15" s="33">
        <v>0.01</v>
      </c>
      <c r="G15" s="6" t="s">
        <v>5</v>
      </c>
      <c r="H15" s="16"/>
    </row>
    <row r="16" spans="2:8" x14ac:dyDescent="0.3">
      <c r="B16" s="17"/>
      <c r="C16" s="6" t="s">
        <v>119</v>
      </c>
      <c r="D16" s="34" t="s">
        <v>128</v>
      </c>
      <c r="E16" s="6" t="s">
        <v>4</v>
      </c>
      <c r="F16" s="33">
        <v>0.01</v>
      </c>
      <c r="G16" s="6" t="s">
        <v>5</v>
      </c>
      <c r="H16" s="16"/>
    </row>
    <row r="17" spans="2:8" x14ac:dyDescent="0.3">
      <c r="B17" s="17"/>
      <c r="H17" s="16"/>
    </row>
    <row r="18" spans="2:8" x14ac:dyDescent="0.3">
      <c r="B18" s="30" t="s">
        <v>120</v>
      </c>
      <c r="C18" s="31"/>
      <c r="D18" s="31"/>
      <c r="E18" s="31"/>
      <c r="F18" s="32" t="s">
        <v>11</v>
      </c>
      <c r="G18" s="32"/>
      <c r="H18" s="16"/>
    </row>
    <row r="19" spans="2:8" x14ac:dyDescent="0.3">
      <c r="B19" s="30" t="s">
        <v>140</v>
      </c>
      <c r="C19" s="31"/>
      <c r="D19" s="31"/>
      <c r="E19" s="31"/>
      <c r="F19" s="32"/>
      <c r="G19" s="32"/>
      <c r="H19" s="16"/>
    </row>
    <row r="20" spans="2:8" x14ac:dyDescent="0.3">
      <c r="B20" s="17"/>
      <c r="C20" s="6" t="s">
        <v>121</v>
      </c>
      <c r="D20" s="35" t="s">
        <v>129</v>
      </c>
      <c r="E20" s="6" t="s">
        <v>4</v>
      </c>
      <c r="F20" s="33">
        <v>0.2</v>
      </c>
      <c r="G20" s="6" t="s">
        <v>5</v>
      </c>
      <c r="H20" s="16"/>
    </row>
    <row r="21" spans="2:8" x14ac:dyDescent="0.3">
      <c r="B21" s="17"/>
      <c r="C21" s="6" t="s">
        <v>121</v>
      </c>
      <c r="D21" s="35" t="s">
        <v>130</v>
      </c>
      <c r="E21" s="6" t="s">
        <v>4</v>
      </c>
      <c r="F21" s="33">
        <v>0.1</v>
      </c>
      <c r="G21" s="6" t="s">
        <v>5</v>
      </c>
      <c r="H21" s="16"/>
    </row>
    <row r="22" spans="2:8" x14ac:dyDescent="0.3">
      <c r="B22" s="17"/>
      <c r="C22" s="6" t="s">
        <v>121</v>
      </c>
      <c r="D22" s="35" t="s">
        <v>131</v>
      </c>
      <c r="E22" s="6" t="s">
        <v>4</v>
      </c>
      <c r="F22" s="33">
        <v>0.1</v>
      </c>
      <c r="G22" s="6" t="s">
        <v>5</v>
      </c>
      <c r="H22" s="16"/>
    </row>
    <row r="23" spans="2:8" x14ac:dyDescent="0.3">
      <c r="B23" s="17"/>
      <c r="C23" s="6" t="s">
        <v>121</v>
      </c>
      <c r="D23" s="35" t="s">
        <v>132</v>
      </c>
      <c r="E23" s="6" t="s">
        <v>4</v>
      </c>
      <c r="F23" s="33">
        <v>0.1</v>
      </c>
      <c r="G23" s="6" t="s">
        <v>5</v>
      </c>
      <c r="H23" s="16"/>
    </row>
    <row r="24" spans="2:8" x14ac:dyDescent="0.3">
      <c r="B24" s="17"/>
      <c r="C24" s="6" t="s">
        <v>121</v>
      </c>
      <c r="D24" s="35" t="s">
        <v>133</v>
      </c>
      <c r="E24" s="6" t="s">
        <v>4</v>
      </c>
      <c r="F24" s="33">
        <v>0.1</v>
      </c>
      <c r="G24" s="6" t="s">
        <v>5</v>
      </c>
      <c r="H24" s="16"/>
    </row>
    <row r="25" spans="2:8" x14ac:dyDescent="0.3">
      <c r="B25" s="17"/>
      <c r="C25" s="6" t="s">
        <v>121</v>
      </c>
      <c r="D25" s="35" t="s">
        <v>134</v>
      </c>
      <c r="E25" s="6" t="s">
        <v>4</v>
      </c>
      <c r="F25" s="33">
        <v>0.1</v>
      </c>
      <c r="G25" s="6" t="s">
        <v>5</v>
      </c>
      <c r="H25" s="16"/>
    </row>
    <row r="26" spans="2:8" x14ac:dyDescent="0.3">
      <c r="B26" s="17"/>
      <c r="C26" s="6" t="s">
        <v>121</v>
      </c>
      <c r="D26" s="35" t="s">
        <v>135</v>
      </c>
      <c r="E26" s="6" t="s">
        <v>4</v>
      </c>
      <c r="F26" s="33">
        <v>0.1</v>
      </c>
      <c r="G26" s="6" t="s">
        <v>5</v>
      </c>
      <c r="H26" s="16"/>
    </row>
    <row r="27" spans="2:8" x14ac:dyDescent="0.3">
      <c r="B27" s="17"/>
      <c r="C27" s="6" t="s">
        <v>121</v>
      </c>
      <c r="D27" s="35" t="s">
        <v>136</v>
      </c>
      <c r="E27" s="6" t="s">
        <v>4</v>
      </c>
      <c r="F27" s="33">
        <v>0.1</v>
      </c>
      <c r="G27" s="6" t="s">
        <v>5</v>
      </c>
      <c r="H27" s="16"/>
    </row>
    <row r="28" spans="2:8" x14ac:dyDescent="0.3">
      <c r="B28" s="17"/>
      <c r="C28" s="6" t="s">
        <v>121</v>
      </c>
      <c r="D28" s="35" t="s">
        <v>137</v>
      </c>
      <c r="E28" s="6" t="s">
        <v>4</v>
      </c>
      <c r="F28" s="33">
        <v>0.1</v>
      </c>
      <c r="G28" s="6" t="s">
        <v>5</v>
      </c>
      <c r="H28" s="16"/>
    </row>
    <row r="29" spans="2:8" x14ac:dyDescent="0.3">
      <c r="B29" s="17"/>
      <c r="H29" s="16"/>
    </row>
    <row r="30" spans="2:8" x14ac:dyDescent="0.3">
      <c r="B30" s="30" t="s">
        <v>139</v>
      </c>
      <c r="C30" s="31"/>
      <c r="D30" s="31"/>
      <c r="E30" s="31"/>
      <c r="F30" s="32" t="s">
        <v>7</v>
      </c>
      <c r="G30" s="32"/>
      <c r="H30" s="16"/>
    </row>
    <row r="31" spans="2:8" x14ac:dyDescent="0.3">
      <c r="B31" s="17"/>
      <c r="C31" s="6" t="s">
        <v>138</v>
      </c>
      <c r="E31" s="6" t="s">
        <v>4</v>
      </c>
      <c r="F31" s="33">
        <v>100</v>
      </c>
      <c r="G31" s="6" t="s">
        <v>5</v>
      </c>
      <c r="H31" s="16"/>
    </row>
    <row r="32" spans="2:8" x14ac:dyDescent="0.3">
      <c r="B32" s="17"/>
      <c r="H32" s="16"/>
    </row>
    <row r="33" spans="2:8" ht="14.4" thickBot="1" x14ac:dyDescent="0.35">
      <c r="B33" s="24"/>
      <c r="C33" s="25"/>
      <c r="D33" s="25"/>
      <c r="E33" s="25"/>
      <c r="F33" s="25"/>
      <c r="G33" s="25"/>
      <c r="H33" s="27"/>
    </row>
  </sheetData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1" type="noConversion"/>
  <pageMargins left="0.75" right="0.75" top="1" bottom="1" header="0" footer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>
    <tabColor indexed="57"/>
  </sheetPr>
  <dimension ref="B1:L109"/>
  <sheetViews>
    <sheetView showGridLines="0" topLeftCell="A91" workbookViewId="0">
      <selection activeCell="F97" sqref="F97:K108"/>
    </sheetView>
  </sheetViews>
  <sheetFormatPr baseColWidth="10" defaultColWidth="11.44140625" defaultRowHeight="13.8" x14ac:dyDescent="0.3"/>
  <cols>
    <col min="1" max="2" width="3.6640625" style="6" customWidth="1"/>
    <col min="3" max="3" width="4.5546875" style="6" bestFit="1" customWidth="1"/>
    <col min="4" max="4" width="1.44140625" style="6" bestFit="1" customWidth="1"/>
    <col min="5" max="5" width="4" style="6" bestFit="1" customWidth="1"/>
    <col min="6" max="11" width="11.6640625" style="6" bestFit="1" customWidth="1"/>
    <col min="12" max="12" width="3.6640625" style="6" customWidth="1"/>
    <col min="13" max="16384" width="11.44140625" style="6"/>
  </cols>
  <sheetData>
    <row r="1" spans="2:12" ht="14.4" thickBot="1" x14ac:dyDescent="0.35"/>
    <row r="2" spans="2:12" x14ac:dyDescent="0.3">
      <c r="B2" s="11"/>
      <c r="C2" s="12"/>
      <c r="D2" s="12"/>
      <c r="E2" s="12"/>
      <c r="F2" s="12"/>
      <c r="G2" s="12"/>
      <c r="H2" s="12"/>
      <c r="I2" s="12"/>
      <c r="J2" s="12"/>
      <c r="K2" s="12"/>
      <c r="L2" s="14"/>
    </row>
    <row r="3" spans="2:12" x14ac:dyDescent="0.3">
      <c r="B3" s="28" t="s">
        <v>158</v>
      </c>
      <c r="C3" s="29"/>
      <c r="D3" s="29"/>
      <c r="E3" s="29"/>
      <c r="F3" s="36"/>
      <c r="G3" s="36"/>
      <c r="H3" s="36"/>
      <c r="I3" s="36"/>
      <c r="J3" s="36"/>
      <c r="K3" s="36"/>
      <c r="L3" s="16"/>
    </row>
    <row r="4" spans="2:12" x14ac:dyDescent="0.3">
      <c r="B4" s="28"/>
      <c r="C4" s="29"/>
      <c r="D4" s="29"/>
      <c r="E4" s="29"/>
      <c r="F4" s="36"/>
      <c r="G4" s="36"/>
      <c r="H4" s="36"/>
      <c r="I4" s="36"/>
      <c r="J4" s="36"/>
      <c r="K4" s="36"/>
      <c r="L4" s="16"/>
    </row>
    <row r="5" spans="2:12" x14ac:dyDescent="0.3">
      <c r="B5" s="17"/>
      <c r="F5" s="37" t="s">
        <v>153</v>
      </c>
      <c r="G5" s="37" t="s">
        <v>154</v>
      </c>
      <c r="H5" s="37" t="s">
        <v>155</v>
      </c>
      <c r="I5" s="37" t="s">
        <v>40</v>
      </c>
      <c r="J5" s="37" t="s">
        <v>41</v>
      </c>
      <c r="K5" s="37" t="s">
        <v>81</v>
      </c>
      <c r="L5" s="16"/>
    </row>
    <row r="6" spans="2:12" x14ac:dyDescent="0.3">
      <c r="B6" s="17"/>
      <c r="C6" s="6" t="s">
        <v>8</v>
      </c>
      <c r="D6" s="6" t="s">
        <v>48</v>
      </c>
      <c r="E6" s="6" t="s">
        <v>21</v>
      </c>
      <c r="F6" s="38">
        <v>4414.7</v>
      </c>
      <c r="G6" s="38">
        <v>3983.2</v>
      </c>
      <c r="H6" s="38">
        <v>2987.7</v>
      </c>
      <c r="I6" s="38">
        <v>3697.3</v>
      </c>
      <c r="J6" s="38">
        <v>3189.9</v>
      </c>
      <c r="K6" s="38">
        <v>2619.4</v>
      </c>
      <c r="L6" s="16"/>
    </row>
    <row r="7" spans="2:12" x14ac:dyDescent="0.3">
      <c r="B7" s="17"/>
      <c r="C7" s="6" t="s">
        <v>8</v>
      </c>
      <c r="D7" s="6" t="s">
        <v>48</v>
      </c>
      <c r="E7" s="6" t="s">
        <v>29</v>
      </c>
      <c r="F7" s="38">
        <v>4153.6000000000004</v>
      </c>
      <c r="G7" s="38">
        <v>3816.9</v>
      </c>
      <c r="H7" s="38">
        <v>2885.7</v>
      </c>
      <c r="I7" s="38">
        <v>3561.3</v>
      </c>
      <c r="J7" s="38">
        <v>3188</v>
      </c>
      <c r="K7" s="38">
        <v>2644.2</v>
      </c>
      <c r="L7" s="16"/>
    </row>
    <row r="8" spans="2:12" x14ac:dyDescent="0.3">
      <c r="B8" s="17"/>
      <c r="C8" s="6" t="s">
        <v>8</v>
      </c>
      <c r="D8" s="6" t="s">
        <v>48</v>
      </c>
      <c r="E8" s="6" t="s">
        <v>30</v>
      </c>
      <c r="F8" s="38">
        <v>4028.6</v>
      </c>
      <c r="G8" s="38">
        <v>3702.5</v>
      </c>
      <c r="H8" s="38">
        <v>2822.8</v>
      </c>
      <c r="I8" s="38">
        <v>3442</v>
      </c>
      <c r="J8" s="38">
        <v>3041.1</v>
      </c>
      <c r="K8" s="38">
        <v>2572</v>
      </c>
      <c r="L8" s="16"/>
    </row>
    <row r="9" spans="2:12" x14ac:dyDescent="0.3">
      <c r="B9" s="17"/>
      <c r="C9" s="6" t="s">
        <v>8</v>
      </c>
      <c r="D9" s="6" t="s">
        <v>48</v>
      </c>
      <c r="E9" s="6" t="s">
        <v>31</v>
      </c>
      <c r="F9" s="38">
        <v>3752</v>
      </c>
      <c r="G9" s="38">
        <v>3447.6</v>
      </c>
      <c r="H9" s="38">
        <v>2622.3</v>
      </c>
      <c r="I9" s="38">
        <v>3241.9</v>
      </c>
      <c r="J9" s="38">
        <v>2850.5</v>
      </c>
      <c r="K9" s="38">
        <v>2435.8000000000002</v>
      </c>
      <c r="L9" s="16"/>
    </row>
    <row r="10" spans="2:12" x14ac:dyDescent="0.3">
      <c r="B10" s="17"/>
      <c r="C10" s="6" t="s">
        <v>8</v>
      </c>
      <c r="D10" s="6" t="s">
        <v>48</v>
      </c>
      <c r="E10" s="6" t="s">
        <v>32</v>
      </c>
      <c r="F10" s="38">
        <v>3746.3</v>
      </c>
      <c r="G10" s="38">
        <v>3442.8</v>
      </c>
      <c r="H10" s="38">
        <v>2602.4</v>
      </c>
      <c r="I10" s="38">
        <v>3108.9</v>
      </c>
      <c r="J10" s="38">
        <v>2768</v>
      </c>
      <c r="K10" s="38">
        <v>2385.3000000000002</v>
      </c>
      <c r="L10" s="16"/>
    </row>
    <row r="11" spans="2:12" x14ac:dyDescent="0.3">
      <c r="B11" s="17"/>
      <c r="C11" s="6" t="s">
        <v>8</v>
      </c>
      <c r="D11" s="6" t="s">
        <v>48</v>
      </c>
      <c r="E11" s="6" t="s">
        <v>33</v>
      </c>
      <c r="F11" s="38">
        <v>4103</v>
      </c>
      <c r="G11" s="38">
        <v>3728.5</v>
      </c>
      <c r="H11" s="38">
        <v>2776.6</v>
      </c>
      <c r="I11" s="38">
        <v>3300.8</v>
      </c>
      <c r="J11" s="38">
        <v>2984.3</v>
      </c>
      <c r="K11" s="38">
        <v>2512.4</v>
      </c>
      <c r="L11" s="16"/>
    </row>
    <row r="12" spans="2:12" x14ac:dyDescent="0.3">
      <c r="B12" s="17"/>
      <c r="C12" s="6" t="s">
        <v>8</v>
      </c>
      <c r="D12" s="6" t="s">
        <v>48</v>
      </c>
      <c r="E12" s="6" t="s">
        <v>34</v>
      </c>
      <c r="F12" s="38">
        <v>4184.5</v>
      </c>
      <c r="G12" s="38">
        <v>3818.9</v>
      </c>
      <c r="H12" s="38">
        <v>2889.7</v>
      </c>
      <c r="I12" s="38">
        <v>3412.9</v>
      </c>
      <c r="J12" s="38">
        <v>3097.1</v>
      </c>
      <c r="K12" s="38">
        <v>2599.3000000000002</v>
      </c>
      <c r="L12" s="16"/>
    </row>
    <row r="13" spans="2:12" x14ac:dyDescent="0.3">
      <c r="B13" s="17"/>
      <c r="C13" s="6" t="s">
        <v>8</v>
      </c>
      <c r="D13" s="6" t="s">
        <v>48</v>
      </c>
      <c r="E13" s="6" t="s">
        <v>35</v>
      </c>
      <c r="F13" s="38">
        <v>3778.1</v>
      </c>
      <c r="G13" s="38">
        <v>3492.5</v>
      </c>
      <c r="H13" s="38">
        <v>2666.5</v>
      </c>
      <c r="I13" s="38">
        <v>3237.8</v>
      </c>
      <c r="J13" s="38">
        <v>2909.2</v>
      </c>
      <c r="K13" s="38">
        <v>2448</v>
      </c>
      <c r="L13" s="16"/>
    </row>
    <row r="14" spans="2:12" x14ac:dyDescent="0.3">
      <c r="B14" s="17"/>
      <c r="C14" s="6" t="s">
        <v>8</v>
      </c>
      <c r="D14" s="6" t="s">
        <v>48</v>
      </c>
      <c r="E14" s="6" t="s">
        <v>36</v>
      </c>
      <c r="F14" s="38">
        <v>4009.2</v>
      </c>
      <c r="G14" s="38">
        <v>3706.2</v>
      </c>
      <c r="H14" s="38">
        <v>2797.3</v>
      </c>
      <c r="I14" s="38">
        <v>3256.3</v>
      </c>
      <c r="J14" s="38">
        <v>2909.4</v>
      </c>
      <c r="K14" s="38">
        <v>2488.1999999999998</v>
      </c>
      <c r="L14" s="16"/>
    </row>
    <row r="15" spans="2:12" x14ac:dyDescent="0.3">
      <c r="B15" s="17"/>
      <c r="C15" s="6" t="s">
        <v>8</v>
      </c>
      <c r="D15" s="6" t="s">
        <v>48</v>
      </c>
      <c r="E15" s="6" t="s">
        <v>37</v>
      </c>
      <c r="F15" s="38">
        <v>3887</v>
      </c>
      <c r="G15" s="38">
        <v>3557.1</v>
      </c>
      <c r="H15" s="38">
        <v>2645.2</v>
      </c>
      <c r="I15" s="38">
        <v>3242</v>
      </c>
      <c r="J15" s="38">
        <v>2844</v>
      </c>
      <c r="K15" s="38">
        <v>2443.4</v>
      </c>
      <c r="L15" s="16"/>
    </row>
    <row r="16" spans="2:12" x14ac:dyDescent="0.3">
      <c r="B16" s="17"/>
      <c r="C16" s="6" t="s">
        <v>8</v>
      </c>
      <c r="D16" s="6" t="s">
        <v>48</v>
      </c>
      <c r="E16" s="6" t="s">
        <v>38</v>
      </c>
      <c r="F16" s="38">
        <v>4255.5</v>
      </c>
      <c r="G16" s="38">
        <v>3844.8</v>
      </c>
      <c r="H16" s="38">
        <v>2888.6</v>
      </c>
      <c r="I16" s="38">
        <v>3503.2</v>
      </c>
      <c r="J16" s="38">
        <v>3116.1</v>
      </c>
      <c r="K16" s="38">
        <v>2586.1999999999998</v>
      </c>
      <c r="L16" s="16"/>
    </row>
    <row r="17" spans="2:12" x14ac:dyDescent="0.3">
      <c r="B17" s="17"/>
      <c r="C17" s="6" t="s">
        <v>8</v>
      </c>
      <c r="D17" s="6" t="s">
        <v>48</v>
      </c>
      <c r="E17" s="6" t="s">
        <v>22</v>
      </c>
      <c r="F17" s="38">
        <v>4453.8</v>
      </c>
      <c r="G17" s="38">
        <v>4005.3</v>
      </c>
      <c r="H17" s="38">
        <v>3013.4</v>
      </c>
      <c r="I17" s="38">
        <v>3660.3</v>
      </c>
      <c r="J17" s="38">
        <v>3210.7</v>
      </c>
      <c r="K17" s="38">
        <v>2619.3000000000002</v>
      </c>
      <c r="L17" s="16"/>
    </row>
    <row r="18" spans="2:12" x14ac:dyDescent="0.3">
      <c r="B18" s="17"/>
      <c r="C18" s="6" t="s">
        <v>9</v>
      </c>
      <c r="D18" s="6" t="s">
        <v>48</v>
      </c>
      <c r="E18" s="6" t="s">
        <v>21</v>
      </c>
      <c r="F18" s="38">
        <v>4414.7</v>
      </c>
      <c r="G18" s="38">
        <v>3983.2</v>
      </c>
      <c r="H18" s="38">
        <v>2987.7</v>
      </c>
      <c r="I18" s="38">
        <v>3697.3</v>
      </c>
      <c r="J18" s="38">
        <v>3189.9</v>
      </c>
      <c r="K18" s="38">
        <v>2619.4</v>
      </c>
      <c r="L18" s="16"/>
    </row>
    <row r="19" spans="2:12" x14ac:dyDescent="0.3">
      <c r="B19" s="17"/>
      <c r="C19" s="6" t="s">
        <v>9</v>
      </c>
      <c r="D19" s="6" t="s">
        <v>48</v>
      </c>
      <c r="E19" s="6" t="s">
        <v>29</v>
      </c>
      <c r="F19" s="38">
        <v>4153.6000000000004</v>
      </c>
      <c r="G19" s="38">
        <v>3816.9</v>
      </c>
      <c r="H19" s="38">
        <v>2885.7</v>
      </c>
      <c r="I19" s="38">
        <v>3561.3</v>
      </c>
      <c r="J19" s="38">
        <v>3188</v>
      </c>
      <c r="K19" s="38">
        <v>2644.2</v>
      </c>
      <c r="L19" s="16"/>
    </row>
    <row r="20" spans="2:12" x14ac:dyDescent="0.3">
      <c r="B20" s="17"/>
      <c r="C20" s="6" t="s">
        <v>9</v>
      </c>
      <c r="D20" s="6" t="s">
        <v>48</v>
      </c>
      <c r="E20" s="6" t="s">
        <v>30</v>
      </c>
      <c r="F20" s="38">
        <v>4028.6</v>
      </c>
      <c r="G20" s="38">
        <v>3702.5</v>
      </c>
      <c r="H20" s="38">
        <v>2822.8</v>
      </c>
      <c r="I20" s="38">
        <v>3442</v>
      </c>
      <c r="J20" s="38">
        <v>3041.1</v>
      </c>
      <c r="K20" s="38">
        <v>2572</v>
      </c>
      <c r="L20" s="16"/>
    </row>
    <row r="21" spans="2:12" x14ac:dyDescent="0.3">
      <c r="B21" s="17"/>
      <c r="C21" s="6" t="s">
        <v>9</v>
      </c>
      <c r="D21" s="6" t="s">
        <v>48</v>
      </c>
      <c r="E21" s="6" t="s">
        <v>31</v>
      </c>
      <c r="F21" s="38">
        <v>3752</v>
      </c>
      <c r="G21" s="38">
        <v>3447.6</v>
      </c>
      <c r="H21" s="38">
        <v>2622.3</v>
      </c>
      <c r="I21" s="38">
        <v>3241.9</v>
      </c>
      <c r="J21" s="38">
        <v>2850.5</v>
      </c>
      <c r="K21" s="38">
        <v>2435.8000000000002</v>
      </c>
      <c r="L21" s="16"/>
    </row>
    <row r="22" spans="2:12" x14ac:dyDescent="0.3">
      <c r="B22" s="17"/>
      <c r="C22" s="6" t="s">
        <v>9</v>
      </c>
      <c r="D22" s="6" t="s">
        <v>48</v>
      </c>
      <c r="E22" s="6" t="s">
        <v>32</v>
      </c>
      <c r="F22" s="38">
        <v>3746.3</v>
      </c>
      <c r="G22" s="38">
        <v>3442.8</v>
      </c>
      <c r="H22" s="38">
        <v>2602.4</v>
      </c>
      <c r="I22" s="38">
        <v>3108.9</v>
      </c>
      <c r="J22" s="38">
        <v>2768</v>
      </c>
      <c r="K22" s="38">
        <v>2385.3000000000002</v>
      </c>
      <c r="L22" s="16"/>
    </row>
    <row r="23" spans="2:12" x14ac:dyDescent="0.3">
      <c r="B23" s="17"/>
      <c r="C23" s="6" t="s">
        <v>9</v>
      </c>
      <c r="D23" s="6" t="s">
        <v>48</v>
      </c>
      <c r="E23" s="6" t="s">
        <v>33</v>
      </c>
      <c r="F23" s="38">
        <v>4103</v>
      </c>
      <c r="G23" s="38">
        <v>3728.5</v>
      </c>
      <c r="H23" s="38">
        <v>2776.6</v>
      </c>
      <c r="I23" s="38">
        <v>3300.8</v>
      </c>
      <c r="J23" s="38">
        <v>2984.3</v>
      </c>
      <c r="K23" s="38">
        <v>2512.4</v>
      </c>
      <c r="L23" s="16"/>
    </row>
    <row r="24" spans="2:12" x14ac:dyDescent="0.3">
      <c r="B24" s="17"/>
      <c r="C24" s="6" t="s">
        <v>9</v>
      </c>
      <c r="D24" s="6" t="s">
        <v>48</v>
      </c>
      <c r="E24" s="6" t="s">
        <v>34</v>
      </c>
      <c r="F24" s="38">
        <v>4184.5</v>
      </c>
      <c r="G24" s="38">
        <v>3818.9</v>
      </c>
      <c r="H24" s="38">
        <v>2889.7</v>
      </c>
      <c r="I24" s="38">
        <v>3412.9</v>
      </c>
      <c r="J24" s="38">
        <v>3097.1</v>
      </c>
      <c r="K24" s="38">
        <v>2599.3000000000002</v>
      </c>
      <c r="L24" s="16"/>
    </row>
    <row r="25" spans="2:12" x14ac:dyDescent="0.3">
      <c r="B25" s="17"/>
      <c r="C25" s="6" t="s">
        <v>9</v>
      </c>
      <c r="D25" s="6" t="s">
        <v>48</v>
      </c>
      <c r="E25" s="6" t="s">
        <v>35</v>
      </c>
      <c r="F25" s="38">
        <v>3778.1</v>
      </c>
      <c r="G25" s="38">
        <v>3492.5</v>
      </c>
      <c r="H25" s="38">
        <v>2666.5</v>
      </c>
      <c r="I25" s="38">
        <v>3237.8</v>
      </c>
      <c r="J25" s="38">
        <v>2909.2</v>
      </c>
      <c r="K25" s="38">
        <v>2448</v>
      </c>
      <c r="L25" s="16"/>
    </row>
    <row r="26" spans="2:12" x14ac:dyDescent="0.3">
      <c r="B26" s="17"/>
      <c r="C26" s="6" t="s">
        <v>9</v>
      </c>
      <c r="D26" s="6" t="s">
        <v>48</v>
      </c>
      <c r="E26" s="6" t="s">
        <v>36</v>
      </c>
      <c r="F26" s="38">
        <v>4009.2</v>
      </c>
      <c r="G26" s="38">
        <v>3706.2</v>
      </c>
      <c r="H26" s="38">
        <v>2797.3</v>
      </c>
      <c r="I26" s="38">
        <v>3256.3</v>
      </c>
      <c r="J26" s="38">
        <v>2909.4</v>
      </c>
      <c r="K26" s="38">
        <v>2488.1999999999998</v>
      </c>
      <c r="L26" s="16"/>
    </row>
    <row r="27" spans="2:12" x14ac:dyDescent="0.3">
      <c r="B27" s="17"/>
      <c r="C27" s="6" t="s">
        <v>9</v>
      </c>
      <c r="D27" s="6" t="s">
        <v>48</v>
      </c>
      <c r="E27" s="6" t="s">
        <v>37</v>
      </c>
      <c r="F27" s="38">
        <v>3887</v>
      </c>
      <c r="G27" s="38">
        <v>3557.1</v>
      </c>
      <c r="H27" s="38">
        <v>2645.2</v>
      </c>
      <c r="I27" s="38">
        <v>3242</v>
      </c>
      <c r="J27" s="38">
        <v>2844</v>
      </c>
      <c r="K27" s="38">
        <v>2443.4</v>
      </c>
      <c r="L27" s="16"/>
    </row>
    <row r="28" spans="2:12" x14ac:dyDescent="0.3">
      <c r="B28" s="17"/>
      <c r="C28" s="6" t="s">
        <v>9</v>
      </c>
      <c r="D28" s="6" t="s">
        <v>48</v>
      </c>
      <c r="E28" s="6" t="s">
        <v>38</v>
      </c>
      <c r="F28" s="38">
        <v>4255.5</v>
      </c>
      <c r="G28" s="38">
        <v>3844.8</v>
      </c>
      <c r="H28" s="38">
        <v>2888.6</v>
      </c>
      <c r="I28" s="38">
        <v>3503.2</v>
      </c>
      <c r="J28" s="38">
        <v>3116.1</v>
      </c>
      <c r="K28" s="38">
        <v>2586.1999999999998</v>
      </c>
      <c r="L28" s="16"/>
    </row>
    <row r="29" spans="2:12" x14ac:dyDescent="0.3">
      <c r="B29" s="17"/>
      <c r="C29" s="6" t="s">
        <v>9</v>
      </c>
      <c r="D29" s="6" t="s">
        <v>48</v>
      </c>
      <c r="E29" s="6" t="s">
        <v>22</v>
      </c>
      <c r="F29" s="38">
        <v>4453.8</v>
      </c>
      <c r="G29" s="38">
        <v>4005.3</v>
      </c>
      <c r="H29" s="38">
        <v>3013.4</v>
      </c>
      <c r="I29" s="38">
        <v>3660.3</v>
      </c>
      <c r="J29" s="38">
        <v>3210.7</v>
      </c>
      <c r="K29" s="38">
        <v>2619.3000000000002</v>
      </c>
      <c r="L29" s="16"/>
    </row>
    <row r="30" spans="2:12" x14ac:dyDescent="0.3">
      <c r="B30" s="17"/>
      <c r="C30" s="6" t="s">
        <v>10</v>
      </c>
      <c r="D30" s="6" t="s">
        <v>48</v>
      </c>
      <c r="E30" s="6" t="s">
        <v>21</v>
      </c>
      <c r="F30" s="38">
        <v>4414.7</v>
      </c>
      <c r="G30" s="38">
        <v>3983.2</v>
      </c>
      <c r="H30" s="38">
        <v>2987.7</v>
      </c>
      <c r="I30" s="38">
        <v>3697.3</v>
      </c>
      <c r="J30" s="38">
        <v>3189.9</v>
      </c>
      <c r="K30" s="38">
        <v>2619.4</v>
      </c>
      <c r="L30" s="16"/>
    </row>
    <row r="31" spans="2:12" x14ac:dyDescent="0.3">
      <c r="B31" s="17"/>
      <c r="C31" s="6" t="s">
        <v>10</v>
      </c>
      <c r="D31" s="6" t="s">
        <v>48</v>
      </c>
      <c r="E31" s="6" t="s">
        <v>29</v>
      </c>
      <c r="F31" s="38">
        <v>4153.6000000000004</v>
      </c>
      <c r="G31" s="38">
        <v>3816.9</v>
      </c>
      <c r="H31" s="38">
        <v>2885.7</v>
      </c>
      <c r="I31" s="38">
        <v>3561.3</v>
      </c>
      <c r="J31" s="38">
        <v>3188</v>
      </c>
      <c r="K31" s="38">
        <v>2644.2</v>
      </c>
      <c r="L31" s="16"/>
    </row>
    <row r="32" spans="2:12" x14ac:dyDescent="0.3">
      <c r="B32" s="17"/>
      <c r="C32" s="6" t="s">
        <v>10</v>
      </c>
      <c r="D32" s="6" t="s">
        <v>48</v>
      </c>
      <c r="E32" s="6" t="s">
        <v>30</v>
      </c>
      <c r="F32" s="38">
        <v>4028.6</v>
      </c>
      <c r="G32" s="38">
        <v>3702.5</v>
      </c>
      <c r="H32" s="38">
        <v>2822.8</v>
      </c>
      <c r="I32" s="38">
        <v>3442</v>
      </c>
      <c r="J32" s="38">
        <v>3041.1</v>
      </c>
      <c r="K32" s="38">
        <v>2572</v>
      </c>
      <c r="L32" s="16"/>
    </row>
    <row r="33" spans="2:12" x14ac:dyDescent="0.3">
      <c r="B33" s="17"/>
      <c r="C33" s="6" t="s">
        <v>10</v>
      </c>
      <c r="D33" s="6" t="s">
        <v>48</v>
      </c>
      <c r="E33" s="6" t="s">
        <v>31</v>
      </c>
      <c r="F33" s="38">
        <v>3752</v>
      </c>
      <c r="G33" s="38">
        <v>3447.6</v>
      </c>
      <c r="H33" s="38">
        <v>2622.3</v>
      </c>
      <c r="I33" s="38">
        <v>3241.9</v>
      </c>
      <c r="J33" s="38">
        <v>2850.5</v>
      </c>
      <c r="K33" s="38">
        <v>2435.8000000000002</v>
      </c>
      <c r="L33" s="16"/>
    </row>
    <row r="34" spans="2:12" x14ac:dyDescent="0.3">
      <c r="B34" s="17"/>
      <c r="C34" s="6" t="s">
        <v>10</v>
      </c>
      <c r="D34" s="6" t="s">
        <v>48</v>
      </c>
      <c r="E34" s="6" t="s">
        <v>32</v>
      </c>
      <c r="F34" s="38">
        <v>3746.3</v>
      </c>
      <c r="G34" s="38">
        <v>3442.8</v>
      </c>
      <c r="H34" s="38">
        <v>2602.4</v>
      </c>
      <c r="I34" s="38">
        <v>3108.9</v>
      </c>
      <c r="J34" s="38">
        <v>2768</v>
      </c>
      <c r="K34" s="38">
        <v>2385.3000000000002</v>
      </c>
      <c r="L34" s="16"/>
    </row>
    <row r="35" spans="2:12" x14ac:dyDescent="0.3">
      <c r="B35" s="17"/>
      <c r="C35" s="6" t="s">
        <v>10</v>
      </c>
      <c r="D35" s="6" t="s">
        <v>48</v>
      </c>
      <c r="E35" s="6" t="s">
        <v>33</v>
      </c>
      <c r="F35" s="38">
        <v>4103</v>
      </c>
      <c r="G35" s="38">
        <v>3728.5</v>
      </c>
      <c r="H35" s="38">
        <v>2776.6</v>
      </c>
      <c r="I35" s="38">
        <v>3300.8</v>
      </c>
      <c r="J35" s="38">
        <v>2984.3</v>
      </c>
      <c r="K35" s="38">
        <v>2512.4</v>
      </c>
      <c r="L35" s="16"/>
    </row>
    <row r="36" spans="2:12" x14ac:dyDescent="0.3">
      <c r="B36" s="17"/>
      <c r="C36" s="6" t="s">
        <v>10</v>
      </c>
      <c r="D36" s="6" t="s">
        <v>48</v>
      </c>
      <c r="E36" s="6" t="s">
        <v>34</v>
      </c>
      <c r="F36" s="38">
        <v>4184.5</v>
      </c>
      <c r="G36" s="38">
        <v>3818.9</v>
      </c>
      <c r="H36" s="38">
        <v>2889.7</v>
      </c>
      <c r="I36" s="38">
        <v>3412.9</v>
      </c>
      <c r="J36" s="38">
        <v>3097.1</v>
      </c>
      <c r="K36" s="38">
        <v>2599.3000000000002</v>
      </c>
      <c r="L36" s="16"/>
    </row>
    <row r="37" spans="2:12" x14ac:dyDescent="0.3">
      <c r="B37" s="17"/>
      <c r="C37" s="6" t="s">
        <v>10</v>
      </c>
      <c r="D37" s="6" t="s">
        <v>48</v>
      </c>
      <c r="E37" s="6" t="s">
        <v>35</v>
      </c>
      <c r="F37" s="38">
        <v>3778.1</v>
      </c>
      <c r="G37" s="38">
        <v>3492.5</v>
      </c>
      <c r="H37" s="38">
        <v>2666.5</v>
      </c>
      <c r="I37" s="38">
        <v>3237.8</v>
      </c>
      <c r="J37" s="38">
        <v>2909.2</v>
      </c>
      <c r="K37" s="38">
        <v>2448</v>
      </c>
      <c r="L37" s="16"/>
    </row>
    <row r="38" spans="2:12" x14ac:dyDescent="0.3">
      <c r="B38" s="17"/>
      <c r="C38" s="6" t="s">
        <v>10</v>
      </c>
      <c r="D38" s="6" t="s">
        <v>48</v>
      </c>
      <c r="E38" s="6" t="s">
        <v>36</v>
      </c>
      <c r="F38" s="38">
        <v>4009.2</v>
      </c>
      <c r="G38" s="38">
        <v>3706.2</v>
      </c>
      <c r="H38" s="38">
        <v>2797.3</v>
      </c>
      <c r="I38" s="38">
        <v>3256.3</v>
      </c>
      <c r="J38" s="38">
        <v>2909.4</v>
      </c>
      <c r="K38" s="38">
        <v>2488.1999999999998</v>
      </c>
      <c r="L38" s="16"/>
    </row>
    <row r="39" spans="2:12" x14ac:dyDescent="0.3">
      <c r="B39" s="17"/>
      <c r="C39" s="6" t="s">
        <v>10</v>
      </c>
      <c r="D39" s="6" t="s">
        <v>48</v>
      </c>
      <c r="E39" s="6" t="s">
        <v>37</v>
      </c>
      <c r="F39" s="38">
        <v>3887</v>
      </c>
      <c r="G39" s="38">
        <v>3557.1</v>
      </c>
      <c r="H39" s="38">
        <v>2645.2</v>
      </c>
      <c r="I39" s="38">
        <v>3242</v>
      </c>
      <c r="J39" s="38">
        <v>2844</v>
      </c>
      <c r="K39" s="38">
        <v>2443.4</v>
      </c>
      <c r="L39" s="16"/>
    </row>
    <row r="40" spans="2:12" x14ac:dyDescent="0.3">
      <c r="B40" s="17"/>
      <c r="C40" s="6" t="s">
        <v>10</v>
      </c>
      <c r="D40" s="6" t="s">
        <v>48</v>
      </c>
      <c r="E40" s="6" t="s">
        <v>38</v>
      </c>
      <c r="F40" s="38">
        <v>4255.5</v>
      </c>
      <c r="G40" s="38">
        <v>3844.8</v>
      </c>
      <c r="H40" s="38">
        <v>2888.6</v>
      </c>
      <c r="I40" s="38">
        <v>3503.2</v>
      </c>
      <c r="J40" s="38">
        <v>3116.1</v>
      </c>
      <c r="K40" s="38">
        <v>2586.1999999999998</v>
      </c>
      <c r="L40" s="16"/>
    </row>
    <row r="41" spans="2:12" x14ac:dyDescent="0.3">
      <c r="B41" s="17"/>
      <c r="C41" s="6" t="s">
        <v>10</v>
      </c>
      <c r="D41" s="6" t="s">
        <v>48</v>
      </c>
      <c r="E41" s="6" t="s">
        <v>22</v>
      </c>
      <c r="F41" s="38">
        <v>4453.8</v>
      </c>
      <c r="G41" s="38">
        <v>4005.3</v>
      </c>
      <c r="H41" s="38">
        <v>3013.4</v>
      </c>
      <c r="I41" s="38">
        <v>3660.3</v>
      </c>
      <c r="J41" s="38">
        <v>3210.7</v>
      </c>
      <c r="K41" s="38">
        <v>2619.3000000000002</v>
      </c>
      <c r="L41" s="16"/>
    </row>
    <row r="42" spans="2:12" x14ac:dyDescent="0.3">
      <c r="B42" s="17"/>
      <c r="F42" s="38"/>
      <c r="G42" s="38"/>
      <c r="H42" s="38"/>
      <c r="I42" s="38"/>
      <c r="J42" s="38"/>
      <c r="K42" s="38"/>
      <c r="L42" s="16"/>
    </row>
    <row r="43" spans="2:12" x14ac:dyDescent="0.3">
      <c r="B43" s="28" t="s">
        <v>171</v>
      </c>
      <c r="F43" s="38">
        <f t="shared" ref="F43:K43" si="0">MAX(F6:F41)</f>
        <v>4453.8</v>
      </c>
      <c r="G43" s="38">
        <f t="shared" si="0"/>
        <v>4005.3</v>
      </c>
      <c r="H43" s="38">
        <f t="shared" si="0"/>
        <v>3013.4</v>
      </c>
      <c r="I43" s="38">
        <f t="shared" si="0"/>
        <v>3697.3</v>
      </c>
      <c r="J43" s="38">
        <f t="shared" si="0"/>
        <v>3210.7</v>
      </c>
      <c r="K43" s="38">
        <f t="shared" si="0"/>
        <v>2644.2</v>
      </c>
      <c r="L43" s="16"/>
    </row>
    <row r="44" spans="2:12" x14ac:dyDescent="0.3">
      <c r="B44" s="28" t="s">
        <v>172</v>
      </c>
      <c r="F44" s="38">
        <f t="shared" ref="F44:K44" si="1">MIN(F6:F41)</f>
        <v>3746.3</v>
      </c>
      <c r="G44" s="38">
        <f t="shared" si="1"/>
        <v>3442.8</v>
      </c>
      <c r="H44" s="38">
        <f t="shared" si="1"/>
        <v>2602.4</v>
      </c>
      <c r="I44" s="38">
        <f t="shared" si="1"/>
        <v>3108.9</v>
      </c>
      <c r="J44" s="38">
        <f t="shared" si="1"/>
        <v>2768</v>
      </c>
      <c r="K44" s="38">
        <f t="shared" si="1"/>
        <v>2385.3000000000002</v>
      </c>
      <c r="L44" s="16"/>
    </row>
    <row r="45" spans="2:12" x14ac:dyDescent="0.3">
      <c r="B45" s="28" t="s">
        <v>173</v>
      </c>
      <c r="F45" s="38">
        <f t="shared" ref="F45:K45" si="2">SUM(F6:F41)</f>
        <v>146298.90000000002</v>
      </c>
      <c r="G45" s="38">
        <f t="shared" si="2"/>
        <v>133638.9</v>
      </c>
      <c r="H45" s="38">
        <f t="shared" si="2"/>
        <v>100794.59999999999</v>
      </c>
      <c r="I45" s="38">
        <f t="shared" si="2"/>
        <v>121994.1</v>
      </c>
      <c r="J45" s="38">
        <f t="shared" si="2"/>
        <v>108324.9</v>
      </c>
      <c r="K45" s="38">
        <f t="shared" si="2"/>
        <v>91060.5</v>
      </c>
      <c r="L45" s="16"/>
    </row>
    <row r="46" spans="2:12" ht="14.4" thickBot="1" x14ac:dyDescent="0.35">
      <c r="B46" s="24"/>
      <c r="C46" s="25"/>
      <c r="D46" s="25"/>
      <c r="E46" s="25"/>
      <c r="F46" s="25"/>
      <c r="G46" s="25"/>
      <c r="H46" s="25"/>
      <c r="I46" s="25"/>
      <c r="J46" s="25"/>
      <c r="K46" s="25"/>
      <c r="L46" s="27"/>
    </row>
    <row r="47" spans="2:12" ht="14.4" thickBot="1" x14ac:dyDescent="0.35"/>
    <row r="48" spans="2:12" x14ac:dyDescent="0.3">
      <c r="B48" s="11"/>
      <c r="C48" s="12"/>
      <c r="D48" s="12"/>
      <c r="E48" s="12"/>
      <c r="F48" s="12"/>
      <c r="G48" s="12"/>
      <c r="H48" s="12"/>
      <c r="I48" s="12"/>
      <c r="J48" s="12"/>
      <c r="K48" s="12"/>
      <c r="L48" s="14"/>
    </row>
    <row r="49" spans="2:12" x14ac:dyDescent="0.3">
      <c r="B49" s="28" t="s">
        <v>159</v>
      </c>
      <c r="C49" s="29"/>
      <c r="D49" s="29"/>
      <c r="E49" s="29"/>
      <c r="F49" s="36"/>
      <c r="G49" s="36"/>
      <c r="H49" s="36"/>
      <c r="I49" s="36"/>
      <c r="J49" s="36"/>
      <c r="K49" s="36"/>
      <c r="L49" s="16"/>
    </row>
    <row r="50" spans="2:12" x14ac:dyDescent="0.3">
      <c r="B50" s="28"/>
      <c r="C50" s="29"/>
      <c r="D50" s="29"/>
      <c r="E50" s="29"/>
      <c r="F50" s="36"/>
      <c r="G50" s="36"/>
      <c r="H50" s="36"/>
      <c r="I50" s="36"/>
      <c r="J50" s="36"/>
      <c r="K50" s="36"/>
      <c r="L50" s="16"/>
    </row>
    <row r="51" spans="2:12" x14ac:dyDescent="0.3">
      <c r="B51" s="17"/>
      <c r="F51" s="37" t="s">
        <v>153</v>
      </c>
      <c r="G51" s="37"/>
      <c r="H51" s="37"/>
      <c r="I51" s="37" t="s">
        <v>40</v>
      </c>
      <c r="J51" s="37"/>
      <c r="K51" s="37"/>
      <c r="L51" s="16"/>
    </row>
    <row r="52" spans="2:12" x14ac:dyDescent="0.3">
      <c r="B52" s="17"/>
      <c r="C52" s="6" t="s">
        <v>8</v>
      </c>
      <c r="D52" s="6" t="s">
        <v>48</v>
      </c>
      <c r="E52" s="6" t="s">
        <v>21</v>
      </c>
      <c r="F52" s="38">
        <f t="shared" ref="F52:F75" si="3">0.1*F18</f>
        <v>441.47</v>
      </c>
      <c r="G52" s="38"/>
      <c r="H52" s="38"/>
      <c r="I52" s="38">
        <f t="shared" ref="I52:I75" si="4">0.1*I18</f>
        <v>369.73</v>
      </c>
      <c r="J52" s="38"/>
      <c r="K52" s="38"/>
      <c r="L52" s="16"/>
    </row>
    <row r="53" spans="2:12" x14ac:dyDescent="0.3">
      <c r="B53" s="17"/>
      <c r="C53" s="6" t="s">
        <v>8</v>
      </c>
      <c r="D53" s="6" t="s">
        <v>48</v>
      </c>
      <c r="E53" s="6" t="s">
        <v>29</v>
      </c>
      <c r="F53" s="38">
        <f t="shared" si="3"/>
        <v>415.36000000000007</v>
      </c>
      <c r="G53" s="38"/>
      <c r="H53" s="38"/>
      <c r="I53" s="38">
        <f t="shared" si="4"/>
        <v>356.13000000000005</v>
      </c>
      <c r="J53" s="38"/>
      <c r="K53" s="38"/>
      <c r="L53" s="16"/>
    </row>
    <row r="54" spans="2:12" x14ac:dyDescent="0.3">
      <c r="B54" s="17"/>
      <c r="C54" s="6" t="s">
        <v>8</v>
      </c>
      <c r="D54" s="6" t="s">
        <v>48</v>
      </c>
      <c r="E54" s="6" t="s">
        <v>30</v>
      </c>
      <c r="F54" s="38">
        <f t="shared" si="3"/>
        <v>402.86</v>
      </c>
      <c r="G54" s="38"/>
      <c r="H54" s="38"/>
      <c r="I54" s="38">
        <f t="shared" si="4"/>
        <v>344.20000000000005</v>
      </c>
      <c r="J54" s="38"/>
      <c r="K54" s="38"/>
      <c r="L54" s="16"/>
    </row>
    <row r="55" spans="2:12" x14ac:dyDescent="0.3">
      <c r="B55" s="17"/>
      <c r="C55" s="6" t="s">
        <v>8</v>
      </c>
      <c r="D55" s="6" t="s">
        <v>48</v>
      </c>
      <c r="E55" s="6" t="s">
        <v>31</v>
      </c>
      <c r="F55" s="38">
        <f t="shared" si="3"/>
        <v>375.20000000000005</v>
      </c>
      <c r="G55" s="38"/>
      <c r="H55" s="38"/>
      <c r="I55" s="38">
        <f t="shared" si="4"/>
        <v>324.19000000000005</v>
      </c>
      <c r="J55" s="38"/>
      <c r="K55" s="38"/>
      <c r="L55" s="16"/>
    </row>
    <row r="56" spans="2:12" x14ac:dyDescent="0.3">
      <c r="B56" s="17"/>
      <c r="C56" s="6" t="s">
        <v>8</v>
      </c>
      <c r="D56" s="6" t="s">
        <v>48</v>
      </c>
      <c r="E56" s="6" t="s">
        <v>32</v>
      </c>
      <c r="F56" s="38">
        <f t="shared" si="3"/>
        <v>374.63000000000005</v>
      </c>
      <c r="G56" s="38"/>
      <c r="H56" s="38"/>
      <c r="I56" s="38">
        <f t="shared" si="4"/>
        <v>310.89000000000004</v>
      </c>
      <c r="J56" s="38"/>
      <c r="K56" s="38"/>
      <c r="L56" s="16"/>
    </row>
    <row r="57" spans="2:12" x14ac:dyDescent="0.3">
      <c r="B57" s="17"/>
      <c r="C57" s="6" t="s">
        <v>8</v>
      </c>
      <c r="D57" s="6" t="s">
        <v>48</v>
      </c>
      <c r="E57" s="6" t="s">
        <v>33</v>
      </c>
      <c r="F57" s="38">
        <f t="shared" si="3"/>
        <v>410.3</v>
      </c>
      <c r="G57" s="38"/>
      <c r="H57" s="38"/>
      <c r="I57" s="38">
        <f t="shared" si="4"/>
        <v>330.08000000000004</v>
      </c>
      <c r="J57" s="38"/>
      <c r="K57" s="38"/>
      <c r="L57" s="16"/>
    </row>
    <row r="58" spans="2:12" x14ac:dyDescent="0.3">
      <c r="B58" s="17"/>
      <c r="C58" s="6" t="s">
        <v>8</v>
      </c>
      <c r="D58" s="6" t="s">
        <v>48</v>
      </c>
      <c r="E58" s="6" t="s">
        <v>34</v>
      </c>
      <c r="F58" s="38">
        <f t="shared" si="3"/>
        <v>418.45000000000005</v>
      </c>
      <c r="G58" s="38"/>
      <c r="H58" s="38"/>
      <c r="I58" s="38">
        <f t="shared" si="4"/>
        <v>341.29</v>
      </c>
      <c r="J58" s="38"/>
      <c r="K58" s="38"/>
      <c r="L58" s="16"/>
    </row>
    <row r="59" spans="2:12" x14ac:dyDescent="0.3">
      <c r="B59" s="17"/>
      <c r="C59" s="6" t="s">
        <v>8</v>
      </c>
      <c r="D59" s="6" t="s">
        <v>48</v>
      </c>
      <c r="E59" s="6" t="s">
        <v>35</v>
      </c>
      <c r="F59" s="38">
        <f t="shared" si="3"/>
        <v>377.81</v>
      </c>
      <c r="G59" s="38"/>
      <c r="H59" s="38"/>
      <c r="I59" s="38">
        <f t="shared" si="4"/>
        <v>323.78000000000003</v>
      </c>
      <c r="J59" s="38"/>
      <c r="K59" s="38"/>
      <c r="L59" s="16"/>
    </row>
    <row r="60" spans="2:12" x14ac:dyDescent="0.3">
      <c r="B60" s="17"/>
      <c r="C60" s="6" t="s">
        <v>8</v>
      </c>
      <c r="D60" s="6" t="s">
        <v>48</v>
      </c>
      <c r="E60" s="6" t="s">
        <v>36</v>
      </c>
      <c r="F60" s="38">
        <f t="shared" si="3"/>
        <v>400.92</v>
      </c>
      <c r="G60" s="38"/>
      <c r="H60" s="38"/>
      <c r="I60" s="38">
        <f t="shared" si="4"/>
        <v>325.63000000000005</v>
      </c>
      <c r="J60" s="38"/>
      <c r="K60" s="38"/>
      <c r="L60" s="16"/>
    </row>
    <row r="61" spans="2:12" x14ac:dyDescent="0.3">
      <c r="B61" s="17"/>
      <c r="C61" s="6" t="s">
        <v>8</v>
      </c>
      <c r="D61" s="6" t="s">
        <v>48</v>
      </c>
      <c r="E61" s="6" t="s">
        <v>37</v>
      </c>
      <c r="F61" s="38">
        <f t="shared" si="3"/>
        <v>388.70000000000005</v>
      </c>
      <c r="G61" s="38"/>
      <c r="H61" s="38"/>
      <c r="I61" s="38">
        <f t="shared" si="4"/>
        <v>324.20000000000005</v>
      </c>
      <c r="J61" s="38"/>
      <c r="K61" s="38"/>
      <c r="L61" s="16"/>
    </row>
    <row r="62" spans="2:12" x14ac:dyDescent="0.3">
      <c r="B62" s="17"/>
      <c r="C62" s="6" t="s">
        <v>8</v>
      </c>
      <c r="D62" s="6" t="s">
        <v>48</v>
      </c>
      <c r="E62" s="6" t="s">
        <v>38</v>
      </c>
      <c r="F62" s="38">
        <f t="shared" si="3"/>
        <v>425.55</v>
      </c>
      <c r="G62" s="38"/>
      <c r="H62" s="38"/>
      <c r="I62" s="38">
        <f t="shared" si="4"/>
        <v>350.32</v>
      </c>
      <c r="J62" s="38"/>
      <c r="K62" s="38"/>
      <c r="L62" s="16"/>
    </row>
    <row r="63" spans="2:12" x14ac:dyDescent="0.3">
      <c r="B63" s="17"/>
      <c r="C63" s="6" t="s">
        <v>8</v>
      </c>
      <c r="D63" s="6" t="s">
        <v>48</v>
      </c>
      <c r="E63" s="6" t="s">
        <v>22</v>
      </c>
      <c r="F63" s="38">
        <f t="shared" si="3"/>
        <v>445.38000000000005</v>
      </c>
      <c r="G63" s="38"/>
      <c r="H63" s="38"/>
      <c r="I63" s="38">
        <f t="shared" si="4"/>
        <v>366.03000000000003</v>
      </c>
      <c r="J63" s="38"/>
      <c r="K63" s="38"/>
      <c r="L63" s="16"/>
    </row>
    <row r="64" spans="2:12" x14ac:dyDescent="0.3">
      <c r="B64" s="17"/>
      <c r="C64" s="6" t="s">
        <v>9</v>
      </c>
      <c r="D64" s="6" t="s">
        <v>48</v>
      </c>
      <c r="E64" s="6" t="s">
        <v>21</v>
      </c>
      <c r="F64" s="38">
        <f t="shared" si="3"/>
        <v>441.47</v>
      </c>
      <c r="G64" s="38"/>
      <c r="H64" s="38"/>
      <c r="I64" s="38">
        <f t="shared" si="4"/>
        <v>369.73</v>
      </c>
      <c r="J64" s="38"/>
      <c r="K64" s="38"/>
      <c r="L64" s="16"/>
    </row>
    <row r="65" spans="2:12" x14ac:dyDescent="0.3">
      <c r="B65" s="17"/>
      <c r="C65" s="6" t="s">
        <v>9</v>
      </c>
      <c r="D65" s="6" t="s">
        <v>48</v>
      </c>
      <c r="E65" s="6" t="s">
        <v>29</v>
      </c>
      <c r="F65" s="38">
        <f t="shared" si="3"/>
        <v>415.36000000000007</v>
      </c>
      <c r="G65" s="38"/>
      <c r="H65" s="38"/>
      <c r="I65" s="38">
        <f t="shared" si="4"/>
        <v>356.13000000000005</v>
      </c>
      <c r="J65" s="38"/>
      <c r="K65" s="38"/>
      <c r="L65" s="16"/>
    </row>
    <row r="66" spans="2:12" x14ac:dyDescent="0.3">
      <c r="B66" s="17"/>
      <c r="C66" s="6" t="s">
        <v>9</v>
      </c>
      <c r="D66" s="6" t="s">
        <v>48</v>
      </c>
      <c r="E66" s="6" t="s">
        <v>30</v>
      </c>
      <c r="F66" s="38">
        <f t="shared" si="3"/>
        <v>402.86</v>
      </c>
      <c r="G66" s="38"/>
      <c r="H66" s="38"/>
      <c r="I66" s="38">
        <f t="shared" si="4"/>
        <v>344.20000000000005</v>
      </c>
      <c r="J66" s="38"/>
      <c r="K66" s="38"/>
      <c r="L66" s="16"/>
    </row>
    <row r="67" spans="2:12" x14ac:dyDescent="0.3">
      <c r="B67" s="17"/>
      <c r="C67" s="6" t="s">
        <v>9</v>
      </c>
      <c r="D67" s="6" t="s">
        <v>48</v>
      </c>
      <c r="E67" s="6" t="s">
        <v>31</v>
      </c>
      <c r="F67" s="38">
        <f t="shared" si="3"/>
        <v>375.20000000000005</v>
      </c>
      <c r="G67" s="38"/>
      <c r="H67" s="38"/>
      <c r="I67" s="38">
        <f t="shared" si="4"/>
        <v>324.19000000000005</v>
      </c>
      <c r="J67" s="38"/>
      <c r="K67" s="38"/>
      <c r="L67" s="16"/>
    </row>
    <row r="68" spans="2:12" x14ac:dyDescent="0.3">
      <c r="B68" s="17"/>
      <c r="C68" s="6" t="s">
        <v>9</v>
      </c>
      <c r="D68" s="6" t="s">
        <v>48</v>
      </c>
      <c r="E68" s="6" t="s">
        <v>32</v>
      </c>
      <c r="F68" s="38">
        <f t="shared" si="3"/>
        <v>374.63000000000005</v>
      </c>
      <c r="G68" s="38"/>
      <c r="H68" s="38"/>
      <c r="I68" s="38">
        <f t="shared" si="4"/>
        <v>310.89000000000004</v>
      </c>
      <c r="J68" s="38"/>
      <c r="K68" s="38"/>
      <c r="L68" s="16"/>
    </row>
    <row r="69" spans="2:12" x14ac:dyDescent="0.3">
      <c r="B69" s="17"/>
      <c r="C69" s="6" t="s">
        <v>9</v>
      </c>
      <c r="D69" s="6" t="s">
        <v>48</v>
      </c>
      <c r="E69" s="6" t="s">
        <v>33</v>
      </c>
      <c r="F69" s="38">
        <f t="shared" si="3"/>
        <v>410.3</v>
      </c>
      <c r="G69" s="38"/>
      <c r="H69" s="38"/>
      <c r="I69" s="38">
        <f t="shared" si="4"/>
        <v>330.08000000000004</v>
      </c>
      <c r="J69" s="38"/>
      <c r="K69" s="38"/>
      <c r="L69" s="16"/>
    </row>
    <row r="70" spans="2:12" x14ac:dyDescent="0.3">
      <c r="B70" s="17"/>
      <c r="C70" s="6" t="s">
        <v>9</v>
      </c>
      <c r="D70" s="6" t="s">
        <v>48</v>
      </c>
      <c r="E70" s="6" t="s">
        <v>34</v>
      </c>
      <c r="F70" s="38">
        <f t="shared" si="3"/>
        <v>418.45000000000005</v>
      </c>
      <c r="G70" s="38"/>
      <c r="H70" s="38"/>
      <c r="I70" s="38">
        <f t="shared" si="4"/>
        <v>341.29</v>
      </c>
      <c r="J70" s="38"/>
      <c r="K70" s="38"/>
      <c r="L70" s="16"/>
    </row>
    <row r="71" spans="2:12" x14ac:dyDescent="0.3">
      <c r="B71" s="17"/>
      <c r="C71" s="6" t="s">
        <v>9</v>
      </c>
      <c r="D71" s="6" t="s">
        <v>48</v>
      </c>
      <c r="E71" s="6" t="s">
        <v>35</v>
      </c>
      <c r="F71" s="38">
        <f t="shared" si="3"/>
        <v>377.81</v>
      </c>
      <c r="G71" s="38"/>
      <c r="H71" s="38"/>
      <c r="I71" s="38">
        <f t="shared" si="4"/>
        <v>323.78000000000003</v>
      </c>
      <c r="J71" s="38"/>
      <c r="K71" s="38"/>
      <c r="L71" s="16"/>
    </row>
    <row r="72" spans="2:12" x14ac:dyDescent="0.3">
      <c r="B72" s="17"/>
      <c r="C72" s="6" t="s">
        <v>9</v>
      </c>
      <c r="D72" s="6" t="s">
        <v>48</v>
      </c>
      <c r="E72" s="6" t="s">
        <v>36</v>
      </c>
      <c r="F72" s="38">
        <f t="shared" si="3"/>
        <v>400.92</v>
      </c>
      <c r="G72" s="38"/>
      <c r="H72" s="38"/>
      <c r="I72" s="38">
        <f t="shared" si="4"/>
        <v>325.63000000000005</v>
      </c>
      <c r="J72" s="38"/>
      <c r="K72" s="38"/>
      <c r="L72" s="16"/>
    </row>
    <row r="73" spans="2:12" x14ac:dyDescent="0.3">
      <c r="B73" s="17"/>
      <c r="C73" s="6" t="s">
        <v>9</v>
      </c>
      <c r="D73" s="6" t="s">
        <v>48</v>
      </c>
      <c r="E73" s="6" t="s">
        <v>37</v>
      </c>
      <c r="F73" s="38">
        <f t="shared" si="3"/>
        <v>388.70000000000005</v>
      </c>
      <c r="G73" s="38"/>
      <c r="H73" s="38"/>
      <c r="I73" s="38">
        <f t="shared" si="4"/>
        <v>324.20000000000005</v>
      </c>
      <c r="J73" s="38"/>
      <c r="K73" s="38"/>
      <c r="L73" s="16"/>
    </row>
    <row r="74" spans="2:12" x14ac:dyDescent="0.3">
      <c r="B74" s="17"/>
      <c r="C74" s="6" t="s">
        <v>9</v>
      </c>
      <c r="D74" s="6" t="s">
        <v>48</v>
      </c>
      <c r="E74" s="6" t="s">
        <v>38</v>
      </c>
      <c r="F74" s="38">
        <f t="shared" si="3"/>
        <v>425.55</v>
      </c>
      <c r="G74" s="38"/>
      <c r="H74" s="38"/>
      <c r="I74" s="38">
        <f t="shared" si="4"/>
        <v>350.32</v>
      </c>
      <c r="J74" s="38"/>
      <c r="K74" s="38"/>
      <c r="L74" s="16"/>
    </row>
    <row r="75" spans="2:12" x14ac:dyDescent="0.3">
      <c r="B75" s="17"/>
      <c r="C75" s="6" t="s">
        <v>9</v>
      </c>
      <c r="D75" s="6" t="s">
        <v>48</v>
      </c>
      <c r="E75" s="6" t="s">
        <v>22</v>
      </c>
      <c r="F75" s="38">
        <f t="shared" si="3"/>
        <v>445.38000000000005</v>
      </c>
      <c r="G75" s="38"/>
      <c r="H75" s="38"/>
      <c r="I75" s="38">
        <f t="shared" si="4"/>
        <v>366.03000000000003</v>
      </c>
      <c r="J75" s="38"/>
      <c r="K75" s="38"/>
      <c r="L75" s="16"/>
    </row>
    <row r="76" spans="2:12" x14ac:dyDescent="0.3">
      <c r="B76" s="17"/>
      <c r="C76" s="6" t="s">
        <v>10</v>
      </c>
      <c r="D76" s="6" t="s">
        <v>48</v>
      </c>
      <c r="E76" s="6" t="s">
        <v>21</v>
      </c>
      <c r="F76" s="38">
        <f t="shared" ref="F76:F87" si="5">0.1*F6</f>
        <v>441.47</v>
      </c>
      <c r="G76" s="38"/>
      <c r="H76" s="38"/>
      <c r="I76" s="38">
        <f t="shared" ref="I76:I87" si="6">0.1*I6</f>
        <v>369.73</v>
      </c>
      <c r="J76" s="38"/>
      <c r="K76" s="38"/>
      <c r="L76" s="16"/>
    </row>
    <row r="77" spans="2:12" x14ac:dyDescent="0.3">
      <c r="B77" s="17"/>
      <c r="C77" s="6" t="s">
        <v>10</v>
      </c>
      <c r="D77" s="6" t="s">
        <v>48</v>
      </c>
      <c r="E77" s="6" t="s">
        <v>29</v>
      </c>
      <c r="F77" s="38">
        <f t="shared" si="5"/>
        <v>415.36000000000007</v>
      </c>
      <c r="G77" s="38"/>
      <c r="H77" s="38"/>
      <c r="I77" s="38">
        <f t="shared" si="6"/>
        <v>356.13000000000005</v>
      </c>
      <c r="J77" s="38"/>
      <c r="K77" s="38"/>
      <c r="L77" s="16"/>
    </row>
    <row r="78" spans="2:12" x14ac:dyDescent="0.3">
      <c r="B78" s="17"/>
      <c r="C78" s="6" t="s">
        <v>10</v>
      </c>
      <c r="D78" s="6" t="s">
        <v>48</v>
      </c>
      <c r="E78" s="6" t="s">
        <v>30</v>
      </c>
      <c r="F78" s="38">
        <f t="shared" si="5"/>
        <v>402.86</v>
      </c>
      <c r="G78" s="38"/>
      <c r="H78" s="38"/>
      <c r="I78" s="38">
        <f t="shared" si="6"/>
        <v>344.20000000000005</v>
      </c>
      <c r="J78" s="38"/>
      <c r="K78" s="38"/>
      <c r="L78" s="16"/>
    </row>
    <row r="79" spans="2:12" x14ac:dyDescent="0.3">
      <c r="B79" s="17"/>
      <c r="C79" s="6" t="s">
        <v>10</v>
      </c>
      <c r="D79" s="6" t="s">
        <v>48</v>
      </c>
      <c r="E79" s="6" t="s">
        <v>31</v>
      </c>
      <c r="F79" s="38">
        <f t="shared" si="5"/>
        <v>375.20000000000005</v>
      </c>
      <c r="G79" s="38"/>
      <c r="H79" s="38"/>
      <c r="I79" s="38">
        <f t="shared" si="6"/>
        <v>324.19000000000005</v>
      </c>
      <c r="J79" s="38"/>
      <c r="K79" s="38"/>
      <c r="L79" s="16"/>
    </row>
    <row r="80" spans="2:12" x14ac:dyDescent="0.3">
      <c r="B80" s="17"/>
      <c r="C80" s="6" t="s">
        <v>10</v>
      </c>
      <c r="D80" s="6" t="s">
        <v>48</v>
      </c>
      <c r="E80" s="6" t="s">
        <v>32</v>
      </c>
      <c r="F80" s="38">
        <f t="shared" si="5"/>
        <v>374.63000000000005</v>
      </c>
      <c r="G80" s="38"/>
      <c r="H80" s="38"/>
      <c r="I80" s="38">
        <f t="shared" si="6"/>
        <v>310.89000000000004</v>
      </c>
      <c r="J80" s="38"/>
      <c r="K80" s="38"/>
      <c r="L80" s="16"/>
    </row>
    <row r="81" spans="2:12" x14ac:dyDescent="0.3">
      <c r="B81" s="17"/>
      <c r="C81" s="6" t="s">
        <v>10</v>
      </c>
      <c r="D81" s="6" t="s">
        <v>48</v>
      </c>
      <c r="E81" s="6" t="s">
        <v>33</v>
      </c>
      <c r="F81" s="38">
        <f t="shared" si="5"/>
        <v>410.3</v>
      </c>
      <c r="G81" s="38"/>
      <c r="H81" s="38"/>
      <c r="I81" s="38">
        <f t="shared" si="6"/>
        <v>330.08000000000004</v>
      </c>
      <c r="J81" s="38"/>
      <c r="K81" s="38"/>
      <c r="L81" s="16"/>
    </row>
    <row r="82" spans="2:12" x14ac:dyDescent="0.3">
      <c r="B82" s="17"/>
      <c r="C82" s="6" t="s">
        <v>10</v>
      </c>
      <c r="D82" s="6" t="s">
        <v>48</v>
      </c>
      <c r="E82" s="6" t="s">
        <v>34</v>
      </c>
      <c r="F82" s="38">
        <f t="shared" si="5"/>
        <v>418.45000000000005</v>
      </c>
      <c r="G82" s="38"/>
      <c r="H82" s="38"/>
      <c r="I82" s="38">
        <f t="shared" si="6"/>
        <v>341.29</v>
      </c>
      <c r="J82" s="38"/>
      <c r="K82" s="38"/>
      <c r="L82" s="16"/>
    </row>
    <row r="83" spans="2:12" x14ac:dyDescent="0.3">
      <c r="B83" s="17"/>
      <c r="C83" s="6" t="s">
        <v>10</v>
      </c>
      <c r="D83" s="6" t="s">
        <v>48</v>
      </c>
      <c r="E83" s="6" t="s">
        <v>35</v>
      </c>
      <c r="F83" s="38">
        <f t="shared" si="5"/>
        <v>377.81</v>
      </c>
      <c r="G83" s="38"/>
      <c r="H83" s="38"/>
      <c r="I83" s="38">
        <f t="shared" si="6"/>
        <v>323.78000000000003</v>
      </c>
      <c r="J83" s="38"/>
      <c r="K83" s="38"/>
      <c r="L83" s="16"/>
    </row>
    <row r="84" spans="2:12" x14ac:dyDescent="0.3">
      <c r="B84" s="17"/>
      <c r="C84" s="6" t="s">
        <v>10</v>
      </c>
      <c r="D84" s="6" t="s">
        <v>48</v>
      </c>
      <c r="E84" s="6" t="s">
        <v>36</v>
      </c>
      <c r="F84" s="38">
        <f t="shared" si="5"/>
        <v>400.92</v>
      </c>
      <c r="G84" s="38"/>
      <c r="H84" s="38"/>
      <c r="I84" s="38">
        <f t="shared" si="6"/>
        <v>325.63000000000005</v>
      </c>
      <c r="J84" s="38"/>
      <c r="K84" s="38"/>
      <c r="L84" s="16"/>
    </row>
    <row r="85" spans="2:12" x14ac:dyDescent="0.3">
      <c r="B85" s="17"/>
      <c r="C85" s="6" t="s">
        <v>10</v>
      </c>
      <c r="D85" s="6" t="s">
        <v>48</v>
      </c>
      <c r="E85" s="6" t="s">
        <v>37</v>
      </c>
      <c r="F85" s="38">
        <f t="shared" si="5"/>
        <v>388.70000000000005</v>
      </c>
      <c r="G85" s="38"/>
      <c r="H85" s="38"/>
      <c r="I85" s="38">
        <f t="shared" si="6"/>
        <v>324.20000000000005</v>
      </c>
      <c r="J85" s="38"/>
      <c r="K85" s="38"/>
      <c r="L85" s="16"/>
    </row>
    <row r="86" spans="2:12" x14ac:dyDescent="0.3">
      <c r="B86" s="17"/>
      <c r="C86" s="6" t="s">
        <v>10</v>
      </c>
      <c r="D86" s="6" t="s">
        <v>48</v>
      </c>
      <c r="E86" s="6" t="s">
        <v>38</v>
      </c>
      <c r="F86" s="38">
        <f t="shared" si="5"/>
        <v>425.55</v>
      </c>
      <c r="G86" s="38"/>
      <c r="H86" s="38"/>
      <c r="I86" s="38">
        <f t="shared" si="6"/>
        <v>350.32</v>
      </c>
      <c r="J86" s="38"/>
      <c r="K86" s="38"/>
      <c r="L86" s="16"/>
    </row>
    <row r="87" spans="2:12" x14ac:dyDescent="0.3">
      <c r="B87" s="17"/>
      <c r="C87" s="6" t="s">
        <v>10</v>
      </c>
      <c r="D87" s="6" t="s">
        <v>48</v>
      </c>
      <c r="E87" s="6" t="s">
        <v>22</v>
      </c>
      <c r="F87" s="38">
        <f t="shared" si="5"/>
        <v>445.38000000000005</v>
      </c>
      <c r="G87" s="38"/>
      <c r="H87" s="38"/>
      <c r="I87" s="38">
        <f t="shared" si="6"/>
        <v>366.03000000000003</v>
      </c>
      <c r="J87" s="38"/>
      <c r="K87" s="38"/>
      <c r="L87" s="16"/>
    </row>
    <row r="88" spans="2:12" x14ac:dyDescent="0.3">
      <c r="B88" s="17"/>
      <c r="F88" s="38"/>
      <c r="G88" s="38"/>
      <c r="H88" s="38"/>
      <c r="I88" s="38"/>
      <c r="J88" s="38"/>
      <c r="K88" s="38"/>
      <c r="L88" s="16"/>
    </row>
    <row r="89" spans="2:12" x14ac:dyDescent="0.3">
      <c r="B89" s="28" t="s">
        <v>171</v>
      </c>
      <c r="F89" s="38">
        <f>MAX(F52:F87)</f>
        <v>445.38000000000005</v>
      </c>
      <c r="G89" s="38"/>
      <c r="H89" s="38"/>
      <c r="I89" s="38">
        <f>MAX(I52:I87)</f>
        <v>369.73</v>
      </c>
      <c r="J89" s="38"/>
      <c r="K89" s="38"/>
      <c r="L89" s="16"/>
    </row>
    <row r="90" spans="2:12" x14ac:dyDescent="0.3">
      <c r="B90" s="28" t="s">
        <v>172</v>
      </c>
      <c r="F90" s="38">
        <f>MIN(F52:F87)</f>
        <v>374.63000000000005</v>
      </c>
      <c r="G90" s="38"/>
      <c r="H90" s="38"/>
      <c r="I90" s="38">
        <f>MIN(I52:I87)</f>
        <v>310.89000000000004</v>
      </c>
      <c r="J90" s="38"/>
      <c r="K90" s="38"/>
      <c r="L90" s="16"/>
    </row>
    <row r="91" spans="2:12" ht="14.4" thickBot="1" x14ac:dyDescent="0.35">
      <c r="B91" s="24"/>
      <c r="C91" s="25"/>
      <c r="D91" s="25"/>
      <c r="E91" s="25"/>
      <c r="F91" s="25"/>
      <c r="G91" s="25"/>
      <c r="H91" s="25"/>
      <c r="I91" s="25"/>
      <c r="J91" s="25"/>
      <c r="K91" s="25"/>
      <c r="L91" s="27"/>
    </row>
    <row r="92" spans="2:12" ht="14.4" thickBot="1" x14ac:dyDescent="0.35"/>
    <row r="93" spans="2:12" x14ac:dyDescent="0.3"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4"/>
    </row>
    <row r="94" spans="2:12" x14ac:dyDescent="0.3">
      <c r="B94" s="28" t="s">
        <v>160</v>
      </c>
      <c r="C94" s="29"/>
      <c r="D94" s="29"/>
      <c r="E94" s="29"/>
      <c r="F94" s="36"/>
      <c r="G94" s="36"/>
      <c r="H94" s="36"/>
      <c r="I94" s="36"/>
      <c r="J94" s="36"/>
      <c r="K94" s="36"/>
      <c r="L94" s="16"/>
    </row>
    <row r="95" spans="2:12" x14ac:dyDescent="0.3">
      <c r="B95" s="28"/>
      <c r="C95" s="29"/>
      <c r="D95" s="29"/>
      <c r="E95" s="29"/>
      <c r="F95" s="36"/>
      <c r="G95" s="36"/>
      <c r="H95" s="36"/>
      <c r="I95" s="36"/>
      <c r="J95" s="36"/>
      <c r="K95" s="36"/>
      <c r="L95" s="16"/>
    </row>
    <row r="96" spans="2:12" x14ac:dyDescent="0.3">
      <c r="B96" s="17"/>
      <c r="F96" s="37" t="s">
        <v>153</v>
      </c>
      <c r="G96" s="37" t="s">
        <v>154</v>
      </c>
      <c r="H96" s="37" t="s">
        <v>155</v>
      </c>
      <c r="I96" s="37" t="s">
        <v>40</v>
      </c>
      <c r="J96" s="37" t="s">
        <v>41</v>
      </c>
      <c r="K96" s="37" t="s">
        <v>81</v>
      </c>
      <c r="L96" s="16"/>
    </row>
    <row r="97" spans="2:12" x14ac:dyDescent="0.3">
      <c r="B97" s="17"/>
      <c r="E97" s="6" t="s">
        <v>21</v>
      </c>
      <c r="F97" s="38">
        <v>88</v>
      </c>
      <c r="G97" s="38">
        <v>308</v>
      </c>
      <c r="H97" s="38">
        <v>132</v>
      </c>
      <c r="I97" s="38">
        <v>36</v>
      </c>
      <c r="J97" s="38">
        <v>126</v>
      </c>
      <c r="K97" s="38">
        <v>54</v>
      </c>
      <c r="L97" s="16"/>
    </row>
    <row r="98" spans="2:12" x14ac:dyDescent="0.3">
      <c r="B98" s="17"/>
      <c r="E98" s="6" t="s">
        <v>29</v>
      </c>
      <c r="F98" s="38">
        <v>60</v>
      </c>
      <c r="G98" s="38">
        <v>300</v>
      </c>
      <c r="H98" s="38">
        <v>120</v>
      </c>
      <c r="I98" s="38">
        <v>24</v>
      </c>
      <c r="J98" s="38">
        <v>104</v>
      </c>
      <c r="K98" s="38">
        <v>64</v>
      </c>
      <c r="L98" s="16"/>
    </row>
    <row r="99" spans="2:12" x14ac:dyDescent="0.3">
      <c r="B99" s="17"/>
      <c r="E99" s="6" t="s">
        <v>30</v>
      </c>
      <c r="F99" s="38">
        <v>84</v>
      </c>
      <c r="G99" s="38">
        <v>294</v>
      </c>
      <c r="H99" s="38">
        <v>126</v>
      </c>
      <c r="I99" s="38">
        <v>30</v>
      </c>
      <c r="J99" s="38">
        <v>130</v>
      </c>
      <c r="K99" s="38">
        <v>80</v>
      </c>
      <c r="L99" s="16"/>
    </row>
    <row r="100" spans="2:12" x14ac:dyDescent="0.3">
      <c r="B100" s="17"/>
      <c r="E100" s="6" t="s">
        <v>31</v>
      </c>
      <c r="F100" s="38">
        <v>76</v>
      </c>
      <c r="G100" s="38">
        <v>266</v>
      </c>
      <c r="H100" s="38">
        <v>114</v>
      </c>
      <c r="I100" s="38">
        <v>33</v>
      </c>
      <c r="J100" s="38">
        <v>154</v>
      </c>
      <c r="K100" s="38">
        <v>77</v>
      </c>
      <c r="L100" s="16"/>
    </row>
    <row r="101" spans="2:12" x14ac:dyDescent="0.3">
      <c r="B101" s="17"/>
      <c r="E101" s="6" t="s">
        <v>32</v>
      </c>
      <c r="F101" s="38">
        <v>88</v>
      </c>
      <c r="G101" s="38">
        <v>308</v>
      </c>
      <c r="H101" s="38">
        <v>132</v>
      </c>
      <c r="I101" s="38">
        <v>27</v>
      </c>
      <c r="J101" s="38">
        <v>117</v>
      </c>
      <c r="K101" s="38">
        <v>72</v>
      </c>
      <c r="L101" s="16"/>
    </row>
    <row r="102" spans="2:12" x14ac:dyDescent="0.3">
      <c r="B102" s="17"/>
      <c r="E102" s="6" t="s">
        <v>33</v>
      </c>
      <c r="F102" s="38">
        <v>84</v>
      </c>
      <c r="G102" s="38">
        <v>294</v>
      </c>
      <c r="H102" s="38">
        <v>126</v>
      </c>
      <c r="I102" s="38">
        <v>27</v>
      </c>
      <c r="J102" s="38">
        <v>126</v>
      </c>
      <c r="K102" s="38">
        <v>63</v>
      </c>
      <c r="L102" s="16"/>
    </row>
    <row r="103" spans="2:12" x14ac:dyDescent="0.3">
      <c r="B103" s="17"/>
      <c r="E103" s="6" t="s">
        <v>34</v>
      </c>
      <c r="F103" s="38">
        <v>110</v>
      </c>
      <c r="G103" s="38">
        <v>264</v>
      </c>
      <c r="H103" s="38">
        <v>154</v>
      </c>
      <c r="I103" s="38">
        <v>27</v>
      </c>
      <c r="J103" s="38">
        <v>126</v>
      </c>
      <c r="K103" s="38">
        <v>63</v>
      </c>
      <c r="L103" s="16"/>
    </row>
    <row r="104" spans="2:12" x14ac:dyDescent="0.3">
      <c r="B104" s="17"/>
      <c r="E104" s="6" t="s">
        <v>35</v>
      </c>
      <c r="F104" s="38">
        <v>88</v>
      </c>
      <c r="G104" s="38">
        <v>286</v>
      </c>
      <c r="H104" s="38">
        <v>154</v>
      </c>
      <c r="I104" s="38">
        <v>27</v>
      </c>
      <c r="J104" s="38">
        <v>126</v>
      </c>
      <c r="K104" s="38">
        <v>63</v>
      </c>
      <c r="L104" s="16"/>
    </row>
    <row r="105" spans="2:12" x14ac:dyDescent="0.3">
      <c r="B105" s="17"/>
      <c r="E105" s="6" t="s">
        <v>36</v>
      </c>
      <c r="F105" s="38">
        <v>100</v>
      </c>
      <c r="G105" s="38">
        <v>240</v>
      </c>
      <c r="H105" s="38">
        <v>140</v>
      </c>
      <c r="I105" s="38">
        <v>30</v>
      </c>
      <c r="J105" s="38">
        <v>130</v>
      </c>
      <c r="K105" s="38">
        <v>80</v>
      </c>
      <c r="L105" s="16"/>
    </row>
    <row r="106" spans="2:12" x14ac:dyDescent="0.3">
      <c r="B106" s="17"/>
      <c r="E106" s="6" t="s">
        <v>37</v>
      </c>
      <c r="F106" s="38">
        <v>66</v>
      </c>
      <c r="G106" s="38">
        <v>308</v>
      </c>
      <c r="H106" s="38">
        <v>154</v>
      </c>
      <c r="I106" s="38">
        <v>27</v>
      </c>
      <c r="J106" s="38">
        <v>117</v>
      </c>
      <c r="K106" s="38">
        <v>72</v>
      </c>
      <c r="L106" s="16"/>
    </row>
    <row r="107" spans="2:12" x14ac:dyDescent="0.3">
      <c r="B107" s="17"/>
      <c r="E107" s="6" t="s">
        <v>38</v>
      </c>
      <c r="F107" s="38">
        <v>42</v>
      </c>
      <c r="G107" s="38">
        <v>315</v>
      </c>
      <c r="H107" s="38">
        <v>147</v>
      </c>
      <c r="I107" s="38">
        <v>27</v>
      </c>
      <c r="J107" s="38">
        <v>117</v>
      </c>
      <c r="K107" s="38">
        <v>72</v>
      </c>
      <c r="L107" s="16"/>
    </row>
    <row r="108" spans="2:12" x14ac:dyDescent="0.3">
      <c r="B108" s="17"/>
      <c r="E108" s="6" t="s">
        <v>22</v>
      </c>
      <c r="F108" s="38">
        <v>68</v>
      </c>
      <c r="G108" s="38">
        <v>238</v>
      </c>
      <c r="H108" s="38">
        <v>102</v>
      </c>
      <c r="I108" s="38">
        <v>56</v>
      </c>
      <c r="J108" s="38">
        <v>182</v>
      </c>
      <c r="K108" s="38">
        <v>98</v>
      </c>
      <c r="L108" s="16"/>
    </row>
    <row r="109" spans="2:12" ht="14.4" thickBot="1" x14ac:dyDescent="0.35">
      <c r="B109" s="24"/>
      <c r="C109" s="25"/>
      <c r="D109" s="25"/>
      <c r="E109" s="25"/>
      <c r="F109" s="25"/>
      <c r="G109" s="25"/>
      <c r="H109" s="25"/>
      <c r="I109" s="25"/>
      <c r="J109" s="25"/>
      <c r="K109" s="25"/>
      <c r="L109" s="27"/>
    </row>
  </sheetData>
  <customSheetViews>
    <customSheetView guid="{162D0EED-4A71-4EB6-8FDF-A42498BFDBC9}" showRuler="0">
      <selection activeCell="D6" sqref="D6"/>
      <pageMargins left="0.75" right="0.75" top="1" bottom="1" header="0" footer="0"/>
      <headerFooter alignWithMargins="0"/>
    </customSheetView>
  </customSheetViews>
  <phoneticPr fontId="0" type="noConversion"/>
  <pageMargins left="0.75" right="0.75" top="1" bottom="1" header="0" footer="0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7">
    <tabColor indexed="57"/>
  </sheetPr>
  <dimension ref="B1:O46"/>
  <sheetViews>
    <sheetView showGridLines="0" topLeftCell="A20" zoomScaleNormal="100" workbookViewId="0"/>
  </sheetViews>
  <sheetFormatPr baseColWidth="10" defaultColWidth="11.44140625" defaultRowHeight="13.8" x14ac:dyDescent="0.3"/>
  <cols>
    <col min="1" max="2" width="3.6640625" style="6" customWidth="1"/>
    <col min="3" max="3" width="24.44140625" style="6" bestFit="1" customWidth="1"/>
    <col min="4" max="4" width="10.33203125" style="6" bestFit="1" customWidth="1"/>
    <col min="5" max="5" width="10.109375" style="6" bestFit="1" customWidth="1"/>
    <col min="6" max="6" width="10.109375" style="6" customWidth="1"/>
    <col min="7" max="7" width="9.88671875" style="6" bestFit="1" customWidth="1"/>
    <col min="8" max="8" width="9.109375" style="6" bestFit="1" customWidth="1"/>
    <col min="9" max="9" width="11.44140625" style="6" bestFit="1" customWidth="1"/>
    <col min="10" max="10" width="14.109375" style="6" bestFit="1" customWidth="1"/>
    <col min="11" max="11" width="10" style="6" bestFit="1" customWidth="1"/>
    <col min="12" max="12" width="10.33203125" style="6" bestFit="1" customWidth="1"/>
    <col min="13" max="13" width="5" style="6" bestFit="1" customWidth="1"/>
    <col min="14" max="14" width="8.33203125" style="6" bestFit="1" customWidth="1"/>
    <col min="15" max="15" width="3.6640625" style="6" customWidth="1"/>
    <col min="16" max="16384" width="11.44140625" style="6"/>
  </cols>
  <sheetData>
    <row r="1" spans="2:15" ht="14.4" thickBot="1" x14ac:dyDescent="0.35"/>
    <row r="2" spans="2:15" x14ac:dyDescent="0.3">
      <c r="B2" s="11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4"/>
    </row>
    <row r="3" spans="2:15" x14ac:dyDescent="0.3">
      <c r="B3" s="28" t="s">
        <v>12</v>
      </c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16"/>
    </row>
    <row r="4" spans="2:15" x14ac:dyDescent="0.3">
      <c r="B4" s="17"/>
      <c r="O4" s="16"/>
    </row>
    <row r="5" spans="2:15" s="37" customFormat="1" x14ac:dyDescent="0.3">
      <c r="B5" s="48" t="s">
        <v>15</v>
      </c>
      <c r="D5" s="36" t="s">
        <v>7</v>
      </c>
      <c r="E5" s="36" t="s">
        <v>7</v>
      </c>
      <c r="F5" s="36" t="s">
        <v>174</v>
      </c>
      <c r="G5" s="36" t="s">
        <v>174</v>
      </c>
      <c r="H5" s="36" t="s">
        <v>182</v>
      </c>
      <c r="I5" s="36" t="s">
        <v>93</v>
      </c>
      <c r="J5" s="36" t="s">
        <v>94</v>
      </c>
      <c r="K5" s="36" t="s">
        <v>180</v>
      </c>
      <c r="L5" s="36" t="s">
        <v>95</v>
      </c>
      <c r="M5" s="36" t="s">
        <v>11</v>
      </c>
      <c r="N5" s="36" t="s">
        <v>180</v>
      </c>
      <c r="O5" s="42"/>
    </row>
    <row r="6" spans="2:15" s="37" customFormat="1" x14ac:dyDescent="0.3">
      <c r="B6" s="41"/>
      <c r="D6" s="37" t="s">
        <v>77</v>
      </c>
      <c r="E6" s="37" t="s">
        <v>78</v>
      </c>
      <c r="F6" s="37" t="s">
        <v>175</v>
      </c>
      <c r="G6" s="37" t="s">
        <v>178</v>
      </c>
      <c r="H6" s="37" t="s">
        <v>18</v>
      </c>
      <c r="I6" s="37" t="s">
        <v>16</v>
      </c>
      <c r="J6" s="37" t="s">
        <v>176</v>
      </c>
      <c r="K6" s="37" t="s">
        <v>42</v>
      </c>
      <c r="L6" s="37" t="s">
        <v>177</v>
      </c>
      <c r="M6" s="37" t="s">
        <v>90</v>
      </c>
      <c r="N6" s="37" t="s">
        <v>19</v>
      </c>
      <c r="O6" s="42"/>
    </row>
    <row r="7" spans="2:15" x14ac:dyDescent="0.3">
      <c r="B7" s="17"/>
      <c r="C7" s="22" t="s">
        <v>60</v>
      </c>
      <c r="D7" s="46">
        <v>771.6</v>
      </c>
      <c r="E7" s="46">
        <v>771.6</v>
      </c>
      <c r="F7" s="46">
        <v>300</v>
      </c>
      <c r="G7" s="46">
        <v>300</v>
      </c>
      <c r="H7" s="49">
        <v>1</v>
      </c>
      <c r="I7" s="38">
        <v>15</v>
      </c>
      <c r="J7" s="38"/>
      <c r="K7" s="38"/>
      <c r="L7" s="38"/>
      <c r="M7" s="49">
        <v>0</v>
      </c>
      <c r="N7" s="49">
        <f t="shared" ref="N7:N19" si="0">H7*I7+H7*J7/D7</f>
        <v>15</v>
      </c>
      <c r="O7" s="16"/>
    </row>
    <row r="8" spans="2:15" x14ac:dyDescent="0.3">
      <c r="B8" s="17"/>
      <c r="C8" s="22" t="s">
        <v>150</v>
      </c>
      <c r="D8" s="46">
        <v>588</v>
      </c>
      <c r="E8" s="46">
        <f>D8*0.4</f>
        <v>235.20000000000002</v>
      </c>
      <c r="F8" s="46">
        <v>350</v>
      </c>
      <c r="G8" s="46">
        <v>350</v>
      </c>
      <c r="H8" s="49">
        <v>0.02</v>
      </c>
      <c r="I8" s="38">
        <v>2400</v>
      </c>
      <c r="J8" s="38">
        <v>50000</v>
      </c>
      <c r="K8" s="38">
        <v>6</v>
      </c>
      <c r="L8" s="38">
        <v>2000000</v>
      </c>
      <c r="M8" s="49">
        <v>0</v>
      </c>
      <c r="N8" s="49">
        <f t="shared" si="0"/>
        <v>49.700680272108841</v>
      </c>
      <c r="O8" s="16"/>
    </row>
    <row r="9" spans="2:15" x14ac:dyDescent="0.3">
      <c r="B9" s="17"/>
      <c r="C9" s="22" t="s">
        <v>61</v>
      </c>
      <c r="D9" s="46">
        <v>203.1</v>
      </c>
      <c r="E9" s="46">
        <f>D9*0.4</f>
        <v>81.240000000000009</v>
      </c>
      <c r="F9" s="46">
        <v>120</v>
      </c>
      <c r="G9" s="46">
        <v>120</v>
      </c>
      <c r="H9" s="49">
        <v>0.02</v>
      </c>
      <c r="I9" s="38">
        <v>2300</v>
      </c>
      <c r="J9" s="38">
        <v>50000</v>
      </c>
      <c r="K9" s="38">
        <v>6</v>
      </c>
      <c r="L9" s="38">
        <v>2000000</v>
      </c>
      <c r="M9" s="49">
        <v>0</v>
      </c>
      <c r="N9" s="49">
        <f t="shared" si="0"/>
        <v>50.923682914820283</v>
      </c>
      <c r="O9" s="16"/>
    </row>
    <row r="10" spans="2:15" x14ac:dyDescent="0.3">
      <c r="B10" s="17"/>
      <c r="C10" s="22" t="s">
        <v>152</v>
      </c>
      <c r="D10" s="46">
        <v>150.4</v>
      </c>
      <c r="E10" s="46">
        <f>D10*0.4</f>
        <v>60.160000000000004</v>
      </c>
      <c r="F10" s="46">
        <v>120</v>
      </c>
      <c r="G10" s="46">
        <v>120</v>
      </c>
      <c r="H10" s="49">
        <v>0.02</v>
      </c>
      <c r="I10" s="38">
        <v>2300</v>
      </c>
      <c r="J10" s="38">
        <v>50000</v>
      </c>
      <c r="K10" s="38">
        <v>6</v>
      </c>
      <c r="L10" s="38">
        <v>2000000</v>
      </c>
      <c r="M10" s="49">
        <v>0</v>
      </c>
      <c r="N10" s="49">
        <f t="shared" si="0"/>
        <v>52.648936170212764</v>
      </c>
      <c r="O10" s="16"/>
    </row>
    <row r="11" spans="2:15" x14ac:dyDescent="0.3">
      <c r="B11" s="17"/>
      <c r="C11" s="22" t="s">
        <v>151</v>
      </c>
      <c r="D11" s="46">
        <v>194.4</v>
      </c>
      <c r="E11" s="46">
        <f>D11*0.4</f>
        <v>77.760000000000005</v>
      </c>
      <c r="F11" s="46">
        <v>120</v>
      </c>
      <c r="G11" s="46">
        <v>120</v>
      </c>
      <c r="H11" s="49">
        <v>0.02</v>
      </c>
      <c r="I11" s="38">
        <v>2200</v>
      </c>
      <c r="J11" s="38">
        <v>50000</v>
      </c>
      <c r="K11" s="38">
        <v>6</v>
      </c>
      <c r="L11" s="38">
        <v>2000000</v>
      </c>
      <c r="M11" s="49">
        <v>0</v>
      </c>
      <c r="N11" s="49">
        <f t="shared" si="0"/>
        <v>49.144032921810698</v>
      </c>
      <c r="O11" s="16"/>
    </row>
    <row r="12" spans="2:15" x14ac:dyDescent="0.3">
      <c r="B12" s="17"/>
      <c r="C12" s="22" t="s">
        <v>62</v>
      </c>
      <c r="D12" s="46">
        <v>500</v>
      </c>
      <c r="E12" s="46">
        <f>D12*0.2</f>
        <v>100</v>
      </c>
      <c r="F12" s="46">
        <v>500</v>
      </c>
      <c r="G12" s="46">
        <v>500</v>
      </c>
      <c r="H12" s="49">
        <v>0.03</v>
      </c>
      <c r="I12" s="38">
        <v>800</v>
      </c>
      <c r="J12" s="38">
        <v>300000</v>
      </c>
      <c r="K12" s="38">
        <v>6</v>
      </c>
      <c r="L12" s="38">
        <v>1000000</v>
      </c>
      <c r="M12" s="49">
        <v>0</v>
      </c>
      <c r="N12" s="49">
        <f t="shared" si="0"/>
        <v>42</v>
      </c>
      <c r="O12" s="16"/>
    </row>
    <row r="13" spans="2:15" x14ac:dyDescent="0.3">
      <c r="B13" s="17"/>
      <c r="C13" s="22" t="s">
        <v>63</v>
      </c>
      <c r="D13" s="46">
        <v>500</v>
      </c>
      <c r="E13" s="46">
        <f>D13*0.2</f>
        <v>100</v>
      </c>
      <c r="F13" s="46">
        <v>500</v>
      </c>
      <c r="G13" s="46">
        <v>500</v>
      </c>
      <c r="H13" s="49">
        <v>0.03</v>
      </c>
      <c r="I13" s="38">
        <v>900</v>
      </c>
      <c r="J13" s="38">
        <v>300000</v>
      </c>
      <c r="K13" s="38">
        <v>4</v>
      </c>
      <c r="L13" s="38">
        <v>1000000</v>
      </c>
      <c r="M13" s="49">
        <v>0</v>
      </c>
      <c r="N13" s="49">
        <f t="shared" si="0"/>
        <v>45</v>
      </c>
      <c r="O13" s="16"/>
    </row>
    <row r="14" spans="2:15" x14ac:dyDescent="0.3">
      <c r="B14" s="17"/>
      <c r="C14" s="22" t="s">
        <v>64</v>
      </c>
      <c r="D14" s="46">
        <v>500</v>
      </c>
      <c r="E14" s="46">
        <f>D14*0.2</f>
        <v>100</v>
      </c>
      <c r="F14" s="46">
        <v>500</v>
      </c>
      <c r="G14" s="46">
        <v>500</v>
      </c>
      <c r="H14" s="49">
        <v>0.03</v>
      </c>
      <c r="I14" s="38">
        <v>1000</v>
      </c>
      <c r="J14" s="38">
        <v>300000</v>
      </c>
      <c r="K14" s="38">
        <v>4</v>
      </c>
      <c r="L14" s="38">
        <v>1000000</v>
      </c>
      <c r="M14" s="49">
        <v>0</v>
      </c>
      <c r="N14" s="49">
        <f t="shared" si="0"/>
        <v>48</v>
      </c>
      <c r="O14" s="16"/>
    </row>
    <row r="15" spans="2:15" x14ac:dyDescent="0.3">
      <c r="B15" s="17"/>
      <c r="C15" s="22" t="s">
        <v>65</v>
      </c>
      <c r="D15" s="46">
        <v>667.5</v>
      </c>
      <c r="E15" s="46">
        <f>D15*0.2</f>
        <v>133.5</v>
      </c>
      <c r="F15" s="46">
        <v>667.5</v>
      </c>
      <c r="G15" s="46">
        <v>667.5</v>
      </c>
      <c r="H15" s="49">
        <v>0.03</v>
      </c>
      <c r="I15" s="38">
        <v>800</v>
      </c>
      <c r="J15" s="38">
        <v>300000</v>
      </c>
      <c r="K15" s="38">
        <v>4</v>
      </c>
      <c r="L15" s="38">
        <v>1000000</v>
      </c>
      <c r="M15" s="49">
        <v>0</v>
      </c>
      <c r="N15" s="49">
        <f t="shared" si="0"/>
        <v>37.483146067415731</v>
      </c>
      <c r="O15" s="16"/>
    </row>
    <row r="16" spans="2:15" x14ac:dyDescent="0.3">
      <c r="B16" s="17"/>
      <c r="C16" s="22" t="s">
        <v>66</v>
      </c>
      <c r="D16" s="46">
        <v>400</v>
      </c>
      <c r="E16" s="46"/>
      <c r="F16" s="46">
        <v>400</v>
      </c>
      <c r="G16" s="46">
        <v>400</v>
      </c>
      <c r="H16" s="49">
        <v>0.03</v>
      </c>
      <c r="I16" s="38">
        <v>2000</v>
      </c>
      <c r="J16" s="38">
        <v>100000</v>
      </c>
      <c r="K16" s="38">
        <v>4</v>
      </c>
      <c r="L16" s="38"/>
      <c r="M16" s="49">
        <v>0</v>
      </c>
      <c r="N16" s="49">
        <f t="shared" si="0"/>
        <v>67.5</v>
      </c>
      <c r="O16" s="50"/>
    </row>
    <row r="17" spans="2:15" x14ac:dyDescent="0.3">
      <c r="B17" s="17"/>
      <c r="C17" s="22" t="s">
        <v>67</v>
      </c>
      <c r="D17" s="46">
        <v>400</v>
      </c>
      <c r="E17" s="46"/>
      <c r="F17" s="46">
        <v>400</v>
      </c>
      <c r="G17" s="46">
        <v>400</v>
      </c>
      <c r="H17" s="49">
        <v>0.03</v>
      </c>
      <c r="I17" s="38">
        <v>2100</v>
      </c>
      <c r="J17" s="38">
        <v>100000</v>
      </c>
      <c r="K17" s="38">
        <v>4</v>
      </c>
      <c r="L17" s="38"/>
      <c r="M17" s="49">
        <v>0</v>
      </c>
      <c r="N17" s="49">
        <f t="shared" si="0"/>
        <v>70.5</v>
      </c>
      <c r="O17" s="50"/>
    </row>
    <row r="18" spans="2:15" x14ac:dyDescent="0.3">
      <c r="B18" s="17"/>
      <c r="C18" s="22" t="s">
        <v>68</v>
      </c>
      <c r="D18" s="46">
        <v>400</v>
      </c>
      <c r="E18" s="46"/>
      <c r="F18" s="46">
        <v>400</v>
      </c>
      <c r="G18" s="46">
        <v>400</v>
      </c>
      <c r="H18" s="49">
        <v>0.03</v>
      </c>
      <c r="I18" s="38">
        <v>2200</v>
      </c>
      <c r="J18" s="38">
        <v>100000</v>
      </c>
      <c r="K18" s="38">
        <v>4</v>
      </c>
      <c r="L18" s="38"/>
      <c r="M18" s="49">
        <v>0</v>
      </c>
      <c r="N18" s="49">
        <f t="shared" si="0"/>
        <v>73.5</v>
      </c>
      <c r="O18" s="50"/>
    </row>
    <row r="19" spans="2:15" x14ac:dyDescent="0.3">
      <c r="B19" s="17"/>
      <c r="C19" s="22" t="s">
        <v>69</v>
      </c>
      <c r="D19" s="46">
        <v>441.8</v>
      </c>
      <c r="E19" s="46"/>
      <c r="F19" s="46">
        <v>441.8</v>
      </c>
      <c r="G19" s="46">
        <v>441.8</v>
      </c>
      <c r="H19" s="49">
        <v>0.06</v>
      </c>
      <c r="I19" s="38">
        <v>2000</v>
      </c>
      <c r="J19" s="38">
        <v>300000</v>
      </c>
      <c r="K19" s="38">
        <v>3</v>
      </c>
      <c r="L19" s="38">
        <v>1000000</v>
      </c>
      <c r="M19" s="49">
        <v>0</v>
      </c>
      <c r="N19" s="49">
        <f t="shared" si="0"/>
        <v>160.74241738343142</v>
      </c>
      <c r="O19" s="16"/>
    </row>
    <row r="20" spans="2:15" x14ac:dyDescent="0.3">
      <c r="B20" s="17"/>
      <c r="C20" s="45"/>
      <c r="D20" s="45"/>
      <c r="E20" s="45"/>
      <c r="F20" s="45"/>
      <c r="G20" s="45"/>
      <c r="H20" s="49"/>
      <c r="I20" s="38"/>
      <c r="J20" s="38"/>
      <c r="K20" s="38"/>
      <c r="L20" s="38"/>
      <c r="M20" s="38"/>
      <c r="N20" s="49"/>
      <c r="O20" s="16"/>
    </row>
    <row r="21" spans="2:15" ht="14.4" thickBot="1" x14ac:dyDescent="0.35">
      <c r="B21" s="24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7"/>
    </row>
    <row r="22" spans="2:15" ht="14.4" thickBot="1" x14ac:dyDescent="0.35"/>
    <row r="23" spans="2:15" x14ac:dyDescent="0.3">
      <c r="B23" s="11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4"/>
    </row>
    <row r="24" spans="2:15" x14ac:dyDescent="0.3">
      <c r="B24" s="28" t="s">
        <v>43</v>
      </c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16"/>
    </row>
    <row r="25" spans="2:15" x14ac:dyDescent="0.3">
      <c r="B25" s="17"/>
      <c r="O25" s="16"/>
    </row>
    <row r="26" spans="2:15" s="37" customFormat="1" x14ac:dyDescent="0.3">
      <c r="B26" s="41"/>
      <c r="D26" s="37" t="s">
        <v>77</v>
      </c>
      <c r="E26" s="37" t="s">
        <v>78</v>
      </c>
      <c r="H26" s="37" t="s">
        <v>74</v>
      </c>
      <c r="I26" s="37" t="s">
        <v>47</v>
      </c>
      <c r="J26" s="37" t="s">
        <v>101</v>
      </c>
      <c r="O26" s="42"/>
    </row>
    <row r="27" spans="2:15" s="37" customFormat="1" ht="15" x14ac:dyDescent="0.3">
      <c r="B27" s="48" t="s">
        <v>15</v>
      </c>
      <c r="D27" s="36" t="s">
        <v>7</v>
      </c>
      <c r="E27" s="36" t="s">
        <v>7</v>
      </c>
      <c r="F27" s="36"/>
      <c r="G27" s="36"/>
      <c r="H27" s="36" t="s">
        <v>161</v>
      </c>
      <c r="I27" s="36" t="s">
        <v>11</v>
      </c>
      <c r="J27" s="36" t="s">
        <v>7</v>
      </c>
      <c r="K27" s="36"/>
      <c r="L27" s="36"/>
      <c r="M27" s="36"/>
      <c r="N27" s="36"/>
      <c r="O27" s="42"/>
    </row>
    <row r="28" spans="2:15" x14ac:dyDescent="0.3">
      <c r="B28" s="17"/>
      <c r="C28" s="22" t="s">
        <v>27</v>
      </c>
      <c r="D28" s="46">
        <v>150</v>
      </c>
      <c r="E28" s="46"/>
      <c r="F28" s="46"/>
      <c r="G28" s="46"/>
      <c r="H28" s="46"/>
      <c r="I28" s="49"/>
      <c r="J28" s="46"/>
      <c r="K28" s="49"/>
      <c r="L28" s="38"/>
      <c r="M28" s="38"/>
      <c r="N28" s="49"/>
      <c r="O28" s="16"/>
    </row>
    <row r="29" spans="2:15" x14ac:dyDescent="0.3">
      <c r="B29" s="17"/>
      <c r="C29" s="22" t="s">
        <v>144</v>
      </c>
      <c r="D29" s="46">
        <v>200</v>
      </c>
      <c r="E29" s="46"/>
      <c r="F29" s="46"/>
      <c r="G29" s="46"/>
      <c r="H29" s="49">
        <v>0.3</v>
      </c>
      <c r="I29" s="49"/>
      <c r="J29" s="46"/>
      <c r="K29" s="49"/>
      <c r="L29" s="38"/>
      <c r="M29" s="38"/>
      <c r="N29" s="49"/>
      <c r="O29" s="16"/>
    </row>
    <row r="30" spans="2:15" x14ac:dyDescent="0.3">
      <c r="B30" s="17"/>
      <c r="C30" s="22" t="s">
        <v>145</v>
      </c>
      <c r="D30" s="46">
        <v>200</v>
      </c>
      <c r="E30" s="46"/>
      <c r="F30" s="46"/>
      <c r="G30" s="46"/>
      <c r="H30" s="49">
        <v>0.3</v>
      </c>
      <c r="I30" s="49"/>
      <c r="J30" s="46"/>
      <c r="K30" s="49"/>
      <c r="L30" s="38"/>
      <c r="M30" s="38"/>
      <c r="N30" s="49"/>
      <c r="O30" s="16"/>
    </row>
    <row r="31" spans="2:15" x14ac:dyDescent="0.3">
      <c r="B31" s="17"/>
      <c r="C31" s="22" t="s">
        <v>146</v>
      </c>
      <c r="D31" s="46">
        <v>200</v>
      </c>
      <c r="E31" s="46"/>
      <c r="F31" s="46"/>
      <c r="G31" s="46"/>
      <c r="H31" s="49">
        <v>0.3</v>
      </c>
      <c r="I31" s="49"/>
      <c r="J31" s="46"/>
      <c r="K31" s="49"/>
      <c r="L31" s="38"/>
      <c r="M31" s="38"/>
      <c r="N31" s="49"/>
      <c r="O31" s="16"/>
    </row>
    <row r="32" spans="2:15" x14ac:dyDescent="0.3">
      <c r="B32" s="17"/>
      <c r="C32" s="22" t="s">
        <v>28</v>
      </c>
      <c r="D32" s="46">
        <v>200</v>
      </c>
      <c r="E32" s="46"/>
      <c r="F32" s="46"/>
      <c r="G32" s="46"/>
      <c r="H32" s="46"/>
      <c r="I32" s="49">
        <v>0.7</v>
      </c>
      <c r="J32" s="46">
        <v>200</v>
      </c>
      <c r="K32" s="49"/>
      <c r="L32" s="38"/>
      <c r="M32" s="38"/>
      <c r="N32" s="49"/>
      <c r="O32" s="16"/>
    </row>
    <row r="33" spans="2:15" x14ac:dyDescent="0.3">
      <c r="B33" s="17"/>
      <c r="C33" s="45"/>
      <c r="D33" s="45"/>
      <c r="E33" s="45"/>
      <c r="F33" s="45"/>
      <c r="G33" s="45"/>
      <c r="H33" s="49"/>
      <c r="I33" s="38"/>
      <c r="J33" s="38"/>
      <c r="K33" s="38"/>
      <c r="L33" s="38"/>
      <c r="M33" s="38"/>
      <c r="N33" s="49"/>
      <c r="O33" s="16"/>
    </row>
    <row r="34" spans="2:15" ht="14.4" thickBot="1" x14ac:dyDescent="0.35">
      <c r="B34" s="24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7"/>
    </row>
    <row r="35" spans="2:15" ht="14.4" thickBot="1" x14ac:dyDescent="0.35"/>
    <row r="36" spans="2:15" x14ac:dyDescent="0.3">
      <c r="B36" s="11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4"/>
    </row>
    <row r="37" spans="2:15" x14ac:dyDescent="0.3">
      <c r="B37" s="28" t="s">
        <v>73</v>
      </c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16"/>
    </row>
    <row r="38" spans="2:15" x14ac:dyDescent="0.3">
      <c r="B38" s="17"/>
      <c r="O38" s="16"/>
    </row>
    <row r="39" spans="2:15" s="37" customFormat="1" x14ac:dyDescent="0.3">
      <c r="B39" s="41"/>
      <c r="D39" s="37" t="s">
        <v>44</v>
      </c>
      <c r="E39" s="37" t="s">
        <v>45</v>
      </c>
      <c r="H39" s="37" t="s">
        <v>46</v>
      </c>
      <c r="O39" s="42"/>
    </row>
    <row r="40" spans="2:15" s="37" customFormat="1" ht="15" x14ac:dyDescent="0.3">
      <c r="B40" s="48" t="s">
        <v>15</v>
      </c>
      <c r="D40" s="36" t="s">
        <v>162</v>
      </c>
      <c r="E40" s="36" t="s">
        <v>162</v>
      </c>
      <c r="F40" s="36"/>
      <c r="G40" s="36"/>
      <c r="H40" s="36" t="s">
        <v>162</v>
      </c>
      <c r="I40" s="36"/>
      <c r="J40" s="36"/>
      <c r="K40" s="36"/>
      <c r="L40" s="36"/>
      <c r="M40" s="36"/>
      <c r="N40" s="36"/>
      <c r="O40" s="42"/>
    </row>
    <row r="41" spans="2:15" x14ac:dyDescent="0.3">
      <c r="B41" s="17"/>
      <c r="C41" s="22" t="s">
        <v>147</v>
      </c>
      <c r="D41" s="46">
        <v>600</v>
      </c>
      <c r="E41" s="46">
        <v>200</v>
      </c>
      <c r="F41" s="46"/>
      <c r="G41" s="46"/>
      <c r="H41" s="46">
        <v>500</v>
      </c>
      <c r="I41" s="46"/>
      <c r="J41" s="46"/>
      <c r="K41" s="49"/>
      <c r="L41" s="38"/>
      <c r="M41" s="38"/>
      <c r="N41" s="49"/>
      <c r="O41" s="16"/>
    </row>
    <row r="42" spans="2:15" x14ac:dyDescent="0.3">
      <c r="B42" s="17"/>
      <c r="C42" s="22" t="s">
        <v>148</v>
      </c>
      <c r="D42" s="46">
        <v>600</v>
      </c>
      <c r="E42" s="46">
        <v>200</v>
      </c>
      <c r="F42" s="46"/>
      <c r="G42" s="46"/>
      <c r="H42" s="46">
        <v>500</v>
      </c>
      <c r="I42" s="46"/>
      <c r="J42" s="46"/>
      <c r="K42" s="49"/>
      <c r="L42" s="38"/>
      <c r="M42" s="38"/>
      <c r="N42" s="49"/>
      <c r="O42" s="16"/>
    </row>
    <row r="43" spans="2:15" x14ac:dyDescent="0.3">
      <c r="B43" s="17"/>
      <c r="C43" s="22" t="s">
        <v>149</v>
      </c>
      <c r="D43" s="46">
        <v>800</v>
      </c>
      <c r="E43" s="46">
        <v>200</v>
      </c>
      <c r="F43" s="46"/>
      <c r="G43" s="46"/>
      <c r="H43" s="46">
        <v>500</v>
      </c>
      <c r="I43" s="46"/>
      <c r="J43" s="46"/>
      <c r="K43" s="49"/>
      <c r="L43" s="38"/>
      <c r="M43" s="38"/>
      <c r="N43" s="49"/>
      <c r="O43" s="16"/>
    </row>
    <row r="44" spans="2:15" x14ac:dyDescent="0.3">
      <c r="B44" s="17"/>
      <c r="C44" s="22" t="s">
        <v>28</v>
      </c>
      <c r="D44" s="45"/>
      <c r="E44" s="45"/>
      <c r="F44" s="45"/>
      <c r="G44" s="45"/>
      <c r="H44" s="49"/>
      <c r="I44" s="38"/>
      <c r="J44" s="38"/>
      <c r="K44" s="38"/>
      <c r="L44" s="38"/>
      <c r="M44" s="38"/>
      <c r="N44" s="49"/>
      <c r="O44" s="16"/>
    </row>
    <row r="45" spans="2:15" x14ac:dyDescent="0.3">
      <c r="B45" s="17"/>
      <c r="C45" s="45"/>
      <c r="D45" s="45"/>
      <c r="E45" s="45"/>
      <c r="F45" s="45"/>
      <c r="G45" s="45"/>
      <c r="H45" s="49"/>
      <c r="I45" s="38"/>
      <c r="J45" s="38"/>
      <c r="K45" s="38"/>
      <c r="L45" s="38"/>
      <c r="M45" s="38"/>
      <c r="N45" s="49"/>
      <c r="O45" s="16"/>
    </row>
    <row r="46" spans="2:15" ht="14.4" thickBot="1" x14ac:dyDescent="0.35">
      <c r="B46" s="24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7"/>
    </row>
  </sheetData>
  <phoneticPr fontId="0" type="noConversion"/>
  <pageMargins left="0.75" right="0.75" top="1" bottom="1" header="0" footer="0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">
    <tabColor indexed="57"/>
  </sheetPr>
  <dimension ref="A1:R35"/>
  <sheetViews>
    <sheetView showGridLines="0" topLeftCell="A14" workbookViewId="0">
      <selection activeCell="R17" sqref="R17"/>
    </sheetView>
  </sheetViews>
  <sheetFormatPr baseColWidth="10" defaultColWidth="11.44140625" defaultRowHeight="13.8" x14ac:dyDescent="0.3"/>
  <cols>
    <col min="1" max="2" width="3.6640625" style="6" customWidth="1"/>
    <col min="3" max="3" width="15.33203125" style="6" bestFit="1" customWidth="1"/>
    <col min="4" max="4" width="1.44140625" style="37" bestFit="1" customWidth="1"/>
    <col min="5" max="5" width="4.5546875" style="37" bestFit="1" customWidth="1"/>
    <col min="6" max="6" width="5.44140625" style="6" bestFit="1" customWidth="1"/>
    <col min="7" max="7" width="4.44140625" style="6" bestFit="1" customWidth="1"/>
    <col min="8" max="9" width="5.44140625" style="6" bestFit="1" customWidth="1"/>
    <col min="10" max="10" width="4.44140625" style="6" bestFit="1" customWidth="1"/>
    <col min="11" max="11" width="5.44140625" style="6" bestFit="1" customWidth="1"/>
    <col min="12" max="16" width="4.44140625" style="6" bestFit="1" customWidth="1"/>
    <col min="17" max="17" width="5.44140625" style="6" bestFit="1" customWidth="1"/>
    <col min="18" max="18" width="3.6640625" style="6" customWidth="1"/>
    <col min="19" max="16384" width="11.44140625" style="6"/>
  </cols>
  <sheetData>
    <row r="1" spans="1:18" ht="14.4" thickBot="1" x14ac:dyDescent="0.35">
      <c r="A1" s="6" t="s">
        <v>58</v>
      </c>
    </row>
    <row r="2" spans="1:18" x14ac:dyDescent="0.3">
      <c r="B2" s="11"/>
      <c r="C2" s="12"/>
      <c r="D2" s="39"/>
      <c r="E2" s="39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4"/>
    </row>
    <row r="3" spans="1:18" ht="15" x14ac:dyDescent="0.3">
      <c r="B3" s="28" t="s">
        <v>163</v>
      </c>
      <c r="C3" s="29"/>
      <c r="D3" s="40"/>
      <c r="E3" s="40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16"/>
    </row>
    <row r="4" spans="1:18" x14ac:dyDescent="0.3">
      <c r="B4" s="17"/>
      <c r="R4" s="16"/>
    </row>
    <row r="5" spans="1:18" s="37" customFormat="1" x14ac:dyDescent="0.3">
      <c r="B5" s="41"/>
      <c r="F5" s="37" t="s">
        <v>21</v>
      </c>
      <c r="G5" s="37" t="s">
        <v>29</v>
      </c>
      <c r="H5" s="37" t="s">
        <v>30</v>
      </c>
      <c r="I5" s="37" t="s">
        <v>31</v>
      </c>
      <c r="J5" s="37" t="s">
        <v>32</v>
      </c>
      <c r="K5" s="37" t="s">
        <v>33</v>
      </c>
      <c r="L5" s="37" t="s">
        <v>34</v>
      </c>
      <c r="M5" s="37" t="s">
        <v>35</v>
      </c>
      <c r="N5" s="37" t="s">
        <v>36</v>
      </c>
      <c r="O5" s="37" t="s">
        <v>37</v>
      </c>
      <c r="P5" s="37" t="s">
        <v>38</v>
      </c>
      <c r="Q5" s="37" t="s">
        <v>22</v>
      </c>
      <c r="R5" s="42"/>
    </row>
    <row r="6" spans="1:18" x14ac:dyDescent="0.3">
      <c r="B6" s="17"/>
      <c r="C6" s="22" t="s">
        <v>27</v>
      </c>
      <c r="D6" s="37" t="s">
        <v>48</v>
      </c>
      <c r="E6" s="37" t="s">
        <v>8</v>
      </c>
      <c r="F6" s="46">
        <v>40</v>
      </c>
      <c r="G6" s="46">
        <v>40</v>
      </c>
      <c r="H6" s="46">
        <v>40</v>
      </c>
      <c r="I6" s="46">
        <v>35</v>
      </c>
      <c r="J6" s="46">
        <v>30</v>
      </c>
      <c r="K6" s="46">
        <v>20</v>
      </c>
      <c r="L6" s="46">
        <v>20</v>
      </c>
      <c r="M6" s="46">
        <v>20</v>
      </c>
      <c r="N6" s="46">
        <v>30</v>
      </c>
      <c r="O6" s="46">
        <v>35</v>
      </c>
      <c r="P6" s="46">
        <v>40</v>
      </c>
      <c r="Q6" s="46">
        <v>40</v>
      </c>
      <c r="R6" s="16"/>
    </row>
    <row r="7" spans="1:18" x14ac:dyDescent="0.3">
      <c r="B7" s="17"/>
      <c r="C7" s="22" t="s">
        <v>27</v>
      </c>
      <c r="D7" s="37" t="s">
        <v>48</v>
      </c>
      <c r="E7" s="37" t="s">
        <v>9</v>
      </c>
      <c r="F7" s="46">
        <v>40</v>
      </c>
      <c r="G7" s="46">
        <f t="shared" ref="G7:Q7" si="0">G6*0.95</f>
        <v>38</v>
      </c>
      <c r="H7" s="46">
        <f t="shared" si="0"/>
        <v>38</v>
      </c>
      <c r="I7" s="46">
        <f t="shared" si="0"/>
        <v>33.25</v>
      </c>
      <c r="J7" s="46">
        <f t="shared" si="0"/>
        <v>28.5</v>
      </c>
      <c r="K7" s="46">
        <f t="shared" si="0"/>
        <v>19</v>
      </c>
      <c r="L7" s="46">
        <f t="shared" si="0"/>
        <v>19</v>
      </c>
      <c r="M7" s="46">
        <f t="shared" si="0"/>
        <v>19</v>
      </c>
      <c r="N7" s="46">
        <f t="shared" si="0"/>
        <v>28.5</v>
      </c>
      <c r="O7" s="46">
        <f t="shared" si="0"/>
        <v>33.25</v>
      </c>
      <c r="P7" s="46">
        <f t="shared" si="0"/>
        <v>38</v>
      </c>
      <c r="Q7" s="46">
        <f t="shared" si="0"/>
        <v>38</v>
      </c>
      <c r="R7" s="16"/>
    </row>
    <row r="8" spans="1:18" x14ac:dyDescent="0.3">
      <c r="B8" s="17"/>
      <c r="C8" s="22" t="s">
        <v>27</v>
      </c>
      <c r="D8" s="37" t="s">
        <v>48</v>
      </c>
      <c r="E8" s="37" t="s">
        <v>10</v>
      </c>
      <c r="F8" s="46">
        <v>40</v>
      </c>
      <c r="G8" s="46">
        <f t="shared" ref="G8:Q8" si="1">G6*1.05</f>
        <v>42</v>
      </c>
      <c r="H8" s="46">
        <f t="shared" si="1"/>
        <v>42</v>
      </c>
      <c r="I8" s="46">
        <f t="shared" si="1"/>
        <v>36.75</v>
      </c>
      <c r="J8" s="46">
        <f t="shared" si="1"/>
        <v>31.5</v>
      </c>
      <c r="K8" s="46">
        <f t="shared" si="1"/>
        <v>21</v>
      </c>
      <c r="L8" s="46">
        <f t="shared" si="1"/>
        <v>21</v>
      </c>
      <c r="M8" s="46">
        <f t="shared" si="1"/>
        <v>21</v>
      </c>
      <c r="N8" s="46">
        <f t="shared" si="1"/>
        <v>31.5</v>
      </c>
      <c r="O8" s="46">
        <f t="shared" si="1"/>
        <v>36.75</v>
      </c>
      <c r="P8" s="46">
        <f t="shared" si="1"/>
        <v>42</v>
      </c>
      <c r="Q8" s="46">
        <f t="shared" si="1"/>
        <v>42</v>
      </c>
      <c r="R8" s="16"/>
    </row>
    <row r="9" spans="1:18" x14ac:dyDescent="0.3">
      <c r="B9" s="17" t="s">
        <v>15</v>
      </c>
      <c r="C9" s="22" t="s">
        <v>27</v>
      </c>
      <c r="D9" s="37" t="s">
        <v>48</v>
      </c>
      <c r="E9" s="37" t="s">
        <v>8</v>
      </c>
      <c r="F9" s="46">
        <f t="shared" ref="F9:Q9" si="2">F6*0.5+F7*0.4+F8*0.1</f>
        <v>40</v>
      </c>
      <c r="G9" s="46">
        <f t="shared" si="2"/>
        <v>39.400000000000006</v>
      </c>
      <c r="H9" s="46">
        <f t="shared" si="2"/>
        <v>39.400000000000006</v>
      </c>
      <c r="I9" s="46">
        <f t="shared" si="2"/>
        <v>34.475000000000001</v>
      </c>
      <c r="J9" s="46">
        <f t="shared" si="2"/>
        <v>29.549999999999997</v>
      </c>
      <c r="K9" s="46">
        <f t="shared" si="2"/>
        <v>19.700000000000003</v>
      </c>
      <c r="L9" s="46">
        <f t="shared" si="2"/>
        <v>19.700000000000003</v>
      </c>
      <c r="M9" s="46">
        <f t="shared" si="2"/>
        <v>19.700000000000003</v>
      </c>
      <c r="N9" s="46">
        <f t="shared" si="2"/>
        <v>29.549999999999997</v>
      </c>
      <c r="O9" s="46">
        <f t="shared" si="2"/>
        <v>34.475000000000001</v>
      </c>
      <c r="P9" s="46">
        <f t="shared" si="2"/>
        <v>39.400000000000006</v>
      </c>
      <c r="Q9" s="46">
        <f t="shared" si="2"/>
        <v>39.400000000000006</v>
      </c>
      <c r="R9" s="16"/>
    </row>
    <row r="10" spans="1:18" x14ac:dyDescent="0.3">
      <c r="B10" s="17"/>
      <c r="R10" s="16"/>
    </row>
    <row r="11" spans="1:18" x14ac:dyDescent="0.3">
      <c r="B11" s="17"/>
      <c r="C11" s="22" t="s">
        <v>147</v>
      </c>
      <c r="D11" s="37" t="s">
        <v>48</v>
      </c>
      <c r="E11" s="37" t="s">
        <v>8</v>
      </c>
      <c r="F11" s="46">
        <v>34.5</v>
      </c>
      <c r="G11" s="46">
        <v>48.7</v>
      </c>
      <c r="H11" s="46">
        <v>66.2</v>
      </c>
      <c r="I11" s="46">
        <v>76.099999999999994</v>
      </c>
      <c r="J11" s="46">
        <v>33.6</v>
      </c>
      <c r="K11" s="46">
        <v>10.4</v>
      </c>
      <c r="L11" s="46">
        <v>5.4</v>
      </c>
      <c r="M11" s="46">
        <v>15.3</v>
      </c>
      <c r="N11" s="46">
        <v>14.6</v>
      </c>
      <c r="O11" s="46">
        <v>16.100000000000001</v>
      </c>
      <c r="P11" s="46">
        <v>62.7</v>
      </c>
      <c r="Q11" s="46">
        <v>157.1</v>
      </c>
      <c r="R11" s="16"/>
    </row>
    <row r="12" spans="1:18" x14ac:dyDescent="0.3">
      <c r="B12" s="17"/>
      <c r="C12" s="22" t="s">
        <v>147</v>
      </c>
      <c r="D12" s="37" t="s">
        <v>48</v>
      </c>
      <c r="E12" s="37" t="s">
        <v>9</v>
      </c>
      <c r="F12" s="46">
        <v>34.5</v>
      </c>
      <c r="G12" s="46">
        <f t="shared" ref="G12:Q12" si="3">G11*0.7</f>
        <v>34.089999999999996</v>
      </c>
      <c r="H12" s="46">
        <f t="shared" si="3"/>
        <v>46.339999999999996</v>
      </c>
      <c r="I12" s="46">
        <f t="shared" si="3"/>
        <v>53.269999999999996</v>
      </c>
      <c r="J12" s="46">
        <f t="shared" si="3"/>
        <v>23.52</v>
      </c>
      <c r="K12" s="46">
        <f t="shared" si="3"/>
        <v>7.2799999999999994</v>
      </c>
      <c r="L12" s="46">
        <f t="shared" si="3"/>
        <v>3.78</v>
      </c>
      <c r="M12" s="46">
        <f t="shared" si="3"/>
        <v>10.709999999999999</v>
      </c>
      <c r="N12" s="46">
        <f t="shared" si="3"/>
        <v>10.219999999999999</v>
      </c>
      <c r="O12" s="46">
        <f t="shared" si="3"/>
        <v>11.27</v>
      </c>
      <c r="P12" s="46">
        <f t="shared" si="3"/>
        <v>43.89</v>
      </c>
      <c r="Q12" s="46">
        <f t="shared" si="3"/>
        <v>109.96999999999998</v>
      </c>
      <c r="R12" s="16"/>
    </row>
    <row r="13" spans="1:18" x14ac:dyDescent="0.3">
      <c r="B13" s="17"/>
      <c r="C13" s="22" t="s">
        <v>147</v>
      </c>
      <c r="D13" s="37" t="s">
        <v>48</v>
      </c>
      <c r="E13" s="37" t="s">
        <v>10</v>
      </c>
      <c r="F13" s="46">
        <v>34.5</v>
      </c>
      <c r="G13" s="46">
        <f t="shared" ref="G13:Q13" si="4">G11*1.35</f>
        <v>65.745000000000005</v>
      </c>
      <c r="H13" s="46">
        <f t="shared" si="4"/>
        <v>89.37</v>
      </c>
      <c r="I13" s="46">
        <f t="shared" si="4"/>
        <v>102.735</v>
      </c>
      <c r="J13" s="46">
        <f t="shared" si="4"/>
        <v>45.360000000000007</v>
      </c>
      <c r="K13" s="46">
        <f t="shared" si="4"/>
        <v>14.040000000000001</v>
      </c>
      <c r="L13" s="46">
        <f t="shared" si="4"/>
        <v>7.2900000000000009</v>
      </c>
      <c r="M13" s="46">
        <f t="shared" si="4"/>
        <v>20.655000000000001</v>
      </c>
      <c r="N13" s="46">
        <f t="shared" si="4"/>
        <v>19.71</v>
      </c>
      <c r="O13" s="46">
        <f t="shared" si="4"/>
        <v>21.735000000000003</v>
      </c>
      <c r="P13" s="46">
        <f t="shared" si="4"/>
        <v>84.64500000000001</v>
      </c>
      <c r="Q13" s="46">
        <f t="shared" si="4"/>
        <v>212.08500000000001</v>
      </c>
      <c r="R13" s="16"/>
    </row>
    <row r="14" spans="1:18" x14ac:dyDescent="0.3">
      <c r="B14" s="17" t="s">
        <v>15</v>
      </c>
      <c r="C14" s="22" t="s">
        <v>147</v>
      </c>
      <c r="D14" s="37" t="s">
        <v>48</v>
      </c>
      <c r="E14" s="37" t="s">
        <v>8</v>
      </c>
      <c r="F14" s="46">
        <f>F11*0.5+F12*0.4+F13*0.1</f>
        <v>34.5</v>
      </c>
      <c r="G14" s="46">
        <f t="shared" ref="G14:Q14" si="5">G11*0.5+G12*0.4+G13*0.1</f>
        <v>44.560500000000005</v>
      </c>
      <c r="H14" s="46">
        <f t="shared" si="5"/>
        <v>60.572999999999993</v>
      </c>
      <c r="I14" s="46">
        <f t="shared" si="5"/>
        <v>69.631500000000003</v>
      </c>
      <c r="J14" s="46">
        <f t="shared" si="5"/>
        <v>30.744</v>
      </c>
      <c r="K14" s="46">
        <f t="shared" si="5"/>
        <v>9.516</v>
      </c>
      <c r="L14" s="46">
        <f t="shared" si="5"/>
        <v>4.9409999999999998</v>
      </c>
      <c r="M14" s="46">
        <f t="shared" si="5"/>
        <v>13.999500000000001</v>
      </c>
      <c r="N14" s="46">
        <f t="shared" si="5"/>
        <v>13.359</v>
      </c>
      <c r="O14" s="46">
        <f t="shared" si="5"/>
        <v>14.7315</v>
      </c>
      <c r="P14" s="46">
        <f t="shared" si="5"/>
        <v>57.370500000000007</v>
      </c>
      <c r="Q14" s="46">
        <f t="shared" si="5"/>
        <v>143.7465</v>
      </c>
      <c r="R14" s="16"/>
    </row>
    <row r="15" spans="1:18" x14ac:dyDescent="0.3">
      <c r="B15" s="17"/>
      <c r="R15" s="16"/>
    </row>
    <row r="16" spans="1:18" x14ac:dyDescent="0.3">
      <c r="B16" s="17"/>
      <c r="C16" s="22" t="s">
        <v>148</v>
      </c>
      <c r="D16" s="37" t="s">
        <v>48</v>
      </c>
      <c r="E16" s="37" t="s">
        <v>8</v>
      </c>
      <c r="F16" s="46">
        <v>28.8</v>
      </c>
      <c r="G16" s="46">
        <v>6.9</v>
      </c>
      <c r="H16" s="46">
        <v>11.9</v>
      </c>
      <c r="I16" s="46">
        <v>4.4000000000000004</v>
      </c>
      <c r="J16" s="46">
        <v>16.600000000000001</v>
      </c>
      <c r="K16" s="46">
        <v>4.5999999999999996</v>
      </c>
      <c r="L16" s="46">
        <v>5.3</v>
      </c>
      <c r="M16" s="46">
        <v>8.8000000000000007</v>
      </c>
      <c r="N16" s="46">
        <v>6.1</v>
      </c>
      <c r="O16" s="46">
        <v>10.7</v>
      </c>
      <c r="P16" s="46">
        <v>36.299999999999997</v>
      </c>
      <c r="Q16" s="46">
        <v>60</v>
      </c>
      <c r="R16" s="16"/>
    </row>
    <row r="17" spans="2:18" x14ac:dyDescent="0.3">
      <c r="B17" s="17"/>
      <c r="C17" s="22" t="s">
        <v>148</v>
      </c>
      <c r="D17" s="37" t="s">
        <v>48</v>
      </c>
      <c r="E17" s="37" t="s">
        <v>9</v>
      </c>
      <c r="F17" s="46">
        <v>28.8</v>
      </c>
      <c r="G17" s="46">
        <f t="shared" ref="G17:Q17" si="6">G16*0.75</f>
        <v>5.1750000000000007</v>
      </c>
      <c r="H17" s="46">
        <f t="shared" si="6"/>
        <v>8.9250000000000007</v>
      </c>
      <c r="I17" s="46">
        <f t="shared" si="6"/>
        <v>3.3000000000000003</v>
      </c>
      <c r="J17" s="46">
        <f t="shared" si="6"/>
        <v>12.450000000000001</v>
      </c>
      <c r="K17" s="46">
        <f t="shared" si="6"/>
        <v>3.4499999999999997</v>
      </c>
      <c r="L17" s="46">
        <f t="shared" si="6"/>
        <v>3.9749999999999996</v>
      </c>
      <c r="M17" s="46">
        <f t="shared" si="6"/>
        <v>6.6000000000000005</v>
      </c>
      <c r="N17" s="46">
        <f t="shared" si="6"/>
        <v>4.5749999999999993</v>
      </c>
      <c r="O17" s="46">
        <f t="shared" si="6"/>
        <v>8.0249999999999986</v>
      </c>
      <c r="P17" s="46">
        <f t="shared" si="6"/>
        <v>27.224999999999998</v>
      </c>
      <c r="Q17" s="46">
        <f t="shared" si="6"/>
        <v>45</v>
      </c>
      <c r="R17" s="16"/>
    </row>
    <row r="18" spans="2:18" x14ac:dyDescent="0.3">
      <c r="B18" s="17"/>
      <c r="C18" s="22" t="s">
        <v>148</v>
      </c>
      <c r="D18" s="37" t="s">
        <v>48</v>
      </c>
      <c r="E18" s="37" t="s">
        <v>10</v>
      </c>
      <c r="F18" s="46">
        <v>28.8</v>
      </c>
      <c r="G18" s="46">
        <f t="shared" ref="G18:Q18" si="7">G16*1.4</f>
        <v>9.66</v>
      </c>
      <c r="H18" s="46">
        <f t="shared" si="7"/>
        <v>16.66</v>
      </c>
      <c r="I18" s="46">
        <f t="shared" si="7"/>
        <v>6.16</v>
      </c>
      <c r="J18" s="46">
        <f t="shared" si="7"/>
        <v>23.240000000000002</v>
      </c>
      <c r="K18" s="46">
        <f t="shared" si="7"/>
        <v>6.4399999999999995</v>
      </c>
      <c r="L18" s="46">
        <f t="shared" si="7"/>
        <v>7.419999999999999</v>
      </c>
      <c r="M18" s="46">
        <f t="shared" si="7"/>
        <v>12.32</v>
      </c>
      <c r="N18" s="46">
        <f t="shared" si="7"/>
        <v>8.5399999999999991</v>
      </c>
      <c r="O18" s="46">
        <f t="shared" si="7"/>
        <v>14.979999999999999</v>
      </c>
      <c r="P18" s="46">
        <f t="shared" si="7"/>
        <v>50.819999999999993</v>
      </c>
      <c r="Q18" s="46">
        <f t="shared" si="7"/>
        <v>84</v>
      </c>
      <c r="R18" s="16"/>
    </row>
    <row r="19" spans="2:18" x14ac:dyDescent="0.3">
      <c r="B19" s="17" t="s">
        <v>15</v>
      </c>
      <c r="C19" s="22" t="s">
        <v>148</v>
      </c>
      <c r="D19" s="37" t="s">
        <v>48</v>
      </c>
      <c r="E19" s="37" t="s">
        <v>8</v>
      </c>
      <c r="F19" s="46">
        <f>F16*0.5+F17*0.4+F18*0.1</f>
        <v>28.8</v>
      </c>
      <c r="G19" s="46">
        <f t="shared" ref="G19:Q19" si="8">G16*0.5+G17*0.4+G18*0.1</f>
        <v>6.4860000000000007</v>
      </c>
      <c r="H19" s="46">
        <f t="shared" si="8"/>
        <v>11.186</v>
      </c>
      <c r="I19" s="46">
        <f t="shared" si="8"/>
        <v>4.136000000000001</v>
      </c>
      <c r="J19" s="46">
        <f t="shared" si="8"/>
        <v>15.604000000000001</v>
      </c>
      <c r="K19" s="46">
        <f t="shared" si="8"/>
        <v>4.3239999999999998</v>
      </c>
      <c r="L19" s="46">
        <f t="shared" si="8"/>
        <v>4.9820000000000002</v>
      </c>
      <c r="M19" s="46">
        <f t="shared" si="8"/>
        <v>8.272000000000002</v>
      </c>
      <c r="N19" s="46">
        <f t="shared" si="8"/>
        <v>5.734</v>
      </c>
      <c r="O19" s="46">
        <f t="shared" si="8"/>
        <v>10.057999999999998</v>
      </c>
      <c r="P19" s="46">
        <f t="shared" si="8"/>
        <v>34.122</v>
      </c>
      <c r="Q19" s="46">
        <f t="shared" si="8"/>
        <v>56.4</v>
      </c>
      <c r="R19" s="16"/>
    </row>
    <row r="20" spans="2:18" x14ac:dyDescent="0.3">
      <c r="B20" s="17"/>
      <c r="R20" s="16"/>
    </row>
    <row r="21" spans="2:18" x14ac:dyDescent="0.3">
      <c r="B21" s="17"/>
      <c r="C21" s="22" t="s">
        <v>149</v>
      </c>
      <c r="D21" s="37" t="s">
        <v>48</v>
      </c>
      <c r="E21" s="37" t="s">
        <v>8</v>
      </c>
      <c r="F21" s="46">
        <v>113.8047138047138</v>
      </c>
      <c r="G21" s="46">
        <v>54.882154882154879</v>
      </c>
      <c r="H21" s="46">
        <v>101.01010101010098</v>
      </c>
      <c r="I21" s="46">
        <v>21.212121212121211</v>
      </c>
      <c r="J21" s="46">
        <v>29.629629629629633</v>
      </c>
      <c r="K21" s="46">
        <v>54.882154882154879</v>
      </c>
      <c r="L21" s="46">
        <v>25.252525252525245</v>
      </c>
      <c r="M21" s="46">
        <v>16.835016835016837</v>
      </c>
      <c r="N21" s="46">
        <v>21.212121212121211</v>
      </c>
      <c r="O21" s="46">
        <v>21.212121212121211</v>
      </c>
      <c r="P21" s="46">
        <v>33.670033670033675</v>
      </c>
      <c r="Q21" s="46">
        <v>168.35016835016833</v>
      </c>
      <c r="R21" s="16"/>
    </row>
    <row r="22" spans="2:18" x14ac:dyDescent="0.3">
      <c r="B22" s="17"/>
      <c r="C22" s="22" t="s">
        <v>149</v>
      </c>
      <c r="D22" s="37" t="s">
        <v>48</v>
      </c>
      <c r="E22" s="37" t="s">
        <v>9</v>
      </c>
      <c r="F22" s="46">
        <v>113.8047138047138</v>
      </c>
      <c r="G22" s="46">
        <f t="shared" ref="G22:Q22" si="9">G21*0.6</f>
        <v>32.929292929292927</v>
      </c>
      <c r="H22" s="46">
        <f t="shared" si="9"/>
        <v>60.606060606060588</v>
      </c>
      <c r="I22" s="46">
        <f t="shared" si="9"/>
        <v>12.727272727272727</v>
      </c>
      <c r="J22" s="46">
        <f t="shared" si="9"/>
        <v>17.777777777777779</v>
      </c>
      <c r="K22" s="46">
        <f t="shared" si="9"/>
        <v>32.929292929292927</v>
      </c>
      <c r="L22" s="46">
        <f t="shared" si="9"/>
        <v>15.151515151515147</v>
      </c>
      <c r="M22" s="46">
        <f t="shared" si="9"/>
        <v>10.101010101010102</v>
      </c>
      <c r="N22" s="46">
        <f t="shared" si="9"/>
        <v>12.727272727272727</v>
      </c>
      <c r="O22" s="46">
        <f t="shared" si="9"/>
        <v>12.727272727272727</v>
      </c>
      <c r="P22" s="46">
        <f t="shared" si="9"/>
        <v>20.202020202020204</v>
      </c>
      <c r="Q22" s="46">
        <f t="shared" si="9"/>
        <v>101.010101010101</v>
      </c>
      <c r="R22" s="16"/>
    </row>
    <row r="23" spans="2:18" x14ac:dyDescent="0.3">
      <c r="B23" s="17"/>
      <c r="C23" s="22" t="s">
        <v>149</v>
      </c>
      <c r="D23" s="37" t="s">
        <v>48</v>
      </c>
      <c r="E23" s="37" t="s">
        <v>10</v>
      </c>
      <c r="F23" s="46">
        <v>113.8047138047138</v>
      </c>
      <c r="G23" s="46">
        <f t="shared" ref="G23:Q23" si="10">G21*1.4</f>
        <v>76.83501683501683</v>
      </c>
      <c r="H23" s="46">
        <f t="shared" si="10"/>
        <v>141.41414141414137</v>
      </c>
      <c r="I23" s="46">
        <f t="shared" si="10"/>
        <v>29.696969696969692</v>
      </c>
      <c r="J23" s="46">
        <f t="shared" si="10"/>
        <v>41.481481481481481</v>
      </c>
      <c r="K23" s="46">
        <f t="shared" si="10"/>
        <v>76.83501683501683</v>
      </c>
      <c r="L23" s="46">
        <f t="shared" si="10"/>
        <v>35.353535353535342</v>
      </c>
      <c r="M23" s="46">
        <f t="shared" si="10"/>
        <v>23.569023569023571</v>
      </c>
      <c r="N23" s="46">
        <f t="shared" si="10"/>
        <v>29.696969696969692</v>
      </c>
      <c r="O23" s="46">
        <f t="shared" si="10"/>
        <v>29.696969696969692</v>
      </c>
      <c r="P23" s="46">
        <f t="shared" si="10"/>
        <v>47.138047138047142</v>
      </c>
      <c r="Q23" s="46">
        <f t="shared" si="10"/>
        <v>235.69023569023565</v>
      </c>
      <c r="R23" s="16"/>
    </row>
    <row r="24" spans="2:18" x14ac:dyDescent="0.3">
      <c r="B24" s="17" t="s">
        <v>15</v>
      </c>
      <c r="C24" s="22" t="s">
        <v>149</v>
      </c>
      <c r="D24" s="37" t="s">
        <v>48</v>
      </c>
      <c r="E24" s="37" t="s">
        <v>8</v>
      </c>
      <c r="F24" s="46">
        <f>F21*0.5+F22*0.4+F23*0.1</f>
        <v>113.8047138047138</v>
      </c>
      <c r="G24" s="46">
        <f t="shared" ref="G24:Q24" si="11">G21*0.5+G22*0.4+G23*0.1</f>
        <v>48.296296296296291</v>
      </c>
      <c r="H24" s="46">
        <f t="shared" si="11"/>
        <v>88.888888888888857</v>
      </c>
      <c r="I24" s="46">
        <f t="shared" si="11"/>
        <v>18.666666666666664</v>
      </c>
      <c r="J24" s="46">
        <f t="shared" si="11"/>
        <v>26.074074074074076</v>
      </c>
      <c r="K24" s="46">
        <f t="shared" si="11"/>
        <v>48.296296296296291</v>
      </c>
      <c r="L24" s="46">
        <f t="shared" si="11"/>
        <v>22.222222222222214</v>
      </c>
      <c r="M24" s="46">
        <f t="shared" si="11"/>
        <v>14.814814814814817</v>
      </c>
      <c r="N24" s="46">
        <f t="shared" si="11"/>
        <v>18.666666666666664</v>
      </c>
      <c r="O24" s="46">
        <f t="shared" si="11"/>
        <v>18.666666666666664</v>
      </c>
      <c r="P24" s="46">
        <f t="shared" si="11"/>
        <v>29.629629629629633</v>
      </c>
      <c r="Q24" s="46">
        <f t="shared" si="11"/>
        <v>148.14814814814812</v>
      </c>
      <c r="R24" s="16"/>
    </row>
    <row r="25" spans="2:18" ht="14.4" thickBot="1" x14ac:dyDescent="0.35">
      <c r="B25" s="24"/>
      <c r="C25" s="25"/>
      <c r="D25" s="47"/>
      <c r="E25" s="47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7"/>
    </row>
    <row r="26" spans="2:18" ht="14.4" thickBot="1" x14ac:dyDescent="0.35"/>
    <row r="27" spans="2:18" x14ac:dyDescent="0.3">
      <c r="B27" s="11"/>
      <c r="C27" s="12"/>
      <c r="D27" s="39"/>
      <c r="E27" s="39"/>
      <c r="F27" s="39"/>
      <c r="G27" s="39"/>
      <c r="H27" s="39"/>
      <c r="I27" s="12"/>
      <c r="J27" s="12"/>
      <c r="K27" s="12"/>
      <c r="L27" s="14"/>
    </row>
    <row r="28" spans="2:18" x14ac:dyDescent="0.3">
      <c r="B28" s="28" t="s">
        <v>52</v>
      </c>
      <c r="C28" s="29"/>
      <c r="D28" s="40"/>
      <c r="E28" s="40"/>
      <c r="F28" s="40"/>
      <c r="G28" s="40"/>
      <c r="H28" s="40"/>
      <c r="I28" s="29"/>
      <c r="J28" s="29"/>
      <c r="K28" s="29"/>
      <c r="L28" s="16"/>
    </row>
    <row r="29" spans="2:18" x14ac:dyDescent="0.3">
      <c r="B29" s="17"/>
      <c r="F29" s="37"/>
      <c r="G29" s="37"/>
      <c r="H29" s="37"/>
      <c r="L29" s="16"/>
    </row>
    <row r="30" spans="2:18" x14ac:dyDescent="0.3">
      <c r="B30" s="41"/>
      <c r="C30" s="37"/>
      <c r="F30" s="37"/>
      <c r="G30" s="37"/>
      <c r="H30" s="37"/>
      <c r="I30" s="37" t="s">
        <v>49</v>
      </c>
      <c r="J30" s="37" t="s">
        <v>50</v>
      </c>
      <c r="K30" s="37" t="s">
        <v>51</v>
      </c>
      <c r="L30" s="42"/>
    </row>
    <row r="31" spans="2:18" x14ac:dyDescent="0.3">
      <c r="B31" s="17"/>
      <c r="E31" s="37" t="s">
        <v>8</v>
      </c>
      <c r="F31" s="37"/>
      <c r="G31" s="37"/>
      <c r="H31" s="37"/>
      <c r="I31" s="43">
        <v>-1</v>
      </c>
      <c r="J31" s="43">
        <v>1</v>
      </c>
      <c r="K31" s="44">
        <v>0.5</v>
      </c>
      <c r="L31" s="16"/>
    </row>
    <row r="32" spans="2:18" x14ac:dyDescent="0.3">
      <c r="B32" s="17"/>
      <c r="E32" s="37" t="s">
        <v>9</v>
      </c>
      <c r="F32" s="37"/>
      <c r="G32" s="37"/>
      <c r="H32" s="37"/>
      <c r="I32" s="43">
        <v>-1</v>
      </c>
      <c r="J32" s="43">
        <v>1</v>
      </c>
      <c r="K32" s="44">
        <v>0.4</v>
      </c>
      <c r="L32" s="16"/>
    </row>
    <row r="33" spans="2:12" x14ac:dyDescent="0.3">
      <c r="B33" s="17"/>
      <c r="E33" s="37" t="s">
        <v>10</v>
      </c>
      <c r="F33" s="37"/>
      <c r="G33" s="37"/>
      <c r="H33" s="37"/>
      <c r="I33" s="43">
        <v>-1</v>
      </c>
      <c r="J33" s="43">
        <v>1</v>
      </c>
      <c r="K33" s="44">
        <v>0.1</v>
      </c>
      <c r="L33" s="16"/>
    </row>
    <row r="34" spans="2:12" x14ac:dyDescent="0.3">
      <c r="B34" s="17"/>
      <c r="F34" s="37"/>
      <c r="G34" s="37"/>
      <c r="H34" s="37"/>
      <c r="I34" s="45"/>
      <c r="J34" s="45"/>
      <c r="K34" s="46"/>
      <c r="L34" s="16"/>
    </row>
    <row r="35" spans="2:12" ht="14.4" thickBot="1" x14ac:dyDescent="0.35">
      <c r="B35" s="24"/>
      <c r="C35" s="25"/>
      <c r="D35" s="47"/>
      <c r="E35" s="47"/>
      <c r="F35" s="47"/>
      <c r="G35" s="47"/>
      <c r="H35" s="47"/>
      <c r="I35" s="25"/>
      <c r="J35" s="25"/>
      <c r="K35" s="25"/>
      <c r="L35" s="27"/>
    </row>
  </sheetData>
  <phoneticPr fontId="1" type="noConversion"/>
  <pageMargins left="0.75" right="0.75" top="1" bottom="1" header="0" footer="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3">
    <tabColor indexed="57"/>
  </sheetPr>
  <dimension ref="B1:K27"/>
  <sheetViews>
    <sheetView showGridLines="0" workbookViewId="0">
      <selection activeCell="B2" sqref="B2:K27"/>
    </sheetView>
  </sheetViews>
  <sheetFormatPr baseColWidth="10" defaultColWidth="11.44140625" defaultRowHeight="13.8" x14ac:dyDescent="0.3"/>
  <cols>
    <col min="1" max="2" width="3.6640625" style="6" customWidth="1"/>
    <col min="3" max="3" width="7" style="6" bestFit="1" customWidth="1"/>
    <col min="4" max="4" width="1.5546875" style="6" bestFit="1" customWidth="1"/>
    <col min="5" max="5" width="7" style="6" bestFit="1" customWidth="1"/>
    <col min="6" max="8" width="5.44140625" style="6" bestFit="1" customWidth="1"/>
    <col min="9" max="9" width="8.44140625" style="6" bestFit="1" customWidth="1"/>
    <col min="10" max="10" width="11.44140625" style="6" bestFit="1" customWidth="1"/>
    <col min="11" max="11" width="3.6640625" style="6" customWidth="1"/>
    <col min="12" max="16384" width="11.44140625" style="6"/>
  </cols>
  <sheetData>
    <row r="1" spans="2:11" ht="14.4" thickBot="1" x14ac:dyDescent="0.35"/>
    <row r="2" spans="2:11" x14ac:dyDescent="0.3">
      <c r="B2" s="11"/>
      <c r="C2" s="12"/>
      <c r="D2" s="12"/>
      <c r="E2" s="12"/>
      <c r="F2" s="12"/>
      <c r="G2" s="12"/>
      <c r="H2" s="12"/>
      <c r="I2" s="12"/>
      <c r="J2" s="12"/>
      <c r="K2" s="14"/>
    </row>
    <row r="3" spans="2:11" x14ac:dyDescent="0.3">
      <c r="B3" s="28" t="s">
        <v>142</v>
      </c>
      <c r="C3" s="29"/>
      <c r="D3" s="29"/>
      <c r="E3" s="29"/>
      <c r="F3" s="29"/>
      <c r="G3" s="29"/>
      <c r="H3" s="29"/>
      <c r="I3" s="29"/>
      <c r="J3" s="29"/>
      <c r="K3" s="16"/>
    </row>
    <row r="4" spans="2:11" x14ac:dyDescent="0.3">
      <c r="B4" s="17"/>
      <c r="K4" s="16"/>
    </row>
    <row r="5" spans="2:11" s="37" customFormat="1" x14ac:dyDescent="0.3">
      <c r="B5" s="48" t="s">
        <v>15</v>
      </c>
      <c r="F5" s="36" t="s">
        <v>11</v>
      </c>
      <c r="G5" s="36" t="s">
        <v>11</v>
      </c>
      <c r="H5" s="36" t="s">
        <v>7</v>
      </c>
      <c r="I5" s="36" t="s">
        <v>141</v>
      </c>
      <c r="J5" s="36" t="s">
        <v>11</v>
      </c>
      <c r="K5" s="42"/>
    </row>
    <row r="6" spans="2:11" s="37" customFormat="1" x14ac:dyDescent="0.3">
      <c r="B6" s="41"/>
      <c r="F6" s="37" t="s">
        <v>71</v>
      </c>
      <c r="G6" s="37" t="s">
        <v>122</v>
      </c>
      <c r="H6" s="37" t="s">
        <v>157</v>
      </c>
      <c r="I6" s="37" t="s">
        <v>91</v>
      </c>
      <c r="J6" s="37" t="s">
        <v>92</v>
      </c>
      <c r="K6" s="42"/>
    </row>
    <row r="7" spans="2:11" x14ac:dyDescent="0.3">
      <c r="B7" s="17"/>
      <c r="C7" s="22" t="s">
        <v>108</v>
      </c>
      <c r="D7" s="10" t="s">
        <v>48</v>
      </c>
      <c r="E7" s="22" t="s">
        <v>115</v>
      </c>
      <c r="F7" s="56">
        <v>2E-3</v>
      </c>
      <c r="G7" s="56">
        <v>0.02</v>
      </c>
      <c r="H7" s="46">
        <v>800</v>
      </c>
      <c r="I7" s="46"/>
      <c r="J7" s="46"/>
      <c r="K7" s="16"/>
    </row>
    <row r="8" spans="2:11" x14ac:dyDescent="0.3">
      <c r="B8" s="17"/>
      <c r="C8" s="22" t="s">
        <v>109</v>
      </c>
      <c r="D8" s="10" t="s">
        <v>48</v>
      </c>
      <c r="E8" s="22" t="s">
        <v>110</v>
      </c>
      <c r="F8" s="56">
        <v>4.0000000000000001E-3</v>
      </c>
      <c r="G8" s="56">
        <v>0.03</v>
      </c>
      <c r="H8" s="46">
        <v>800</v>
      </c>
      <c r="I8" s="46"/>
      <c r="J8" s="46"/>
      <c r="K8" s="16"/>
    </row>
    <row r="9" spans="2:11" x14ac:dyDescent="0.3">
      <c r="B9" s="17"/>
      <c r="C9" s="22" t="s">
        <v>109</v>
      </c>
      <c r="D9" s="10" t="s">
        <v>48</v>
      </c>
      <c r="E9" s="22" t="s">
        <v>115</v>
      </c>
      <c r="F9" s="56">
        <v>6.0000000000000001E-3</v>
      </c>
      <c r="G9" s="56">
        <v>0.04</v>
      </c>
      <c r="H9" s="46">
        <v>800</v>
      </c>
      <c r="I9" s="46"/>
      <c r="J9" s="46"/>
      <c r="K9" s="16"/>
    </row>
    <row r="10" spans="2:11" x14ac:dyDescent="0.3">
      <c r="B10" s="17"/>
      <c r="C10" s="22" t="s">
        <v>110</v>
      </c>
      <c r="D10" s="10" t="s">
        <v>48</v>
      </c>
      <c r="E10" s="22" t="s">
        <v>111</v>
      </c>
      <c r="F10" s="56">
        <v>8.0000000000000002E-3</v>
      </c>
      <c r="G10" s="56">
        <v>0.05</v>
      </c>
      <c r="H10" s="46">
        <v>800</v>
      </c>
      <c r="I10" s="46"/>
      <c r="J10" s="46"/>
      <c r="K10" s="16"/>
    </row>
    <row r="11" spans="2:11" x14ac:dyDescent="0.3">
      <c r="B11" s="17"/>
      <c r="C11" s="22" t="s">
        <v>110</v>
      </c>
      <c r="D11" s="10" t="s">
        <v>48</v>
      </c>
      <c r="E11" s="22" t="s">
        <v>115</v>
      </c>
      <c r="F11" s="56">
        <v>7.0000000000000001E-3</v>
      </c>
      <c r="G11" s="56">
        <v>0.06</v>
      </c>
      <c r="H11" s="46">
        <v>800</v>
      </c>
      <c r="I11" s="46"/>
      <c r="J11" s="46"/>
      <c r="K11" s="16"/>
    </row>
    <row r="12" spans="2:11" x14ac:dyDescent="0.3">
      <c r="B12" s="17"/>
      <c r="C12" s="22" t="s">
        <v>111</v>
      </c>
      <c r="D12" s="10" t="s">
        <v>48</v>
      </c>
      <c r="E12" s="22" t="s">
        <v>112</v>
      </c>
      <c r="F12" s="56">
        <v>5.0000000000000001E-3</v>
      </c>
      <c r="G12" s="56">
        <v>7.0000000000000007E-2</v>
      </c>
      <c r="H12" s="46">
        <v>800</v>
      </c>
      <c r="I12" s="46"/>
      <c r="J12" s="46"/>
      <c r="K12" s="16"/>
    </row>
    <row r="13" spans="2:11" x14ac:dyDescent="0.3">
      <c r="B13" s="17"/>
      <c r="C13" s="22" t="s">
        <v>111</v>
      </c>
      <c r="D13" s="10" t="s">
        <v>48</v>
      </c>
      <c r="E13" s="22" t="s">
        <v>115</v>
      </c>
      <c r="F13" s="56">
        <v>3.0000000000000001E-3</v>
      </c>
      <c r="G13" s="56">
        <v>0.08</v>
      </c>
      <c r="H13" s="46">
        <v>800</v>
      </c>
      <c r="I13" s="46"/>
      <c r="J13" s="46"/>
      <c r="K13" s="16"/>
    </row>
    <row r="14" spans="2:11" x14ac:dyDescent="0.3">
      <c r="B14" s="17"/>
      <c r="C14" s="22" t="s">
        <v>111</v>
      </c>
      <c r="D14" s="10" t="s">
        <v>48</v>
      </c>
      <c r="E14" s="22" t="s">
        <v>118</v>
      </c>
      <c r="F14" s="56">
        <v>1E-3</v>
      </c>
      <c r="G14" s="56">
        <v>7.0000000000000007E-2</v>
      </c>
      <c r="H14" s="46">
        <v>800</v>
      </c>
      <c r="I14" s="46"/>
      <c r="J14" s="46"/>
      <c r="K14" s="16"/>
    </row>
    <row r="15" spans="2:11" x14ac:dyDescent="0.3">
      <c r="B15" s="17"/>
      <c r="C15" s="22" t="s">
        <v>115</v>
      </c>
      <c r="D15" s="10" t="s">
        <v>48</v>
      </c>
      <c r="E15" s="22" t="s">
        <v>116</v>
      </c>
      <c r="F15" s="56">
        <v>3.0000000000000001E-3</v>
      </c>
      <c r="G15" s="56">
        <v>0.06</v>
      </c>
      <c r="H15" s="46">
        <v>800</v>
      </c>
      <c r="I15" s="46"/>
      <c r="J15" s="46"/>
      <c r="K15" s="16"/>
    </row>
    <row r="16" spans="2:11" x14ac:dyDescent="0.3">
      <c r="B16" s="17"/>
      <c r="C16" s="22" t="s">
        <v>115</v>
      </c>
      <c r="D16" s="10" t="s">
        <v>48</v>
      </c>
      <c r="E16" s="22" t="s">
        <v>117</v>
      </c>
      <c r="F16" s="56">
        <v>5.0000000000000001E-3</v>
      </c>
      <c r="G16" s="56">
        <v>0.05</v>
      </c>
      <c r="H16" s="46">
        <v>800</v>
      </c>
      <c r="I16" s="46"/>
      <c r="J16" s="46"/>
      <c r="K16" s="50"/>
    </row>
    <row r="17" spans="2:11" x14ac:dyDescent="0.3">
      <c r="B17" s="17"/>
      <c r="C17" s="22" t="s">
        <v>116</v>
      </c>
      <c r="D17" s="10" t="s">
        <v>48</v>
      </c>
      <c r="E17" s="22" t="s">
        <v>117</v>
      </c>
      <c r="F17" s="56">
        <v>7.0000000000000001E-3</v>
      </c>
      <c r="G17" s="56">
        <v>0.04</v>
      </c>
      <c r="H17" s="46">
        <v>800</v>
      </c>
      <c r="I17" s="46"/>
      <c r="J17" s="46"/>
      <c r="K17" s="50"/>
    </row>
    <row r="18" spans="2:11" x14ac:dyDescent="0.3">
      <c r="B18" s="17"/>
      <c r="C18" s="22" t="s">
        <v>117</v>
      </c>
      <c r="D18" s="10" t="s">
        <v>48</v>
      </c>
      <c r="E18" s="22" t="s">
        <v>118</v>
      </c>
      <c r="F18" s="56">
        <v>6.0000000000000001E-3</v>
      </c>
      <c r="G18" s="56">
        <v>0.03</v>
      </c>
      <c r="H18" s="46">
        <v>800</v>
      </c>
      <c r="I18" s="46"/>
      <c r="J18" s="46"/>
      <c r="K18" s="50"/>
    </row>
    <row r="19" spans="2:11" x14ac:dyDescent="0.3">
      <c r="B19" s="17"/>
      <c r="C19" s="22" t="s">
        <v>108</v>
      </c>
      <c r="D19" s="10" t="s">
        <v>48</v>
      </c>
      <c r="E19" s="22" t="s">
        <v>111</v>
      </c>
      <c r="F19" s="56">
        <v>6.0000000000000001E-3</v>
      </c>
      <c r="G19" s="56">
        <v>0.03</v>
      </c>
      <c r="H19" s="46">
        <v>800</v>
      </c>
      <c r="I19" s="46">
        <v>100</v>
      </c>
      <c r="J19" s="56">
        <v>7.4999999999999997E-2</v>
      </c>
      <c r="K19" s="50"/>
    </row>
    <row r="20" spans="2:11" x14ac:dyDescent="0.3">
      <c r="B20" s="17"/>
      <c r="C20" s="22" t="s">
        <v>109</v>
      </c>
      <c r="D20" s="10" t="s">
        <v>48</v>
      </c>
      <c r="E20" s="22" t="s">
        <v>112</v>
      </c>
      <c r="F20" s="56">
        <v>4.0000000000000002E-4</v>
      </c>
      <c r="G20" s="56">
        <v>0.05</v>
      </c>
      <c r="H20" s="46">
        <v>700</v>
      </c>
      <c r="I20" s="46">
        <v>60</v>
      </c>
      <c r="J20" s="56">
        <v>7.4999999999999997E-2</v>
      </c>
      <c r="K20" s="50"/>
    </row>
    <row r="21" spans="2:11" x14ac:dyDescent="0.3">
      <c r="B21" s="17"/>
      <c r="C21" s="45"/>
      <c r="D21" s="29"/>
      <c r="E21" s="45"/>
      <c r="F21" s="45"/>
      <c r="G21" s="49"/>
      <c r="H21" s="45"/>
      <c r="I21" s="45"/>
      <c r="J21" s="45"/>
      <c r="K21" s="16"/>
    </row>
    <row r="22" spans="2:11" x14ac:dyDescent="0.3">
      <c r="B22" s="17"/>
      <c r="K22" s="16"/>
    </row>
    <row r="23" spans="2:11" x14ac:dyDescent="0.3">
      <c r="B23" s="28" t="s">
        <v>143</v>
      </c>
      <c r="C23" s="29"/>
      <c r="D23" s="29"/>
      <c r="E23" s="29"/>
      <c r="F23" s="29"/>
      <c r="G23" s="29"/>
      <c r="H23" s="29"/>
      <c r="I23" s="29"/>
      <c r="J23" s="29"/>
      <c r="K23" s="16"/>
    </row>
    <row r="24" spans="2:11" s="37" customFormat="1" x14ac:dyDescent="0.3">
      <c r="B24" s="48" t="s">
        <v>15</v>
      </c>
      <c r="F24" s="37" t="s">
        <v>71</v>
      </c>
      <c r="G24" s="37" t="s">
        <v>122</v>
      </c>
      <c r="H24" s="37" t="s">
        <v>157</v>
      </c>
      <c r="I24" s="37" t="s">
        <v>91</v>
      </c>
      <c r="J24" s="37" t="s">
        <v>92</v>
      </c>
      <c r="K24" s="42"/>
    </row>
    <row r="25" spans="2:11" s="37" customFormat="1" x14ac:dyDescent="0.3">
      <c r="B25" s="48" t="s">
        <v>15</v>
      </c>
      <c r="F25" s="36" t="s">
        <v>11</v>
      </c>
      <c r="G25" s="36" t="s">
        <v>11</v>
      </c>
      <c r="H25" s="36" t="s">
        <v>7</v>
      </c>
      <c r="I25" s="36" t="s">
        <v>141</v>
      </c>
      <c r="J25" s="36" t="s">
        <v>11</v>
      </c>
      <c r="K25" s="42"/>
    </row>
    <row r="26" spans="2:11" x14ac:dyDescent="0.3">
      <c r="B26" s="17"/>
      <c r="C26" s="45"/>
      <c r="D26" s="29"/>
      <c r="E26" s="45"/>
      <c r="F26" s="45"/>
      <c r="G26" s="49"/>
      <c r="H26" s="45"/>
      <c r="I26" s="45"/>
      <c r="J26" s="45"/>
      <c r="K26" s="16"/>
    </row>
    <row r="27" spans="2:11" ht="14.4" thickBot="1" x14ac:dyDescent="0.35">
      <c r="B27" s="24"/>
      <c r="C27" s="25"/>
      <c r="D27" s="25"/>
      <c r="E27" s="25"/>
      <c r="F27" s="25"/>
      <c r="G27" s="25"/>
      <c r="H27" s="25"/>
      <c r="I27" s="25"/>
      <c r="J27" s="25"/>
      <c r="K27" s="27"/>
    </row>
  </sheetData>
  <customSheetViews>
    <customSheetView guid="{162D0EED-4A71-4EB6-8FDF-A42498BFDBC9}" showRuler="0"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pageMargins left="0.75" right="0.75" top="1" bottom="1" header="0" footer="0"/>
  <pageSetup paperSize="9" orientation="portrait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4">
    <tabColor indexed="47"/>
  </sheetPr>
  <dimension ref="A1:G2"/>
  <sheetViews>
    <sheetView showRowColHeaders="0" workbookViewId="0">
      <pane xSplit="2" ySplit="1" topLeftCell="C2" activePane="bottomRight" state="frozen"/>
      <selection pane="topRight"/>
      <selection pane="bottomLeft"/>
      <selection pane="bottomRight" activeCell="C2" sqref="C2"/>
    </sheetView>
  </sheetViews>
  <sheetFormatPr baseColWidth="10" defaultColWidth="11.44140625" defaultRowHeight="13.8" x14ac:dyDescent="0.3"/>
  <cols>
    <col min="1" max="2" width="7" style="55" bestFit="1" customWidth="1"/>
    <col min="3" max="7" width="4.5546875" style="6" bestFit="1" customWidth="1"/>
    <col min="8" max="16384" width="11.44140625" style="6"/>
  </cols>
  <sheetData>
    <row r="1" spans="1:7" s="9" customFormat="1" x14ac:dyDescent="0.3">
      <c r="A1" s="8" t="s">
        <v>169</v>
      </c>
      <c r="B1" s="8" t="s">
        <v>169</v>
      </c>
      <c r="C1" s="9" t="s">
        <v>89</v>
      </c>
      <c r="D1" s="9" t="s">
        <v>102</v>
      </c>
      <c r="E1" s="9" t="s">
        <v>103</v>
      </c>
      <c r="F1" s="9" t="s">
        <v>104</v>
      </c>
      <c r="G1" s="9" t="s">
        <v>100</v>
      </c>
    </row>
    <row r="2" spans="1:7" x14ac:dyDescent="0.3">
      <c r="A2" s="55" t="s">
        <v>108</v>
      </c>
      <c r="B2" s="55" t="s">
        <v>111</v>
      </c>
      <c r="C2" s="54">
        <v>1</v>
      </c>
      <c r="D2" s="54">
        <v>1</v>
      </c>
      <c r="E2" s="54">
        <v>1</v>
      </c>
      <c r="F2" s="54">
        <v>1</v>
      </c>
      <c r="G2" s="54">
        <v>1</v>
      </c>
    </row>
  </sheetData>
  <phoneticPr fontId="1" type="noConversion"/>
  <pageMargins left="0.75" right="0.75" top="1" bottom="1" header="0" footer="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5">
    <tabColor indexed="47"/>
  </sheetPr>
  <dimension ref="A1:AA197"/>
  <sheetViews>
    <sheetView showRowColHeaders="0" workbookViewId="0">
      <pane xSplit="3" ySplit="2" topLeftCell="D3" activePane="bottomRight" state="frozen"/>
      <selection pane="topRight"/>
      <selection pane="bottomLeft"/>
      <selection pane="bottomRight" activeCell="D3" sqref="D3"/>
    </sheetView>
  </sheetViews>
  <sheetFormatPr baseColWidth="10" defaultColWidth="11.44140625" defaultRowHeight="13.8" x14ac:dyDescent="0.3"/>
  <cols>
    <col min="1" max="2" width="4.5546875" style="8" bestFit="1" customWidth="1"/>
    <col min="3" max="3" width="24.44140625" style="8" bestFit="1" customWidth="1"/>
    <col min="4" max="27" width="8.33203125" style="6" bestFit="1" customWidth="1"/>
    <col min="28" max="16384" width="11.44140625" style="6"/>
  </cols>
  <sheetData>
    <row r="1" spans="1:27" s="9" customFormat="1" x14ac:dyDescent="0.3">
      <c r="A1" s="8" t="s">
        <v>165</v>
      </c>
      <c r="B1" s="8" t="s">
        <v>166</v>
      </c>
      <c r="C1" s="8" t="s">
        <v>167</v>
      </c>
      <c r="D1" s="53" t="s">
        <v>21</v>
      </c>
      <c r="E1" s="53" t="s">
        <v>21</v>
      </c>
      <c r="F1" s="53" t="s">
        <v>29</v>
      </c>
      <c r="G1" s="9" t="s">
        <v>29</v>
      </c>
      <c r="H1" s="9" t="s">
        <v>30</v>
      </c>
      <c r="I1" s="9" t="s">
        <v>30</v>
      </c>
      <c r="J1" s="9" t="s">
        <v>31</v>
      </c>
      <c r="K1" s="9" t="s">
        <v>31</v>
      </c>
      <c r="L1" s="9" t="s">
        <v>32</v>
      </c>
      <c r="M1" s="9" t="s">
        <v>32</v>
      </c>
      <c r="N1" s="9" t="s">
        <v>33</v>
      </c>
      <c r="O1" s="9" t="s">
        <v>33</v>
      </c>
      <c r="P1" s="9" t="s">
        <v>34</v>
      </c>
      <c r="Q1" s="9" t="s">
        <v>34</v>
      </c>
      <c r="R1" s="9" t="s">
        <v>35</v>
      </c>
      <c r="S1" s="9" t="s">
        <v>35</v>
      </c>
      <c r="T1" s="9" t="s">
        <v>36</v>
      </c>
      <c r="U1" s="9" t="s">
        <v>36</v>
      </c>
      <c r="V1" s="9" t="s">
        <v>37</v>
      </c>
      <c r="W1" s="9" t="s">
        <v>37</v>
      </c>
      <c r="X1" s="9" t="s">
        <v>38</v>
      </c>
      <c r="Y1" s="9" t="s">
        <v>38</v>
      </c>
      <c r="Z1" s="9" t="s">
        <v>22</v>
      </c>
      <c r="AA1" s="9" t="s">
        <v>22</v>
      </c>
    </row>
    <row r="2" spans="1:27" s="9" customFormat="1" x14ac:dyDescent="0.3">
      <c r="A2" s="8"/>
      <c r="B2" s="8"/>
      <c r="C2" s="8"/>
      <c r="D2" s="53" t="s">
        <v>156</v>
      </c>
      <c r="E2" s="53" t="s">
        <v>39</v>
      </c>
      <c r="F2" s="53" t="s">
        <v>156</v>
      </c>
      <c r="G2" s="9" t="s">
        <v>39</v>
      </c>
      <c r="H2" s="9" t="s">
        <v>156</v>
      </c>
      <c r="I2" s="9" t="s">
        <v>39</v>
      </c>
      <c r="J2" s="9" t="s">
        <v>156</v>
      </c>
      <c r="K2" s="9" t="s">
        <v>39</v>
      </c>
      <c r="L2" s="9" t="s">
        <v>156</v>
      </c>
      <c r="M2" s="9" t="s">
        <v>39</v>
      </c>
      <c r="N2" s="9" t="s">
        <v>156</v>
      </c>
      <c r="O2" s="9" t="s">
        <v>39</v>
      </c>
      <c r="P2" s="9" t="s">
        <v>156</v>
      </c>
      <c r="Q2" s="9" t="s">
        <v>39</v>
      </c>
      <c r="R2" s="9" t="s">
        <v>156</v>
      </c>
      <c r="S2" s="9" t="s">
        <v>39</v>
      </c>
      <c r="T2" s="9" t="s">
        <v>156</v>
      </c>
      <c r="U2" s="9" t="s">
        <v>39</v>
      </c>
      <c r="V2" s="9" t="s">
        <v>156</v>
      </c>
      <c r="W2" s="9" t="s">
        <v>39</v>
      </c>
      <c r="X2" s="9" t="s">
        <v>156</v>
      </c>
      <c r="Y2" s="9" t="s">
        <v>39</v>
      </c>
      <c r="Z2" s="9" t="s">
        <v>156</v>
      </c>
      <c r="AA2" s="9" t="s">
        <v>39</v>
      </c>
    </row>
    <row r="3" spans="1:27" x14ac:dyDescent="0.3">
      <c r="A3" s="7" t="s">
        <v>89</v>
      </c>
      <c r="B3" s="7" t="s">
        <v>8</v>
      </c>
      <c r="C3" s="7" t="s">
        <v>60</v>
      </c>
      <c r="D3" s="52">
        <v>1</v>
      </c>
      <c r="E3" s="52">
        <v>1</v>
      </c>
      <c r="F3" s="52">
        <v>1</v>
      </c>
      <c r="G3" s="6">
        <v>1</v>
      </c>
      <c r="H3" s="6">
        <v>1</v>
      </c>
      <c r="I3" s="6">
        <v>1</v>
      </c>
      <c r="J3" s="6">
        <v>1</v>
      </c>
      <c r="K3" s="6">
        <v>1</v>
      </c>
      <c r="L3" s="6">
        <v>1</v>
      </c>
      <c r="M3" s="6">
        <v>1</v>
      </c>
      <c r="N3" s="6">
        <v>1</v>
      </c>
      <c r="O3" s="6">
        <v>1</v>
      </c>
      <c r="P3" s="6">
        <v>1</v>
      </c>
      <c r="Q3" s="6">
        <v>1</v>
      </c>
      <c r="R3" s="6">
        <v>1</v>
      </c>
      <c r="S3" s="6">
        <v>1</v>
      </c>
      <c r="T3" s="6">
        <v>1</v>
      </c>
      <c r="U3" s="6">
        <v>1</v>
      </c>
      <c r="V3" s="6">
        <v>1</v>
      </c>
      <c r="W3" s="6">
        <v>1</v>
      </c>
      <c r="X3" s="6">
        <v>1</v>
      </c>
      <c r="Y3" s="6">
        <v>1</v>
      </c>
      <c r="Z3" s="6">
        <v>1</v>
      </c>
      <c r="AA3" s="6">
        <v>1</v>
      </c>
    </row>
    <row r="4" spans="1:27" x14ac:dyDescent="0.3">
      <c r="A4" s="7" t="s">
        <v>89</v>
      </c>
      <c r="B4" s="7" t="s">
        <v>8</v>
      </c>
      <c r="C4" s="7" t="s">
        <v>150</v>
      </c>
      <c r="D4" s="52">
        <v>1</v>
      </c>
      <c r="E4" s="52">
        <v>1</v>
      </c>
      <c r="F4" s="52">
        <v>1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6">
        <v>1</v>
      </c>
      <c r="N4" s="6">
        <v>1</v>
      </c>
      <c r="O4" s="6">
        <v>1</v>
      </c>
      <c r="P4" s="6">
        <v>1</v>
      </c>
      <c r="Q4" s="6">
        <v>1</v>
      </c>
      <c r="R4" s="6">
        <v>1</v>
      </c>
      <c r="S4" s="6">
        <v>0</v>
      </c>
      <c r="T4" s="6">
        <v>0</v>
      </c>
      <c r="U4" s="6">
        <v>0</v>
      </c>
      <c r="V4" s="6">
        <v>1</v>
      </c>
      <c r="W4" s="6">
        <v>0</v>
      </c>
      <c r="X4" s="6">
        <v>1</v>
      </c>
      <c r="Y4" s="6">
        <v>0</v>
      </c>
      <c r="Z4" s="6">
        <v>1</v>
      </c>
      <c r="AA4" s="6">
        <v>1</v>
      </c>
    </row>
    <row r="5" spans="1:27" x14ac:dyDescent="0.3">
      <c r="A5" s="7" t="s">
        <v>89</v>
      </c>
      <c r="B5" s="7" t="s">
        <v>8</v>
      </c>
      <c r="C5" s="7" t="s">
        <v>61</v>
      </c>
      <c r="D5" s="52">
        <v>1</v>
      </c>
      <c r="E5" s="52">
        <v>0</v>
      </c>
      <c r="F5" s="52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1</v>
      </c>
      <c r="U5" s="6">
        <v>0</v>
      </c>
      <c r="V5" s="6">
        <v>0</v>
      </c>
      <c r="W5" s="6">
        <v>0</v>
      </c>
      <c r="X5" s="6">
        <v>1</v>
      </c>
      <c r="Y5" s="6">
        <v>1</v>
      </c>
      <c r="Z5" s="6">
        <v>1</v>
      </c>
      <c r="AA5" s="6">
        <v>0</v>
      </c>
    </row>
    <row r="6" spans="1:27" x14ac:dyDescent="0.3">
      <c r="A6" s="7" t="s">
        <v>89</v>
      </c>
      <c r="B6" s="7" t="s">
        <v>8</v>
      </c>
      <c r="C6" s="7" t="s">
        <v>152</v>
      </c>
      <c r="D6" s="52">
        <v>0</v>
      </c>
      <c r="E6" s="52">
        <v>0</v>
      </c>
      <c r="F6" s="52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1</v>
      </c>
      <c r="U6" s="6">
        <v>0</v>
      </c>
      <c r="V6" s="6">
        <v>1</v>
      </c>
      <c r="W6" s="6">
        <v>0</v>
      </c>
      <c r="X6" s="6">
        <v>0</v>
      </c>
      <c r="Y6" s="6">
        <v>0</v>
      </c>
      <c r="Z6" s="6">
        <v>1</v>
      </c>
      <c r="AA6" s="6">
        <v>0</v>
      </c>
    </row>
    <row r="7" spans="1:27" x14ac:dyDescent="0.3">
      <c r="A7" s="7" t="s">
        <v>89</v>
      </c>
      <c r="B7" s="7" t="s">
        <v>8</v>
      </c>
      <c r="C7" s="7" t="s">
        <v>151</v>
      </c>
      <c r="D7" s="52">
        <v>1</v>
      </c>
      <c r="E7" s="52">
        <v>1</v>
      </c>
      <c r="F7" s="52">
        <v>1</v>
      </c>
      <c r="G7" s="6">
        <v>0</v>
      </c>
      <c r="H7" s="6">
        <v>0</v>
      </c>
      <c r="I7" s="6">
        <v>0</v>
      </c>
      <c r="J7" s="6">
        <v>1</v>
      </c>
      <c r="K7" s="6">
        <v>1</v>
      </c>
      <c r="L7" s="6">
        <v>1</v>
      </c>
      <c r="M7" s="6">
        <v>0</v>
      </c>
      <c r="N7" s="6">
        <v>1</v>
      </c>
      <c r="O7" s="6">
        <v>0</v>
      </c>
      <c r="P7" s="6">
        <v>1</v>
      </c>
      <c r="Q7" s="6">
        <v>0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0</v>
      </c>
      <c r="X7" s="6">
        <v>0</v>
      </c>
      <c r="Y7" s="6">
        <v>0</v>
      </c>
      <c r="Z7" s="6">
        <v>1</v>
      </c>
      <c r="AA7" s="6">
        <v>1</v>
      </c>
    </row>
    <row r="8" spans="1:27" x14ac:dyDescent="0.3">
      <c r="A8" s="7" t="s">
        <v>89</v>
      </c>
      <c r="B8" s="7" t="s">
        <v>8</v>
      </c>
      <c r="C8" s="7" t="s">
        <v>62</v>
      </c>
      <c r="D8" s="52">
        <v>1</v>
      </c>
      <c r="E8" s="52">
        <v>1</v>
      </c>
      <c r="F8" s="52">
        <v>1</v>
      </c>
      <c r="G8" s="6">
        <v>1</v>
      </c>
      <c r="H8" s="6">
        <v>1</v>
      </c>
      <c r="I8" s="6">
        <v>1</v>
      </c>
      <c r="J8" s="6">
        <v>1</v>
      </c>
      <c r="K8" s="6">
        <v>0</v>
      </c>
      <c r="L8" s="6">
        <v>1</v>
      </c>
      <c r="M8" s="6">
        <v>1</v>
      </c>
      <c r="N8" s="6">
        <v>1</v>
      </c>
      <c r="O8" s="6">
        <v>1</v>
      </c>
      <c r="P8" s="6">
        <v>1</v>
      </c>
      <c r="Q8" s="6">
        <v>1</v>
      </c>
      <c r="R8" s="6">
        <v>1</v>
      </c>
      <c r="S8" s="6">
        <v>1</v>
      </c>
      <c r="T8" s="6">
        <v>1</v>
      </c>
      <c r="U8" s="6">
        <v>1</v>
      </c>
      <c r="V8" s="6">
        <v>1</v>
      </c>
      <c r="W8" s="6">
        <v>1</v>
      </c>
      <c r="X8" s="6">
        <v>1</v>
      </c>
      <c r="Y8" s="6">
        <v>1</v>
      </c>
      <c r="Z8" s="6">
        <v>1</v>
      </c>
      <c r="AA8" s="6">
        <v>1</v>
      </c>
    </row>
    <row r="9" spans="1:27" x14ac:dyDescent="0.3">
      <c r="A9" s="7" t="s">
        <v>89</v>
      </c>
      <c r="B9" s="7" t="s">
        <v>8</v>
      </c>
      <c r="C9" s="7" t="s">
        <v>63</v>
      </c>
      <c r="D9" s="52">
        <v>1</v>
      </c>
      <c r="E9" s="52">
        <v>1</v>
      </c>
      <c r="F9" s="52">
        <v>1</v>
      </c>
      <c r="G9" s="6">
        <v>1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6">
        <v>0</v>
      </c>
      <c r="N9" s="6">
        <v>1</v>
      </c>
      <c r="O9" s="6">
        <v>1</v>
      </c>
      <c r="P9" s="6">
        <v>1</v>
      </c>
      <c r="Q9" s="6">
        <v>1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</row>
    <row r="10" spans="1:27" x14ac:dyDescent="0.3">
      <c r="A10" s="7" t="s">
        <v>89</v>
      </c>
      <c r="B10" s="7" t="s">
        <v>8</v>
      </c>
      <c r="C10" s="7" t="s">
        <v>64</v>
      </c>
      <c r="D10" s="52">
        <v>1</v>
      </c>
      <c r="E10" s="52">
        <v>0</v>
      </c>
      <c r="F10" s="52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1</v>
      </c>
      <c r="O10" s="6">
        <v>0</v>
      </c>
      <c r="P10" s="6">
        <v>1</v>
      </c>
      <c r="Q10" s="6">
        <v>0</v>
      </c>
      <c r="R10" s="6">
        <v>0</v>
      </c>
      <c r="S10" s="6">
        <v>0</v>
      </c>
      <c r="T10" s="6">
        <v>1</v>
      </c>
      <c r="U10" s="6">
        <v>0</v>
      </c>
      <c r="V10" s="6">
        <v>0</v>
      </c>
      <c r="W10" s="6">
        <v>0</v>
      </c>
      <c r="X10" s="6">
        <v>1</v>
      </c>
      <c r="Y10" s="6">
        <v>0</v>
      </c>
      <c r="Z10" s="6">
        <v>1</v>
      </c>
      <c r="AA10" s="6">
        <v>0</v>
      </c>
    </row>
    <row r="11" spans="1:27" x14ac:dyDescent="0.3">
      <c r="A11" s="7" t="s">
        <v>89</v>
      </c>
      <c r="B11" s="7" t="s">
        <v>8</v>
      </c>
      <c r="C11" s="7" t="s">
        <v>65</v>
      </c>
      <c r="D11" s="52">
        <v>1</v>
      </c>
      <c r="E11" s="52">
        <v>1</v>
      </c>
      <c r="F11" s="52">
        <v>1</v>
      </c>
      <c r="G11" s="6">
        <v>1</v>
      </c>
      <c r="H11" s="6">
        <v>1</v>
      </c>
      <c r="I11" s="6">
        <v>1</v>
      </c>
      <c r="J11" s="6">
        <v>1</v>
      </c>
      <c r="K11" s="6">
        <v>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</row>
    <row r="12" spans="1:27" x14ac:dyDescent="0.3">
      <c r="A12" s="7" t="s">
        <v>89</v>
      </c>
      <c r="B12" s="7" t="s">
        <v>8</v>
      </c>
      <c r="C12" s="7" t="s">
        <v>66</v>
      </c>
      <c r="D12" s="52">
        <v>0</v>
      </c>
      <c r="E12" s="52">
        <v>0</v>
      </c>
      <c r="F12" s="52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1</v>
      </c>
      <c r="Z12" s="6">
        <v>0</v>
      </c>
      <c r="AA12" s="6">
        <v>0</v>
      </c>
    </row>
    <row r="13" spans="1:27" x14ac:dyDescent="0.3">
      <c r="A13" s="7" t="s">
        <v>89</v>
      </c>
      <c r="B13" s="7" t="s">
        <v>8</v>
      </c>
      <c r="C13" s="7" t="s">
        <v>67</v>
      </c>
      <c r="D13" s="52">
        <v>0</v>
      </c>
      <c r="E13" s="52">
        <v>0</v>
      </c>
      <c r="F13" s="52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</row>
    <row r="14" spans="1:27" x14ac:dyDescent="0.3">
      <c r="A14" s="7" t="s">
        <v>89</v>
      </c>
      <c r="B14" s="7" t="s">
        <v>8</v>
      </c>
      <c r="C14" s="7" t="s">
        <v>68</v>
      </c>
      <c r="D14" s="52">
        <v>0</v>
      </c>
      <c r="E14" s="52">
        <v>0</v>
      </c>
      <c r="F14" s="52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</row>
    <row r="15" spans="1:27" x14ac:dyDescent="0.3">
      <c r="A15" s="7" t="s">
        <v>89</v>
      </c>
      <c r="B15" s="7" t="s">
        <v>8</v>
      </c>
      <c r="C15" s="7" t="s">
        <v>69</v>
      </c>
      <c r="D15" s="52">
        <v>0</v>
      </c>
      <c r="E15" s="52">
        <v>0</v>
      </c>
      <c r="F15" s="52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</row>
    <row r="16" spans="1:27" x14ac:dyDescent="0.3">
      <c r="A16" s="7" t="s">
        <v>89</v>
      </c>
      <c r="B16" s="7" t="s">
        <v>9</v>
      </c>
      <c r="C16" s="7" t="s">
        <v>60</v>
      </c>
      <c r="D16" s="52">
        <v>1</v>
      </c>
      <c r="E16" s="52">
        <v>1</v>
      </c>
      <c r="F16" s="52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</row>
    <row r="17" spans="1:27" x14ac:dyDescent="0.3">
      <c r="A17" s="7" t="s">
        <v>89</v>
      </c>
      <c r="B17" s="7" t="s">
        <v>9</v>
      </c>
      <c r="C17" s="7" t="s">
        <v>150</v>
      </c>
      <c r="D17" s="52">
        <v>1</v>
      </c>
      <c r="E17" s="52">
        <v>1</v>
      </c>
      <c r="F17" s="52">
        <v>1</v>
      </c>
      <c r="G17" s="6">
        <v>1</v>
      </c>
      <c r="H17" s="6">
        <v>1</v>
      </c>
      <c r="I17" s="6">
        <v>0</v>
      </c>
      <c r="J17" s="6">
        <v>1</v>
      </c>
      <c r="K17" s="6">
        <v>0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0</v>
      </c>
      <c r="R17" s="6">
        <v>1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1</v>
      </c>
      <c r="Y17" s="6">
        <v>1</v>
      </c>
      <c r="Z17" s="6">
        <v>1</v>
      </c>
      <c r="AA17" s="6">
        <v>1</v>
      </c>
    </row>
    <row r="18" spans="1:27" x14ac:dyDescent="0.3">
      <c r="A18" s="7" t="s">
        <v>89</v>
      </c>
      <c r="B18" s="7" t="s">
        <v>9</v>
      </c>
      <c r="C18" s="7" t="s">
        <v>61</v>
      </c>
      <c r="D18" s="52">
        <v>1</v>
      </c>
      <c r="E18" s="52">
        <v>0</v>
      </c>
      <c r="F18" s="52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1</v>
      </c>
      <c r="W18" s="6">
        <v>0</v>
      </c>
      <c r="X18" s="6">
        <v>1</v>
      </c>
      <c r="Y18" s="6">
        <v>0</v>
      </c>
      <c r="Z18" s="6">
        <v>1</v>
      </c>
      <c r="AA18" s="6">
        <v>0</v>
      </c>
    </row>
    <row r="19" spans="1:27" x14ac:dyDescent="0.3">
      <c r="A19" s="8" t="s">
        <v>89</v>
      </c>
      <c r="B19" s="8" t="s">
        <v>9</v>
      </c>
      <c r="C19" s="8" t="s">
        <v>152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1</v>
      </c>
      <c r="AA19" s="6">
        <v>0</v>
      </c>
    </row>
    <row r="20" spans="1:27" x14ac:dyDescent="0.3">
      <c r="A20" s="8" t="s">
        <v>89</v>
      </c>
      <c r="B20" s="8" t="s">
        <v>9</v>
      </c>
      <c r="C20" s="8" t="s">
        <v>151</v>
      </c>
      <c r="D20" s="6">
        <v>1</v>
      </c>
      <c r="E20" s="6">
        <v>1</v>
      </c>
      <c r="F20" s="6">
        <v>1</v>
      </c>
      <c r="G20" s="6">
        <v>1</v>
      </c>
      <c r="H20" s="6">
        <v>0</v>
      </c>
      <c r="I20" s="6">
        <v>0</v>
      </c>
      <c r="J20" s="6">
        <v>1</v>
      </c>
      <c r="K20" s="6">
        <v>1</v>
      </c>
      <c r="L20" s="6">
        <v>1</v>
      </c>
      <c r="M20" s="6">
        <v>0</v>
      </c>
      <c r="N20" s="6">
        <v>1</v>
      </c>
      <c r="O20" s="6">
        <v>0</v>
      </c>
      <c r="P20" s="6">
        <v>1</v>
      </c>
      <c r="Q20" s="6">
        <v>0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0</v>
      </c>
      <c r="Y20" s="6">
        <v>0</v>
      </c>
      <c r="Z20" s="6">
        <v>1</v>
      </c>
      <c r="AA20" s="6">
        <v>1</v>
      </c>
    </row>
    <row r="21" spans="1:27" x14ac:dyDescent="0.3">
      <c r="A21" s="8" t="s">
        <v>89</v>
      </c>
      <c r="B21" s="8" t="s">
        <v>9</v>
      </c>
      <c r="C21" s="8" t="s">
        <v>62</v>
      </c>
      <c r="D21" s="6">
        <v>1</v>
      </c>
      <c r="E21" s="6">
        <v>1</v>
      </c>
      <c r="F21" s="6">
        <v>1</v>
      </c>
      <c r="G21" s="6">
        <v>1</v>
      </c>
      <c r="H21" s="6">
        <v>1</v>
      </c>
      <c r="I21" s="6">
        <v>1</v>
      </c>
      <c r="J21" s="6">
        <v>1</v>
      </c>
      <c r="K21" s="6">
        <v>1</v>
      </c>
      <c r="L21" s="6">
        <v>1</v>
      </c>
      <c r="M21" s="6">
        <v>1</v>
      </c>
      <c r="N21" s="6">
        <v>1</v>
      </c>
      <c r="O21" s="6">
        <v>1</v>
      </c>
      <c r="P21" s="6">
        <v>1</v>
      </c>
      <c r="Q21" s="6">
        <v>1</v>
      </c>
      <c r="R21" s="6">
        <v>1</v>
      </c>
      <c r="S21" s="6">
        <v>1</v>
      </c>
      <c r="T21" s="6">
        <v>1</v>
      </c>
      <c r="U21" s="6">
        <v>1</v>
      </c>
      <c r="V21" s="6">
        <v>1</v>
      </c>
      <c r="W21" s="6">
        <v>1</v>
      </c>
      <c r="X21" s="6">
        <v>1</v>
      </c>
      <c r="Y21" s="6">
        <v>1</v>
      </c>
      <c r="Z21" s="6">
        <v>1</v>
      </c>
      <c r="AA21" s="6">
        <v>1</v>
      </c>
    </row>
    <row r="22" spans="1:27" x14ac:dyDescent="0.3">
      <c r="A22" s="8" t="s">
        <v>89</v>
      </c>
      <c r="B22" s="8" t="s">
        <v>9</v>
      </c>
      <c r="C22" s="8" t="s">
        <v>63</v>
      </c>
      <c r="D22" s="6">
        <v>1</v>
      </c>
      <c r="E22" s="6">
        <v>1</v>
      </c>
      <c r="F22" s="6">
        <v>1</v>
      </c>
      <c r="G22" s="6">
        <v>1</v>
      </c>
      <c r="H22" s="6">
        <v>1</v>
      </c>
      <c r="I22" s="6">
        <v>1</v>
      </c>
      <c r="J22" s="6">
        <v>1</v>
      </c>
      <c r="K22" s="6">
        <v>1</v>
      </c>
      <c r="L22" s="6">
        <v>1</v>
      </c>
      <c r="M22" s="6">
        <v>0</v>
      </c>
      <c r="N22" s="6">
        <v>1</v>
      </c>
      <c r="O22" s="6">
        <v>0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</row>
    <row r="23" spans="1:27" x14ac:dyDescent="0.3">
      <c r="A23" s="8" t="s">
        <v>89</v>
      </c>
      <c r="B23" s="8" t="s">
        <v>9</v>
      </c>
      <c r="C23" s="8" t="s">
        <v>64</v>
      </c>
      <c r="D23" s="6">
        <v>1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1</v>
      </c>
      <c r="O23" s="6">
        <v>1</v>
      </c>
      <c r="P23" s="6">
        <v>1</v>
      </c>
      <c r="Q23" s="6">
        <v>1</v>
      </c>
      <c r="R23" s="6">
        <v>0</v>
      </c>
      <c r="S23" s="6">
        <v>0</v>
      </c>
      <c r="T23" s="6">
        <v>1</v>
      </c>
      <c r="U23" s="6">
        <v>0</v>
      </c>
      <c r="V23" s="6">
        <v>1</v>
      </c>
      <c r="W23" s="6">
        <v>0</v>
      </c>
      <c r="X23" s="6">
        <v>1</v>
      </c>
      <c r="Y23" s="6">
        <v>0</v>
      </c>
      <c r="Z23" s="6">
        <v>1</v>
      </c>
      <c r="AA23" s="6">
        <v>0</v>
      </c>
    </row>
    <row r="24" spans="1:27" x14ac:dyDescent="0.3">
      <c r="A24" s="8" t="s">
        <v>89</v>
      </c>
      <c r="B24" s="8" t="s">
        <v>9</v>
      </c>
      <c r="C24" s="8" t="s">
        <v>65</v>
      </c>
      <c r="D24" s="6">
        <v>1</v>
      </c>
      <c r="E24" s="6">
        <v>1</v>
      </c>
      <c r="F24" s="6">
        <v>1</v>
      </c>
      <c r="G24" s="6">
        <v>1</v>
      </c>
      <c r="H24" s="6">
        <v>1</v>
      </c>
      <c r="I24" s="6">
        <v>1</v>
      </c>
      <c r="J24" s="6">
        <v>1</v>
      </c>
      <c r="K24" s="6">
        <v>1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>
        <v>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</row>
    <row r="25" spans="1:27" x14ac:dyDescent="0.3">
      <c r="A25" s="8" t="s">
        <v>89</v>
      </c>
      <c r="B25" s="8" t="s">
        <v>9</v>
      </c>
      <c r="C25" s="8" t="s">
        <v>66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1</v>
      </c>
      <c r="U25" s="6">
        <v>0</v>
      </c>
      <c r="V25" s="6">
        <v>0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</row>
    <row r="26" spans="1:27" x14ac:dyDescent="0.3">
      <c r="A26" s="8" t="s">
        <v>89</v>
      </c>
      <c r="B26" s="8" t="s">
        <v>9</v>
      </c>
      <c r="C26" s="8" t="s">
        <v>67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</row>
    <row r="27" spans="1:27" x14ac:dyDescent="0.3">
      <c r="A27" s="8" t="s">
        <v>89</v>
      </c>
      <c r="B27" s="8" t="s">
        <v>9</v>
      </c>
      <c r="C27" s="8" t="s">
        <v>68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1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0</v>
      </c>
      <c r="U27" s="6">
        <v>0</v>
      </c>
      <c r="V27" s="6">
        <v>0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</row>
    <row r="28" spans="1:27" x14ac:dyDescent="0.3">
      <c r="A28" s="8" t="s">
        <v>89</v>
      </c>
      <c r="B28" s="8" t="s">
        <v>9</v>
      </c>
      <c r="C28" s="8" t="s">
        <v>69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</row>
    <row r="29" spans="1:27" x14ac:dyDescent="0.3">
      <c r="A29" s="8" t="s">
        <v>89</v>
      </c>
      <c r="B29" s="8" t="s">
        <v>10</v>
      </c>
      <c r="C29" s="8" t="s">
        <v>60</v>
      </c>
      <c r="D29" s="6">
        <v>1</v>
      </c>
      <c r="E29" s="6">
        <v>1</v>
      </c>
      <c r="F29" s="6">
        <v>1</v>
      </c>
      <c r="G29" s="6">
        <v>1</v>
      </c>
      <c r="H29" s="6">
        <v>1</v>
      </c>
      <c r="I29" s="6">
        <v>1</v>
      </c>
      <c r="J29" s="6">
        <v>1</v>
      </c>
      <c r="K29" s="6">
        <v>1</v>
      </c>
      <c r="L29" s="6">
        <v>1</v>
      </c>
      <c r="M29" s="6">
        <v>1</v>
      </c>
      <c r="N29" s="6">
        <v>1</v>
      </c>
      <c r="O29" s="6">
        <v>1</v>
      </c>
      <c r="P29" s="6">
        <v>1</v>
      </c>
      <c r="Q29" s="6">
        <v>1</v>
      </c>
      <c r="R29" s="6">
        <v>1</v>
      </c>
      <c r="S29" s="6">
        <v>1</v>
      </c>
      <c r="T29" s="6">
        <v>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</row>
    <row r="30" spans="1:27" x14ac:dyDescent="0.3">
      <c r="A30" s="8" t="s">
        <v>89</v>
      </c>
      <c r="B30" s="8" t="s">
        <v>10</v>
      </c>
      <c r="C30" s="8" t="s">
        <v>150</v>
      </c>
      <c r="D30" s="6">
        <v>1</v>
      </c>
      <c r="E30" s="6">
        <v>1</v>
      </c>
      <c r="F30" s="6">
        <v>1</v>
      </c>
      <c r="G30" s="6">
        <v>1</v>
      </c>
      <c r="H30" s="6">
        <v>1</v>
      </c>
      <c r="I30" s="6">
        <v>0</v>
      </c>
      <c r="J30" s="6">
        <v>1</v>
      </c>
      <c r="K30" s="6">
        <v>0</v>
      </c>
      <c r="L30" s="6">
        <v>1</v>
      </c>
      <c r="M30" s="6">
        <v>1</v>
      </c>
      <c r="N30" s="6">
        <v>1</v>
      </c>
      <c r="O30" s="6">
        <v>1</v>
      </c>
      <c r="P30" s="6">
        <v>1</v>
      </c>
      <c r="Q30" s="6">
        <v>0</v>
      </c>
      <c r="R30" s="6">
        <v>1</v>
      </c>
      <c r="S30" s="6">
        <v>0</v>
      </c>
      <c r="T30" s="6">
        <v>1</v>
      </c>
      <c r="U30" s="6">
        <v>0</v>
      </c>
      <c r="V30" s="6">
        <v>1</v>
      </c>
      <c r="W30" s="6">
        <v>1</v>
      </c>
      <c r="X30" s="6">
        <v>1</v>
      </c>
      <c r="Y30" s="6">
        <v>1</v>
      </c>
      <c r="Z30" s="6">
        <v>1</v>
      </c>
      <c r="AA30" s="6">
        <v>1</v>
      </c>
    </row>
    <row r="31" spans="1:27" x14ac:dyDescent="0.3">
      <c r="A31" s="8" t="s">
        <v>89</v>
      </c>
      <c r="B31" s="8" t="s">
        <v>10</v>
      </c>
      <c r="C31" s="8" t="s">
        <v>61</v>
      </c>
      <c r="D31" s="6">
        <v>1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1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0</v>
      </c>
      <c r="W31" s="6">
        <v>0</v>
      </c>
      <c r="X31" s="6">
        <v>0</v>
      </c>
      <c r="Y31" s="6">
        <v>0</v>
      </c>
      <c r="Z31" s="6">
        <v>1</v>
      </c>
      <c r="AA31" s="6">
        <v>0</v>
      </c>
    </row>
    <row r="32" spans="1:27" x14ac:dyDescent="0.3">
      <c r="A32" s="8" t="s">
        <v>89</v>
      </c>
      <c r="B32" s="8" t="s">
        <v>10</v>
      </c>
      <c r="C32" s="8" t="s">
        <v>152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1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1</v>
      </c>
      <c r="W32" s="6">
        <v>0</v>
      </c>
      <c r="X32" s="6">
        <v>0</v>
      </c>
      <c r="Y32" s="6">
        <v>0</v>
      </c>
      <c r="Z32" s="6">
        <v>1</v>
      </c>
      <c r="AA32" s="6">
        <v>0</v>
      </c>
    </row>
    <row r="33" spans="1:27" x14ac:dyDescent="0.3">
      <c r="A33" s="8" t="s">
        <v>89</v>
      </c>
      <c r="B33" s="8" t="s">
        <v>10</v>
      </c>
      <c r="C33" s="8" t="s">
        <v>151</v>
      </c>
      <c r="D33" s="6">
        <v>1</v>
      </c>
      <c r="E33" s="6">
        <v>1</v>
      </c>
      <c r="F33" s="6">
        <v>0</v>
      </c>
      <c r="G33" s="6">
        <v>0</v>
      </c>
      <c r="H33" s="6">
        <v>0</v>
      </c>
      <c r="I33" s="6">
        <v>0</v>
      </c>
      <c r="J33" s="6">
        <v>1</v>
      </c>
      <c r="K33" s="6">
        <v>1</v>
      </c>
      <c r="L33" s="6">
        <v>1</v>
      </c>
      <c r="M33" s="6">
        <v>0</v>
      </c>
      <c r="N33" s="6">
        <v>1</v>
      </c>
      <c r="O33" s="6">
        <v>1</v>
      </c>
      <c r="P33" s="6">
        <v>1</v>
      </c>
      <c r="Q33" s="6">
        <v>0</v>
      </c>
      <c r="R33" s="6">
        <v>1</v>
      </c>
      <c r="S33" s="6">
        <v>1</v>
      </c>
      <c r="T33" s="6">
        <v>0</v>
      </c>
      <c r="U33" s="6">
        <v>0</v>
      </c>
      <c r="V33" s="6">
        <v>1</v>
      </c>
      <c r="W33" s="6">
        <v>1</v>
      </c>
      <c r="X33" s="6">
        <v>0</v>
      </c>
      <c r="Y33" s="6">
        <v>0</v>
      </c>
      <c r="Z33" s="6">
        <v>1</v>
      </c>
      <c r="AA33" s="6">
        <v>1</v>
      </c>
    </row>
    <row r="34" spans="1:27" x14ac:dyDescent="0.3">
      <c r="A34" s="8" t="s">
        <v>89</v>
      </c>
      <c r="B34" s="8" t="s">
        <v>10</v>
      </c>
      <c r="C34" s="8" t="s">
        <v>62</v>
      </c>
      <c r="D34" s="6">
        <v>1</v>
      </c>
      <c r="E34" s="6">
        <v>1</v>
      </c>
      <c r="F34" s="6">
        <v>1</v>
      </c>
      <c r="G34" s="6">
        <v>1</v>
      </c>
      <c r="H34" s="6">
        <v>1</v>
      </c>
      <c r="I34" s="6">
        <v>1</v>
      </c>
      <c r="J34" s="6">
        <v>1</v>
      </c>
      <c r="K34" s="6">
        <v>1</v>
      </c>
      <c r="L34" s="6">
        <v>1</v>
      </c>
      <c r="M34" s="6">
        <v>1</v>
      </c>
      <c r="N34" s="6">
        <v>1</v>
      </c>
      <c r="O34" s="6">
        <v>1</v>
      </c>
      <c r="P34" s="6">
        <v>1</v>
      </c>
      <c r="Q34" s="6">
        <v>1</v>
      </c>
      <c r="R34" s="6">
        <v>1</v>
      </c>
      <c r="S34" s="6">
        <v>1</v>
      </c>
      <c r="T34" s="6">
        <v>1</v>
      </c>
      <c r="U34" s="6">
        <v>1</v>
      </c>
      <c r="V34" s="6">
        <v>1</v>
      </c>
      <c r="W34" s="6">
        <v>1</v>
      </c>
      <c r="X34" s="6">
        <v>1</v>
      </c>
      <c r="Y34" s="6">
        <v>1</v>
      </c>
      <c r="Z34" s="6">
        <v>1</v>
      </c>
      <c r="AA34" s="6">
        <v>1</v>
      </c>
    </row>
    <row r="35" spans="1:27" x14ac:dyDescent="0.3">
      <c r="A35" s="8" t="s">
        <v>89</v>
      </c>
      <c r="B35" s="8" t="s">
        <v>10</v>
      </c>
      <c r="C35" s="8" t="s">
        <v>63</v>
      </c>
      <c r="D35" s="6">
        <v>1</v>
      </c>
      <c r="E35" s="6">
        <v>1</v>
      </c>
      <c r="F35" s="6">
        <v>1</v>
      </c>
      <c r="G35" s="6">
        <v>1</v>
      </c>
      <c r="H35" s="6">
        <v>1</v>
      </c>
      <c r="I35" s="6">
        <v>1</v>
      </c>
      <c r="J35" s="6">
        <v>1</v>
      </c>
      <c r="K35" s="6">
        <v>0</v>
      </c>
      <c r="L35" s="6">
        <v>1</v>
      </c>
      <c r="M35" s="6">
        <v>0</v>
      </c>
      <c r="N35" s="6">
        <v>1</v>
      </c>
      <c r="O35" s="6">
        <v>0</v>
      </c>
      <c r="P35" s="6">
        <v>1</v>
      </c>
      <c r="Q35" s="6">
        <v>1</v>
      </c>
      <c r="R35" s="6">
        <v>1</v>
      </c>
      <c r="S35" s="6">
        <v>1</v>
      </c>
      <c r="T35" s="6">
        <v>1</v>
      </c>
      <c r="U35" s="6">
        <v>1</v>
      </c>
      <c r="V35" s="6">
        <v>1</v>
      </c>
      <c r="W35" s="6">
        <v>0</v>
      </c>
      <c r="X35" s="6">
        <v>1</v>
      </c>
      <c r="Y35" s="6">
        <v>1</v>
      </c>
      <c r="Z35" s="6">
        <v>1</v>
      </c>
      <c r="AA35" s="6">
        <v>1</v>
      </c>
    </row>
    <row r="36" spans="1:27" x14ac:dyDescent="0.3">
      <c r="A36" s="8" t="s">
        <v>89</v>
      </c>
      <c r="B36" s="8" t="s">
        <v>10</v>
      </c>
      <c r="C36" s="8" t="s">
        <v>64</v>
      </c>
      <c r="D36" s="6">
        <v>1</v>
      </c>
      <c r="E36" s="6">
        <v>0</v>
      </c>
      <c r="F36" s="6">
        <v>1</v>
      </c>
      <c r="G36" s="6">
        <v>0</v>
      </c>
      <c r="H36" s="6">
        <v>1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1</v>
      </c>
      <c r="Q36" s="6">
        <v>0</v>
      </c>
      <c r="R36" s="6">
        <v>0</v>
      </c>
      <c r="S36" s="6">
        <v>0</v>
      </c>
      <c r="T36" s="6">
        <v>1</v>
      </c>
      <c r="U36" s="6">
        <v>0</v>
      </c>
      <c r="V36" s="6">
        <v>0</v>
      </c>
      <c r="W36" s="6">
        <v>0</v>
      </c>
      <c r="X36" s="6">
        <v>1</v>
      </c>
      <c r="Y36" s="6">
        <v>0</v>
      </c>
      <c r="Z36" s="6">
        <v>1</v>
      </c>
      <c r="AA36" s="6">
        <v>0</v>
      </c>
    </row>
    <row r="37" spans="1:27" x14ac:dyDescent="0.3">
      <c r="A37" s="8" t="s">
        <v>89</v>
      </c>
      <c r="B37" s="8" t="s">
        <v>10</v>
      </c>
      <c r="C37" s="8" t="s">
        <v>65</v>
      </c>
      <c r="D37" s="6">
        <v>1</v>
      </c>
      <c r="E37" s="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>
        <v>1</v>
      </c>
      <c r="L37" s="6">
        <v>1</v>
      </c>
      <c r="M37" s="6">
        <v>1</v>
      </c>
      <c r="N37" s="6">
        <v>1</v>
      </c>
      <c r="O37" s="6">
        <v>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>
        <v>1</v>
      </c>
      <c r="V37" s="6">
        <v>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</row>
    <row r="38" spans="1:27" x14ac:dyDescent="0.3">
      <c r="A38" s="8" t="s">
        <v>89</v>
      </c>
      <c r="B38" s="8" t="s">
        <v>10</v>
      </c>
      <c r="C38" s="8" t="s">
        <v>66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1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v>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</row>
    <row r="39" spans="1:27" x14ac:dyDescent="0.3">
      <c r="A39" s="8" t="s">
        <v>89</v>
      </c>
      <c r="B39" s="8" t="s">
        <v>10</v>
      </c>
      <c r="C39" s="8" t="s">
        <v>67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S39" s="6">
        <v>0</v>
      </c>
      <c r="T39" s="6">
        <v>0</v>
      </c>
      <c r="U39" s="6">
        <v>0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</row>
    <row r="40" spans="1:27" x14ac:dyDescent="0.3">
      <c r="A40" s="8" t="s">
        <v>89</v>
      </c>
      <c r="B40" s="8" t="s">
        <v>10</v>
      </c>
      <c r="C40" s="8" t="s">
        <v>68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v>0</v>
      </c>
      <c r="W40" s="6">
        <v>0</v>
      </c>
      <c r="X40" s="6">
        <v>1</v>
      </c>
      <c r="Y40" s="6">
        <v>0</v>
      </c>
      <c r="Z40" s="6">
        <v>0</v>
      </c>
      <c r="AA40" s="6">
        <v>0</v>
      </c>
    </row>
    <row r="41" spans="1:27" x14ac:dyDescent="0.3">
      <c r="A41" s="8" t="s">
        <v>89</v>
      </c>
      <c r="B41" s="8" t="s">
        <v>10</v>
      </c>
      <c r="C41" s="8" t="s">
        <v>69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0</v>
      </c>
      <c r="U41" s="6">
        <v>0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</row>
    <row r="42" spans="1:27" x14ac:dyDescent="0.3">
      <c r="A42" s="8" t="s">
        <v>102</v>
      </c>
      <c r="B42" s="8" t="s">
        <v>8</v>
      </c>
      <c r="C42" s="8" t="s">
        <v>60</v>
      </c>
      <c r="D42" s="6">
        <v>1</v>
      </c>
      <c r="E42" s="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</row>
    <row r="43" spans="1:27" x14ac:dyDescent="0.3">
      <c r="A43" s="8" t="s">
        <v>102</v>
      </c>
      <c r="B43" s="8" t="s">
        <v>8</v>
      </c>
      <c r="C43" s="8" t="s">
        <v>150</v>
      </c>
      <c r="D43" s="6">
        <v>1</v>
      </c>
      <c r="E43" s="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0</v>
      </c>
      <c r="P43" s="6">
        <v>1</v>
      </c>
      <c r="Q43" s="6">
        <v>0</v>
      </c>
      <c r="R43" s="6">
        <v>1</v>
      </c>
      <c r="S43" s="6">
        <v>0</v>
      </c>
      <c r="T43" s="6">
        <v>1</v>
      </c>
      <c r="U43" s="6">
        <v>0</v>
      </c>
      <c r="V43" s="6">
        <v>1</v>
      </c>
      <c r="W43" s="6">
        <v>1</v>
      </c>
      <c r="X43" s="6">
        <v>1</v>
      </c>
      <c r="Y43" s="6">
        <v>0</v>
      </c>
      <c r="Z43" s="6">
        <v>1</v>
      </c>
      <c r="AA43" s="6">
        <v>1</v>
      </c>
    </row>
    <row r="44" spans="1:27" x14ac:dyDescent="0.3">
      <c r="A44" s="8" t="s">
        <v>102</v>
      </c>
      <c r="B44" s="8" t="s">
        <v>8</v>
      </c>
      <c r="C44" s="8" t="s">
        <v>61</v>
      </c>
      <c r="D44" s="6">
        <v>1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v>0</v>
      </c>
      <c r="W44" s="6">
        <v>0</v>
      </c>
      <c r="X44" s="6">
        <v>0</v>
      </c>
      <c r="Y44" s="6">
        <v>0</v>
      </c>
      <c r="Z44" s="6">
        <v>1</v>
      </c>
      <c r="AA44" s="6">
        <v>0</v>
      </c>
    </row>
    <row r="45" spans="1:27" x14ac:dyDescent="0.3">
      <c r="A45" s="8" t="s">
        <v>102</v>
      </c>
      <c r="B45" s="8" t="s">
        <v>8</v>
      </c>
      <c r="C45" s="8" t="s">
        <v>152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6">
        <v>0</v>
      </c>
      <c r="V45" s="6">
        <v>1</v>
      </c>
      <c r="W45" s="6">
        <v>0</v>
      </c>
      <c r="X45" s="6">
        <v>0</v>
      </c>
      <c r="Y45" s="6">
        <v>0</v>
      </c>
      <c r="Z45" s="6">
        <v>1</v>
      </c>
      <c r="AA45" s="6">
        <v>0</v>
      </c>
    </row>
    <row r="46" spans="1:27" x14ac:dyDescent="0.3">
      <c r="A46" s="8" t="s">
        <v>102</v>
      </c>
      <c r="B46" s="8" t="s">
        <v>8</v>
      </c>
      <c r="C46" s="8" t="s">
        <v>151</v>
      </c>
      <c r="D46" s="6">
        <v>1</v>
      </c>
      <c r="E46" s="6">
        <v>1</v>
      </c>
      <c r="F46" s="6">
        <v>1</v>
      </c>
      <c r="G46" s="6">
        <v>0</v>
      </c>
      <c r="H46" s="6">
        <v>0</v>
      </c>
      <c r="I46" s="6">
        <v>0</v>
      </c>
      <c r="J46" s="6">
        <v>1</v>
      </c>
      <c r="K46" s="6">
        <v>1</v>
      </c>
      <c r="L46" s="6">
        <v>1</v>
      </c>
      <c r="M46" s="6">
        <v>0</v>
      </c>
      <c r="N46" s="6">
        <v>1</v>
      </c>
      <c r="O46" s="6">
        <v>1</v>
      </c>
      <c r="P46" s="6">
        <v>1</v>
      </c>
      <c r="Q46" s="6">
        <v>0</v>
      </c>
      <c r="R46" s="6">
        <v>1</v>
      </c>
      <c r="S46" s="6">
        <v>0</v>
      </c>
      <c r="T46" s="6">
        <v>0</v>
      </c>
      <c r="U46" s="6">
        <v>0</v>
      </c>
      <c r="V46" s="6">
        <v>1</v>
      </c>
      <c r="W46" s="6">
        <v>1</v>
      </c>
      <c r="X46" s="6">
        <v>0</v>
      </c>
      <c r="Y46" s="6">
        <v>0</v>
      </c>
      <c r="Z46" s="6">
        <v>1</v>
      </c>
      <c r="AA46" s="6">
        <v>1</v>
      </c>
    </row>
    <row r="47" spans="1:27" x14ac:dyDescent="0.3">
      <c r="A47" s="8" t="s">
        <v>102</v>
      </c>
      <c r="B47" s="8" t="s">
        <v>8</v>
      </c>
      <c r="C47" s="8" t="s">
        <v>62</v>
      </c>
      <c r="D47" s="6">
        <v>1</v>
      </c>
      <c r="E47" s="6">
        <v>1</v>
      </c>
      <c r="F47" s="6">
        <v>1</v>
      </c>
      <c r="G47" s="6">
        <v>1</v>
      </c>
      <c r="H47" s="6">
        <v>1</v>
      </c>
      <c r="I47" s="6">
        <v>1</v>
      </c>
      <c r="J47" s="6">
        <v>1</v>
      </c>
      <c r="K47" s="6">
        <v>1</v>
      </c>
      <c r="L47" s="6">
        <v>1</v>
      </c>
      <c r="M47" s="6">
        <v>1</v>
      </c>
      <c r="N47" s="6">
        <v>1</v>
      </c>
      <c r="O47" s="6">
        <v>1</v>
      </c>
      <c r="P47" s="6">
        <v>1</v>
      </c>
      <c r="Q47" s="6">
        <v>1</v>
      </c>
      <c r="R47" s="6">
        <v>1</v>
      </c>
      <c r="S47" s="6">
        <v>1</v>
      </c>
      <c r="T47" s="6">
        <v>1</v>
      </c>
      <c r="U47" s="6">
        <v>1</v>
      </c>
      <c r="V47" s="6">
        <v>1</v>
      </c>
      <c r="W47" s="6">
        <v>1</v>
      </c>
      <c r="X47" s="6">
        <v>1</v>
      </c>
      <c r="Y47" s="6">
        <v>1</v>
      </c>
      <c r="Z47" s="6">
        <v>1</v>
      </c>
      <c r="AA47" s="6">
        <v>1</v>
      </c>
    </row>
    <row r="48" spans="1:27" x14ac:dyDescent="0.3">
      <c r="A48" s="8" t="s">
        <v>102</v>
      </c>
      <c r="B48" s="8" t="s">
        <v>8</v>
      </c>
      <c r="C48" s="8" t="s">
        <v>63</v>
      </c>
      <c r="D48" s="6">
        <v>1</v>
      </c>
      <c r="E48" s="6">
        <v>1</v>
      </c>
      <c r="F48" s="6">
        <v>1</v>
      </c>
      <c r="G48" s="6">
        <v>1</v>
      </c>
      <c r="H48" s="6">
        <v>1</v>
      </c>
      <c r="I48" s="6">
        <v>1</v>
      </c>
      <c r="J48" s="6">
        <v>1</v>
      </c>
      <c r="K48" s="6">
        <v>0</v>
      </c>
      <c r="L48" s="6">
        <v>1</v>
      </c>
      <c r="M48" s="6">
        <v>0</v>
      </c>
      <c r="N48" s="6">
        <v>1</v>
      </c>
      <c r="O48" s="6">
        <v>1</v>
      </c>
      <c r="P48" s="6">
        <v>1</v>
      </c>
      <c r="Q48" s="6">
        <v>1</v>
      </c>
      <c r="R48" s="6">
        <v>0</v>
      </c>
      <c r="S48" s="6">
        <v>0</v>
      </c>
      <c r="T48" s="6">
        <v>1</v>
      </c>
      <c r="U48" s="6">
        <v>1</v>
      </c>
      <c r="V48" s="6">
        <v>1</v>
      </c>
      <c r="W48" s="6">
        <v>0</v>
      </c>
      <c r="X48" s="6">
        <v>1</v>
      </c>
      <c r="Y48" s="6">
        <v>1</v>
      </c>
      <c r="Z48" s="6">
        <v>1</v>
      </c>
      <c r="AA48" s="6">
        <v>1</v>
      </c>
    </row>
    <row r="49" spans="1:27" x14ac:dyDescent="0.3">
      <c r="A49" s="8" t="s">
        <v>102</v>
      </c>
      <c r="B49" s="8" t="s">
        <v>8</v>
      </c>
      <c r="C49" s="8" t="s">
        <v>64</v>
      </c>
      <c r="D49" s="6">
        <v>1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1</v>
      </c>
      <c r="O49" s="6">
        <v>0</v>
      </c>
      <c r="P49" s="6">
        <v>1</v>
      </c>
      <c r="Q49" s="6">
        <v>1</v>
      </c>
      <c r="R49" s="6">
        <v>1</v>
      </c>
      <c r="S49" s="6">
        <v>1</v>
      </c>
      <c r="T49" s="6">
        <v>1</v>
      </c>
      <c r="U49" s="6">
        <v>0</v>
      </c>
      <c r="V49" s="6">
        <v>0</v>
      </c>
      <c r="W49" s="6">
        <v>0</v>
      </c>
      <c r="X49" s="6">
        <v>1</v>
      </c>
      <c r="Y49" s="6">
        <v>1</v>
      </c>
      <c r="Z49" s="6">
        <v>1</v>
      </c>
      <c r="AA49" s="6">
        <v>0</v>
      </c>
    </row>
    <row r="50" spans="1:27" x14ac:dyDescent="0.3">
      <c r="A50" s="8" t="s">
        <v>102</v>
      </c>
      <c r="B50" s="8" t="s">
        <v>8</v>
      </c>
      <c r="C50" s="8" t="s">
        <v>65</v>
      </c>
      <c r="D50" s="6">
        <v>1</v>
      </c>
      <c r="E50" s="6">
        <v>1</v>
      </c>
      <c r="F50" s="6">
        <v>1</v>
      </c>
      <c r="G50" s="6">
        <v>1</v>
      </c>
      <c r="H50" s="6">
        <v>1</v>
      </c>
      <c r="I50" s="6">
        <v>1</v>
      </c>
      <c r="J50" s="6">
        <v>1</v>
      </c>
      <c r="K50" s="6">
        <v>1</v>
      </c>
      <c r="L50" s="6">
        <v>1</v>
      </c>
      <c r="M50" s="6">
        <v>1</v>
      </c>
      <c r="N50" s="6">
        <v>1</v>
      </c>
      <c r="O50" s="6">
        <v>1</v>
      </c>
      <c r="P50" s="6">
        <v>1</v>
      </c>
      <c r="Q50" s="6">
        <v>1</v>
      </c>
      <c r="R50" s="6">
        <v>1</v>
      </c>
      <c r="S50" s="6">
        <v>1</v>
      </c>
      <c r="T50" s="6">
        <v>1</v>
      </c>
      <c r="U50" s="6">
        <v>1</v>
      </c>
      <c r="V50" s="6">
        <v>1</v>
      </c>
      <c r="W50" s="6">
        <v>1</v>
      </c>
      <c r="X50" s="6">
        <v>1</v>
      </c>
      <c r="Y50" s="6">
        <v>1</v>
      </c>
      <c r="Z50" s="6">
        <v>1</v>
      </c>
      <c r="AA50" s="6">
        <v>1</v>
      </c>
    </row>
    <row r="51" spans="1:27" x14ac:dyDescent="0.3">
      <c r="A51" s="8" t="s">
        <v>102</v>
      </c>
      <c r="B51" s="8" t="s">
        <v>8</v>
      </c>
      <c r="C51" s="8" t="s">
        <v>66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T51" s="6">
        <v>0</v>
      </c>
      <c r="U51" s="6">
        <v>1</v>
      </c>
      <c r="V51" s="6">
        <v>0</v>
      </c>
      <c r="W51" s="6">
        <v>0</v>
      </c>
      <c r="X51" s="6">
        <v>1</v>
      </c>
      <c r="Y51" s="6">
        <v>0</v>
      </c>
      <c r="Z51" s="6">
        <v>0</v>
      </c>
      <c r="AA51" s="6">
        <v>0</v>
      </c>
    </row>
    <row r="52" spans="1:27" x14ac:dyDescent="0.3">
      <c r="A52" s="8" t="s">
        <v>102</v>
      </c>
      <c r="B52" s="8" t="s">
        <v>8</v>
      </c>
      <c r="C52" s="8" t="s">
        <v>67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</row>
    <row r="53" spans="1:27" x14ac:dyDescent="0.3">
      <c r="A53" s="8" t="s">
        <v>102</v>
      </c>
      <c r="B53" s="8" t="s">
        <v>8</v>
      </c>
      <c r="C53" s="8" t="s">
        <v>68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</row>
    <row r="54" spans="1:27" x14ac:dyDescent="0.3">
      <c r="A54" s="8" t="s">
        <v>102</v>
      </c>
      <c r="B54" s="8" t="s">
        <v>8</v>
      </c>
      <c r="C54" s="8" t="s">
        <v>69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</row>
    <row r="55" spans="1:27" x14ac:dyDescent="0.3">
      <c r="A55" s="8" t="s">
        <v>102</v>
      </c>
      <c r="B55" s="8" t="s">
        <v>9</v>
      </c>
      <c r="C55" s="8" t="s">
        <v>60</v>
      </c>
      <c r="D55" s="6">
        <v>1</v>
      </c>
      <c r="E55" s="6">
        <v>1</v>
      </c>
      <c r="F55" s="6">
        <v>1</v>
      </c>
      <c r="G55" s="6">
        <v>1</v>
      </c>
      <c r="H55" s="6">
        <v>1</v>
      </c>
      <c r="I55" s="6">
        <v>1</v>
      </c>
      <c r="J55" s="6">
        <v>1</v>
      </c>
      <c r="K55" s="6">
        <v>1</v>
      </c>
      <c r="L55" s="6">
        <v>1</v>
      </c>
      <c r="M55" s="6">
        <v>1</v>
      </c>
      <c r="N55" s="6">
        <v>1</v>
      </c>
      <c r="O55" s="6">
        <v>1</v>
      </c>
      <c r="P55" s="6">
        <v>1</v>
      </c>
      <c r="Q55" s="6">
        <v>1</v>
      </c>
      <c r="R55" s="6">
        <v>1</v>
      </c>
      <c r="S55" s="6">
        <v>1</v>
      </c>
      <c r="T55" s="6">
        <v>1</v>
      </c>
      <c r="U55" s="6">
        <v>1</v>
      </c>
      <c r="V55" s="6">
        <v>1</v>
      </c>
      <c r="W55" s="6">
        <v>1</v>
      </c>
      <c r="X55" s="6">
        <v>1</v>
      </c>
      <c r="Y55" s="6">
        <v>1</v>
      </c>
      <c r="Z55" s="6">
        <v>1</v>
      </c>
      <c r="AA55" s="6">
        <v>1</v>
      </c>
    </row>
    <row r="56" spans="1:27" x14ac:dyDescent="0.3">
      <c r="A56" s="8" t="s">
        <v>102</v>
      </c>
      <c r="B56" s="8" t="s">
        <v>9</v>
      </c>
      <c r="C56" s="8" t="s">
        <v>150</v>
      </c>
      <c r="D56" s="6">
        <v>1</v>
      </c>
      <c r="E56" s="6">
        <v>1</v>
      </c>
      <c r="F56" s="6">
        <v>1</v>
      </c>
      <c r="G56" s="6">
        <v>1</v>
      </c>
      <c r="H56" s="6">
        <v>1</v>
      </c>
      <c r="I56" s="6">
        <v>1</v>
      </c>
      <c r="J56" s="6">
        <v>1</v>
      </c>
      <c r="K56" s="6">
        <v>1</v>
      </c>
      <c r="L56" s="6">
        <v>1</v>
      </c>
      <c r="M56" s="6">
        <v>0</v>
      </c>
      <c r="N56" s="6">
        <v>1</v>
      </c>
      <c r="O56" s="6">
        <v>1</v>
      </c>
      <c r="P56" s="6">
        <v>1</v>
      </c>
      <c r="Q56" s="6">
        <v>0</v>
      </c>
      <c r="R56" s="6">
        <v>0</v>
      </c>
      <c r="S56" s="6">
        <v>0</v>
      </c>
      <c r="T56" s="6">
        <v>1</v>
      </c>
      <c r="U56" s="6">
        <v>1</v>
      </c>
      <c r="V56" s="6">
        <v>1</v>
      </c>
      <c r="W56" s="6">
        <v>1</v>
      </c>
      <c r="X56" s="6">
        <v>1</v>
      </c>
      <c r="Y56" s="6">
        <v>1</v>
      </c>
      <c r="Z56" s="6">
        <v>1</v>
      </c>
      <c r="AA56" s="6">
        <v>1</v>
      </c>
    </row>
    <row r="57" spans="1:27" x14ac:dyDescent="0.3">
      <c r="A57" s="8" t="s">
        <v>102</v>
      </c>
      <c r="B57" s="8" t="s">
        <v>9</v>
      </c>
      <c r="C57" s="8" t="s">
        <v>61</v>
      </c>
      <c r="D57" s="6">
        <v>1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1</v>
      </c>
      <c r="AA57" s="6">
        <v>0</v>
      </c>
    </row>
    <row r="58" spans="1:27" x14ac:dyDescent="0.3">
      <c r="A58" s="8" t="s">
        <v>102</v>
      </c>
      <c r="B58" s="8" t="s">
        <v>9</v>
      </c>
      <c r="C58" s="8" t="s">
        <v>152</v>
      </c>
      <c r="D58" s="6">
        <v>1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1</v>
      </c>
      <c r="S58" s="6">
        <v>1</v>
      </c>
      <c r="T58" s="6">
        <v>0</v>
      </c>
      <c r="U58" s="6">
        <v>0</v>
      </c>
      <c r="V58" s="6">
        <v>1</v>
      </c>
      <c r="W58" s="6">
        <v>0</v>
      </c>
      <c r="X58" s="6">
        <v>1</v>
      </c>
      <c r="Y58" s="6">
        <v>0</v>
      </c>
      <c r="Z58" s="6">
        <v>1</v>
      </c>
      <c r="AA58" s="6">
        <v>0</v>
      </c>
    </row>
    <row r="59" spans="1:27" x14ac:dyDescent="0.3">
      <c r="A59" s="8" t="s">
        <v>102</v>
      </c>
      <c r="B59" s="8" t="s">
        <v>9</v>
      </c>
      <c r="C59" s="8" t="s">
        <v>151</v>
      </c>
      <c r="D59" s="6">
        <v>1</v>
      </c>
      <c r="E59" s="6">
        <v>1</v>
      </c>
      <c r="F59" s="6">
        <v>1</v>
      </c>
      <c r="G59" s="6">
        <v>1</v>
      </c>
      <c r="H59" s="6">
        <v>0</v>
      </c>
      <c r="I59" s="6">
        <v>0</v>
      </c>
      <c r="J59" s="6">
        <v>1</v>
      </c>
      <c r="K59" s="6">
        <v>1</v>
      </c>
      <c r="L59" s="6">
        <v>1</v>
      </c>
      <c r="M59" s="6">
        <v>1</v>
      </c>
      <c r="N59" s="6">
        <v>1</v>
      </c>
      <c r="O59" s="6">
        <v>0</v>
      </c>
      <c r="P59" s="6">
        <v>1</v>
      </c>
      <c r="Q59" s="6">
        <v>0</v>
      </c>
      <c r="R59" s="6">
        <v>1</v>
      </c>
      <c r="S59" s="6">
        <v>1</v>
      </c>
      <c r="T59" s="6">
        <v>0</v>
      </c>
      <c r="U59" s="6">
        <v>0</v>
      </c>
      <c r="V59" s="6">
        <v>1</v>
      </c>
      <c r="W59" s="6">
        <v>1</v>
      </c>
      <c r="X59" s="6">
        <v>1</v>
      </c>
      <c r="Y59" s="6">
        <v>0</v>
      </c>
      <c r="Z59" s="6">
        <v>1</v>
      </c>
      <c r="AA59" s="6">
        <v>1</v>
      </c>
    </row>
    <row r="60" spans="1:27" x14ac:dyDescent="0.3">
      <c r="A60" s="8" t="s">
        <v>102</v>
      </c>
      <c r="B60" s="8" t="s">
        <v>9</v>
      </c>
      <c r="C60" s="8" t="s">
        <v>62</v>
      </c>
      <c r="D60" s="6">
        <v>1</v>
      </c>
      <c r="E60" s="6">
        <v>1</v>
      </c>
      <c r="F60" s="6">
        <v>1</v>
      </c>
      <c r="G60" s="6">
        <v>1</v>
      </c>
      <c r="H60" s="6">
        <v>1</v>
      </c>
      <c r="I60" s="6">
        <v>1</v>
      </c>
      <c r="J60" s="6">
        <v>1</v>
      </c>
      <c r="K60" s="6">
        <v>1</v>
      </c>
      <c r="L60" s="6">
        <v>1</v>
      </c>
      <c r="M60" s="6">
        <v>1</v>
      </c>
      <c r="N60" s="6">
        <v>1</v>
      </c>
      <c r="O60" s="6">
        <v>1</v>
      </c>
      <c r="P60" s="6">
        <v>1</v>
      </c>
      <c r="Q60" s="6">
        <v>1</v>
      </c>
      <c r="R60" s="6">
        <v>1</v>
      </c>
      <c r="S60" s="6">
        <v>1</v>
      </c>
      <c r="T60" s="6">
        <v>1</v>
      </c>
      <c r="U60" s="6">
        <v>1</v>
      </c>
      <c r="V60" s="6">
        <v>1</v>
      </c>
      <c r="W60" s="6">
        <v>1</v>
      </c>
      <c r="X60" s="6">
        <v>1</v>
      </c>
      <c r="Y60" s="6">
        <v>1</v>
      </c>
      <c r="Z60" s="6">
        <v>1</v>
      </c>
      <c r="AA60" s="6">
        <v>1</v>
      </c>
    </row>
    <row r="61" spans="1:27" x14ac:dyDescent="0.3">
      <c r="A61" s="8" t="s">
        <v>102</v>
      </c>
      <c r="B61" s="8" t="s">
        <v>9</v>
      </c>
      <c r="C61" s="8" t="s">
        <v>63</v>
      </c>
      <c r="D61" s="6">
        <v>1</v>
      </c>
      <c r="E61" s="6">
        <v>1</v>
      </c>
      <c r="F61" s="6">
        <v>1</v>
      </c>
      <c r="G61" s="6">
        <v>1</v>
      </c>
      <c r="H61" s="6">
        <v>1</v>
      </c>
      <c r="I61" s="6">
        <v>1</v>
      </c>
      <c r="J61" s="6">
        <v>1</v>
      </c>
      <c r="K61" s="6">
        <v>0</v>
      </c>
      <c r="L61" s="6">
        <v>1</v>
      </c>
      <c r="M61" s="6">
        <v>1</v>
      </c>
      <c r="N61" s="6">
        <v>1</v>
      </c>
      <c r="O61" s="6">
        <v>0</v>
      </c>
      <c r="P61" s="6">
        <v>1</v>
      </c>
      <c r="Q61" s="6">
        <v>1</v>
      </c>
      <c r="R61" s="6">
        <v>1</v>
      </c>
      <c r="S61" s="6">
        <v>1</v>
      </c>
      <c r="T61" s="6">
        <v>1</v>
      </c>
      <c r="U61" s="6">
        <v>1</v>
      </c>
      <c r="V61" s="6">
        <v>1</v>
      </c>
      <c r="W61" s="6">
        <v>0</v>
      </c>
      <c r="X61" s="6">
        <v>1</v>
      </c>
      <c r="Y61" s="6">
        <v>1</v>
      </c>
      <c r="Z61" s="6">
        <v>1</v>
      </c>
      <c r="AA61" s="6">
        <v>1</v>
      </c>
    </row>
    <row r="62" spans="1:27" x14ac:dyDescent="0.3">
      <c r="A62" s="8" t="s">
        <v>102</v>
      </c>
      <c r="B62" s="8" t="s">
        <v>9</v>
      </c>
      <c r="C62" s="8" t="s">
        <v>64</v>
      </c>
      <c r="D62" s="6">
        <v>1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1</v>
      </c>
      <c r="O62" s="6">
        <v>1</v>
      </c>
      <c r="P62" s="6">
        <v>1</v>
      </c>
      <c r="Q62" s="6">
        <v>1</v>
      </c>
      <c r="R62" s="6">
        <v>1</v>
      </c>
      <c r="S62" s="6">
        <v>0</v>
      </c>
      <c r="T62" s="6">
        <v>1</v>
      </c>
      <c r="U62" s="6">
        <v>0</v>
      </c>
      <c r="V62" s="6">
        <v>0</v>
      </c>
      <c r="W62" s="6">
        <v>0</v>
      </c>
      <c r="X62" s="6">
        <v>1</v>
      </c>
      <c r="Y62" s="6">
        <v>0</v>
      </c>
      <c r="Z62" s="6">
        <v>1</v>
      </c>
      <c r="AA62" s="6">
        <v>0</v>
      </c>
    </row>
    <row r="63" spans="1:27" x14ac:dyDescent="0.3">
      <c r="A63" s="8" t="s">
        <v>102</v>
      </c>
      <c r="B63" s="8" t="s">
        <v>9</v>
      </c>
      <c r="C63" s="8" t="s">
        <v>65</v>
      </c>
      <c r="D63" s="6">
        <v>1</v>
      </c>
      <c r="E63" s="6">
        <v>1</v>
      </c>
      <c r="F63" s="6">
        <v>1</v>
      </c>
      <c r="G63" s="6">
        <v>1</v>
      </c>
      <c r="H63" s="6">
        <v>1</v>
      </c>
      <c r="I63" s="6">
        <v>1</v>
      </c>
      <c r="J63" s="6">
        <v>1</v>
      </c>
      <c r="K63" s="6">
        <v>1</v>
      </c>
      <c r="L63" s="6">
        <v>1</v>
      </c>
      <c r="M63" s="6">
        <v>1</v>
      </c>
      <c r="N63" s="6">
        <v>1</v>
      </c>
      <c r="O63" s="6">
        <v>1</v>
      </c>
      <c r="P63" s="6">
        <v>1</v>
      </c>
      <c r="Q63" s="6">
        <v>1</v>
      </c>
      <c r="R63" s="6">
        <v>1</v>
      </c>
      <c r="S63" s="6">
        <v>1</v>
      </c>
      <c r="T63" s="6">
        <v>1</v>
      </c>
      <c r="U63" s="6">
        <v>1</v>
      </c>
      <c r="V63" s="6">
        <v>1</v>
      </c>
      <c r="W63" s="6">
        <v>1</v>
      </c>
      <c r="X63" s="6">
        <v>1</v>
      </c>
      <c r="Y63" s="6">
        <v>1</v>
      </c>
      <c r="Z63" s="6">
        <v>1</v>
      </c>
      <c r="AA63" s="6">
        <v>1</v>
      </c>
    </row>
    <row r="64" spans="1:27" x14ac:dyDescent="0.3">
      <c r="A64" s="8" t="s">
        <v>102</v>
      </c>
      <c r="B64" s="8" t="s">
        <v>9</v>
      </c>
      <c r="C64" s="8" t="s">
        <v>66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</row>
    <row r="65" spans="1:27" x14ac:dyDescent="0.3">
      <c r="A65" s="8" t="s">
        <v>102</v>
      </c>
      <c r="B65" s="8" t="s">
        <v>9</v>
      </c>
      <c r="C65" s="8" t="s">
        <v>67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</row>
    <row r="66" spans="1:27" x14ac:dyDescent="0.3">
      <c r="A66" s="8" t="s">
        <v>102</v>
      </c>
      <c r="B66" s="8" t="s">
        <v>9</v>
      </c>
      <c r="C66" s="8" t="s">
        <v>68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</row>
    <row r="67" spans="1:27" x14ac:dyDescent="0.3">
      <c r="A67" s="8" t="s">
        <v>102</v>
      </c>
      <c r="B67" s="8" t="s">
        <v>9</v>
      </c>
      <c r="C67" s="8" t="s">
        <v>69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</row>
    <row r="68" spans="1:27" x14ac:dyDescent="0.3">
      <c r="A68" s="8" t="s">
        <v>102</v>
      </c>
      <c r="B68" s="8" t="s">
        <v>10</v>
      </c>
      <c r="C68" s="8" t="s">
        <v>60</v>
      </c>
      <c r="D68" s="6">
        <v>1</v>
      </c>
      <c r="E68" s="6">
        <v>1</v>
      </c>
      <c r="F68" s="6">
        <v>1</v>
      </c>
      <c r="G68" s="6">
        <v>1</v>
      </c>
      <c r="H68" s="6">
        <v>1</v>
      </c>
      <c r="I68" s="6">
        <v>1</v>
      </c>
      <c r="J68" s="6">
        <v>1</v>
      </c>
      <c r="K68" s="6">
        <v>1</v>
      </c>
      <c r="L68" s="6">
        <v>1</v>
      </c>
      <c r="M68" s="6">
        <v>1</v>
      </c>
      <c r="N68" s="6">
        <v>1</v>
      </c>
      <c r="O68" s="6">
        <v>1</v>
      </c>
      <c r="P68" s="6">
        <v>1</v>
      </c>
      <c r="Q68" s="6">
        <v>1</v>
      </c>
      <c r="R68" s="6">
        <v>1</v>
      </c>
      <c r="S68" s="6">
        <v>1</v>
      </c>
      <c r="T68" s="6">
        <v>1</v>
      </c>
      <c r="U68" s="6">
        <v>1</v>
      </c>
      <c r="V68" s="6">
        <v>1</v>
      </c>
      <c r="W68" s="6">
        <v>1</v>
      </c>
      <c r="X68" s="6">
        <v>1</v>
      </c>
      <c r="Y68" s="6">
        <v>1</v>
      </c>
      <c r="Z68" s="6">
        <v>1</v>
      </c>
      <c r="AA68" s="6">
        <v>1</v>
      </c>
    </row>
    <row r="69" spans="1:27" x14ac:dyDescent="0.3">
      <c r="A69" s="8" t="s">
        <v>102</v>
      </c>
      <c r="B69" s="8" t="s">
        <v>10</v>
      </c>
      <c r="C69" s="8" t="s">
        <v>150</v>
      </c>
      <c r="D69" s="6">
        <v>1</v>
      </c>
      <c r="E69" s="6">
        <v>1</v>
      </c>
      <c r="F69" s="6">
        <v>1</v>
      </c>
      <c r="G69" s="6">
        <v>1</v>
      </c>
      <c r="H69" s="6">
        <v>1</v>
      </c>
      <c r="I69" s="6">
        <v>1</v>
      </c>
      <c r="J69" s="6">
        <v>1</v>
      </c>
      <c r="K69" s="6">
        <v>1</v>
      </c>
      <c r="L69" s="6">
        <v>1</v>
      </c>
      <c r="M69" s="6">
        <v>1</v>
      </c>
      <c r="N69" s="6">
        <v>1</v>
      </c>
      <c r="O69" s="6">
        <v>1</v>
      </c>
      <c r="P69" s="6">
        <v>1</v>
      </c>
      <c r="Q69" s="6">
        <v>1</v>
      </c>
      <c r="R69" s="6">
        <v>1</v>
      </c>
      <c r="S69" s="6">
        <v>0</v>
      </c>
      <c r="T69" s="6">
        <v>1</v>
      </c>
      <c r="U69" s="6">
        <v>0</v>
      </c>
      <c r="V69" s="6">
        <v>1</v>
      </c>
      <c r="W69" s="6">
        <v>1</v>
      </c>
      <c r="X69" s="6">
        <v>1</v>
      </c>
      <c r="Y69" s="6">
        <v>1</v>
      </c>
      <c r="Z69" s="6">
        <v>1</v>
      </c>
      <c r="AA69" s="6">
        <v>1</v>
      </c>
    </row>
    <row r="70" spans="1:27" x14ac:dyDescent="0.3">
      <c r="A70" s="8" t="s">
        <v>102</v>
      </c>
      <c r="B70" s="8" t="s">
        <v>10</v>
      </c>
      <c r="C70" s="8" t="s">
        <v>61</v>
      </c>
      <c r="D70" s="6">
        <v>1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1</v>
      </c>
      <c r="S70" s="6">
        <v>1</v>
      </c>
      <c r="T70" s="6">
        <v>0</v>
      </c>
      <c r="U70" s="6">
        <v>0</v>
      </c>
      <c r="V70" s="6">
        <v>0</v>
      </c>
      <c r="W70" s="6">
        <v>0</v>
      </c>
      <c r="X70" s="6">
        <v>0</v>
      </c>
      <c r="Y70" s="6">
        <v>0</v>
      </c>
      <c r="Z70" s="6">
        <v>1</v>
      </c>
      <c r="AA70" s="6">
        <v>0</v>
      </c>
    </row>
    <row r="71" spans="1:27" x14ac:dyDescent="0.3">
      <c r="A71" s="8" t="s">
        <v>102</v>
      </c>
      <c r="B71" s="8" t="s">
        <v>10</v>
      </c>
      <c r="C71" s="8" t="s">
        <v>152</v>
      </c>
      <c r="D71" s="6">
        <v>1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1</v>
      </c>
      <c r="W71" s="6">
        <v>0</v>
      </c>
      <c r="X71" s="6">
        <v>0</v>
      </c>
      <c r="Y71" s="6">
        <v>0</v>
      </c>
      <c r="Z71" s="6">
        <v>1</v>
      </c>
      <c r="AA71" s="6">
        <v>0</v>
      </c>
    </row>
    <row r="72" spans="1:27" x14ac:dyDescent="0.3">
      <c r="A72" s="8" t="s">
        <v>102</v>
      </c>
      <c r="B72" s="8" t="s">
        <v>10</v>
      </c>
      <c r="C72" s="8" t="s">
        <v>151</v>
      </c>
      <c r="D72" s="6">
        <v>1</v>
      </c>
      <c r="E72" s="6">
        <v>1</v>
      </c>
      <c r="F72" s="6">
        <v>1</v>
      </c>
      <c r="G72" s="6">
        <v>0</v>
      </c>
      <c r="H72" s="6">
        <v>0</v>
      </c>
      <c r="I72" s="6">
        <v>0</v>
      </c>
      <c r="J72" s="6">
        <v>1</v>
      </c>
      <c r="K72" s="6">
        <v>0</v>
      </c>
      <c r="L72" s="6">
        <v>1</v>
      </c>
      <c r="M72" s="6">
        <v>0</v>
      </c>
      <c r="N72" s="6">
        <v>1</v>
      </c>
      <c r="O72" s="6">
        <v>1</v>
      </c>
      <c r="P72" s="6">
        <v>1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1</v>
      </c>
      <c r="W72" s="6">
        <v>1</v>
      </c>
      <c r="X72" s="6">
        <v>0</v>
      </c>
      <c r="Y72" s="6">
        <v>0</v>
      </c>
      <c r="Z72" s="6">
        <v>1</v>
      </c>
      <c r="AA72" s="6">
        <v>1</v>
      </c>
    </row>
    <row r="73" spans="1:27" x14ac:dyDescent="0.3">
      <c r="A73" s="8" t="s">
        <v>102</v>
      </c>
      <c r="B73" s="8" t="s">
        <v>10</v>
      </c>
      <c r="C73" s="8" t="s">
        <v>62</v>
      </c>
      <c r="D73" s="6">
        <v>1</v>
      </c>
      <c r="E73" s="6">
        <v>1</v>
      </c>
      <c r="F73" s="6">
        <v>1</v>
      </c>
      <c r="G73" s="6">
        <v>1</v>
      </c>
      <c r="H73" s="6">
        <v>1</v>
      </c>
      <c r="I73" s="6">
        <v>1</v>
      </c>
      <c r="J73" s="6">
        <v>1</v>
      </c>
      <c r="K73" s="6">
        <v>1</v>
      </c>
      <c r="L73" s="6">
        <v>1</v>
      </c>
      <c r="M73" s="6">
        <v>1</v>
      </c>
      <c r="N73" s="6">
        <v>1</v>
      </c>
      <c r="O73" s="6">
        <v>1</v>
      </c>
      <c r="P73" s="6">
        <v>1</v>
      </c>
      <c r="Q73" s="6">
        <v>1</v>
      </c>
      <c r="R73" s="6">
        <v>1</v>
      </c>
      <c r="S73" s="6">
        <v>1</v>
      </c>
      <c r="T73" s="6">
        <v>1</v>
      </c>
      <c r="U73" s="6">
        <v>1</v>
      </c>
      <c r="V73" s="6">
        <v>1</v>
      </c>
      <c r="W73" s="6">
        <v>1</v>
      </c>
      <c r="X73" s="6">
        <v>1</v>
      </c>
      <c r="Y73" s="6">
        <v>1</v>
      </c>
      <c r="Z73" s="6">
        <v>1</v>
      </c>
      <c r="AA73" s="6">
        <v>1</v>
      </c>
    </row>
    <row r="74" spans="1:27" x14ac:dyDescent="0.3">
      <c r="A74" s="8" t="s">
        <v>102</v>
      </c>
      <c r="B74" s="8" t="s">
        <v>10</v>
      </c>
      <c r="C74" s="8" t="s">
        <v>63</v>
      </c>
      <c r="D74" s="6">
        <v>1</v>
      </c>
      <c r="E74" s="6">
        <v>1</v>
      </c>
      <c r="F74" s="6">
        <v>1</v>
      </c>
      <c r="G74" s="6">
        <v>1</v>
      </c>
      <c r="H74" s="6">
        <v>1</v>
      </c>
      <c r="I74" s="6">
        <v>1</v>
      </c>
      <c r="J74" s="6">
        <v>1</v>
      </c>
      <c r="K74" s="6">
        <v>0</v>
      </c>
      <c r="L74" s="6">
        <v>1</v>
      </c>
      <c r="M74" s="6">
        <v>0</v>
      </c>
      <c r="N74" s="6">
        <v>1</v>
      </c>
      <c r="O74" s="6">
        <v>0</v>
      </c>
      <c r="P74" s="6">
        <v>1</v>
      </c>
      <c r="Q74" s="6">
        <v>1</v>
      </c>
      <c r="R74" s="6">
        <v>1</v>
      </c>
      <c r="S74" s="6">
        <v>1</v>
      </c>
      <c r="T74" s="6">
        <v>1</v>
      </c>
      <c r="U74" s="6">
        <v>1</v>
      </c>
      <c r="V74" s="6">
        <v>1</v>
      </c>
      <c r="W74" s="6">
        <v>0</v>
      </c>
      <c r="X74" s="6">
        <v>1</v>
      </c>
      <c r="Y74" s="6">
        <v>1</v>
      </c>
      <c r="Z74" s="6">
        <v>1</v>
      </c>
      <c r="AA74" s="6">
        <v>1</v>
      </c>
    </row>
    <row r="75" spans="1:27" x14ac:dyDescent="0.3">
      <c r="A75" s="8" t="s">
        <v>102</v>
      </c>
      <c r="B75" s="8" t="s">
        <v>10</v>
      </c>
      <c r="C75" s="8" t="s">
        <v>64</v>
      </c>
      <c r="D75" s="6">
        <v>1</v>
      </c>
      <c r="E75" s="6">
        <v>0</v>
      </c>
      <c r="F75" s="6">
        <v>1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1</v>
      </c>
      <c r="O75" s="6">
        <v>0</v>
      </c>
      <c r="P75" s="6">
        <v>1</v>
      </c>
      <c r="Q75" s="6">
        <v>0</v>
      </c>
      <c r="R75" s="6">
        <v>0</v>
      </c>
      <c r="S75" s="6">
        <v>0</v>
      </c>
      <c r="T75" s="6">
        <v>1</v>
      </c>
      <c r="U75" s="6">
        <v>0</v>
      </c>
      <c r="V75" s="6">
        <v>0</v>
      </c>
      <c r="W75" s="6">
        <v>0</v>
      </c>
      <c r="X75" s="6">
        <v>1</v>
      </c>
      <c r="Y75" s="6">
        <v>0</v>
      </c>
      <c r="Z75" s="6">
        <v>1</v>
      </c>
      <c r="AA75" s="6">
        <v>0</v>
      </c>
    </row>
    <row r="76" spans="1:27" x14ac:dyDescent="0.3">
      <c r="A76" s="8" t="s">
        <v>102</v>
      </c>
      <c r="B76" s="8" t="s">
        <v>10</v>
      </c>
      <c r="C76" s="8" t="s">
        <v>65</v>
      </c>
      <c r="D76" s="6">
        <v>1</v>
      </c>
      <c r="E76" s="6">
        <v>1</v>
      </c>
      <c r="F76" s="6">
        <v>1</v>
      </c>
      <c r="G76" s="6">
        <v>1</v>
      </c>
      <c r="H76" s="6">
        <v>1</v>
      </c>
      <c r="I76" s="6">
        <v>1</v>
      </c>
      <c r="J76" s="6">
        <v>1</v>
      </c>
      <c r="K76" s="6">
        <v>1</v>
      </c>
      <c r="L76" s="6">
        <v>1</v>
      </c>
      <c r="M76" s="6">
        <v>1</v>
      </c>
      <c r="N76" s="6">
        <v>1</v>
      </c>
      <c r="O76" s="6">
        <v>1</v>
      </c>
      <c r="P76" s="6">
        <v>1</v>
      </c>
      <c r="Q76" s="6">
        <v>1</v>
      </c>
      <c r="R76" s="6">
        <v>1</v>
      </c>
      <c r="S76" s="6">
        <v>1</v>
      </c>
      <c r="T76" s="6">
        <v>1</v>
      </c>
      <c r="U76" s="6">
        <v>1</v>
      </c>
      <c r="V76" s="6">
        <v>1</v>
      </c>
      <c r="W76" s="6">
        <v>1</v>
      </c>
      <c r="X76" s="6">
        <v>1</v>
      </c>
      <c r="Y76" s="6">
        <v>1</v>
      </c>
      <c r="Z76" s="6">
        <v>1</v>
      </c>
      <c r="AA76" s="6">
        <v>1</v>
      </c>
    </row>
    <row r="77" spans="1:27" x14ac:dyDescent="0.3">
      <c r="A77" s="8" t="s">
        <v>102</v>
      </c>
      <c r="B77" s="8" t="s">
        <v>10</v>
      </c>
      <c r="C77" s="8" t="s">
        <v>66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S77" s="6">
        <v>0</v>
      </c>
      <c r="T77" s="6">
        <v>0</v>
      </c>
      <c r="U77" s="6">
        <v>0</v>
      </c>
      <c r="V77" s="6">
        <v>0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</row>
    <row r="78" spans="1:27" x14ac:dyDescent="0.3">
      <c r="A78" s="8" t="s">
        <v>102</v>
      </c>
      <c r="B78" s="8" t="s">
        <v>10</v>
      </c>
      <c r="C78" s="8" t="s">
        <v>67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</row>
    <row r="79" spans="1:27" x14ac:dyDescent="0.3">
      <c r="A79" s="8" t="s">
        <v>102</v>
      </c>
      <c r="B79" s="8" t="s">
        <v>10</v>
      </c>
      <c r="C79" s="8" t="s">
        <v>68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1</v>
      </c>
      <c r="V79" s="6">
        <v>0</v>
      </c>
      <c r="W79" s="6">
        <v>0</v>
      </c>
      <c r="X79" s="6">
        <v>1</v>
      </c>
      <c r="Y79" s="6">
        <v>0</v>
      </c>
      <c r="Z79" s="6">
        <v>0</v>
      </c>
      <c r="AA79" s="6">
        <v>0</v>
      </c>
    </row>
    <row r="80" spans="1:27" x14ac:dyDescent="0.3">
      <c r="A80" s="8" t="s">
        <v>102</v>
      </c>
      <c r="B80" s="8" t="s">
        <v>10</v>
      </c>
      <c r="C80" s="8" t="s">
        <v>69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</row>
    <row r="81" spans="1:27" x14ac:dyDescent="0.3">
      <c r="A81" s="8" t="s">
        <v>103</v>
      </c>
      <c r="B81" s="8" t="s">
        <v>8</v>
      </c>
      <c r="C81" s="8" t="s">
        <v>60</v>
      </c>
      <c r="D81" s="6">
        <v>1</v>
      </c>
      <c r="E81" s="6">
        <v>1</v>
      </c>
      <c r="F81" s="6">
        <v>1</v>
      </c>
      <c r="G81" s="6">
        <v>1</v>
      </c>
      <c r="H81" s="6">
        <v>1</v>
      </c>
      <c r="I81" s="6">
        <v>1</v>
      </c>
      <c r="J81" s="6">
        <v>1</v>
      </c>
      <c r="K81" s="6">
        <v>1</v>
      </c>
      <c r="L81" s="6">
        <v>1</v>
      </c>
      <c r="M81" s="6">
        <v>1</v>
      </c>
      <c r="N81" s="6">
        <v>1</v>
      </c>
      <c r="O81" s="6">
        <v>1</v>
      </c>
      <c r="P81" s="6">
        <v>1</v>
      </c>
      <c r="Q81" s="6">
        <v>1</v>
      </c>
      <c r="R81" s="6">
        <v>1</v>
      </c>
      <c r="S81" s="6">
        <v>1</v>
      </c>
      <c r="T81" s="6">
        <v>1</v>
      </c>
      <c r="U81" s="6">
        <v>1</v>
      </c>
      <c r="V81" s="6">
        <v>1</v>
      </c>
      <c r="W81" s="6">
        <v>1</v>
      </c>
      <c r="X81" s="6">
        <v>1</v>
      </c>
      <c r="Y81" s="6">
        <v>1</v>
      </c>
      <c r="Z81" s="6">
        <v>1</v>
      </c>
      <c r="AA81" s="6">
        <v>1</v>
      </c>
    </row>
    <row r="82" spans="1:27" x14ac:dyDescent="0.3">
      <c r="A82" s="8" t="s">
        <v>103</v>
      </c>
      <c r="B82" s="8" t="s">
        <v>8</v>
      </c>
      <c r="C82" s="8" t="s">
        <v>150</v>
      </c>
      <c r="D82" s="6">
        <v>1</v>
      </c>
      <c r="E82" s="6">
        <v>1</v>
      </c>
      <c r="F82" s="6">
        <v>1</v>
      </c>
      <c r="G82" s="6">
        <v>1</v>
      </c>
      <c r="H82" s="6">
        <v>1</v>
      </c>
      <c r="I82" s="6">
        <v>1</v>
      </c>
      <c r="J82" s="6">
        <v>1</v>
      </c>
      <c r="K82" s="6">
        <v>1</v>
      </c>
      <c r="L82" s="6">
        <v>0</v>
      </c>
      <c r="M82" s="6">
        <v>0</v>
      </c>
      <c r="N82" s="6">
        <v>1</v>
      </c>
      <c r="O82" s="6">
        <v>1</v>
      </c>
      <c r="P82" s="6">
        <v>1</v>
      </c>
      <c r="Q82" s="6">
        <v>0</v>
      </c>
      <c r="R82" s="6">
        <v>1</v>
      </c>
      <c r="S82" s="6">
        <v>1</v>
      </c>
      <c r="T82" s="6">
        <v>0</v>
      </c>
      <c r="U82" s="6">
        <v>0</v>
      </c>
      <c r="V82" s="6">
        <v>1</v>
      </c>
      <c r="W82" s="6">
        <v>1</v>
      </c>
      <c r="X82" s="6">
        <v>1</v>
      </c>
      <c r="Y82" s="6">
        <v>1</v>
      </c>
      <c r="Z82" s="6">
        <v>1</v>
      </c>
      <c r="AA82" s="6">
        <v>1</v>
      </c>
    </row>
    <row r="83" spans="1:27" x14ac:dyDescent="0.3">
      <c r="A83" s="8" t="s">
        <v>103</v>
      </c>
      <c r="B83" s="8" t="s">
        <v>8</v>
      </c>
      <c r="C83" s="8" t="s">
        <v>61</v>
      </c>
      <c r="D83" s="6">
        <v>1</v>
      </c>
      <c r="E83" s="6">
        <v>0</v>
      </c>
      <c r="F83" s="6">
        <v>0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1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1</v>
      </c>
      <c r="W83" s="6">
        <v>0</v>
      </c>
      <c r="X83" s="6">
        <v>0</v>
      </c>
      <c r="Y83" s="6">
        <v>0</v>
      </c>
      <c r="Z83" s="6">
        <v>1</v>
      </c>
      <c r="AA83" s="6">
        <v>0</v>
      </c>
    </row>
    <row r="84" spans="1:27" x14ac:dyDescent="0.3">
      <c r="A84" s="8" t="s">
        <v>103</v>
      </c>
      <c r="B84" s="8" t="s">
        <v>8</v>
      </c>
      <c r="C84" s="8" t="s">
        <v>152</v>
      </c>
      <c r="D84" s="6">
        <v>1</v>
      </c>
      <c r="E84" s="6">
        <v>0</v>
      </c>
      <c r="F84" s="6">
        <v>0</v>
      </c>
      <c r="G84" s="6">
        <v>0</v>
      </c>
      <c r="H84" s="6">
        <v>1</v>
      </c>
      <c r="I84" s="6">
        <v>0</v>
      </c>
      <c r="J84" s="6">
        <v>1</v>
      </c>
      <c r="K84" s="6">
        <v>1</v>
      </c>
      <c r="L84" s="6">
        <v>1</v>
      </c>
      <c r="M84" s="6">
        <v>0</v>
      </c>
      <c r="N84" s="6">
        <v>1</v>
      </c>
      <c r="O84" s="6">
        <v>0</v>
      </c>
      <c r="P84" s="6">
        <v>0</v>
      </c>
      <c r="Q84" s="6">
        <v>0</v>
      </c>
      <c r="R84" s="6">
        <v>1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1</v>
      </c>
      <c r="Y84" s="6">
        <v>0</v>
      </c>
      <c r="Z84" s="6">
        <v>1</v>
      </c>
      <c r="AA84" s="6">
        <v>0</v>
      </c>
    </row>
    <row r="85" spans="1:27" x14ac:dyDescent="0.3">
      <c r="A85" s="8" t="s">
        <v>103</v>
      </c>
      <c r="B85" s="8" t="s">
        <v>8</v>
      </c>
      <c r="C85" s="8" t="s">
        <v>151</v>
      </c>
      <c r="D85" s="6">
        <v>1</v>
      </c>
      <c r="E85" s="6">
        <v>1</v>
      </c>
      <c r="F85" s="6">
        <v>1</v>
      </c>
      <c r="G85" s="6">
        <v>1</v>
      </c>
      <c r="H85" s="6">
        <v>1</v>
      </c>
      <c r="I85" s="6">
        <v>0</v>
      </c>
      <c r="J85" s="6">
        <v>1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1</v>
      </c>
      <c r="S85" s="6">
        <v>1</v>
      </c>
      <c r="T85" s="6">
        <v>1</v>
      </c>
      <c r="U85" s="6">
        <v>1</v>
      </c>
      <c r="V85" s="6">
        <v>1</v>
      </c>
      <c r="W85" s="6">
        <v>1</v>
      </c>
      <c r="X85" s="6">
        <v>1</v>
      </c>
      <c r="Y85" s="6">
        <v>0</v>
      </c>
      <c r="Z85" s="6">
        <v>1</v>
      </c>
      <c r="AA85" s="6">
        <v>1</v>
      </c>
    </row>
    <row r="86" spans="1:27" x14ac:dyDescent="0.3">
      <c r="A86" s="8" t="s">
        <v>103</v>
      </c>
      <c r="B86" s="8" t="s">
        <v>8</v>
      </c>
      <c r="C86" s="8" t="s">
        <v>62</v>
      </c>
      <c r="D86" s="6">
        <v>1</v>
      </c>
      <c r="E86" s="6">
        <v>1</v>
      </c>
      <c r="F86" s="6">
        <v>1</v>
      </c>
      <c r="G86" s="6">
        <v>1</v>
      </c>
      <c r="H86" s="6">
        <v>1</v>
      </c>
      <c r="I86" s="6">
        <v>1</v>
      </c>
      <c r="J86" s="6">
        <v>1</v>
      </c>
      <c r="K86" s="6">
        <v>1</v>
      </c>
      <c r="L86" s="6">
        <v>1</v>
      </c>
      <c r="M86" s="6">
        <v>1</v>
      </c>
      <c r="N86" s="6">
        <v>1</v>
      </c>
      <c r="O86" s="6">
        <v>1</v>
      </c>
      <c r="P86" s="6">
        <v>1</v>
      </c>
      <c r="Q86" s="6">
        <v>1</v>
      </c>
      <c r="R86" s="6">
        <v>1</v>
      </c>
      <c r="S86" s="6">
        <v>1</v>
      </c>
      <c r="T86" s="6">
        <v>1</v>
      </c>
      <c r="U86" s="6">
        <v>1</v>
      </c>
      <c r="V86" s="6">
        <v>1</v>
      </c>
      <c r="W86" s="6">
        <v>1</v>
      </c>
      <c r="X86" s="6">
        <v>1</v>
      </c>
      <c r="Y86" s="6">
        <v>1</v>
      </c>
      <c r="Z86" s="6">
        <v>1</v>
      </c>
      <c r="AA86" s="6">
        <v>1</v>
      </c>
    </row>
    <row r="87" spans="1:27" x14ac:dyDescent="0.3">
      <c r="A87" s="8" t="s">
        <v>103</v>
      </c>
      <c r="B87" s="8" t="s">
        <v>8</v>
      </c>
      <c r="C87" s="8" t="s">
        <v>63</v>
      </c>
      <c r="D87" s="6">
        <v>1</v>
      </c>
      <c r="E87" s="6">
        <v>1</v>
      </c>
      <c r="F87" s="6">
        <v>1</v>
      </c>
      <c r="G87" s="6">
        <v>1</v>
      </c>
      <c r="H87" s="6">
        <v>1</v>
      </c>
      <c r="I87" s="6">
        <v>1</v>
      </c>
      <c r="J87" s="6">
        <v>1</v>
      </c>
      <c r="K87" s="6">
        <v>0</v>
      </c>
      <c r="L87" s="6">
        <v>1</v>
      </c>
      <c r="M87" s="6">
        <v>1</v>
      </c>
      <c r="N87" s="6">
        <v>1</v>
      </c>
      <c r="O87" s="6">
        <v>1</v>
      </c>
      <c r="P87" s="6">
        <v>1</v>
      </c>
      <c r="Q87" s="6">
        <v>1</v>
      </c>
      <c r="R87" s="6">
        <v>1</v>
      </c>
      <c r="S87" s="6">
        <v>0</v>
      </c>
      <c r="T87" s="6">
        <v>1</v>
      </c>
      <c r="U87" s="6">
        <v>0</v>
      </c>
      <c r="V87" s="6">
        <v>1</v>
      </c>
      <c r="W87" s="6">
        <v>0</v>
      </c>
      <c r="X87" s="6">
        <v>1</v>
      </c>
      <c r="Y87" s="6">
        <v>1</v>
      </c>
      <c r="Z87" s="6">
        <v>1</v>
      </c>
      <c r="AA87" s="6">
        <v>1</v>
      </c>
    </row>
    <row r="88" spans="1:27" x14ac:dyDescent="0.3">
      <c r="A88" s="8" t="s">
        <v>103</v>
      </c>
      <c r="B88" s="8" t="s">
        <v>8</v>
      </c>
      <c r="C88" s="8" t="s">
        <v>64</v>
      </c>
      <c r="D88" s="6">
        <v>1</v>
      </c>
      <c r="E88" s="6">
        <v>0</v>
      </c>
      <c r="F88" s="6">
        <v>1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1</v>
      </c>
      <c r="M88" s="6">
        <v>0</v>
      </c>
      <c r="N88" s="6">
        <v>1</v>
      </c>
      <c r="O88" s="6">
        <v>0</v>
      </c>
      <c r="P88" s="6">
        <v>1</v>
      </c>
      <c r="Q88" s="6">
        <v>1</v>
      </c>
      <c r="R88" s="6">
        <v>0</v>
      </c>
      <c r="S88" s="6">
        <v>0</v>
      </c>
      <c r="T88" s="6">
        <v>1</v>
      </c>
      <c r="U88" s="6">
        <v>1</v>
      </c>
      <c r="V88" s="6">
        <v>0</v>
      </c>
      <c r="W88" s="6">
        <v>0</v>
      </c>
      <c r="X88" s="6">
        <v>1</v>
      </c>
      <c r="Y88" s="6">
        <v>0</v>
      </c>
      <c r="Z88" s="6">
        <v>1</v>
      </c>
      <c r="AA88" s="6">
        <v>0</v>
      </c>
    </row>
    <row r="89" spans="1:27" x14ac:dyDescent="0.3">
      <c r="A89" s="8" t="s">
        <v>103</v>
      </c>
      <c r="B89" s="8" t="s">
        <v>8</v>
      </c>
      <c r="C89" s="8" t="s">
        <v>65</v>
      </c>
      <c r="D89" s="6">
        <v>1</v>
      </c>
      <c r="E89" s="6">
        <v>1</v>
      </c>
      <c r="F89" s="6">
        <v>1</v>
      </c>
      <c r="G89" s="6">
        <v>1</v>
      </c>
      <c r="H89" s="6">
        <v>1</v>
      </c>
      <c r="I89" s="6">
        <v>1</v>
      </c>
      <c r="J89" s="6">
        <v>1</v>
      </c>
      <c r="K89" s="6">
        <v>1</v>
      </c>
      <c r="L89" s="6">
        <v>1</v>
      </c>
      <c r="M89" s="6">
        <v>1</v>
      </c>
      <c r="N89" s="6">
        <v>1</v>
      </c>
      <c r="O89" s="6">
        <v>1</v>
      </c>
      <c r="P89" s="6">
        <v>1</v>
      </c>
      <c r="Q89" s="6">
        <v>1</v>
      </c>
      <c r="R89" s="6">
        <v>1</v>
      </c>
      <c r="S89" s="6">
        <v>1</v>
      </c>
      <c r="T89" s="6">
        <v>1</v>
      </c>
      <c r="U89" s="6">
        <v>1</v>
      </c>
      <c r="V89" s="6">
        <v>1</v>
      </c>
      <c r="W89" s="6">
        <v>1</v>
      </c>
      <c r="X89" s="6">
        <v>1</v>
      </c>
      <c r="Y89" s="6">
        <v>1</v>
      </c>
      <c r="Z89" s="6">
        <v>1</v>
      </c>
      <c r="AA89" s="6">
        <v>1</v>
      </c>
    </row>
    <row r="90" spans="1:27" x14ac:dyDescent="0.3">
      <c r="A90" s="8" t="s">
        <v>103</v>
      </c>
      <c r="B90" s="8" t="s">
        <v>8</v>
      </c>
      <c r="C90" s="8" t="s">
        <v>66</v>
      </c>
      <c r="D90" s="6">
        <v>0</v>
      </c>
      <c r="E90" s="6">
        <v>0</v>
      </c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v>0</v>
      </c>
      <c r="W90" s="6">
        <v>0</v>
      </c>
      <c r="X90" s="6">
        <v>0</v>
      </c>
      <c r="Y90" s="6">
        <v>0</v>
      </c>
      <c r="Z90" s="6">
        <v>0</v>
      </c>
      <c r="AA90" s="6">
        <v>0</v>
      </c>
    </row>
    <row r="91" spans="1:27" x14ac:dyDescent="0.3">
      <c r="A91" s="8" t="s">
        <v>103</v>
      </c>
      <c r="B91" s="8" t="s">
        <v>8</v>
      </c>
      <c r="C91" s="8" t="s">
        <v>67</v>
      </c>
      <c r="D91" s="6">
        <v>0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1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</row>
    <row r="92" spans="1:27" x14ac:dyDescent="0.3">
      <c r="A92" s="8" t="s">
        <v>103</v>
      </c>
      <c r="B92" s="8" t="s">
        <v>8</v>
      </c>
      <c r="C92" s="8" t="s">
        <v>68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v>0</v>
      </c>
      <c r="W92" s="6">
        <v>0</v>
      </c>
      <c r="X92" s="6">
        <v>0</v>
      </c>
      <c r="Y92" s="6">
        <v>0</v>
      </c>
      <c r="Z92" s="6">
        <v>0</v>
      </c>
      <c r="AA92" s="6">
        <v>0</v>
      </c>
    </row>
    <row r="93" spans="1:27" x14ac:dyDescent="0.3">
      <c r="A93" s="8" t="s">
        <v>103</v>
      </c>
      <c r="B93" s="8" t="s">
        <v>8</v>
      </c>
      <c r="C93" s="8" t="s">
        <v>69</v>
      </c>
      <c r="D93" s="6">
        <v>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</row>
    <row r="94" spans="1:27" x14ac:dyDescent="0.3">
      <c r="A94" s="8" t="s">
        <v>103</v>
      </c>
      <c r="B94" s="8" t="s">
        <v>9</v>
      </c>
      <c r="C94" s="8" t="s">
        <v>60</v>
      </c>
      <c r="D94" s="6">
        <v>1</v>
      </c>
      <c r="E94" s="6">
        <v>1</v>
      </c>
      <c r="F94" s="6">
        <v>1</v>
      </c>
      <c r="G94" s="6">
        <v>1</v>
      </c>
      <c r="H94" s="6">
        <v>1</v>
      </c>
      <c r="I94" s="6">
        <v>1</v>
      </c>
      <c r="J94" s="6">
        <v>1</v>
      </c>
      <c r="K94" s="6">
        <v>1</v>
      </c>
      <c r="L94" s="6">
        <v>1</v>
      </c>
      <c r="M94" s="6">
        <v>1</v>
      </c>
      <c r="N94" s="6">
        <v>1</v>
      </c>
      <c r="O94" s="6">
        <v>1</v>
      </c>
      <c r="P94" s="6">
        <v>1</v>
      </c>
      <c r="Q94" s="6">
        <v>1</v>
      </c>
      <c r="R94" s="6">
        <v>1</v>
      </c>
      <c r="S94" s="6">
        <v>1</v>
      </c>
      <c r="T94" s="6">
        <v>1</v>
      </c>
      <c r="U94" s="6">
        <v>1</v>
      </c>
      <c r="V94" s="6">
        <v>1</v>
      </c>
      <c r="W94" s="6">
        <v>1</v>
      </c>
      <c r="X94" s="6">
        <v>1</v>
      </c>
      <c r="Y94" s="6">
        <v>1</v>
      </c>
      <c r="Z94" s="6">
        <v>1</v>
      </c>
      <c r="AA94" s="6">
        <v>1</v>
      </c>
    </row>
    <row r="95" spans="1:27" x14ac:dyDescent="0.3">
      <c r="A95" s="8" t="s">
        <v>103</v>
      </c>
      <c r="B95" s="8" t="s">
        <v>9</v>
      </c>
      <c r="C95" s="8" t="s">
        <v>150</v>
      </c>
      <c r="D95" s="6">
        <v>1</v>
      </c>
      <c r="E95" s="6">
        <v>1</v>
      </c>
      <c r="F95" s="6">
        <v>1</v>
      </c>
      <c r="G95" s="6">
        <v>1</v>
      </c>
      <c r="H95" s="6">
        <v>1</v>
      </c>
      <c r="I95" s="6">
        <v>1</v>
      </c>
      <c r="J95" s="6">
        <v>0</v>
      </c>
      <c r="K95" s="6">
        <v>0</v>
      </c>
      <c r="L95" s="6">
        <v>0</v>
      </c>
      <c r="M95" s="6">
        <v>0</v>
      </c>
      <c r="N95" s="6">
        <v>1</v>
      </c>
      <c r="O95" s="6">
        <v>0</v>
      </c>
      <c r="P95" s="6">
        <v>1</v>
      </c>
      <c r="Q95" s="6">
        <v>0</v>
      </c>
      <c r="R95" s="6">
        <v>1</v>
      </c>
      <c r="S95" s="6">
        <v>1</v>
      </c>
      <c r="T95" s="6">
        <v>1</v>
      </c>
      <c r="U95" s="6">
        <v>0</v>
      </c>
      <c r="V95" s="6">
        <v>1</v>
      </c>
      <c r="W95" s="6">
        <v>1</v>
      </c>
      <c r="X95" s="6">
        <v>1</v>
      </c>
      <c r="Y95" s="6">
        <v>1</v>
      </c>
      <c r="Z95" s="6">
        <v>1</v>
      </c>
      <c r="AA95" s="6">
        <v>1</v>
      </c>
    </row>
    <row r="96" spans="1:27" x14ac:dyDescent="0.3">
      <c r="A96" s="8" t="s">
        <v>103</v>
      </c>
      <c r="B96" s="8" t="s">
        <v>9</v>
      </c>
      <c r="C96" s="8" t="s">
        <v>61</v>
      </c>
      <c r="D96" s="6">
        <v>1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1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1</v>
      </c>
      <c r="W96" s="6">
        <v>0</v>
      </c>
      <c r="X96" s="6">
        <v>0</v>
      </c>
      <c r="Y96" s="6">
        <v>0</v>
      </c>
      <c r="Z96" s="6">
        <v>1</v>
      </c>
      <c r="AA96" s="6">
        <v>0</v>
      </c>
    </row>
    <row r="97" spans="1:27" x14ac:dyDescent="0.3">
      <c r="A97" s="8" t="s">
        <v>103</v>
      </c>
      <c r="B97" s="8" t="s">
        <v>9</v>
      </c>
      <c r="C97" s="8" t="s">
        <v>152</v>
      </c>
      <c r="D97" s="6">
        <v>1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1</v>
      </c>
      <c r="K97" s="6">
        <v>1</v>
      </c>
      <c r="L97" s="6">
        <v>1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1</v>
      </c>
      <c r="S97" s="6">
        <v>0</v>
      </c>
      <c r="T97" s="6">
        <v>0</v>
      </c>
      <c r="U97" s="6">
        <v>0</v>
      </c>
      <c r="V97" s="6">
        <v>0</v>
      </c>
      <c r="W97" s="6">
        <v>0</v>
      </c>
      <c r="X97" s="6">
        <v>1</v>
      </c>
      <c r="Y97" s="6">
        <v>0</v>
      </c>
      <c r="Z97" s="6">
        <v>1</v>
      </c>
      <c r="AA97" s="6">
        <v>0</v>
      </c>
    </row>
    <row r="98" spans="1:27" x14ac:dyDescent="0.3">
      <c r="A98" s="8" t="s">
        <v>103</v>
      </c>
      <c r="B98" s="8" t="s">
        <v>9</v>
      </c>
      <c r="C98" s="8" t="s">
        <v>151</v>
      </c>
      <c r="D98" s="6">
        <v>1</v>
      </c>
      <c r="E98" s="6">
        <v>1</v>
      </c>
      <c r="F98" s="6">
        <v>1</v>
      </c>
      <c r="G98" s="6">
        <v>1</v>
      </c>
      <c r="H98" s="6">
        <v>1</v>
      </c>
      <c r="I98" s="6">
        <v>0</v>
      </c>
      <c r="J98" s="6">
        <v>1</v>
      </c>
      <c r="K98" s="6">
        <v>1</v>
      </c>
      <c r="L98" s="6">
        <v>1</v>
      </c>
      <c r="M98" s="6">
        <v>1</v>
      </c>
      <c r="N98" s="6">
        <v>1</v>
      </c>
      <c r="O98" s="6">
        <v>1</v>
      </c>
      <c r="P98" s="6">
        <v>0</v>
      </c>
      <c r="Q98" s="6">
        <v>0</v>
      </c>
      <c r="R98" s="6">
        <v>1</v>
      </c>
      <c r="S98" s="6">
        <v>1</v>
      </c>
      <c r="T98" s="6">
        <v>1</v>
      </c>
      <c r="U98" s="6">
        <v>1</v>
      </c>
      <c r="V98" s="6">
        <v>1</v>
      </c>
      <c r="W98" s="6">
        <v>1</v>
      </c>
      <c r="X98" s="6">
        <v>1</v>
      </c>
      <c r="Y98" s="6">
        <v>0</v>
      </c>
      <c r="Z98" s="6">
        <v>1</v>
      </c>
      <c r="AA98" s="6">
        <v>1</v>
      </c>
    </row>
    <row r="99" spans="1:27" x14ac:dyDescent="0.3">
      <c r="A99" s="8" t="s">
        <v>103</v>
      </c>
      <c r="B99" s="8" t="s">
        <v>9</v>
      </c>
      <c r="C99" s="8" t="s">
        <v>62</v>
      </c>
      <c r="D99" s="6">
        <v>1</v>
      </c>
      <c r="E99" s="6">
        <v>1</v>
      </c>
      <c r="F99" s="6">
        <v>1</v>
      </c>
      <c r="G99" s="6">
        <v>1</v>
      </c>
      <c r="H99" s="6">
        <v>1</v>
      </c>
      <c r="I99" s="6">
        <v>1</v>
      </c>
      <c r="J99" s="6">
        <v>1</v>
      </c>
      <c r="K99" s="6">
        <v>1</v>
      </c>
      <c r="L99" s="6">
        <v>1</v>
      </c>
      <c r="M99" s="6">
        <v>1</v>
      </c>
      <c r="N99" s="6">
        <v>1</v>
      </c>
      <c r="O99" s="6">
        <v>1</v>
      </c>
      <c r="P99" s="6">
        <v>1</v>
      </c>
      <c r="Q99" s="6">
        <v>1</v>
      </c>
      <c r="R99" s="6">
        <v>1</v>
      </c>
      <c r="S99" s="6">
        <v>1</v>
      </c>
      <c r="T99" s="6">
        <v>1</v>
      </c>
      <c r="U99" s="6">
        <v>1</v>
      </c>
      <c r="V99" s="6">
        <v>1</v>
      </c>
      <c r="W99" s="6">
        <v>1</v>
      </c>
      <c r="X99" s="6">
        <v>1</v>
      </c>
      <c r="Y99" s="6">
        <v>1</v>
      </c>
      <c r="Z99" s="6">
        <v>1</v>
      </c>
      <c r="AA99" s="6">
        <v>1</v>
      </c>
    </row>
    <row r="100" spans="1:27" x14ac:dyDescent="0.3">
      <c r="A100" s="8" t="s">
        <v>103</v>
      </c>
      <c r="B100" s="8" t="s">
        <v>9</v>
      </c>
      <c r="C100" s="8" t="s">
        <v>63</v>
      </c>
      <c r="D100" s="6">
        <v>1</v>
      </c>
      <c r="E100" s="6">
        <v>1</v>
      </c>
      <c r="F100" s="6">
        <v>1</v>
      </c>
      <c r="G100" s="6">
        <v>1</v>
      </c>
      <c r="H100" s="6">
        <v>1</v>
      </c>
      <c r="I100" s="6">
        <v>1</v>
      </c>
      <c r="J100" s="6">
        <v>1</v>
      </c>
      <c r="K100" s="6">
        <v>1</v>
      </c>
      <c r="L100" s="6">
        <v>1</v>
      </c>
      <c r="M100" s="6">
        <v>1</v>
      </c>
      <c r="N100" s="6">
        <v>1</v>
      </c>
      <c r="O100" s="6">
        <v>0</v>
      </c>
      <c r="P100" s="6">
        <v>1</v>
      </c>
      <c r="Q100" s="6">
        <v>1</v>
      </c>
      <c r="R100" s="6">
        <v>1</v>
      </c>
      <c r="S100" s="6">
        <v>0</v>
      </c>
      <c r="T100" s="6">
        <v>1</v>
      </c>
      <c r="U100" s="6">
        <v>1</v>
      </c>
      <c r="V100" s="6">
        <v>1</v>
      </c>
      <c r="W100" s="6">
        <v>0</v>
      </c>
      <c r="X100" s="6">
        <v>1</v>
      </c>
      <c r="Y100" s="6">
        <v>1</v>
      </c>
      <c r="Z100" s="6">
        <v>1</v>
      </c>
      <c r="AA100" s="6">
        <v>1</v>
      </c>
    </row>
    <row r="101" spans="1:27" x14ac:dyDescent="0.3">
      <c r="A101" s="8" t="s">
        <v>103</v>
      </c>
      <c r="B101" s="8" t="s">
        <v>9</v>
      </c>
      <c r="C101" s="8" t="s">
        <v>64</v>
      </c>
      <c r="D101" s="6">
        <v>1</v>
      </c>
      <c r="E101" s="6">
        <v>0</v>
      </c>
      <c r="F101" s="6">
        <v>1</v>
      </c>
      <c r="G101" s="6">
        <v>0</v>
      </c>
      <c r="H101" s="6">
        <v>1</v>
      </c>
      <c r="I101" s="6">
        <v>0</v>
      </c>
      <c r="J101" s="6">
        <v>1</v>
      </c>
      <c r="K101" s="6">
        <v>0</v>
      </c>
      <c r="L101" s="6">
        <v>1</v>
      </c>
      <c r="M101" s="6">
        <v>0</v>
      </c>
      <c r="N101" s="6">
        <v>1</v>
      </c>
      <c r="O101" s="6">
        <v>1</v>
      </c>
      <c r="P101" s="6">
        <v>1</v>
      </c>
      <c r="Q101" s="6">
        <v>1</v>
      </c>
      <c r="R101" s="6">
        <v>0</v>
      </c>
      <c r="S101" s="6">
        <v>0</v>
      </c>
      <c r="T101" s="6">
        <v>1</v>
      </c>
      <c r="U101" s="6">
        <v>0</v>
      </c>
      <c r="V101" s="6">
        <v>0</v>
      </c>
      <c r="W101" s="6">
        <v>0</v>
      </c>
      <c r="X101" s="6">
        <v>1</v>
      </c>
      <c r="Y101" s="6">
        <v>0</v>
      </c>
      <c r="Z101" s="6">
        <v>1</v>
      </c>
      <c r="AA101" s="6">
        <v>0</v>
      </c>
    </row>
    <row r="102" spans="1:27" x14ac:dyDescent="0.3">
      <c r="A102" s="8" t="s">
        <v>103</v>
      </c>
      <c r="B102" s="8" t="s">
        <v>9</v>
      </c>
      <c r="C102" s="8" t="s">
        <v>65</v>
      </c>
      <c r="D102" s="6">
        <v>1</v>
      </c>
      <c r="E102" s="6">
        <v>1</v>
      </c>
      <c r="F102" s="6">
        <v>1</v>
      </c>
      <c r="G102" s="6">
        <v>1</v>
      </c>
      <c r="H102" s="6">
        <v>1</v>
      </c>
      <c r="I102" s="6">
        <v>1</v>
      </c>
      <c r="J102" s="6">
        <v>1</v>
      </c>
      <c r="K102" s="6">
        <v>1</v>
      </c>
      <c r="L102" s="6">
        <v>1</v>
      </c>
      <c r="M102" s="6">
        <v>1</v>
      </c>
      <c r="N102" s="6">
        <v>1</v>
      </c>
      <c r="O102" s="6">
        <v>1</v>
      </c>
      <c r="P102" s="6">
        <v>1</v>
      </c>
      <c r="Q102" s="6">
        <v>1</v>
      </c>
      <c r="R102" s="6">
        <v>1</v>
      </c>
      <c r="S102" s="6">
        <v>1</v>
      </c>
      <c r="T102" s="6">
        <v>1</v>
      </c>
      <c r="U102" s="6">
        <v>1</v>
      </c>
      <c r="V102" s="6">
        <v>1</v>
      </c>
      <c r="W102" s="6">
        <v>1</v>
      </c>
      <c r="X102" s="6">
        <v>1</v>
      </c>
      <c r="Y102" s="6">
        <v>1</v>
      </c>
      <c r="Z102" s="6">
        <v>1</v>
      </c>
      <c r="AA102" s="6">
        <v>1</v>
      </c>
    </row>
    <row r="103" spans="1:27" x14ac:dyDescent="0.3">
      <c r="A103" s="8" t="s">
        <v>103</v>
      </c>
      <c r="B103" s="8" t="s">
        <v>9</v>
      </c>
      <c r="C103" s="8" t="s">
        <v>66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R103" s="6">
        <v>0</v>
      </c>
      <c r="S103" s="6">
        <v>0</v>
      </c>
      <c r="T103" s="6">
        <v>0</v>
      </c>
      <c r="U103" s="6">
        <v>0</v>
      </c>
      <c r="V103" s="6">
        <v>0</v>
      </c>
      <c r="W103" s="6">
        <v>0</v>
      </c>
      <c r="X103" s="6">
        <v>0</v>
      </c>
      <c r="Y103" s="6">
        <v>0</v>
      </c>
      <c r="Z103" s="6">
        <v>0</v>
      </c>
      <c r="AA103" s="6">
        <v>0</v>
      </c>
    </row>
    <row r="104" spans="1:27" x14ac:dyDescent="0.3">
      <c r="A104" s="8" t="s">
        <v>103</v>
      </c>
      <c r="B104" s="8" t="s">
        <v>9</v>
      </c>
      <c r="C104" s="8" t="s">
        <v>67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v>0</v>
      </c>
      <c r="W104" s="6">
        <v>0</v>
      </c>
      <c r="X104" s="6">
        <v>0</v>
      </c>
      <c r="Y104" s="6">
        <v>0</v>
      </c>
      <c r="Z104" s="6">
        <v>0</v>
      </c>
      <c r="AA104" s="6">
        <v>0</v>
      </c>
    </row>
    <row r="105" spans="1:27" x14ac:dyDescent="0.3">
      <c r="A105" s="8" t="s">
        <v>103</v>
      </c>
      <c r="B105" s="8" t="s">
        <v>9</v>
      </c>
      <c r="C105" s="8" t="s">
        <v>68</v>
      </c>
      <c r="D105" s="6">
        <v>0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S105" s="6">
        <v>0</v>
      </c>
      <c r="T105" s="6">
        <v>0</v>
      </c>
      <c r="U105" s="6">
        <v>0</v>
      </c>
      <c r="V105" s="6">
        <v>0</v>
      </c>
      <c r="W105" s="6">
        <v>0</v>
      </c>
      <c r="X105" s="6">
        <v>0</v>
      </c>
      <c r="Y105" s="6">
        <v>0</v>
      </c>
      <c r="Z105" s="6">
        <v>0</v>
      </c>
      <c r="AA105" s="6">
        <v>0</v>
      </c>
    </row>
    <row r="106" spans="1:27" x14ac:dyDescent="0.3">
      <c r="A106" s="8" t="s">
        <v>103</v>
      </c>
      <c r="B106" s="8" t="s">
        <v>9</v>
      </c>
      <c r="C106" s="8" t="s">
        <v>69</v>
      </c>
      <c r="D106" s="6">
        <v>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v>0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</row>
    <row r="107" spans="1:27" x14ac:dyDescent="0.3">
      <c r="A107" s="8" t="s">
        <v>103</v>
      </c>
      <c r="B107" s="8" t="s">
        <v>10</v>
      </c>
      <c r="C107" s="8" t="s">
        <v>60</v>
      </c>
      <c r="D107" s="6">
        <v>1</v>
      </c>
      <c r="E107" s="6">
        <v>1</v>
      </c>
      <c r="F107" s="6">
        <v>1</v>
      </c>
      <c r="G107" s="6">
        <v>1</v>
      </c>
      <c r="H107" s="6">
        <v>1</v>
      </c>
      <c r="I107" s="6">
        <v>1</v>
      </c>
      <c r="J107" s="6">
        <v>1</v>
      </c>
      <c r="K107" s="6">
        <v>1</v>
      </c>
      <c r="L107" s="6">
        <v>1</v>
      </c>
      <c r="M107" s="6">
        <v>1</v>
      </c>
      <c r="N107" s="6">
        <v>1</v>
      </c>
      <c r="O107" s="6">
        <v>1</v>
      </c>
      <c r="P107" s="6">
        <v>1</v>
      </c>
      <c r="Q107" s="6">
        <v>1</v>
      </c>
      <c r="R107" s="6">
        <v>1</v>
      </c>
      <c r="S107" s="6">
        <v>1</v>
      </c>
      <c r="T107" s="6">
        <v>1</v>
      </c>
      <c r="U107" s="6">
        <v>1</v>
      </c>
      <c r="V107" s="6">
        <v>1</v>
      </c>
      <c r="W107" s="6">
        <v>1</v>
      </c>
      <c r="X107" s="6">
        <v>1</v>
      </c>
      <c r="Y107" s="6">
        <v>1</v>
      </c>
      <c r="Z107" s="6">
        <v>1</v>
      </c>
      <c r="AA107" s="6">
        <v>1</v>
      </c>
    </row>
    <row r="108" spans="1:27" x14ac:dyDescent="0.3">
      <c r="A108" s="8" t="s">
        <v>103</v>
      </c>
      <c r="B108" s="8" t="s">
        <v>10</v>
      </c>
      <c r="C108" s="8" t="s">
        <v>150</v>
      </c>
      <c r="D108" s="6">
        <v>1</v>
      </c>
      <c r="E108" s="6">
        <v>1</v>
      </c>
      <c r="F108" s="6">
        <v>1</v>
      </c>
      <c r="G108" s="6">
        <v>1</v>
      </c>
      <c r="H108" s="6">
        <v>1</v>
      </c>
      <c r="I108" s="6">
        <v>1</v>
      </c>
      <c r="J108" s="6">
        <v>1</v>
      </c>
      <c r="K108" s="6">
        <v>1</v>
      </c>
      <c r="L108" s="6">
        <v>0</v>
      </c>
      <c r="M108" s="6">
        <v>0</v>
      </c>
      <c r="N108" s="6">
        <v>1</v>
      </c>
      <c r="O108" s="6">
        <v>0</v>
      </c>
      <c r="P108" s="6">
        <v>1</v>
      </c>
      <c r="Q108" s="6">
        <v>1</v>
      </c>
      <c r="R108" s="6">
        <v>1</v>
      </c>
      <c r="S108" s="6">
        <v>1</v>
      </c>
      <c r="T108" s="6">
        <v>1</v>
      </c>
      <c r="U108" s="6">
        <v>1</v>
      </c>
      <c r="V108" s="6">
        <v>1</v>
      </c>
      <c r="W108" s="6">
        <v>1</v>
      </c>
      <c r="X108" s="6">
        <v>1</v>
      </c>
      <c r="Y108" s="6">
        <v>1</v>
      </c>
      <c r="Z108" s="6">
        <v>1</v>
      </c>
      <c r="AA108" s="6">
        <v>1</v>
      </c>
    </row>
    <row r="109" spans="1:27" x14ac:dyDescent="0.3">
      <c r="A109" s="8" t="s">
        <v>103</v>
      </c>
      <c r="B109" s="8" t="s">
        <v>10</v>
      </c>
      <c r="C109" s="8" t="s">
        <v>61</v>
      </c>
      <c r="D109" s="6">
        <v>1</v>
      </c>
      <c r="E109" s="6">
        <v>0</v>
      </c>
      <c r="F109" s="6">
        <v>0</v>
      </c>
      <c r="G109" s="6">
        <v>0</v>
      </c>
      <c r="H109" s="6">
        <v>1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1</v>
      </c>
      <c r="Q109" s="6">
        <v>0</v>
      </c>
      <c r="R109" s="6">
        <v>0</v>
      </c>
      <c r="S109" s="6">
        <v>0</v>
      </c>
      <c r="T109" s="6">
        <v>1</v>
      </c>
      <c r="U109" s="6">
        <v>0</v>
      </c>
      <c r="V109" s="6">
        <v>1</v>
      </c>
      <c r="W109" s="6">
        <v>0</v>
      </c>
      <c r="X109" s="6">
        <v>0</v>
      </c>
      <c r="Y109" s="6">
        <v>0</v>
      </c>
      <c r="Z109" s="6">
        <v>1</v>
      </c>
      <c r="AA109" s="6">
        <v>0</v>
      </c>
    </row>
    <row r="110" spans="1:27" x14ac:dyDescent="0.3">
      <c r="A110" s="8" t="s">
        <v>103</v>
      </c>
      <c r="B110" s="8" t="s">
        <v>10</v>
      </c>
      <c r="C110" s="8" t="s">
        <v>152</v>
      </c>
      <c r="D110" s="6">
        <v>1</v>
      </c>
      <c r="E110" s="6">
        <v>0</v>
      </c>
      <c r="F110" s="6">
        <v>0</v>
      </c>
      <c r="G110" s="6">
        <v>0</v>
      </c>
      <c r="H110" s="6">
        <v>1</v>
      </c>
      <c r="I110" s="6">
        <v>0</v>
      </c>
      <c r="J110" s="6">
        <v>1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1</v>
      </c>
      <c r="S110" s="6">
        <v>0</v>
      </c>
      <c r="T110" s="6">
        <v>1</v>
      </c>
      <c r="U110" s="6">
        <v>0</v>
      </c>
      <c r="V110" s="6">
        <v>0</v>
      </c>
      <c r="W110" s="6">
        <v>0</v>
      </c>
      <c r="X110" s="6">
        <v>0</v>
      </c>
      <c r="Y110" s="6">
        <v>0</v>
      </c>
      <c r="Z110" s="6">
        <v>1</v>
      </c>
      <c r="AA110" s="6">
        <v>0</v>
      </c>
    </row>
    <row r="111" spans="1:27" x14ac:dyDescent="0.3">
      <c r="A111" s="8" t="s">
        <v>103</v>
      </c>
      <c r="B111" s="8" t="s">
        <v>10</v>
      </c>
      <c r="C111" s="8" t="s">
        <v>151</v>
      </c>
      <c r="D111" s="6">
        <v>1</v>
      </c>
      <c r="E111" s="6">
        <v>1</v>
      </c>
      <c r="F111" s="6">
        <v>1</v>
      </c>
      <c r="G111" s="6">
        <v>1</v>
      </c>
      <c r="H111" s="6">
        <v>1</v>
      </c>
      <c r="I111" s="6">
        <v>0</v>
      </c>
      <c r="J111" s="6">
        <v>1</v>
      </c>
      <c r="K111" s="6">
        <v>1</v>
      </c>
      <c r="L111" s="6">
        <v>0</v>
      </c>
      <c r="M111" s="6">
        <v>0</v>
      </c>
      <c r="N111" s="6">
        <v>1</v>
      </c>
      <c r="O111" s="6">
        <v>1</v>
      </c>
      <c r="P111" s="6">
        <v>0</v>
      </c>
      <c r="Q111" s="6">
        <v>0</v>
      </c>
      <c r="R111" s="6">
        <v>1</v>
      </c>
      <c r="S111" s="6">
        <v>1</v>
      </c>
      <c r="T111" s="6">
        <v>1</v>
      </c>
      <c r="U111" s="6">
        <v>1</v>
      </c>
      <c r="V111" s="6">
        <v>1</v>
      </c>
      <c r="W111" s="6">
        <v>1</v>
      </c>
      <c r="X111" s="6">
        <v>0</v>
      </c>
      <c r="Y111" s="6">
        <v>0</v>
      </c>
      <c r="Z111" s="6">
        <v>1</v>
      </c>
      <c r="AA111" s="6">
        <v>1</v>
      </c>
    </row>
    <row r="112" spans="1:27" x14ac:dyDescent="0.3">
      <c r="A112" s="8" t="s">
        <v>103</v>
      </c>
      <c r="B112" s="8" t="s">
        <v>10</v>
      </c>
      <c r="C112" s="8" t="s">
        <v>62</v>
      </c>
      <c r="D112" s="6">
        <v>1</v>
      </c>
      <c r="E112" s="6">
        <v>1</v>
      </c>
      <c r="F112" s="6">
        <v>1</v>
      </c>
      <c r="G112" s="6">
        <v>1</v>
      </c>
      <c r="H112" s="6">
        <v>1</v>
      </c>
      <c r="I112" s="6">
        <v>1</v>
      </c>
      <c r="J112" s="6">
        <v>1</v>
      </c>
      <c r="K112" s="6">
        <v>1</v>
      </c>
      <c r="L112" s="6">
        <v>1</v>
      </c>
      <c r="M112" s="6">
        <v>1</v>
      </c>
      <c r="N112" s="6">
        <v>1</v>
      </c>
      <c r="O112" s="6">
        <v>1</v>
      </c>
      <c r="P112" s="6">
        <v>1</v>
      </c>
      <c r="Q112" s="6">
        <v>1</v>
      </c>
      <c r="R112" s="6">
        <v>1</v>
      </c>
      <c r="S112" s="6">
        <v>1</v>
      </c>
      <c r="T112" s="6">
        <v>1</v>
      </c>
      <c r="U112" s="6">
        <v>1</v>
      </c>
      <c r="V112" s="6">
        <v>1</v>
      </c>
      <c r="W112" s="6">
        <v>1</v>
      </c>
      <c r="X112" s="6">
        <v>1</v>
      </c>
      <c r="Y112" s="6">
        <v>1</v>
      </c>
      <c r="Z112" s="6">
        <v>1</v>
      </c>
      <c r="AA112" s="6">
        <v>1</v>
      </c>
    </row>
    <row r="113" spans="1:27" x14ac:dyDescent="0.3">
      <c r="A113" s="8" t="s">
        <v>103</v>
      </c>
      <c r="B113" s="8" t="s">
        <v>10</v>
      </c>
      <c r="C113" s="8" t="s">
        <v>63</v>
      </c>
      <c r="D113" s="6">
        <v>1</v>
      </c>
      <c r="E113" s="6">
        <v>1</v>
      </c>
      <c r="F113" s="6">
        <v>1</v>
      </c>
      <c r="G113" s="6">
        <v>1</v>
      </c>
      <c r="H113" s="6">
        <v>1</v>
      </c>
      <c r="I113" s="6">
        <v>1</v>
      </c>
      <c r="J113" s="6">
        <v>1</v>
      </c>
      <c r="K113" s="6">
        <v>0</v>
      </c>
      <c r="L113" s="6">
        <v>1</v>
      </c>
      <c r="M113" s="6">
        <v>1</v>
      </c>
      <c r="N113" s="6">
        <v>1</v>
      </c>
      <c r="O113" s="6">
        <v>1</v>
      </c>
      <c r="P113" s="6">
        <v>1</v>
      </c>
      <c r="Q113" s="6">
        <v>1</v>
      </c>
      <c r="R113" s="6">
        <v>1</v>
      </c>
      <c r="S113" s="6">
        <v>0</v>
      </c>
      <c r="T113" s="6">
        <v>1</v>
      </c>
      <c r="U113" s="6">
        <v>0</v>
      </c>
      <c r="V113" s="6">
        <v>1</v>
      </c>
      <c r="W113" s="6">
        <v>0</v>
      </c>
      <c r="X113" s="6">
        <v>1</v>
      </c>
      <c r="Y113" s="6">
        <v>1</v>
      </c>
      <c r="Z113" s="6">
        <v>1</v>
      </c>
      <c r="AA113" s="6">
        <v>1</v>
      </c>
    </row>
    <row r="114" spans="1:27" x14ac:dyDescent="0.3">
      <c r="A114" s="8" t="s">
        <v>103</v>
      </c>
      <c r="B114" s="8" t="s">
        <v>10</v>
      </c>
      <c r="C114" s="8" t="s">
        <v>64</v>
      </c>
      <c r="D114" s="6">
        <v>1</v>
      </c>
      <c r="E114" s="6">
        <v>0</v>
      </c>
      <c r="F114" s="6">
        <v>1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1</v>
      </c>
      <c r="M114" s="6">
        <v>0</v>
      </c>
      <c r="N114" s="6">
        <v>1</v>
      </c>
      <c r="O114" s="6">
        <v>0</v>
      </c>
      <c r="P114" s="6">
        <v>1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v>0</v>
      </c>
      <c r="W114" s="6">
        <v>0</v>
      </c>
      <c r="X114" s="6">
        <v>1</v>
      </c>
      <c r="Y114" s="6">
        <v>0</v>
      </c>
      <c r="Z114" s="6">
        <v>1</v>
      </c>
      <c r="AA114" s="6">
        <v>0</v>
      </c>
    </row>
    <row r="115" spans="1:27" x14ac:dyDescent="0.3">
      <c r="A115" s="8" t="s">
        <v>103</v>
      </c>
      <c r="B115" s="8" t="s">
        <v>10</v>
      </c>
      <c r="C115" s="8" t="s">
        <v>65</v>
      </c>
      <c r="D115" s="6">
        <v>1</v>
      </c>
      <c r="E115" s="6">
        <v>1</v>
      </c>
      <c r="F115" s="6">
        <v>1</v>
      </c>
      <c r="G115" s="6">
        <v>1</v>
      </c>
      <c r="H115" s="6">
        <v>1</v>
      </c>
      <c r="I115" s="6">
        <v>1</v>
      </c>
      <c r="J115" s="6">
        <v>1</v>
      </c>
      <c r="K115" s="6">
        <v>1</v>
      </c>
      <c r="L115" s="6">
        <v>1</v>
      </c>
      <c r="M115" s="6">
        <v>1</v>
      </c>
      <c r="N115" s="6">
        <v>1</v>
      </c>
      <c r="O115" s="6">
        <v>1</v>
      </c>
      <c r="P115" s="6">
        <v>1</v>
      </c>
      <c r="Q115" s="6">
        <v>1</v>
      </c>
      <c r="R115" s="6">
        <v>1</v>
      </c>
      <c r="S115" s="6">
        <v>1</v>
      </c>
      <c r="T115" s="6">
        <v>1</v>
      </c>
      <c r="U115" s="6">
        <v>1</v>
      </c>
      <c r="V115" s="6">
        <v>1</v>
      </c>
      <c r="W115" s="6">
        <v>1</v>
      </c>
      <c r="X115" s="6">
        <v>1</v>
      </c>
      <c r="Y115" s="6">
        <v>1</v>
      </c>
      <c r="Z115" s="6">
        <v>1</v>
      </c>
      <c r="AA115" s="6">
        <v>1</v>
      </c>
    </row>
    <row r="116" spans="1:27" x14ac:dyDescent="0.3">
      <c r="A116" s="8" t="s">
        <v>103</v>
      </c>
      <c r="B116" s="8" t="s">
        <v>10</v>
      </c>
      <c r="C116" s="8" t="s">
        <v>66</v>
      </c>
      <c r="D116" s="6">
        <v>0</v>
      </c>
      <c r="E116" s="6">
        <v>0</v>
      </c>
      <c r="F116" s="6">
        <v>0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6">
        <v>0</v>
      </c>
      <c r="S116" s="6">
        <v>0</v>
      </c>
      <c r="T116" s="6">
        <v>0</v>
      </c>
      <c r="U116" s="6">
        <v>0</v>
      </c>
      <c r="V116" s="6">
        <v>0</v>
      </c>
      <c r="W116" s="6">
        <v>0</v>
      </c>
      <c r="X116" s="6">
        <v>0</v>
      </c>
      <c r="Y116" s="6">
        <v>0</v>
      </c>
      <c r="Z116" s="6">
        <v>0</v>
      </c>
      <c r="AA116" s="6">
        <v>0</v>
      </c>
    </row>
    <row r="117" spans="1:27" x14ac:dyDescent="0.3">
      <c r="A117" s="8" t="s">
        <v>103</v>
      </c>
      <c r="B117" s="8" t="s">
        <v>10</v>
      </c>
      <c r="C117" s="8" t="s">
        <v>67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1</v>
      </c>
      <c r="M117" s="6">
        <v>1</v>
      </c>
      <c r="N117" s="6">
        <v>0</v>
      </c>
      <c r="O117" s="6">
        <v>0</v>
      </c>
      <c r="P117" s="6">
        <v>0</v>
      </c>
      <c r="Q117" s="6">
        <v>0</v>
      </c>
      <c r="R117" s="6">
        <v>0</v>
      </c>
      <c r="S117" s="6">
        <v>0</v>
      </c>
      <c r="T117" s="6">
        <v>0</v>
      </c>
      <c r="U117" s="6">
        <v>0</v>
      </c>
      <c r="V117" s="6">
        <v>0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</row>
    <row r="118" spans="1:27" x14ac:dyDescent="0.3">
      <c r="A118" s="8" t="s">
        <v>103</v>
      </c>
      <c r="B118" s="8" t="s">
        <v>10</v>
      </c>
      <c r="C118" s="8" t="s">
        <v>68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v>0</v>
      </c>
      <c r="W118" s="6">
        <v>0</v>
      </c>
      <c r="X118" s="6">
        <v>1</v>
      </c>
      <c r="Y118" s="6">
        <v>0</v>
      </c>
      <c r="Z118" s="6">
        <v>0</v>
      </c>
      <c r="AA118" s="6">
        <v>0</v>
      </c>
    </row>
    <row r="119" spans="1:27" x14ac:dyDescent="0.3">
      <c r="A119" s="8" t="s">
        <v>103</v>
      </c>
      <c r="B119" s="8" t="s">
        <v>10</v>
      </c>
      <c r="C119" s="8" t="s">
        <v>69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R119" s="6">
        <v>0</v>
      </c>
      <c r="S119" s="6">
        <v>0</v>
      </c>
      <c r="T119" s="6">
        <v>0</v>
      </c>
      <c r="U119" s="6">
        <v>0</v>
      </c>
      <c r="V119" s="6">
        <v>0</v>
      </c>
      <c r="W119" s="6">
        <v>0</v>
      </c>
      <c r="X119" s="6">
        <v>0</v>
      </c>
      <c r="Y119" s="6">
        <v>0</v>
      </c>
      <c r="Z119" s="6">
        <v>0</v>
      </c>
      <c r="AA119" s="6">
        <v>0</v>
      </c>
    </row>
    <row r="120" spans="1:27" x14ac:dyDescent="0.3">
      <c r="A120" s="8" t="s">
        <v>104</v>
      </c>
      <c r="B120" s="8" t="s">
        <v>8</v>
      </c>
      <c r="C120" s="8" t="s">
        <v>60</v>
      </c>
      <c r="D120" s="6">
        <v>1</v>
      </c>
      <c r="E120" s="6">
        <v>1</v>
      </c>
      <c r="F120" s="6">
        <v>1</v>
      </c>
      <c r="G120" s="6">
        <v>1</v>
      </c>
      <c r="H120" s="6">
        <v>1</v>
      </c>
      <c r="I120" s="6">
        <v>1</v>
      </c>
      <c r="J120" s="6">
        <v>1</v>
      </c>
      <c r="K120" s="6">
        <v>1</v>
      </c>
      <c r="L120" s="6">
        <v>1</v>
      </c>
      <c r="M120" s="6">
        <v>1</v>
      </c>
      <c r="N120" s="6">
        <v>1</v>
      </c>
      <c r="O120" s="6">
        <v>1</v>
      </c>
      <c r="P120" s="6">
        <v>1</v>
      </c>
      <c r="Q120" s="6">
        <v>1</v>
      </c>
      <c r="R120" s="6">
        <v>1</v>
      </c>
      <c r="S120" s="6">
        <v>1</v>
      </c>
      <c r="T120" s="6">
        <v>1</v>
      </c>
      <c r="U120" s="6">
        <v>1</v>
      </c>
      <c r="V120" s="6">
        <v>1</v>
      </c>
      <c r="W120" s="6">
        <v>1</v>
      </c>
      <c r="X120" s="6">
        <v>1</v>
      </c>
      <c r="Y120" s="6">
        <v>1</v>
      </c>
      <c r="Z120" s="6">
        <v>1</v>
      </c>
      <c r="AA120" s="6">
        <v>1</v>
      </c>
    </row>
    <row r="121" spans="1:27" x14ac:dyDescent="0.3">
      <c r="A121" s="8" t="s">
        <v>104</v>
      </c>
      <c r="B121" s="8" t="s">
        <v>8</v>
      </c>
      <c r="C121" s="8" t="s">
        <v>150</v>
      </c>
      <c r="D121" s="6">
        <v>1</v>
      </c>
      <c r="E121" s="6">
        <v>0</v>
      </c>
      <c r="F121" s="6">
        <v>1</v>
      </c>
      <c r="G121" s="6">
        <v>1</v>
      </c>
      <c r="H121" s="6">
        <v>1</v>
      </c>
      <c r="I121" s="6">
        <v>1</v>
      </c>
      <c r="J121" s="6">
        <v>1</v>
      </c>
      <c r="K121" s="6">
        <v>1</v>
      </c>
      <c r="L121" s="6">
        <v>1</v>
      </c>
      <c r="M121" s="6">
        <v>0</v>
      </c>
      <c r="N121" s="6">
        <v>1</v>
      </c>
      <c r="O121" s="6">
        <v>1</v>
      </c>
      <c r="P121" s="6">
        <v>1</v>
      </c>
      <c r="Q121" s="6">
        <v>1</v>
      </c>
      <c r="R121" s="6">
        <v>1</v>
      </c>
      <c r="S121" s="6">
        <v>1</v>
      </c>
      <c r="T121" s="6">
        <v>1</v>
      </c>
      <c r="U121" s="6">
        <v>0</v>
      </c>
      <c r="V121" s="6">
        <v>1</v>
      </c>
      <c r="W121" s="6">
        <v>1</v>
      </c>
      <c r="X121" s="6">
        <v>1</v>
      </c>
      <c r="Y121" s="6">
        <v>1</v>
      </c>
      <c r="Z121" s="6">
        <v>1</v>
      </c>
      <c r="AA121" s="6">
        <v>1</v>
      </c>
    </row>
    <row r="122" spans="1:27" x14ac:dyDescent="0.3">
      <c r="A122" s="8" t="s">
        <v>104</v>
      </c>
      <c r="B122" s="8" t="s">
        <v>8</v>
      </c>
      <c r="C122" s="8" t="s">
        <v>61</v>
      </c>
      <c r="D122" s="6">
        <v>1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1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U122" s="6">
        <v>0</v>
      </c>
      <c r="V122" s="6">
        <v>0</v>
      </c>
      <c r="W122" s="6">
        <v>0</v>
      </c>
      <c r="X122" s="6">
        <v>0</v>
      </c>
      <c r="Y122" s="6">
        <v>0</v>
      </c>
      <c r="Z122" s="6">
        <v>0</v>
      </c>
      <c r="AA122" s="6">
        <v>0</v>
      </c>
    </row>
    <row r="123" spans="1:27" x14ac:dyDescent="0.3">
      <c r="A123" s="8" t="s">
        <v>104</v>
      </c>
      <c r="B123" s="8" t="s">
        <v>8</v>
      </c>
      <c r="C123" s="8" t="s">
        <v>152</v>
      </c>
      <c r="D123" s="6">
        <v>0</v>
      </c>
      <c r="E123" s="6">
        <v>0</v>
      </c>
      <c r="F123" s="6">
        <v>1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1</v>
      </c>
      <c r="M123" s="6">
        <v>0</v>
      </c>
      <c r="N123" s="6">
        <v>0</v>
      </c>
      <c r="O123" s="6">
        <v>0</v>
      </c>
      <c r="P123" s="6">
        <v>1</v>
      </c>
      <c r="Q123" s="6">
        <v>0</v>
      </c>
      <c r="R123" s="6">
        <v>1</v>
      </c>
      <c r="S123" s="6">
        <v>0</v>
      </c>
      <c r="T123" s="6">
        <v>0</v>
      </c>
      <c r="U123" s="6">
        <v>0</v>
      </c>
      <c r="V123" s="6">
        <v>0</v>
      </c>
      <c r="W123" s="6">
        <v>0</v>
      </c>
      <c r="X123" s="6">
        <v>1</v>
      </c>
      <c r="Y123" s="6">
        <v>0</v>
      </c>
      <c r="Z123" s="6">
        <v>0</v>
      </c>
      <c r="AA123" s="6">
        <v>0</v>
      </c>
    </row>
    <row r="124" spans="1:27" x14ac:dyDescent="0.3">
      <c r="A124" s="8" t="s">
        <v>104</v>
      </c>
      <c r="B124" s="8" t="s">
        <v>8</v>
      </c>
      <c r="C124" s="8" t="s">
        <v>151</v>
      </c>
      <c r="D124" s="6">
        <v>0</v>
      </c>
      <c r="E124" s="6">
        <v>0</v>
      </c>
      <c r="F124" s="6">
        <v>1</v>
      </c>
      <c r="G124" s="6">
        <v>1</v>
      </c>
      <c r="H124" s="6">
        <v>1</v>
      </c>
      <c r="I124" s="6">
        <v>0</v>
      </c>
      <c r="J124" s="6">
        <v>1</v>
      </c>
      <c r="K124" s="6">
        <v>1</v>
      </c>
      <c r="L124" s="6">
        <v>1</v>
      </c>
      <c r="M124" s="6">
        <v>1</v>
      </c>
      <c r="N124" s="6">
        <v>1</v>
      </c>
      <c r="O124" s="6">
        <v>0</v>
      </c>
      <c r="P124" s="6">
        <v>1</v>
      </c>
      <c r="Q124" s="6">
        <v>1</v>
      </c>
      <c r="R124" s="6">
        <v>1</v>
      </c>
      <c r="S124" s="6">
        <v>1</v>
      </c>
      <c r="T124" s="6">
        <v>1</v>
      </c>
      <c r="U124" s="6">
        <v>0</v>
      </c>
      <c r="V124" s="6">
        <v>0</v>
      </c>
      <c r="W124" s="6">
        <v>0</v>
      </c>
      <c r="X124" s="6">
        <v>1</v>
      </c>
      <c r="Y124" s="6">
        <v>0</v>
      </c>
      <c r="Z124" s="6">
        <v>1</v>
      </c>
      <c r="AA124" s="6">
        <v>1</v>
      </c>
    </row>
    <row r="125" spans="1:27" x14ac:dyDescent="0.3">
      <c r="A125" s="8" t="s">
        <v>104</v>
      </c>
      <c r="B125" s="8" t="s">
        <v>8</v>
      </c>
      <c r="C125" s="8" t="s">
        <v>62</v>
      </c>
      <c r="D125" s="6">
        <v>1</v>
      </c>
      <c r="E125" s="6">
        <v>1</v>
      </c>
      <c r="F125" s="6">
        <v>1</v>
      </c>
      <c r="G125" s="6">
        <v>1</v>
      </c>
      <c r="H125" s="6">
        <v>1</v>
      </c>
      <c r="I125" s="6">
        <v>1</v>
      </c>
      <c r="J125" s="6">
        <v>1</v>
      </c>
      <c r="K125" s="6">
        <v>1</v>
      </c>
      <c r="L125" s="6">
        <v>1</v>
      </c>
      <c r="M125" s="6">
        <v>1</v>
      </c>
      <c r="N125" s="6">
        <v>1</v>
      </c>
      <c r="O125" s="6">
        <v>1</v>
      </c>
      <c r="P125" s="6">
        <v>1</v>
      </c>
      <c r="Q125" s="6">
        <v>1</v>
      </c>
      <c r="R125" s="6">
        <v>1</v>
      </c>
      <c r="S125" s="6">
        <v>1</v>
      </c>
      <c r="T125" s="6">
        <v>1</v>
      </c>
      <c r="U125" s="6">
        <v>1</v>
      </c>
      <c r="V125" s="6">
        <v>1</v>
      </c>
      <c r="W125" s="6">
        <v>1</v>
      </c>
      <c r="X125" s="6">
        <v>1</v>
      </c>
      <c r="Y125" s="6">
        <v>1</v>
      </c>
      <c r="Z125" s="6">
        <v>1</v>
      </c>
      <c r="AA125" s="6">
        <v>1</v>
      </c>
    </row>
    <row r="126" spans="1:27" x14ac:dyDescent="0.3">
      <c r="A126" s="8" t="s">
        <v>104</v>
      </c>
      <c r="B126" s="8" t="s">
        <v>8</v>
      </c>
      <c r="C126" s="8" t="s">
        <v>63</v>
      </c>
      <c r="D126" s="6">
        <v>1</v>
      </c>
      <c r="E126" s="6">
        <v>1</v>
      </c>
      <c r="F126" s="6">
        <v>1</v>
      </c>
      <c r="G126" s="6">
        <v>1</v>
      </c>
      <c r="H126" s="6">
        <v>1</v>
      </c>
      <c r="I126" s="6">
        <v>1</v>
      </c>
      <c r="J126" s="6">
        <v>1</v>
      </c>
      <c r="K126" s="6">
        <v>0</v>
      </c>
      <c r="L126" s="6">
        <v>1</v>
      </c>
      <c r="M126" s="6">
        <v>1</v>
      </c>
      <c r="N126" s="6">
        <v>1</v>
      </c>
      <c r="O126" s="6">
        <v>1</v>
      </c>
      <c r="P126" s="6">
        <v>1</v>
      </c>
      <c r="Q126" s="6">
        <v>1</v>
      </c>
      <c r="R126" s="6">
        <v>1</v>
      </c>
      <c r="S126" s="6">
        <v>0</v>
      </c>
      <c r="T126" s="6">
        <v>1</v>
      </c>
      <c r="U126" s="6">
        <v>1</v>
      </c>
      <c r="V126" s="6">
        <v>1</v>
      </c>
      <c r="W126" s="6">
        <v>1</v>
      </c>
      <c r="X126" s="6">
        <v>1</v>
      </c>
      <c r="Y126" s="6">
        <v>1</v>
      </c>
      <c r="Z126" s="6">
        <v>1</v>
      </c>
      <c r="AA126" s="6">
        <v>1</v>
      </c>
    </row>
    <row r="127" spans="1:27" x14ac:dyDescent="0.3">
      <c r="A127" s="8" t="s">
        <v>104</v>
      </c>
      <c r="B127" s="8" t="s">
        <v>8</v>
      </c>
      <c r="C127" s="8" t="s">
        <v>64</v>
      </c>
      <c r="D127" s="6">
        <v>1</v>
      </c>
      <c r="E127" s="6">
        <v>1</v>
      </c>
      <c r="F127" s="6">
        <v>1</v>
      </c>
      <c r="G127" s="6">
        <v>0</v>
      </c>
      <c r="H127" s="6">
        <v>1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6">
        <v>1</v>
      </c>
      <c r="O127" s="6">
        <v>0</v>
      </c>
      <c r="P127" s="6">
        <v>1</v>
      </c>
      <c r="Q127" s="6">
        <v>0</v>
      </c>
      <c r="R127" s="6">
        <v>0</v>
      </c>
      <c r="S127" s="6">
        <v>0</v>
      </c>
      <c r="T127" s="6">
        <v>1</v>
      </c>
      <c r="U127" s="6">
        <v>0</v>
      </c>
      <c r="V127" s="6">
        <v>1</v>
      </c>
      <c r="W127" s="6">
        <v>0</v>
      </c>
      <c r="X127" s="6">
        <v>1</v>
      </c>
      <c r="Y127" s="6">
        <v>0</v>
      </c>
      <c r="Z127" s="6">
        <v>1</v>
      </c>
      <c r="AA127" s="6">
        <v>0</v>
      </c>
    </row>
    <row r="128" spans="1:27" x14ac:dyDescent="0.3">
      <c r="A128" s="8" t="s">
        <v>104</v>
      </c>
      <c r="B128" s="8" t="s">
        <v>8</v>
      </c>
      <c r="C128" s="8" t="s">
        <v>65</v>
      </c>
      <c r="D128" s="6">
        <v>1</v>
      </c>
      <c r="E128" s="6">
        <v>1</v>
      </c>
      <c r="F128" s="6">
        <v>1</v>
      </c>
      <c r="G128" s="6">
        <v>1</v>
      </c>
      <c r="H128" s="6">
        <v>1</v>
      </c>
      <c r="I128" s="6">
        <v>1</v>
      </c>
      <c r="J128" s="6">
        <v>1</v>
      </c>
      <c r="K128" s="6">
        <v>1</v>
      </c>
      <c r="L128" s="6">
        <v>1</v>
      </c>
      <c r="M128" s="6">
        <v>1</v>
      </c>
      <c r="N128" s="6">
        <v>1</v>
      </c>
      <c r="O128" s="6">
        <v>1</v>
      </c>
      <c r="P128" s="6">
        <v>1</v>
      </c>
      <c r="Q128" s="6">
        <v>1</v>
      </c>
      <c r="R128" s="6">
        <v>1</v>
      </c>
      <c r="S128" s="6">
        <v>1</v>
      </c>
      <c r="T128" s="6">
        <v>1</v>
      </c>
      <c r="U128" s="6">
        <v>1</v>
      </c>
      <c r="V128" s="6">
        <v>1</v>
      </c>
      <c r="W128" s="6">
        <v>1</v>
      </c>
      <c r="X128" s="6">
        <v>1</v>
      </c>
      <c r="Y128" s="6">
        <v>1</v>
      </c>
      <c r="Z128" s="6">
        <v>1</v>
      </c>
      <c r="AA128" s="6">
        <v>1</v>
      </c>
    </row>
    <row r="129" spans="1:27" x14ac:dyDescent="0.3">
      <c r="A129" s="8" t="s">
        <v>104</v>
      </c>
      <c r="B129" s="8" t="s">
        <v>8</v>
      </c>
      <c r="C129" s="8" t="s">
        <v>66</v>
      </c>
      <c r="D129" s="6">
        <v>0</v>
      </c>
      <c r="E129" s="6">
        <v>1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0</v>
      </c>
      <c r="R129" s="6">
        <v>0</v>
      </c>
      <c r="S129" s="6">
        <v>0</v>
      </c>
      <c r="T129" s="6">
        <v>0</v>
      </c>
      <c r="U129" s="6">
        <v>0</v>
      </c>
      <c r="V129" s="6">
        <v>0</v>
      </c>
      <c r="W129" s="6">
        <v>0</v>
      </c>
      <c r="X129" s="6">
        <v>0</v>
      </c>
      <c r="Y129" s="6">
        <v>0</v>
      </c>
      <c r="Z129" s="6">
        <v>0</v>
      </c>
      <c r="AA129" s="6">
        <v>0</v>
      </c>
    </row>
    <row r="130" spans="1:27" x14ac:dyDescent="0.3">
      <c r="A130" s="8" t="s">
        <v>104</v>
      </c>
      <c r="B130" s="8" t="s">
        <v>8</v>
      </c>
      <c r="C130" s="8" t="s">
        <v>67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v>0</v>
      </c>
      <c r="W130" s="6">
        <v>0</v>
      </c>
      <c r="X130" s="6">
        <v>0</v>
      </c>
      <c r="Y130" s="6">
        <v>0</v>
      </c>
      <c r="Z130" s="6">
        <v>0</v>
      </c>
      <c r="AA130" s="6">
        <v>0</v>
      </c>
    </row>
    <row r="131" spans="1:27" x14ac:dyDescent="0.3">
      <c r="A131" s="8" t="s">
        <v>104</v>
      </c>
      <c r="B131" s="8" t="s">
        <v>8</v>
      </c>
      <c r="C131" s="8" t="s">
        <v>68</v>
      </c>
      <c r="D131" s="6">
        <v>1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S131" s="6">
        <v>0</v>
      </c>
      <c r="T131" s="6">
        <v>0</v>
      </c>
      <c r="U131" s="6">
        <v>1</v>
      </c>
      <c r="V131" s="6">
        <v>0</v>
      </c>
      <c r="W131" s="6">
        <v>0</v>
      </c>
      <c r="X131" s="6">
        <v>0</v>
      </c>
      <c r="Y131" s="6">
        <v>0</v>
      </c>
      <c r="Z131" s="6">
        <v>1</v>
      </c>
      <c r="AA131" s="6">
        <v>0</v>
      </c>
    </row>
    <row r="132" spans="1:27" x14ac:dyDescent="0.3">
      <c r="A132" s="8" t="s">
        <v>104</v>
      </c>
      <c r="B132" s="8" t="s">
        <v>8</v>
      </c>
      <c r="C132" s="8" t="s">
        <v>69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v>0</v>
      </c>
      <c r="W132" s="6">
        <v>0</v>
      </c>
      <c r="X132" s="6">
        <v>0</v>
      </c>
      <c r="Y132" s="6">
        <v>0</v>
      </c>
      <c r="Z132" s="6">
        <v>0</v>
      </c>
      <c r="AA132" s="6">
        <v>0</v>
      </c>
    </row>
    <row r="133" spans="1:27" x14ac:dyDescent="0.3">
      <c r="A133" s="8" t="s">
        <v>104</v>
      </c>
      <c r="B133" s="8" t="s">
        <v>9</v>
      </c>
      <c r="C133" s="8" t="s">
        <v>60</v>
      </c>
      <c r="D133" s="6">
        <v>1</v>
      </c>
      <c r="E133" s="6">
        <v>1</v>
      </c>
      <c r="F133" s="6">
        <v>1</v>
      </c>
      <c r="G133" s="6">
        <v>1</v>
      </c>
      <c r="H133" s="6">
        <v>1</v>
      </c>
      <c r="I133" s="6">
        <v>1</v>
      </c>
      <c r="J133" s="6">
        <v>1</v>
      </c>
      <c r="K133" s="6">
        <v>1</v>
      </c>
      <c r="L133" s="6">
        <v>1</v>
      </c>
      <c r="M133" s="6">
        <v>1</v>
      </c>
      <c r="N133" s="6">
        <v>1</v>
      </c>
      <c r="O133" s="6">
        <v>1</v>
      </c>
      <c r="P133" s="6">
        <v>1</v>
      </c>
      <c r="Q133" s="6">
        <v>1</v>
      </c>
      <c r="R133" s="6">
        <v>1</v>
      </c>
      <c r="S133" s="6">
        <v>1</v>
      </c>
      <c r="T133" s="6">
        <v>1</v>
      </c>
      <c r="U133" s="6">
        <v>1</v>
      </c>
      <c r="V133" s="6">
        <v>1</v>
      </c>
      <c r="W133" s="6">
        <v>1</v>
      </c>
      <c r="X133" s="6">
        <v>1</v>
      </c>
      <c r="Y133" s="6">
        <v>1</v>
      </c>
      <c r="Z133" s="6">
        <v>1</v>
      </c>
      <c r="AA133" s="6">
        <v>1</v>
      </c>
    </row>
    <row r="134" spans="1:27" x14ac:dyDescent="0.3">
      <c r="A134" s="8" t="s">
        <v>104</v>
      </c>
      <c r="B134" s="8" t="s">
        <v>9</v>
      </c>
      <c r="C134" s="8" t="s">
        <v>150</v>
      </c>
      <c r="D134" s="6">
        <v>1</v>
      </c>
      <c r="E134" s="6">
        <v>0</v>
      </c>
      <c r="F134" s="6">
        <v>1</v>
      </c>
      <c r="G134" s="6">
        <v>1</v>
      </c>
      <c r="H134" s="6">
        <v>1</v>
      </c>
      <c r="I134" s="6">
        <v>1</v>
      </c>
      <c r="J134" s="6">
        <v>0</v>
      </c>
      <c r="K134" s="6">
        <v>0</v>
      </c>
      <c r="L134" s="6">
        <v>0</v>
      </c>
      <c r="M134" s="6">
        <v>0</v>
      </c>
      <c r="N134" s="6">
        <v>1</v>
      </c>
      <c r="O134" s="6">
        <v>0</v>
      </c>
      <c r="P134" s="6">
        <v>1</v>
      </c>
      <c r="Q134" s="6">
        <v>1</v>
      </c>
      <c r="R134" s="6">
        <v>1</v>
      </c>
      <c r="S134" s="6">
        <v>0</v>
      </c>
      <c r="T134" s="6">
        <v>1</v>
      </c>
      <c r="U134" s="6">
        <v>0</v>
      </c>
      <c r="V134" s="6">
        <v>1</v>
      </c>
      <c r="W134" s="6">
        <v>1</v>
      </c>
      <c r="X134" s="6">
        <v>1</v>
      </c>
      <c r="Y134" s="6">
        <v>1</v>
      </c>
      <c r="Z134" s="6">
        <v>1</v>
      </c>
      <c r="AA134" s="6">
        <v>1</v>
      </c>
    </row>
    <row r="135" spans="1:27" x14ac:dyDescent="0.3">
      <c r="A135" s="8" t="s">
        <v>104</v>
      </c>
      <c r="B135" s="8" t="s">
        <v>9</v>
      </c>
      <c r="C135" s="8" t="s">
        <v>61</v>
      </c>
      <c r="D135" s="6">
        <v>1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1</v>
      </c>
      <c r="K135" s="6">
        <v>1</v>
      </c>
      <c r="L135" s="6">
        <v>1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S135" s="6">
        <v>0</v>
      </c>
      <c r="T135" s="6">
        <v>0</v>
      </c>
      <c r="U135" s="6">
        <v>0</v>
      </c>
      <c r="V135" s="6">
        <v>0</v>
      </c>
      <c r="W135" s="6">
        <v>0</v>
      </c>
      <c r="X135" s="6">
        <v>0</v>
      </c>
      <c r="Y135" s="6">
        <v>0</v>
      </c>
      <c r="Z135" s="6">
        <v>0</v>
      </c>
      <c r="AA135" s="6">
        <v>0</v>
      </c>
    </row>
    <row r="136" spans="1:27" x14ac:dyDescent="0.3">
      <c r="A136" s="8" t="s">
        <v>104</v>
      </c>
      <c r="B136" s="8" t="s">
        <v>9</v>
      </c>
      <c r="C136" s="8" t="s">
        <v>152</v>
      </c>
      <c r="D136" s="6">
        <v>1</v>
      </c>
      <c r="E136" s="6">
        <v>0</v>
      </c>
      <c r="F136" s="6">
        <v>1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0</v>
      </c>
      <c r="O136" s="6">
        <v>0</v>
      </c>
      <c r="P136" s="6">
        <v>1</v>
      </c>
      <c r="Q136" s="6">
        <v>0</v>
      </c>
      <c r="R136" s="6">
        <v>1</v>
      </c>
      <c r="S136" s="6">
        <v>1</v>
      </c>
      <c r="T136" s="6">
        <v>1</v>
      </c>
      <c r="U136" s="6">
        <v>0</v>
      </c>
      <c r="V136" s="6">
        <v>0</v>
      </c>
      <c r="W136" s="6">
        <v>0</v>
      </c>
      <c r="X136" s="6">
        <v>1</v>
      </c>
      <c r="Y136" s="6">
        <v>0</v>
      </c>
      <c r="Z136" s="6">
        <v>0</v>
      </c>
      <c r="AA136" s="6">
        <v>0</v>
      </c>
    </row>
    <row r="137" spans="1:27" x14ac:dyDescent="0.3">
      <c r="A137" s="8" t="s">
        <v>104</v>
      </c>
      <c r="B137" s="8" t="s">
        <v>9</v>
      </c>
      <c r="C137" s="8" t="s">
        <v>151</v>
      </c>
      <c r="D137" s="6">
        <v>1</v>
      </c>
      <c r="E137" s="6">
        <v>0</v>
      </c>
      <c r="F137" s="6">
        <v>1</v>
      </c>
      <c r="G137" s="6">
        <v>1</v>
      </c>
      <c r="H137" s="6">
        <v>1</v>
      </c>
      <c r="I137" s="6">
        <v>0</v>
      </c>
      <c r="J137" s="6">
        <v>1</v>
      </c>
      <c r="K137" s="6">
        <v>1</v>
      </c>
      <c r="L137" s="6">
        <v>1</v>
      </c>
      <c r="M137" s="6">
        <v>1</v>
      </c>
      <c r="N137" s="6">
        <v>1</v>
      </c>
      <c r="O137" s="6">
        <v>0</v>
      </c>
      <c r="P137" s="6">
        <v>1</v>
      </c>
      <c r="Q137" s="6">
        <v>0</v>
      </c>
      <c r="R137" s="6">
        <v>1</v>
      </c>
      <c r="S137" s="6">
        <v>1</v>
      </c>
      <c r="T137" s="6">
        <v>1</v>
      </c>
      <c r="U137" s="6">
        <v>1</v>
      </c>
      <c r="V137" s="6">
        <v>0</v>
      </c>
      <c r="W137" s="6">
        <v>0</v>
      </c>
      <c r="X137" s="6">
        <v>1</v>
      </c>
      <c r="Y137" s="6">
        <v>0</v>
      </c>
      <c r="Z137" s="6">
        <v>1</v>
      </c>
      <c r="AA137" s="6">
        <v>1</v>
      </c>
    </row>
    <row r="138" spans="1:27" x14ac:dyDescent="0.3">
      <c r="A138" s="8" t="s">
        <v>104</v>
      </c>
      <c r="B138" s="8" t="s">
        <v>9</v>
      </c>
      <c r="C138" s="8" t="s">
        <v>62</v>
      </c>
      <c r="D138" s="6">
        <v>1</v>
      </c>
      <c r="E138" s="6">
        <v>1</v>
      </c>
      <c r="F138" s="6">
        <v>1</v>
      </c>
      <c r="G138" s="6">
        <v>1</v>
      </c>
      <c r="H138" s="6">
        <v>1</v>
      </c>
      <c r="I138" s="6">
        <v>1</v>
      </c>
      <c r="J138" s="6">
        <v>1</v>
      </c>
      <c r="K138" s="6">
        <v>1</v>
      </c>
      <c r="L138" s="6">
        <v>1</v>
      </c>
      <c r="M138" s="6">
        <v>1</v>
      </c>
      <c r="N138" s="6">
        <v>1</v>
      </c>
      <c r="O138" s="6">
        <v>1</v>
      </c>
      <c r="P138" s="6">
        <v>1</v>
      </c>
      <c r="Q138" s="6">
        <v>1</v>
      </c>
      <c r="R138" s="6">
        <v>1</v>
      </c>
      <c r="S138" s="6">
        <v>1</v>
      </c>
      <c r="T138" s="6">
        <v>1</v>
      </c>
      <c r="U138" s="6">
        <v>1</v>
      </c>
      <c r="V138" s="6">
        <v>1</v>
      </c>
      <c r="W138" s="6">
        <v>1</v>
      </c>
      <c r="X138" s="6">
        <v>1</v>
      </c>
      <c r="Y138" s="6">
        <v>1</v>
      </c>
      <c r="Z138" s="6">
        <v>1</v>
      </c>
      <c r="AA138" s="6">
        <v>1</v>
      </c>
    </row>
    <row r="139" spans="1:27" x14ac:dyDescent="0.3">
      <c r="A139" s="8" t="s">
        <v>104</v>
      </c>
      <c r="B139" s="8" t="s">
        <v>9</v>
      </c>
      <c r="C139" s="8" t="s">
        <v>63</v>
      </c>
      <c r="D139" s="6">
        <v>1</v>
      </c>
      <c r="E139" s="6">
        <v>1</v>
      </c>
      <c r="F139" s="6">
        <v>1</v>
      </c>
      <c r="G139" s="6">
        <v>1</v>
      </c>
      <c r="H139" s="6">
        <v>1</v>
      </c>
      <c r="I139" s="6">
        <v>1</v>
      </c>
      <c r="J139" s="6">
        <v>1</v>
      </c>
      <c r="K139" s="6">
        <v>1</v>
      </c>
      <c r="L139" s="6">
        <v>1</v>
      </c>
      <c r="M139" s="6">
        <v>1</v>
      </c>
      <c r="N139" s="6">
        <v>1</v>
      </c>
      <c r="O139" s="6">
        <v>1</v>
      </c>
      <c r="P139" s="6">
        <v>1</v>
      </c>
      <c r="Q139" s="6">
        <v>1</v>
      </c>
      <c r="R139" s="6">
        <v>1</v>
      </c>
      <c r="S139" s="6">
        <v>1</v>
      </c>
      <c r="T139" s="6">
        <v>1</v>
      </c>
      <c r="U139" s="6">
        <v>1</v>
      </c>
      <c r="V139" s="6">
        <v>1</v>
      </c>
      <c r="W139" s="6">
        <v>1</v>
      </c>
      <c r="X139" s="6">
        <v>1</v>
      </c>
      <c r="Y139" s="6">
        <v>1</v>
      </c>
      <c r="Z139" s="6">
        <v>1</v>
      </c>
      <c r="AA139" s="6">
        <v>1</v>
      </c>
    </row>
    <row r="140" spans="1:27" x14ac:dyDescent="0.3">
      <c r="A140" s="8" t="s">
        <v>104</v>
      </c>
      <c r="B140" s="8" t="s">
        <v>9</v>
      </c>
      <c r="C140" s="8" t="s">
        <v>64</v>
      </c>
      <c r="D140" s="6">
        <v>1</v>
      </c>
      <c r="E140" s="6">
        <v>1</v>
      </c>
      <c r="F140" s="6">
        <v>1</v>
      </c>
      <c r="G140" s="6">
        <v>0</v>
      </c>
      <c r="H140" s="6">
        <v>1</v>
      </c>
      <c r="I140" s="6">
        <v>0</v>
      </c>
      <c r="J140" s="6">
        <v>1</v>
      </c>
      <c r="K140" s="6">
        <v>0</v>
      </c>
      <c r="L140" s="6">
        <v>1</v>
      </c>
      <c r="M140" s="6">
        <v>0</v>
      </c>
      <c r="N140" s="6">
        <v>1</v>
      </c>
      <c r="O140" s="6">
        <v>1</v>
      </c>
      <c r="P140" s="6">
        <v>1</v>
      </c>
      <c r="Q140" s="6">
        <v>0</v>
      </c>
      <c r="R140" s="6">
        <v>0</v>
      </c>
      <c r="S140" s="6">
        <v>0</v>
      </c>
      <c r="T140" s="6">
        <v>1</v>
      </c>
      <c r="U140" s="6">
        <v>0</v>
      </c>
      <c r="V140" s="6">
        <v>1</v>
      </c>
      <c r="W140" s="6">
        <v>0</v>
      </c>
      <c r="X140" s="6">
        <v>1</v>
      </c>
      <c r="Y140" s="6">
        <v>0</v>
      </c>
      <c r="Z140" s="6">
        <v>1</v>
      </c>
      <c r="AA140" s="6">
        <v>0</v>
      </c>
    </row>
    <row r="141" spans="1:27" x14ac:dyDescent="0.3">
      <c r="A141" s="8" t="s">
        <v>104</v>
      </c>
      <c r="B141" s="8" t="s">
        <v>9</v>
      </c>
      <c r="C141" s="8" t="s">
        <v>65</v>
      </c>
      <c r="D141" s="6">
        <v>1</v>
      </c>
      <c r="E141" s="6">
        <v>1</v>
      </c>
      <c r="F141" s="6">
        <v>1</v>
      </c>
      <c r="G141" s="6">
        <v>1</v>
      </c>
      <c r="H141" s="6">
        <v>1</v>
      </c>
      <c r="I141" s="6">
        <v>1</v>
      </c>
      <c r="J141" s="6">
        <v>1</v>
      </c>
      <c r="K141" s="6">
        <v>1</v>
      </c>
      <c r="L141" s="6">
        <v>1</v>
      </c>
      <c r="M141" s="6">
        <v>1</v>
      </c>
      <c r="N141" s="6">
        <v>1</v>
      </c>
      <c r="O141" s="6">
        <v>1</v>
      </c>
      <c r="P141" s="6">
        <v>1</v>
      </c>
      <c r="Q141" s="6">
        <v>1</v>
      </c>
      <c r="R141" s="6">
        <v>1</v>
      </c>
      <c r="S141" s="6">
        <v>1</v>
      </c>
      <c r="T141" s="6">
        <v>1</v>
      </c>
      <c r="U141" s="6">
        <v>1</v>
      </c>
      <c r="V141" s="6">
        <v>1</v>
      </c>
      <c r="W141" s="6">
        <v>1</v>
      </c>
      <c r="X141" s="6">
        <v>1</v>
      </c>
      <c r="Y141" s="6">
        <v>1</v>
      </c>
      <c r="Z141" s="6">
        <v>1</v>
      </c>
      <c r="AA141" s="6">
        <v>1</v>
      </c>
    </row>
    <row r="142" spans="1:27" x14ac:dyDescent="0.3">
      <c r="A142" s="8" t="s">
        <v>104</v>
      </c>
      <c r="B142" s="8" t="s">
        <v>9</v>
      </c>
      <c r="C142" s="8" t="s">
        <v>66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v>0</v>
      </c>
      <c r="W142" s="6">
        <v>0</v>
      </c>
      <c r="X142" s="6">
        <v>0</v>
      </c>
      <c r="Y142" s="6">
        <v>0</v>
      </c>
      <c r="Z142" s="6">
        <v>0</v>
      </c>
      <c r="AA142" s="6">
        <v>0</v>
      </c>
    </row>
    <row r="143" spans="1:27" x14ac:dyDescent="0.3">
      <c r="A143" s="8" t="s">
        <v>104</v>
      </c>
      <c r="B143" s="8" t="s">
        <v>9</v>
      </c>
      <c r="C143" s="8" t="s">
        <v>67</v>
      </c>
      <c r="D143" s="6">
        <v>0</v>
      </c>
      <c r="E143" s="6">
        <v>0</v>
      </c>
      <c r="F143" s="6">
        <v>0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0</v>
      </c>
      <c r="P143" s="6">
        <v>0</v>
      </c>
      <c r="Q143" s="6">
        <v>0</v>
      </c>
      <c r="R143" s="6">
        <v>0</v>
      </c>
      <c r="S143" s="6">
        <v>0</v>
      </c>
      <c r="T143" s="6">
        <v>0</v>
      </c>
      <c r="U143" s="6">
        <v>0</v>
      </c>
      <c r="V143" s="6">
        <v>0</v>
      </c>
      <c r="W143" s="6">
        <v>0</v>
      </c>
      <c r="X143" s="6">
        <v>0</v>
      </c>
      <c r="Y143" s="6">
        <v>0</v>
      </c>
      <c r="Z143" s="6">
        <v>1</v>
      </c>
      <c r="AA143" s="6">
        <v>0</v>
      </c>
    </row>
    <row r="144" spans="1:27" x14ac:dyDescent="0.3">
      <c r="A144" s="8" t="s">
        <v>104</v>
      </c>
      <c r="B144" s="8" t="s">
        <v>9</v>
      </c>
      <c r="C144" s="8" t="s">
        <v>68</v>
      </c>
      <c r="D144" s="6">
        <v>0</v>
      </c>
      <c r="E144" s="6">
        <v>1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v>0</v>
      </c>
      <c r="W144" s="6">
        <v>0</v>
      </c>
      <c r="X144" s="6">
        <v>0</v>
      </c>
      <c r="Y144" s="6">
        <v>0</v>
      </c>
      <c r="Z144" s="6">
        <v>0</v>
      </c>
      <c r="AA144" s="6">
        <v>0</v>
      </c>
    </row>
    <row r="145" spans="1:27" x14ac:dyDescent="0.3">
      <c r="A145" s="8" t="s">
        <v>104</v>
      </c>
      <c r="B145" s="8" t="s">
        <v>9</v>
      </c>
      <c r="C145" s="8" t="s">
        <v>69</v>
      </c>
      <c r="D145" s="6">
        <v>0</v>
      </c>
      <c r="E145" s="6">
        <v>0</v>
      </c>
      <c r="F145" s="6">
        <v>0</v>
      </c>
      <c r="G145" s="6">
        <v>0</v>
      </c>
      <c r="H145" s="6">
        <v>0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6">
        <v>0</v>
      </c>
      <c r="O145" s="6">
        <v>0</v>
      </c>
      <c r="P145" s="6">
        <v>0</v>
      </c>
      <c r="Q145" s="6">
        <v>0</v>
      </c>
      <c r="R145" s="6">
        <v>0</v>
      </c>
      <c r="S145" s="6">
        <v>0</v>
      </c>
      <c r="T145" s="6">
        <v>0</v>
      </c>
      <c r="U145" s="6">
        <v>0</v>
      </c>
      <c r="V145" s="6">
        <v>0</v>
      </c>
      <c r="W145" s="6">
        <v>0</v>
      </c>
      <c r="X145" s="6">
        <v>0</v>
      </c>
      <c r="Y145" s="6">
        <v>0</v>
      </c>
      <c r="Z145" s="6">
        <v>0</v>
      </c>
      <c r="AA145" s="6">
        <v>0</v>
      </c>
    </row>
    <row r="146" spans="1:27" x14ac:dyDescent="0.3">
      <c r="A146" s="8" t="s">
        <v>104</v>
      </c>
      <c r="B146" s="8" t="s">
        <v>10</v>
      </c>
      <c r="C146" s="8" t="s">
        <v>60</v>
      </c>
      <c r="D146" s="6">
        <v>1</v>
      </c>
      <c r="E146" s="6">
        <v>1</v>
      </c>
      <c r="F146" s="6">
        <v>1</v>
      </c>
      <c r="G146" s="6">
        <v>1</v>
      </c>
      <c r="H146" s="6">
        <v>1</v>
      </c>
      <c r="I146" s="6">
        <v>1</v>
      </c>
      <c r="J146" s="6">
        <v>1</v>
      </c>
      <c r="K146" s="6">
        <v>1</v>
      </c>
      <c r="L146" s="6">
        <v>1</v>
      </c>
      <c r="M146" s="6">
        <v>1</v>
      </c>
      <c r="N146" s="6">
        <v>1</v>
      </c>
      <c r="O146" s="6">
        <v>1</v>
      </c>
      <c r="P146" s="6">
        <v>1</v>
      </c>
      <c r="Q146" s="6">
        <v>1</v>
      </c>
      <c r="R146" s="6">
        <v>1</v>
      </c>
      <c r="S146" s="6">
        <v>1</v>
      </c>
      <c r="T146" s="6">
        <v>1</v>
      </c>
      <c r="U146" s="6">
        <v>1</v>
      </c>
      <c r="V146" s="6">
        <v>1</v>
      </c>
      <c r="W146" s="6">
        <v>1</v>
      </c>
      <c r="X146" s="6">
        <v>1</v>
      </c>
      <c r="Y146" s="6">
        <v>1</v>
      </c>
      <c r="Z146" s="6">
        <v>1</v>
      </c>
      <c r="AA146" s="6">
        <v>1</v>
      </c>
    </row>
    <row r="147" spans="1:27" x14ac:dyDescent="0.3">
      <c r="A147" s="8" t="s">
        <v>104</v>
      </c>
      <c r="B147" s="8" t="s">
        <v>10</v>
      </c>
      <c r="C147" s="8" t="s">
        <v>150</v>
      </c>
      <c r="D147" s="6">
        <v>1</v>
      </c>
      <c r="E147" s="6">
        <v>1</v>
      </c>
      <c r="F147" s="6">
        <v>1</v>
      </c>
      <c r="G147" s="6">
        <v>1</v>
      </c>
      <c r="H147" s="6">
        <v>1</v>
      </c>
      <c r="I147" s="6">
        <v>1</v>
      </c>
      <c r="J147" s="6">
        <v>1</v>
      </c>
      <c r="K147" s="6">
        <v>1</v>
      </c>
      <c r="L147" s="6">
        <v>1</v>
      </c>
      <c r="M147" s="6">
        <v>1</v>
      </c>
      <c r="N147" s="6">
        <v>1</v>
      </c>
      <c r="O147" s="6">
        <v>1</v>
      </c>
      <c r="P147" s="6">
        <v>1</v>
      </c>
      <c r="Q147" s="6">
        <v>1</v>
      </c>
      <c r="R147" s="6">
        <v>1</v>
      </c>
      <c r="S147" s="6">
        <v>1</v>
      </c>
      <c r="T147" s="6">
        <v>1</v>
      </c>
      <c r="U147" s="6">
        <v>0</v>
      </c>
      <c r="V147" s="6">
        <v>1</v>
      </c>
      <c r="W147" s="6">
        <v>1</v>
      </c>
      <c r="X147" s="6">
        <v>1</v>
      </c>
      <c r="Y147" s="6">
        <v>1</v>
      </c>
      <c r="Z147" s="6">
        <v>1</v>
      </c>
      <c r="AA147" s="6">
        <v>1</v>
      </c>
    </row>
    <row r="148" spans="1:27" x14ac:dyDescent="0.3">
      <c r="A148" s="8" t="s">
        <v>104</v>
      </c>
      <c r="B148" s="8" t="s">
        <v>10</v>
      </c>
      <c r="C148" s="8" t="s">
        <v>61</v>
      </c>
      <c r="D148" s="6">
        <v>1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v>0</v>
      </c>
      <c r="W148" s="6">
        <v>0</v>
      </c>
      <c r="X148" s="6">
        <v>0</v>
      </c>
      <c r="Y148" s="6">
        <v>0</v>
      </c>
      <c r="Z148" s="6">
        <v>0</v>
      </c>
      <c r="AA148" s="6">
        <v>0</v>
      </c>
    </row>
    <row r="149" spans="1:27" x14ac:dyDescent="0.3">
      <c r="A149" s="8" t="s">
        <v>104</v>
      </c>
      <c r="B149" s="8" t="s">
        <v>10</v>
      </c>
      <c r="C149" s="8" t="s">
        <v>152</v>
      </c>
      <c r="D149" s="6">
        <v>1</v>
      </c>
      <c r="E149" s="6">
        <v>1</v>
      </c>
      <c r="F149" s="6">
        <v>0</v>
      </c>
      <c r="G149" s="6">
        <v>0</v>
      </c>
      <c r="H149" s="6">
        <v>0</v>
      </c>
      <c r="I149" s="6">
        <v>0</v>
      </c>
      <c r="J149" s="6">
        <v>1</v>
      </c>
      <c r="K149" s="6">
        <v>0</v>
      </c>
      <c r="L149" s="6">
        <v>1</v>
      </c>
      <c r="M149" s="6">
        <v>0</v>
      </c>
      <c r="N149" s="6">
        <v>0</v>
      </c>
      <c r="O149" s="6">
        <v>0</v>
      </c>
      <c r="P149" s="6">
        <v>1</v>
      </c>
      <c r="Q149" s="6">
        <v>0</v>
      </c>
      <c r="R149" s="6">
        <v>1</v>
      </c>
      <c r="S149" s="6">
        <v>0</v>
      </c>
      <c r="T149" s="6">
        <v>0</v>
      </c>
      <c r="U149" s="6">
        <v>0</v>
      </c>
      <c r="V149" s="6">
        <v>0</v>
      </c>
      <c r="W149" s="6">
        <v>0</v>
      </c>
      <c r="X149" s="6">
        <v>1</v>
      </c>
      <c r="Y149" s="6">
        <v>0</v>
      </c>
      <c r="Z149" s="6">
        <v>0</v>
      </c>
      <c r="AA149" s="6">
        <v>0</v>
      </c>
    </row>
    <row r="150" spans="1:27" x14ac:dyDescent="0.3">
      <c r="A150" s="8" t="s">
        <v>104</v>
      </c>
      <c r="B150" s="8" t="s">
        <v>10</v>
      </c>
      <c r="C150" s="8" t="s">
        <v>151</v>
      </c>
      <c r="D150" s="6">
        <v>1</v>
      </c>
      <c r="E150" s="6">
        <v>1</v>
      </c>
      <c r="F150" s="6">
        <v>0</v>
      </c>
      <c r="G150" s="6">
        <v>0</v>
      </c>
      <c r="H150" s="6">
        <v>1</v>
      </c>
      <c r="I150" s="6">
        <v>0</v>
      </c>
      <c r="J150" s="6">
        <v>1</v>
      </c>
      <c r="K150" s="6">
        <v>1</v>
      </c>
      <c r="L150" s="6">
        <v>1</v>
      </c>
      <c r="M150" s="6">
        <v>1</v>
      </c>
      <c r="N150" s="6">
        <v>1</v>
      </c>
      <c r="O150" s="6">
        <v>0</v>
      </c>
      <c r="P150" s="6">
        <v>1</v>
      </c>
      <c r="Q150" s="6">
        <v>0</v>
      </c>
      <c r="R150" s="6">
        <v>1</v>
      </c>
      <c r="S150" s="6">
        <v>1</v>
      </c>
      <c r="T150" s="6">
        <v>1</v>
      </c>
      <c r="U150" s="6">
        <v>0</v>
      </c>
      <c r="V150" s="6">
        <v>0</v>
      </c>
      <c r="W150" s="6">
        <v>0</v>
      </c>
      <c r="X150" s="6">
        <v>1</v>
      </c>
      <c r="Y150" s="6">
        <v>0</v>
      </c>
      <c r="Z150" s="6">
        <v>1</v>
      </c>
      <c r="AA150" s="6">
        <v>1</v>
      </c>
    </row>
    <row r="151" spans="1:27" x14ac:dyDescent="0.3">
      <c r="A151" s="8" t="s">
        <v>104</v>
      </c>
      <c r="B151" s="8" t="s">
        <v>10</v>
      </c>
      <c r="C151" s="8" t="s">
        <v>62</v>
      </c>
      <c r="D151" s="6">
        <v>1</v>
      </c>
      <c r="E151" s="6">
        <v>1</v>
      </c>
      <c r="F151" s="6">
        <v>1</v>
      </c>
      <c r="G151" s="6">
        <v>1</v>
      </c>
      <c r="H151" s="6">
        <v>1</v>
      </c>
      <c r="I151" s="6">
        <v>1</v>
      </c>
      <c r="J151" s="6">
        <v>1</v>
      </c>
      <c r="K151" s="6">
        <v>1</v>
      </c>
      <c r="L151" s="6">
        <v>1</v>
      </c>
      <c r="M151" s="6">
        <v>1</v>
      </c>
      <c r="N151" s="6">
        <v>1</v>
      </c>
      <c r="O151" s="6">
        <v>1</v>
      </c>
      <c r="P151" s="6">
        <v>1</v>
      </c>
      <c r="Q151" s="6">
        <v>1</v>
      </c>
      <c r="R151" s="6">
        <v>1</v>
      </c>
      <c r="S151" s="6">
        <v>1</v>
      </c>
      <c r="T151" s="6">
        <v>1</v>
      </c>
      <c r="U151" s="6">
        <v>1</v>
      </c>
      <c r="V151" s="6">
        <v>1</v>
      </c>
      <c r="W151" s="6">
        <v>1</v>
      </c>
      <c r="X151" s="6">
        <v>1</v>
      </c>
      <c r="Y151" s="6">
        <v>1</v>
      </c>
      <c r="Z151" s="6">
        <v>1</v>
      </c>
      <c r="AA151" s="6">
        <v>1</v>
      </c>
    </row>
    <row r="152" spans="1:27" x14ac:dyDescent="0.3">
      <c r="A152" s="8" t="s">
        <v>104</v>
      </c>
      <c r="B152" s="8" t="s">
        <v>10</v>
      </c>
      <c r="C152" s="8" t="s">
        <v>63</v>
      </c>
      <c r="D152" s="6">
        <v>1</v>
      </c>
      <c r="E152" s="6">
        <v>1</v>
      </c>
      <c r="F152" s="6">
        <v>1</v>
      </c>
      <c r="G152" s="6">
        <v>1</v>
      </c>
      <c r="H152" s="6">
        <v>1</v>
      </c>
      <c r="I152" s="6">
        <v>1</v>
      </c>
      <c r="J152" s="6">
        <v>1</v>
      </c>
      <c r="K152" s="6">
        <v>0</v>
      </c>
      <c r="L152" s="6">
        <v>1</v>
      </c>
      <c r="M152" s="6">
        <v>0</v>
      </c>
      <c r="N152" s="6">
        <v>1</v>
      </c>
      <c r="O152" s="6">
        <v>1</v>
      </c>
      <c r="P152" s="6">
        <v>1</v>
      </c>
      <c r="Q152" s="6">
        <v>1</v>
      </c>
      <c r="R152" s="6">
        <v>1</v>
      </c>
      <c r="S152" s="6">
        <v>0</v>
      </c>
      <c r="T152" s="6">
        <v>1</v>
      </c>
      <c r="U152" s="6">
        <v>1</v>
      </c>
      <c r="V152" s="6">
        <v>1</v>
      </c>
      <c r="W152" s="6">
        <v>1</v>
      </c>
      <c r="X152" s="6">
        <v>1</v>
      </c>
      <c r="Y152" s="6">
        <v>1</v>
      </c>
      <c r="Z152" s="6">
        <v>1</v>
      </c>
      <c r="AA152" s="6">
        <v>1</v>
      </c>
    </row>
    <row r="153" spans="1:27" x14ac:dyDescent="0.3">
      <c r="A153" s="8" t="s">
        <v>104</v>
      </c>
      <c r="B153" s="8" t="s">
        <v>10</v>
      </c>
      <c r="C153" s="8" t="s">
        <v>64</v>
      </c>
      <c r="D153" s="6">
        <v>1</v>
      </c>
      <c r="E153" s="6">
        <v>0</v>
      </c>
      <c r="F153" s="6">
        <v>1</v>
      </c>
      <c r="G153" s="6">
        <v>0</v>
      </c>
      <c r="H153" s="6">
        <v>1</v>
      </c>
      <c r="I153" s="6">
        <v>0</v>
      </c>
      <c r="J153" s="6">
        <v>0</v>
      </c>
      <c r="K153" s="6">
        <v>0</v>
      </c>
      <c r="L153" s="6">
        <v>0</v>
      </c>
      <c r="M153" s="6">
        <v>0</v>
      </c>
      <c r="N153" s="6">
        <v>1</v>
      </c>
      <c r="O153" s="6">
        <v>0</v>
      </c>
      <c r="P153" s="6">
        <v>1</v>
      </c>
      <c r="Q153" s="6">
        <v>0</v>
      </c>
      <c r="R153" s="6">
        <v>0</v>
      </c>
      <c r="S153" s="6">
        <v>0</v>
      </c>
      <c r="T153" s="6">
        <v>1</v>
      </c>
      <c r="U153" s="6">
        <v>0</v>
      </c>
      <c r="V153" s="6">
        <v>1</v>
      </c>
      <c r="W153" s="6">
        <v>0</v>
      </c>
      <c r="X153" s="6">
        <v>1</v>
      </c>
      <c r="Y153" s="6">
        <v>0</v>
      </c>
      <c r="Z153" s="6">
        <v>1</v>
      </c>
      <c r="AA153" s="6">
        <v>0</v>
      </c>
    </row>
    <row r="154" spans="1:27" x14ac:dyDescent="0.3">
      <c r="A154" s="8" t="s">
        <v>104</v>
      </c>
      <c r="B154" s="8" t="s">
        <v>10</v>
      </c>
      <c r="C154" s="8" t="s">
        <v>65</v>
      </c>
      <c r="D154" s="6">
        <v>1</v>
      </c>
      <c r="E154" s="6">
        <v>1</v>
      </c>
      <c r="F154" s="6">
        <v>1</v>
      </c>
      <c r="G154" s="6">
        <v>1</v>
      </c>
      <c r="H154" s="6">
        <v>1</v>
      </c>
      <c r="I154" s="6">
        <v>1</v>
      </c>
      <c r="J154" s="6">
        <v>1</v>
      </c>
      <c r="K154" s="6">
        <v>1</v>
      </c>
      <c r="L154" s="6">
        <v>1</v>
      </c>
      <c r="M154" s="6">
        <v>1</v>
      </c>
      <c r="N154" s="6">
        <v>1</v>
      </c>
      <c r="O154" s="6">
        <v>1</v>
      </c>
      <c r="P154" s="6">
        <v>1</v>
      </c>
      <c r="Q154" s="6">
        <v>1</v>
      </c>
      <c r="R154" s="6">
        <v>1</v>
      </c>
      <c r="S154" s="6">
        <v>1</v>
      </c>
      <c r="T154" s="6">
        <v>1</v>
      </c>
      <c r="U154" s="6">
        <v>1</v>
      </c>
      <c r="V154" s="6">
        <v>1</v>
      </c>
      <c r="W154" s="6">
        <v>1</v>
      </c>
      <c r="X154" s="6">
        <v>1</v>
      </c>
      <c r="Y154" s="6">
        <v>1</v>
      </c>
      <c r="Z154" s="6">
        <v>1</v>
      </c>
      <c r="AA154" s="6">
        <v>1</v>
      </c>
    </row>
    <row r="155" spans="1:27" x14ac:dyDescent="0.3">
      <c r="A155" s="8" t="s">
        <v>104</v>
      </c>
      <c r="B155" s="8" t="s">
        <v>10</v>
      </c>
      <c r="C155" s="8" t="s">
        <v>66</v>
      </c>
      <c r="D155" s="6">
        <v>0</v>
      </c>
      <c r="E155" s="6">
        <v>0</v>
      </c>
      <c r="F155" s="6">
        <v>0</v>
      </c>
      <c r="G155" s="6">
        <v>0</v>
      </c>
      <c r="H155" s="6">
        <v>0</v>
      </c>
      <c r="I155" s="6">
        <v>0</v>
      </c>
      <c r="J155" s="6">
        <v>0</v>
      </c>
      <c r="K155" s="6">
        <v>0</v>
      </c>
      <c r="L155" s="6">
        <v>0</v>
      </c>
      <c r="M155" s="6">
        <v>0</v>
      </c>
      <c r="N155" s="6">
        <v>0</v>
      </c>
      <c r="O155" s="6">
        <v>0</v>
      </c>
      <c r="P155" s="6">
        <v>0</v>
      </c>
      <c r="Q155" s="6">
        <v>0</v>
      </c>
      <c r="R155" s="6">
        <v>0</v>
      </c>
      <c r="S155" s="6">
        <v>0</v>
      </c>
      <c r="T155" s="6">
        <v>0</v>
      </c>
      <c r="U155" s="6">
        <v>0</v>
      </c>
      <c r="V155" s="6">
        <v>0</v>
      </c>
      <c r="W155" s="6">
        <v>0</v>
      </c>
      <c r="X155" s="6">
        <v>0</v>
      </c>
      <c r="Y155" s="6">
        <v>0</v>
      </c>
      <c r="Z155" s="6">
        <v>0</v>
      </c>
      <c r="AA155" s="6">
        <v>0</v>
      </c>
    </row>
    <row r="156" spans="1:27" x14ac:dyDescent="0.3">
      <c r="A156" s="8" t="s">
        <v>104</v>
      </c>
      <c r="B156" s="8" t="s">
        <v>10</v>
      </c>
      <c r="C156" s="8" t="s">
        <v>67</v>
      </c>
      <c r="D156" s="6">
        <v>0</v>
      </c>
      <c r="E156" s="6">
        <v>0</v>
      </c>
      <c r="F156" s="6">
        <v>0</v>
      </c>
      <c r="G156" s="6">
        <v>0</v>
      </c>
      <c r="H156" s="6">
        <v>0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6">
        <v>0</v>
      </c>
      <c r="O156" s="6">
        <v>0</v>
      </c>
      <c r="P156" s="6">
        <v>0</v>
      </c>
      <c r="Q156" s="6">
        <v>0</v>
      </c>
      <c r="R156" s="6">
        <v>0</v>
      </c>
      <c r="S156" s="6">
        <v>0</v>
      </c>
      <c r="T156" s="6">
        <v>0</v>
      </c>
      <c r="U156" s="6">
        <v>0</v>
      </c>
      <c r="V156" s="6">
        <v>0</v>
      </c>
      <c r="W156" s="6">
        <v>0</v>
      </c>
      <c r="X156" s="6">
        <v>0</v>
      </c>
      <c r="Y156" s="6">
        <v>0</v>
      </c>
      <c r="Z156" s="6">
        <v>0</v>
      </c>
      <c r="AA156" s="6">
        <v>0</v>
      </c>
    </row>
    <row r="157" spans="1:27" x14ac:dyDescent="0.3">
      <c r="A157" s="8" t="s">
        <v>104</v>
      </c>
      <c r="B157" s="8" t="s">
        <v>10</v>
      </c>
      <c r="C157" s="8" t="s">
        <v>68</v>
      </c>
      <c r="D157" s="6">
        <v>0</v>
      </c>
      <c r="E157" s="6">
        <v>0</v>
      </c>
      <c r="F157" s="6">
        <v>0</v>
      </c>
      <c r="G157" s="6">
        <v>0</v>
      </c>
      <c r="H157" s="6">
        <v>0</v>
      </c>
      <c r="I157" s="6">
        <v>0</v>
      </c>
      <c r="J157" s="6">
        <v>0</v>
      </c>
      <c r="K157" s="6">
        <v>0</v>
      </c>
      <c r="L157" s="6">
        <v>0</v>
      </c>
      <c r="M157" s="6">
        <v>0</v>
      </c>
      <c r="N157" s="6">
        <v>0</v>
      </c>
      <c r="O157" s="6">
        <v>0</v>
      </c>
      <c r="P157" s="6">
        <v>0</v>
      </c>
      <c r="Q157" s="6">
        <v>0</v>
      </c>
      <c r="R157" s="6">
        <v>0</v>
      </c>
      <c r="S157" s="6">
        <v>0</v>
      </c>
      <c r="T157" s="6">
        <v>0</v>
      </c>
      <c r="U157" s="6">
        <v>0</v>
      </c>
      <c r="V157" s="6">
        <v>0</v>
      </c>
      <c r="W157" s="6">
        <v>0</v>
      </c>
      <c r="X157" s="6">
        <v>0</v>
      </c>
      <c r="Y157" s="6">
        <v>0</v>
      </c>
      <c r="Z157" s="6">
        <v>1</v>
      </c>
      <c r="AA157" s="6">
        <v>0</v>
      </c>
    </row>
    <row r="158" spans="1:27" x14ac:dyDescent="0.3">
      <c r="A158" s="8" t="s">
        <v>104</v>
      </c>
      <c r="B158" s="8" t="s">
        <v>10</v>
      </c>
      <c r="C158" s="8" t="s">
        <v>69</v>
      </c>
      <c r="D158" s="6">
        <v>0</v>
      </c>
      <c r="E158" s="6">
        <v>0</v>
      </c>
      <c r="F158" s="6">
        <v>0</v>
      </c>
      <c r="G158" s="6">
        <v>0</v>
      </c>
      <c r="H158" s="6">
        <v>0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6">
        <v>0</v>
      </c>
      <c r="O158" s="6">
        <v>0</v>
      </c>
      <c r="P158" s="6">
        <v>0</v>
      </c>
      <c r="Q158" s="6">
        <v>0</v>
      </c>
      <c r="R158" s="6">
        <v>0</v>
      </c>
      <c r="S158" s="6">
        <v>0</v>
      </c>
      <c r="T158" s="6">
        <v>0</v>
      </c>
      <c r="U158" s="6">
        <v>0</v>
      </c>
      <c r="V158" s="6">
        <v>0</v>
      </c>
      <c r="W158" s="6">
        <v>0</v>
      </c>
      <c r="X158" s="6">
        <v>0</v>
      </c>
      <c r="Y158" s="6">
        <v>0</v>
      </c>
      <c r="Z158" s="6">
        <v>0</v>
      </c>
      <c r="AA158" s="6">
        <v>0</v>
      </c>
    </row>
    <row r="159" spans="1:27" x14ac:dyDescent="0.3">
      <c r="A159" s="8" t="s">
        <v>100</v>
      </c>
      <c r="B159" s="8" t="s">
        <v>8</v>
      </c>
      <c r="C159" s="8" t="s">
        <v>60</v>
      </c>
      <c r="D159" s="6">
        <v>1</v>
      </c>
      <c r="E159" s="6">
        <v>1</v>
      </c>
      <c r="F159" s="6">
        <v>1</v>
      </c>
      <c r="G159" s="6">
        <v>1</v>
      </c>
      <c r="H159" s="6">
        <v>1</v>
      </c>
      <c r="I159" s="6">
        <v>1</v>
      </c>
      <c r="J159" s="6">
        <v>1</v>
      </c>
      <c r="K159" s="6">
        <v>1</v>
      </c>
      <c r="L159" s="6">
        <v>1</v>
      </c>
      <c r="M159" s="6">
        <v>1</v>
      </c>
      <c r="N159" s="6">
        <v>1</v>
      </c>
      <c r="O159" s="6">
        <v>1</v>
      </c>
      <c r="P159" s="6">
        <v>1</v>
      </c>
      <c r="Q159" s="6">
        <v>1</v>
      </c>
      <c r="R159" s="6">
        <v>1</v>
      </c>
      <c r="S159" s="6">
        <v>1</v>
      </c>
      <c r="T159" s="6">
        <v>1</v>
      </c>
      <c r="U159" s="6">
        <v>1</v>
      </c>
      <c r="V159" s="6">
        <v>1</v>
      </c>
      <c r="W159" s="6">
        <v>1</v>
      </c>
      <c r="X159" s="6">
        <v>1</v>
      </c>
      <c r="Y159" s="6">
        <v>1</v>
      </c>
      <c r="Z159" s="6">
        <v>1</v>
      </c>
      <c r="AA159" s="6">
        <v>1</v>
      </c>
    </row>
    <row r="160" spans="1:27" x14ac:dyDescent="0.3">
      <c r="A160" s="8" t="s">
        <v>100</v>
      </c>
      <c r="B160" s="8" t="s">
        <v>8</v>
      </c>
      <c r="C160" s="8" t="s">
        <v>150</v>
      </c>
      <c r="D160" s="6">
        <v>1</v>
      </c>
      <c r="E160" s="6">
        <v>1</v>
      </c>
      <c r="F160" s="6">
        <v>1</v>
      </c>
      <c r="G160" s="6">
        <v>1</v>
      </c>
      <c r="H160" s="6">
        <v>1</v>
      </c>
      <c r="I160" s="6">
        <v>1</v>
      </c>
      <c r="J160" s="6">
        <v>1</v>
      </c>
      <c r="K160" s="6">
        <v>0</v>
      </c>
      <c r="L160" s="6">
        <v>1</v>
      </c>
      <c r="M160" s="6">
        <v>1</v>
      </c>
      <c r="N160" s="6">
        <v>1</v>
      </c>
      <c r="O160" s="6">
        <v>0</v>
      </c>
      <c r="P160" s="6">
        <v>1</v>
      </c>
      <c r="Q160" s="6">
        <v>1</v>
      </c>
      <c r="R160" s="6">
        <v>1</v>
      </c>
      <c r="S160" s="6">
        <v>0</v>
      </c>
      <c r="T160" s="6">
        <v>1</v>
      </c>
      <c r="U160" s="6">
        <v>1</v>
      </c>
      <c r="V160" s="6">
        <v>1</v>
      </c>
      <c r="W160" s="6">
        <v>1</v>
      </c>
      <c r="X160" s="6">
        <v>1</v>
      </c>
      <c r="Y160" s="6">
        <v>1</v>
      </c>
      <c r="Z160" s="6">
        <v>1</v>
      </c>
      <c r="AA160" s="6">
        <v>1</v>
      </c>
    </row>
    <row r="161" spans="1:27" x14ac:dyDescent="0.3">
      <c r="A161" s="8" t="s">
        <v>100</v>
      </c>
      <c r="B161" s="8" t="s">
        <v>8</v>
      </c>
      <c r="C161" s="8" t="s">
        <v>61</v>
      </c>
      <c r="D161" s="6">
        <v>0</v>
      </c>
      <c r="E161" s="6">
        <v>0</v>
      </c>
      <c r="F161" s="6">
        <v>0</v>
      </c>
      <c r="G161" s="6">
        <v>0</v>
      </c>
      <c r="H161" s="6">
        <v>0</v>
      </c>
      <c r="I161" s="6">
        <v>0</v>
      </c>
      <c r="J161" s="6">
        <v>0</v>
      </c>
      <c r="K161" s="6">
        <v>0</v>
      </c>
      <c r="L161" s="6">
        <v>0</v>
      </c>
      <c r="M161" s="6">
        <v>0</v>
      </c>
      <c r="N161" s="6">
        <v>1</v>
      </c>
      <c r="O161" s="6">
        <v>1</v>
      </c>
      <c r="P161" s="6">
        <v>0</v>
      </c>
      <c r="Q161" s="6">
        <v>0</v>
      </c>
      <c r="R161" s="6">
        <v>0</v>
      </c>
      <c r="S161" s="6">
        <v>0</v>
      </c>
      <c r="T161" s="6">
        <v>0</v>
      </c>
      <c r="U161" s="6">
        <v>0</v>
      </c>
      <c r="V161" s="6">
        <v>0</v>
      </c>
      <c r="W161" s="6">
        <v>0</v>
      </c>
      <c r="X161" s="6">
        <v>1</v>
      </c>
      <c r="Y161" s="6">
        <v>0</v>
      </c>
      <c r="Z161" s="6">
        <v>1</v>
      </c>
      <c r="AA161" s="6">
        <v>1</v>
      </c>
    </row>
    <row r="162" spans="1:27" x14ac:dyDescent="0.3">
      <c r="A162" s="8" t="s">
        <v>100</v>
      </c>
      <c r="B162" s="8" t="s">
        <v>8</v>
      </c>
      <c r="C162" s="8" t="s">
        <v>152</v>
      </c>
      <c r="D162" s="6">
        <v>0</v>
      </c>
      <c r="E162" s="6">
        <v>0</v>
      </c>
      <c r="F162" s="6">
        <v>1</v>
      </c>
      <c r="G162" s="6">
        <v>0</v>
      </c>
      <c r="H162" s="6">
        <v>0</v>
      </c>
      <c r="I162" s="6">
        <v>0</v>
      </c>
      <c r="J162" s="6">
        <v>1</v>
      </c>
      <c r="K162" s="6">
        <v>1</v>
      </c>
      <c r="L162" s="6">
        <v>1</v>
      </c>
      <c r="M162" s="6">
        <v>0</v>
      </c>
      <c r="N162" s="6">
        <v>1</v>
      </c>
      <c r="O162" s="6">
        <v>0</v>
      </c>
      <c r="P162" s="6">
        <v>1</v>
      </c>
      <c r="Q162" s="6">
        <v>0</v>
      </c>
      <c r="R162" s="6">
        <v>1</v>
      </c>
      <c r="S162" s="6">
        <v>1</v>
      </c>
      <c r="T162" s="6">
        <v>0</v>
      </c>
      <c r="U162" s="6">
        <v>0</v>
      </c>
      <c r="V162" s="6">
        <v>0</v>
      </c>
      <c r="W162" s="6">
        <v>0</v>
      </c>
      <c r="X162" s="6">
        <v>0</v>
      </c>
      <c r="Y162" s="6">
        <v>0</v>
      </c>
      <c r="Z162" s="6">
        <v>0</v>
      </c>
      <c r="AA162" s="6">
        <v>0</v>
      </c>
    </row>
    <row r="163" spans="1:27" x14ac:dyDescent="0.3">
      <c r="A163" s="8" t="s">
        <v>100</v>
      </c>
      <c r="B163" s="8" t="s">
        <v>8</v>
      </c>
      <c r="C163" s="8" t="s">
        <v>151</v>
      </c>
      <c r="D163" s="6">
        <v>1</v>
      </c>
      <c r="E163" s="6">
        <v>0</v>
      </c>
      <c r="F163" s="6">
        <v>1</v>
      </c>
      <c r="G163" s="6">
        <v>1</v>
      </c>
      <c r="H163" s="6">
        <v>1</v>
      </c>
      <c r="I163" s="6">
        <v>0</v>
      </c>
      <c r="J163" s="6">
        <v>1</v>
      </c>
      <c r="K163" s="6">
        <v>1</v>
      </c>
      <c r="L163" s="6">
        <v>1</v>
      </c>
      <c r="M163" s="6">
        <v>0</v>
      </c>
      <c r="N163" s="6">
        <v>1</v>
      </c>
      <c r="O163" s="6">
        <v>1</v>
      </c>
      <c r="P163" s="6">
        <v>1</v>
      </c>
      <c r="Q163" s="6">
        <v>0</v>
      </c>
      <c r="R163" s="6">
        <v>1</v>
      </c>
      <c r="S163" s="6">
        <v>1</v>
      </c>
      <c r="T163" s="6">
        <v>1</v>
      </c>
      <c r="U163" s="6">
        <v>0</v>
      </c>
      <c r="V163" s="6">
        <v>0</v>
      </c>
      <c r="W163" s="6">
        <v>0</v>
      </c>
      <c r="X163" s="6">
        <v>1</v>
      </c>
      <c r="Y163" s="6">
        <v>1</v>
      </c>
      <c r="Z163" s="6">
        <v>1</v>
      </c>
      <c r="AA163" s="6">
        <v>0</v>
      </c>
    </row>
    <row r="164" spans="1:27" x14ac:dyDescent="0.3">
      <c r="A164" s="8" t="s">
        <v>100</v>
      </c>
      <c r="B164" s="8" t="s">
        <v>8</v>
      </c>
      <c r="C164" s="8" t="s">
        <v>62</v>
      </c>
      <c r="D164" s="6">
        <v>1</v>
      </c>
      <c r="E164" s="6">
        <v>1</v>
      </c>
      <c r="F164" s="6">
        <v>1</v>
      </c>
      <c r="G164" s="6">
        <v>1</v>
      </c>
      <c r="H164" s="6">
        <v>1</v>
      </c>
      <c r="I164" s="6">
        <v>1</v>
      </c>
      <c r="J164" s="6">
        <v>1</v>
      </c>
      <c r="K164" s="6">
        <v>1</v>
      </c>
      <c r="L164" s="6">
        <v>1</v>
      </c>
      <c r="M164" s="6">
        <v>1</v>
      </c>
      <c r="N164" s="6">
        <v>1</v>
      </c>
      <c r="O164" s="6">
        <v>1</v>
      </c>
      <c r="P164" s="6">
        <v>1</v>
      </c>
      <c r="Q164" s="6">
        <v>1</v>
      </c>
      <c r="R164" s="6">
        <v>1</v>
      </c>
      <c r="S164" s="6">
        <v>1</v>
      </c>
      <c r="T164" s="6">
        <v>1</v>
      </c>
      <c r="U164" s="6">
        <v>1</v>
      </c>
      <c r="V164" s="6">
        <v>1</v>
      </c>
      <c r="W164" s="6">
        <v>1</v>
      </c>
      <c r="X164" s="6">
        <v>1</v>
      </c>
      <c r="Y164" s="6">
        <v>1</v>
      </c>
      <c r="Z164" s="6">
        <v>1</v>
      </c>
      <c r="AA164" s="6">
        <v>1</v>
      </c>
    </row>
    <row r="165" spans="1:27" x14ac:dyDescent="0.3">
      <c r="A165" s="8" t="s">
        <v>100</v>
      </c>
      <c r="B165" s="8" t="s">
        <v>8</v>
      </c>
      <c r="C165" s="8" t="s">
        <v>63</v>
      </c>
      <c r="D165" s="6">
        <v>1</v>
      </c>
      <c r="E165" s="6">
        <v>1</v>
      </c>
      <c r="F165" s="6">
        <v>1</v>
      </c>
      <c r="G165" s="6">
        <v>1</v>
      </c>
      <c r="H165" s="6">
        <v>1</v>
      </c>
      <c r="I165" s="6">
        <v>1</v>
      </c>
      <c r="J165" s="6">
        <v>1</v>
      </c>
      <c r="K165" s="6">
        <v>1</v>
      </c>
      <c r="L165" s="6">
        <v>1</v>
      </c>
      <c r="M165" s="6">
        <v>0</v>
      </c>
      <c r="N165" s="6">
        <v>1</v>
      </c>
      <c r="O165" s="6">
        <v>1</v>
      </c>
      <c r="P165" s="6">
        <v>1</v>
      </c>
      <c r="Q165" s="6">
        <v>1</v>
      </c>
      <c r="R165" s="6">
        <v>1</v>
      </c>
      <c r="S165" s="6">
        <v>1</v>
      </c>
      <c r="T165" s="6">
        <v>1</v>
      </c>
      <c r="U165" s="6">
        <v>1</v>
      </c>
      <c r="V165" s="6">
        <v>1</v>
      </c>
      <c r="W165" s="6">
        <v>1</v>
      </c>
      <c r="X165" s="6">
        <v>1</v>
      </c>
      <c r="Y165" s="6">
        <v>1</v>
      </c>
      <c r="Z165" s="6">
        <v>1</v>
      </c>
      <c r="AA165" s="6">
        <v>1</v>
      </c>
    </row>
    <row r="166" spans="1:27" x14ac:dyDescent="0.3">
      <c r="A166" s="8" t="s">
        <v>100</v>
      </c>
      <c r="B166" s="8" t="s">
        <v>8</v>
      </c>
      <c r="C166" s="8" t="s">
        <v>64</v>
      </c>
      <c r="D166" s="6">
        <v>1</v>
      </c>
      <c r="E166" s="6">
        <v>0</v>
      </c>
      <c r="F166" s="6">
        <v>1</v>
      </c>
      <c r="G166" s="6">
        <v>0</v>
      </c>
      <c r="H166" s="6">
        <v>1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6">
        <v>1</v>
      </c>
      <c r="O166" s="6">
        <v>0</v>
      </c>
      <c r="P166" s="6">
        <v>1</v>
      </c>
      <c r="Q166" s="6">
        <v>0</v>
      </c>
      <c r="R166" s="6">
        <v>0</v>
      </c>
      <c r="S166" s="6">
        <v>0</v>
      </c>
      <c r="T166" s="6">
        <v>1</v>
      </c>
      <c r="U166" s="6">
        <v>0</v>
      </c>
      <c r="V166" s="6">
        <v>1</v>
      </c>
      <c r="W166" s="6">
        <v>0</v>
      </c>
      <c r="X166" s="6">
        <v>1</v>
      </c>
      <c r="Y166" s="6">
        <v>0</v>
      </c>
      <c r="Z166" s="6">
        <v>1</v>
      </c>
      <c r="AA166" s="6">
        <v>0</v>
      </c>
    </row>
    <row r="167" spans="1:27" x14ac:dyDescent="0.3">
      <c r="A167" s="8" t="s">
        <v>100</v>
      </c>
      <c r="B167" s="8" t="s">
        <v>8</v>
      </c>
      <c r="C167" s="8" t="s">
        <v>65</v>
      </c>
      <c r="D167" s="6">
        <v>1</v>
      </c>
      <c r="E167" s="6">
        <v>1</v>
      </c>
      <c r="F167" s="6">
        <v>1</v>
      </c>
      <c r="G167" s="6">
        <v>1</v>
      </c>
      <c r="H167" s="6">
        <v>1</v>
      </c>
      <c r="I167" s="6">
        <v>1</v>
      </c>
      <c r="J167" s="6">
        <v>1</v>
      </c>
      <c r="K167" s="6">
        <v>1</v>
      </c>
      <c r="L167" s="6">
        <v>1</v>
      </c>
      <c r="M167" s="6">
        <v>1</v>
      </c>
      <c r="N167" s="6">
        <v>1</v>
      </c>
      <c r="O167" s="6">
        <v>1</v>
      </c>
      <c r="P167" s="6">
        <v>1</v>
      </c>
      <c r="Q167" s="6">
        <v>1</v>
      </c>
      <c r="R167" s="6">
        <v>1</v>
      </c>
      <c r="S167" s="6">
        <v>1</v>
      </c>
      <c r="T167" s="6">
        <v>1</v>
      </c>
      <c r="U167" s="6">
        <v>1</v>
      </c>
      <c r="V167" s="6">
        <v>1</v>
      </c>
      <c r="W167" s="6">
        <v>1</v>
      </c>
      <c r="X167" s="6">
        <v>1</v>
      </c>
      <c r="Y167" s="6">
        <v>1</v>
      </c>
      <c r="Z167" s="6">
        <v>1</v>
      </c>
      <c r="AA167" s="6">
        <v>1</v>
      </c>
    </row>
    <row r="168" spans="1:27" x14ac:dyDescent="0.3">
      <c r="A168" s="8" t="s">
        <v>100</v>
      </c>
      <c r="B168" s="8" t="s">
        <v>8</v>
      </c>
      <c r="C168" s="8" t="s">
        <v>66</v>
      </c>
      <c r="D168" s="6">
        <v>1</v>
      </c>
      <c r="E168" s="6">
        <v>1</v>
      </c>
      <c r="F168" s="6">
        <v>0</v>
      </c>
      <c r="G168" s="6">
        <v>0</v>
      </c>
      <c r="H168" s="6">
        <v>0</v>
      </c>
      <c r="I168" s="6">
        <v>0</v>
      </c>
      <c r="J168" s="6">
        <v>0</v>
      </c>
      <c r="K168" s="6">
        <v>0</v>
      </c>
      <c r="L168" s="6">
        <v>0</v>
      </c>
      <c r="M168" s="6">
        <v>0</v>
      </c>
      <c r="N168" s="6">
        <v>0</v>
      </c>
      <c r="O168" s="6">
        <v>0</v>
      </c>
      <c r="P168" s="6">
        <v>0</v>
      </c>
      <c r="Q168" s="6">
        <v>0</v>
      </c>
      <c r="R168" s="6">
        <v>0</v>
      </c>
      <c r="S168" s="6">
        <v>0</v>
      </c>
      <c r="T168" s="6">
        <v>0</v>
      </c>
      <c r="U168" s="6">
        <v>0</v>
      </c>
      <c r="V168" s="6">
        <v>0</v>
      </c>
      <c r="W168" s="6">
        <v>0</v>
      </c>
      <c r="X168" s="6">
        <v>0</v>
      </c>
      <c r="Y168" s="6">
        <v>0</v>
      </c>
      <c r="Z168" s="6">
        <v>0</v>
      </c>
      <c r="AA168" s="6">
        <v>0</v>
      </c>
    </row>
    <row r="169" spans="1:27" x14ac:dyDescent="0.3">
      <c r="A169" s="8" t="s">
        <v>100</v>
      </c>
      <c r="B169" s="8" t="s">
        <v>8</v>
      </c>
      <c r="C169" s="8" t="s">
        <v>67</v>
      </c>
      <c r="D169" s="6">
        <v>0</v>
      </c>
      <c r="E169" s="6">
        <v>0</v>
      </c>
      <c r="F169" s="6">
        <v>0</v>
      </c>
      <c r="G169" s="6">
        <v>0</v>
      </c>
      <c r="H169" s="6">
        <v>0</v>
      </c>
      <c r="I169" s="6">
        <v>0</v>
      </c>
      <c r="J169" s="6">
        <v>0</v>
      </c>
      <c r="K169" s="6">
        <v>0</v>
      </c>
      <c r="L169" s="6">
        <v>0</v>
      </c>
      <c r="M169" s="6">
        <v>0</v>
      </c>
      <c r="N169" s="6">
        <v>0</v>
      </c>
      <c r="O169" s="6">
        <v>0</v>
      </c>
      <c r="P169" s="6">
        <v>0</v>
      </c>
      <c r="Q169" s="6">
        <v>0</v>
      </c>
      <c r="R169" s="6">
        <v>0</v>
      </c>
      <c r="S169" s="6">
        <v>0</v>
      </c>
      <c r="T169" s="6">
        <v>0</v>
      </c>
      <c r="U169" s="6">
        <v>0</v>
      </c>
      <c r="V169" s="6">
        <v>0</v>
      </c>
      <c r="W169" s="6">
        <v>0</v>
      </c>
      <c r="X169" s="6">
        <v>0</v>
      </c>
      <c r="Y169" s="6">
        <v>0</v>
      </c>
      <c r="Z169" s="6">
        <v>0</v>
      </c>
      <c r="AA169" s="6">
        <v>0</v>
      </c>
    </row>
    <row r="170" spans="1:27" x14ac:dyDescent="0.3">
      <c r="A170" s="8" t="s">
        <v>100</v>
      </c>
      <c r="B170" s="8" t="s">
        <v>8</v>
      </c>
      <c r="C170" s="8" t="s">
        <v>68</v>
      </c>
      <c r="D170" s="6">
        <v>0</v>
      </c>
      <c r="E170" s="6">
        <v>0</v>
      </c>
      <c r="F170" s="6">
        <v>0</v>
      </c>
      <c r="G170" s="6">
        <v>0</v>
      </c>
      <c r="H170" s="6">
        <v>0</v>
      </c>
      <c r="I170" s="6">
        <v>0</v>
      </c>
      <c r="J170" s="6">
        <v>0</v>
      </c>
      <c r="K170" s="6">
        <v>0</v>
      </c>
      <c r="L170" s="6">
        <v>0</v>
      </c>
      <c r="M170" s="6">
        <v>0</v>
      </c>
      <c r="N170" s="6">
        <v>0</v>
      </c>
      <c r="O170" s="6">
        <v>0</v>
      </c>
      <c r="P170" s="6">
        <v>0</v>
      </c>
      <c r="Q170" s="6">
        <v>0</v>
      </c>
      <c r="R170" s="6">
        <v>0</v>
      </c>
      <c r="S170" s="6">
        <v>0</v>
      </c>
      <c r="T170" s="6">
        <v>0</v>
      </c>
      <c r="U170" s="6">
        <v>0</v>
      </c>
      <c r="V170" s="6">
        <v>0</v>
      </c>
      <c r="W170" s="6">
        <v>0</v>
      </c>
      <c r="X170" s="6">
        <v>0</v>
      </c>
      <c r="Y170" s="6">
        <v>0</v>
      </c>
      <c r="Z170" s="6">
        <v>1</v>
      </c>
      <c r="AA170" s="6">
        <v>0</v>
      </c>
    </row>
    <row r="171" spans="1:27" x14ac:dyDescent="0.3">
      <c r="A171" s="8" t="s">
        <v>100</v>
      </c>
      <c r="B171" s="8" t="s">
        <v>8</v>
      </c>
      <c r="C171" s="8" t="s">
        <v>69</v>
      </c>
      <c r="D171" s="6">
        <v>0</v>
      </c>
      <c r="E171" s="6">
        <v>0</v>
      </c>
      <c r="F171" s="6">
        <v>0</v>
      </c>
      <c r="G171" s="6">
        <v>0</v>
      </c>
      <c r="H171" s="6">
        <v>0</v>
      </c>
      <c r="I171" s="6">
        <v>0</v>
      </c>
      <c r="J171" s="6">
        <v>0</v>
      </c>
      <c r="K171" s="6">
        <v>0</v>
      </c>
      <c r="L171" s="6">
        <v>0</v>
      </c>
      <c r="M171" s="6">
        <v>0</v>
      </c>
      <c r="N171" s="6">
        <v>0</v>
      </c>
      <c r="O171" s="6">
        <v>0</v>
      </c>
      <c r="P171" s="6">
        <v>0</v>
      </c>
      <c r="Q171" s="6">
        <v>0</v>
      </c>
      <c r="R171" s="6">
        <v>0</v>
      </c>
      <c r="S171" s="6">
        <v>0</v>
      </c>
      <c r="T171" s="6">
        <v>0</v>
      </c>
      <c r="U171" s="6">
        <v>0</v>
      </c>
      <c r="V171" s="6">
        <v>0</v>
      </c>
      <c r="W171" s="6">
        <v>0</v>
      </c>
      <c r="X171" s="6">
        <v>0</v>
      </c>
      <c r="Y171" s="6">
        <v>0</v>
      </c>
      <c r="Z171" s="6">
        <v>0</v>
      </c>
      <c r="AA171" s="6">
        <v>0</v>
      </c>
    </row>
    <row r="172" spans="1:27" x14ac:dyDescent="0.3">
      <c r="A172" s="8" t="s">
        <v>100</v>
      </c>
      <c r="B172" s="8" t="s">
        <v>9</v>
      </c>
      <c r="C172" s="8" t="s">
        <v>60</v>
      </c>
      <c r="D172" s="6">
        <v>1</v>
      </c>
      <c r="E172" s="6">
        <v>1</v>
      </c>
      <c r="F172" s="6">
        <v>1</v>
      </c>
      <c r="G172" s="6">
        <v>1</v>
      </c>
      <c r="H172" s="6">
        <v>1</v>
      </c>
      <c r="I172" s="6">
        <v>1</v>
      </c>
      <c r="J172" s="6">
        <v>1</v>
      </c>
      <c r="K172" s="6">
        <v>1</v>
      </c>
      <c r="L172" s="6">
        <v>1</v>
      </c>
      <c r="M172" s="6">
        <v>1</v>
      </c>
      <c r="N172" s="6">
        <v>1</v>
      </c>
      <c r="O172" s="6">
        <v>1</v>
      </c>
      <c r="P172" s="6">
        <v>1</v>
      </c>
      <c r="Q172" s="6">
        <v>1</v>
      </c>
      <c r="R172" s="6">
        <v>1</v>
      </c>
      <c r="S172" s="6">
        <v>1</v>
      </c>
      <c r="T172" s="6">
        <v>1</v>
      </c>
      <c r="U172" s="6">
        <v>1</v>
      </c>
      <c r="V172" s="6">
        <v>1</v>
      </c>
      <c r="W172" s="6">
        <v>1</v>
      </c>
      <c r="X172" s="6">
        <v>1</v>
      </c>
      <c r="Y172" s="6">
        <v>1</v>
      </c>
      <c r="Z172" s="6">
        <v>1</v>
      </c>
      <c r="AA172" s="6">
        <v>1</v>
      </c>
    </row>
    <row r="173" spans="1:27" x14ac:dyDescent="0.3">
      <c r="A173" s="8" t="s">
        <v>100</v>
      </c>
      <c r="B173" s="8" t="s">
        <v>9</v>
      </c>
      <c r="C173" s="8" t="s">
        <v>150</v>
      </c>
      <c r="D173" s="6">
        <v>1</v>
      </c>
      <c r="E173" s="6">
        <v>0</v>
      </c>
      <c r="F173" s="6">
        <v>1</v>
      </c>
      <c r="G173" s="6">
        <v>1</v>
      </c>
      <c r="H173" s="6">
        <v>1</v>
      </c>
      <c r="I173" s="6">
        <v>1</v>
      </c>
      <c r="J173" s="6">
        <v>1</v>
      </c>
      <c r="K173" s="6">
        <v>0</v>
      </c>
      <c r="L173" s="6">
        <v>0</v>
      </c>
      <c r="M173" s="6">
        <v>0</v>
      </c>
      <c r="N173" s="6">
        <v>1</v>
      </c>
      <c r="O173" s="6">
        <v>1</v>
      </c>
      <c r="P173" s="6">
        <v>1</v>
      </c>
      <c r="Q173" s="6">
        <v>1</v>
      </c>
      <c r="R173" s="6">
        <v>1</v>
      </c>
      <c r="S173" s="6">
        <v>0</v>
      </c>
      <c r="T173" s="6">
        <v>1</v>
      </c>
      <c r="U173" s="6">
        <v>1</v>
      </c>
      <c r="V173" s="6">
        <v>1</v>
      </c>
      <c r="W173" s="6">
        <v>1</v>
      </c>
      <c r="X173" s="6">
        <v>1</v>
      </c>
      <c r="Y173" s="6">
        <v>1</v>
      </c>
      <c r="Z173" s="6">
        <v>1</v>
      </c>
      <c r="AA173" s="6">
        <v>0</v>
      </c>
    </row>
    <row r="174" spans="1:27" x14ac:dyDescent="0.3">
      <c r="A174" s="8" t="s">
        <v>100</v>
      </c>
      <c r="B174" s="8" t="s">
        <v>9</v>
      </c>
      <c r="C174" s="8" t="s">
        <v>61</v>
      </c>
      <c r="D174" s="6">
        <v>0</v>
      </c>
      <c r="E174" s="6">
        <v>0</v>
      </c>
      <c r="F174" s="6">
        <v>0</v>
      </c>
      <c r="G174" s="6">
        <v>0</v>
      </c>
      <c r="H174" s="6">
        <v>0</v>
      </c>
      <c r="I174" s="6">
        <v>0</v>
      </c>
      <c r="J174" s="6">
        <v>0</v>
      </c>
      <c r="K174" s="6">
        <v>0</v>
      </c>
      <c r="L174" s="6">
        <v>1</v>
      </c>
      <c r="M174" s="6">
        <v>0</v>
      </c>
      <c r="N174" s="6">
        <v>0</v>
      </c>
      <c r="O174" s="6">
        <v>0</v>
      </c>
      <c r="P174" s="6">
        <v>0</v>
      </c>
      <c r="Q174" s="6">
        <v>0</v>
      </c>
      <c r="R174" s="6">
        <v>1</v>
      </c>
      <c r="S174" s="6">
        <v>1</v>
      </c>
      <c r="T174" s="6">
        <v>0</v>
      </c>
      <c r="U174" s="6">
        <v>0</v>
      </c>
      <c r="V174" s="6">
        <v>0</v>
      </c>
      <c r="W174" s="6">
        <v>0</v>
      </c>
      <c r="X174" s="6">
        <v>1</v>
      </c>
      <c r="Y174" s="6">
        <v>0</v>
      </c>
      <c r="Z174" s="6">
        <v>0</v>
      </c>
      <c r="AA174" s="6">
        <v>0</v>
      </c>
    </row>
    <row r="175" spans="1:27" x14ac:dyDescent="0.3">
      <c r="A175" s="8" t="s">
        <v>100</v>
      </c>
      <c r="B175" s="8" t="s">
        <v>9</v>
      </c>
      <c r="C175" s="8" t="s">
        <v>152</v>
      </c>
      <c r="D175" s="6">
        <v>0</v>
      </c>
      <c r="E175" s="6">
        <v>0</v>
      </c>
      <c r="F175" s="6">
        <v>1</v>
      </c>
      <c r="G175" s="6">
        <v>0</v>
      </c>
      <c r="H175" s="6">
        <v>0</v>
      </c>
      <c r="I175" s="6">
        <v>0</v>
      </c>
      <c r="J175" s="6">
        <v>1</v>
      </c>
      <c r="K175" s="6">
        <v>0</v>
      </c>
      <c r="L175" s="6">
        <v>0</v>
      </c>
      <c r="M175" s="6">
        <v>0</v>
      </c>
      <c r="N175" s="6">
        <v>1</v>
      </c>
      <c r="O175" s="6">
        <v>0</v>
      </c>
      <c r="P175" s="6">
        <v>1</v>
      </c>
      <c r="Q175" s="6">
        <v>1</v>
      </c>
      <c r="R175" s="6">
        <v>0</v>
      </c>
      <c r="S175" s="6">
        <v>0</v>
      </c>
      <c r="T175" s="6">
        <v>0</v>
      </c>
      <c r="U175" s="6">
        <v>0</v>
      </c>
      <c r="V175" s="6">
        <v>0</v>
      </c>
      <c r="W175" s="6">
        <v>0</v>
      </c>
      <c r="X175" s="6">
        <v>0</v>
      </c>
      <c r="Y175" s="6">
        <v>0</v>
      </c>
      <c r="Z175" s="6">
        <v>1</v>
      </c>
      <c r="AA175" s="6">
        <v>0</v>
      </c>
    </row>
    <row r="176" spans="1:27" x14ac:dyDescent="0.3">
      <c r="A176" s="8" t="s">
        <v>100</v>
      </c>
      <c r="B176" s="8" t="s">
        <v>9</v>
      </c>
      <c r="C176" s="8" t="s">
        <v>151</v>
      </c>
      <c r="D176" s="6">
        <v>1</v>
      </c>
      <c r="E176" s="6">
        <v>0</v>
      </c>
      <c r="F176" s="6">
        <v>1</v>
      </c>
      <c r="G176" s="6">
        <v>1</v>
      </c>
      <c r="H176" s="6">
        <v>1</v>
      </c>
      <c r="I176" s="6">
        <v>1</v>
      </c>
      <c r="J176" s="6">
        <v>1</v>
      </c>
      <c r="K176" s="6">
        <v>1</v>
      </c>
      <c r="L176" s="6">
        <v>1</v>
      </c>
      <c r="M176" s="6">
        <v>1</v>
      </c>
      <c r="N176" s="6">
        <v>1</v>
      </c>
      <c r="O176" s="6">
        <v>0</v>
      </c>
      <c r="P176" s="6">
        <v>1</v>
      </c>
      <c r="Q176" s="6">
        <v>0</v>
      </c>
      <c r="R176" s="6">
        <v>1</v>
      </c>
      <c r="S176" s="6">
        <v>1</v>
      </c>
      <c r="T176" s="6">
        <v>1</v>
      </c>
      <c r="U176" s="6">
        <v>0</v>
      </c>
      <c r="V176" s="6">
        <v>0</v>
      </c>
      <c r="W176" s="6">
        <v>0</v>
      </c>
      <c r="X176" s="6">
        <v>1</v>
      </c>
      <c r="Y176" s="6">
        <v>1</v>
      </c>
      <c r="Z176" s="6">
        <v>1</v>
      </c>
      <c r="AA176" s="6">
        <v>0</v>
      </c>
    </row>
    <row r="177" spans="1:27" x14ac:dyDescent="0.3">
      <c r="A177" s="8" t="s">
        <v>100</v>
      </c>
      <c r="B177" s="8" t="s">
        <v>9</v>
      </c>
      <c r="C177" s="8" t="s">
        <v>62</v>
      </c>
      <c r="D177" s="6">
        <v>1</v>
      </c>
      <c r="E177" s="6">
        <v>1</v>
      </c>
      <c r="F177" s="6">
        <v>1</v>
      </c>
      <c r="G177" s="6">
        <v>1</v>
      </c>
      <c r="H177" s="6">
        <v>1</v>
      </c>
      <c r="I177" s="6">
        <v>1</v>
      </c>
      <c r="J177" s="6">
        <v>1</v>
      </c>
      <c r="K177" s="6">
        <v>1</v>
      </c>
      <c r="L177" s="6">
        <v>1</v>
      </c>
      <c r="M177" s="6">
        <v>1</v>
      </c>
      <c r="N177" s="6">
        <v>1</v>
      </c>
      <c r="O177" s="6">
        <v>1</v>
      </c>
      <c r="P177" s="6">
        <v>1</v>
      </c>
      <c r="Q177" s="6">
        <v>1</v>
      </c>
      <c r="R177" s="6">
        <v>1</v>
      </c>
      <c r="S177" s="6">
        <v>1</v>
      </c>
      <c r="T177" s="6">
        <v>1</v>
      </c>
      <c r="U177" s="6">
        <v>1</v>
      </c>
      <c r="V177" s="6">
        <v>1</v>
      </c>
      <c r="W177" s="6">
        <v>1</v>
      </c>
      <c r="X177" s="6">
        <v>1</v>
      </c>
      <c r="Y177" s="6">
        <v>1</v>
      </c>
      <c r="Z177" s="6">
        <v>1</v>
      </c>
      <c r="AA177" s="6">
        <v>1</v>
      </c>
    </row>
    <row r="178" spans="1:27" x14ac:dyDescent="0.3">
      <c r="A178" s="8" t="s">
        <v>100</v>
      </c>
      <c r="B178" s="8" t="s">
        <v>9</v>
      </c>
      <c r="C178" s="8" t="s">
        <v>63</v>
      </c>
      <c r="D178" s="6">
        <v>1</v>
      </c>
      <c r="E178" s="6">
        <v>1</v>
      </c>
      <c r="F178" s="6">
        <v>1</v>
      </c>
      <c r="G178" s="6">
        <v>1</v>
      </c>
      <c r="H178" s="6">
        <v>1</v>
      </c>
      <c r="I178" s="6">
        <v>1</v>
      </c>
      <c r="J178" s="6">
        <v>1</v>
      </c>
      <c r="K178" s="6">
        <v>1</v>
      </c>
      <c r="L178" s="6">
        <v>1</v>
      </c>
      <c r="M178" s="6">
        <v>1</v>
      </c>
      <c r="N178" s="6">
        <v>1</v>
      </c>
      <c r="O178" s="6">
        <v>1</v>
      </c>
      <c r="P178" s="6">
        <v>1</v>
      </c>
      <c r="Q178" s="6">
        <v>1</v>
      </c>
      <c r="R178" s="6">
        <v>1</v>
      </c>
      <c r="S178" s="6">
        <v>1</v>
      </c>
      <c r="T178" s="6">
        <v>1</v>
      </c>
      <c r="U178" s="6">
        <v>1</v>
      </c>
      <c r="V178" s="6">
        <v>1</v>
      </c>
      <c r="W178" s="6">
        <v>1</v>
      </c>
      <c r="X178" s="6">
        <v>1</v>
      </c>
      <c r="Y178" s="6">
        <v>1</v>
      </c>
      <c r="Z178" s="6">
        <v>1</v>
      </c>
      <c r="AA178" s="6">
        <v>1</v>
      </c>
    </row>
    <row r="179" spans="1:27" x14ac:dyDescent="0.3">
      <c r="A179" s="8" t="s">
        <v>100</v>
      </c>
      <c r="B179" s="8" t="s">
        <v>9</v>
      </c>
      <c r="C179" s="8" t="s">
        <v>64</v>
      </c>
      <c r="D179" s="6">
        <v>1</v>
      </c>
      <c r="E179" s="6">
        <v>1</v>
      </c>
      <c r="F179" s="6">
        <v>1</v>
      </c>
      <c r="G179" s="6">
        <v>0</v>
      </c>
      <c r="H179" s="6">
        <v>1</v>
      </c>
      <c r="I179" s="6">
        <v>0</v>
      </c>
      <c r="J179" s="6">
        <v>0</v>
      </c>
      <c r="K179" s="6">
        <v>0</v>
      </c>
      <c r="L179" s="6">
        <v>1</v>
      </c>
      <c r="M179" s="6">
        <v>0</v>
      </c>
      <c r="N179" s="6">
        <v>1</v>
      </c>
      <c r="O179" s="6">
        <v>0</v>
      </c>
      <c r="P179" s="6">
        <v>1</v>
      </c>
      <c r="Q179" s="6">
        <v>0</v>
      </c>
      <c r="R179" s="6">
        <v>0</v>
      </c>
      <c r="S179" s="6">
        <v>0</v>
      </c>
      <c r="T179" s="6">
        <v>1</v>
      </c>
      <c r="U179" s="6">
        <v>0</v>
      </c>
      <c r="V179" s="6">
        <v>1</v>
      </c>
      <c r="W179" s="6">
        <v>0</v>
      </c>
      <c r="X179" s="6">
        <v>1</v>
      </c>
      <c r="Y179" s="6">
        <v>0</v>
      </c>
      <c r="Z179" s="6">
        <v>1</v>
      </c>
      <c r="AA179" s="6">
        <v>1</v>
      </c>
    </row>
    <row r="180" spans="1:27" x14ac:dyDescent="0.3">
      <c r="A180" s="8" t="s">
        <v>100</v>
      </c>
      <c r="B180" s="8" t="s">
        <v>9</v>
      </c>
      <c r="C180" s="8" t="s">
        <v>65</v>
      </c>
      <c r="D180" s="6">
        <v>1</v>
      </c>
      <c r="E180" s="6">
        <v>1</v>
      </c>
      <c r="F180" s="6">
        <v>1</v>
      </c>
      <c r="G180" s="6">
        <v>1</v>
      </c>
      <c r="H180" s="6">
        <v>1</v>
      </c>
      <c r="I180" s="6">
        <v>1</v>
      </c>
      <c r="J180" s="6">
        <v>1</v>
      </c>
      <c r="K180" s="6">
        <v>1</v>
      </c>
      <c r="L180" s="6">
        <v>1</v>
      </c>
      <c r="M180" s="6">
        <v>1</v>
      </c>
      <c r="N180" s="6">
        <v>1</v>
      </c>
      <c r="O180" s="6">
        <v>1</v>
      </c>
      <c r="P180" s="6">
        <v>1</v>
      </c>
      <c r="Q180" s="6">
        <v>1</v>
      </c>
      <c r="R180" s="6">
        <v>1</v>
      </c>
      <c r="S180" s="6">
        <v>1</v>
      </c>
      <c r="T180" s="6">
        <v>1</v>
      </c>
      <c r="U180" s="6">
        <v>1</v>
      </c>
      <c r="V180" s="6">
        <v>1</v>
      </c>
      <c r="W180" s="6">
        <v>1</v>
      </c>
      <c r="X180" s="6">
        <v>1</v>
      </c>
      <c r="Y180" s="6">
        <v>1</v>
      </c>
      <c r="Z180" s="6">
        <v>1</v>
      </c>
      <c r="AA180" s="6">
        <v>1</v>
      </c>
    </row>
    <row r="181" spans="1:27" x14ac:dyDescent="0.3">
      <c r="A181" s="8" t="s">
        <v>100</v>
      </c>
      <c r="B181" s="8" t="s">
        <v>9</v>
      </c>
      <c r="C181" s="8" t="s">
        <v>66</v>
      </c>
      <c r="D181" s="6">
        <v>0</v>
      </c>
      <c r="E181" s="6">
        <v>1</v>
      </c>
      <c r="F181" s="6">
        <v>0</v>
      </c>
      <c r="G181" s="6">
        <v>0</v>
      </c>
      <c r="H181" s="6">
        <v>0</v>
      </c>
      <c r="I181" s="6">
        <v>0</v>
      </c>
      <c r="J181" s="6">
        <v>0</v>
      </c>
      <c r="K181" s="6">
        <v>0</v>
      </c>
      <c r="L181" s="6">
        <v>0</v>
      </c>
      <c r="M181" s="6">
        <v>0</v>
      </c>
      <c r="N181" s="6">
        <v>0</v>
      </c>
      <c r="O181" s="6">
        <v>0</v>
      </c>
      <c r="P181" s="6">
        <v>0</v>
      </c>
      <c r="Q181" s="6">
        <v>0</v>
      </c>
      <c r="R181" s="6">
        <v>0</v>
      </c>
      <c r="S181" s="6">
        <v>0</v>
      </c>
      <c r="T181" s="6">
        <v>0</v>
      </c>
      <c r="U181" s="6">
        <v>0</v>
      </c>
      <c r="V181" s="6">
        <v>0</v>
      </c>
      <c r="W181" s="6">
        <v>0</v>
      </c>
      <c r="X181" s="6">
        <v>0</v>
      </c>
      <c r="Y181" s="6">
        <v>0</v>
      </c>
      <c r="Z181" s="6">
        <v>1</v>
      </c>
      <c r="AA181" s="6">
        <v>1</v>
      </c>
    </row>
    <row r="182" spans="1:27" x14ac:dyDescent="0.3">
      <c r="A182" s="8" t="s">
        <v>100</v>
      </c>
      <c r="B182" s="8" t="s">
        <v>9</v>
      </c>
      <c r="C182" s="8" t="s">
        <v>67</v>
      </c>
      <c r="D182" s="6">
        <v>0</v>
      </c>
      <c r="E182" s="6">
        <v>0</v>
      </c>
      <c r="F182" s="6">
        <v>0</v>
      </c>
      <c r="G182" s="6">
        <v>0</v>
      </c>
      <c r="H182" s="6">
        <v>0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 s="6">
        <v>0</v>
      </c>
      <c r="O182" s="6">
        <v>0</v>
      </c>
      <c r="P182" s="6">
        <v>0</v>
      </c>
      <c r="Q182" s="6">
        <v>0</v>
      </c>
      <c r="R182" s="6">
        <v>0</v>
      </c>
      <c r="S182" s="6">
        <v>0</v>
      </c>
      <c r="T182" s="6">
        <v>0</v>
      </c>
      <c r="U182" s="6">
        <v>0</v>
      </c>
      <c r="V182" s="6">
        <v>0</v>
      </c>
      <c r="W182" s="6">
        <v>0</v>
      </c>
      <c r="X182" s="6">
        <v>0</v>
      </c>
      <c r="Y182" s="6">
        <v>0</v>
      </c>
      <c r="Z182" s="6">
        <v>0</v>
      </c>
      <c r="AA182" s="6">
        <v>0</v>
      </c>
    </row>
    <row r="183" spans="1:27" x14ac:dyDescent="0.3">
      <c r="A183" s="8" t="s">
        <v>100</v>
      </c>
      <c r="B183" s="8" t="s">
        <v>9</v>
      </c>
      <c r="C183" s="8" t="s">
        <v>68</v>
      </c>
      <c r="D183" s="6">
        <v>1</v>
      </c>
      <c r="E183" s="6">
        <v>0</v>
      </c>
      <c r="F183" s="6">
        <v>0</v>
      </c>
      <c r="G183" s="6">
        <v>0</v>
      </c>
      <c r="H183" s="6">
        <v>0</v>
      </c>
      <c r="I183" s="6">
        <v>0</v>
      </c>
      <c r="J183" s="6">
        <v>0</v>
      </c>
      <c r="K183" s="6">
        <v>0</v>
      </c>
      <c r="L183" s="6">
        <v>0</v>
      </c>
      <c r="M183" s="6">
        <v>0</v>
      </c>
      <c r="N183" s="6">
        <v>0</v>
      </c>
      <c r="O183" s="6">
        <v>0</v>
      </c>
      <c r="P183" s="6">
        <v>0</v>
      </c>
      <c r="Q183" s="6">
        <v>0</v>
      </c>
      <c r="R183" s="6">
        <v>0</v>
      </c>
      <c r="S183" s="6">
        <v>0</v>
      </c>
      <c r="T183" s="6">
        <v>0</v>
      </c>
      <c r="U183" s="6">
        <v>0</v>
      </c>
      <c r="V183" s="6">
        <v>0</v>
      </c>
      <c r="W183" s="6">
        <v>0</v>
      </c>
      <c r="X183" s="6">
        <v>0</v>
      </c>
      <c r="Y183" s="6">
        <v>0</v>
      </c>
      <c r="Z183" s="6">
        <v>0</v>
      </c>
      <c r="AA183" s="6">
        <v>0</v>
      </c>
    </row>
    <row r="184" spans="1:27" x14ac:dyDescent="0.3">
      <c r="A184" s="8" t="s">
        <v>100</v>
      </c>
      <c r="B184" s="8" t="s">
        <v>9</v>
      </c>
      <c r="C184" s="8" t="s">
        <v>69</v>
      </c>
      <c r="D184" s="6">
        <v>0</v>
      </c>
      <c r="E184" s="6">
        <v>0</v>
      </c>
      <c r="F184" s="6">
        <v>0</v>
      </c>
      <c r="G184" s="6">
        <v>0</v>
      </c>
      <c r="H184" s="6">
        <v>0</v>
      </c>
      <c r="I184" s="6">
        <v>0</v>
      </c>
      <c r="J184" s="6">
        <v>0</v>
      </c>
      <c r="K184" s="6">
        <v>0</v>
      </c>
      <c r="L184" s="6">
        <v>0</v>
      </c>
      <c r="M184" s="6">
        <v>0</v>
      </c>
      <c r="N184" s="6">
        <v>0</v>
      </c>
      <c r="O184" s="6">
        <v>0</v>
      </c>
      <c r="P184" s="6">
        <v>0</v>
      </c>
      <c r="Q184" s="6">
        <v>0</v>
      </c>
      <c r="R184" s="6">
        <v>0</v>
      </c>
      <c r="S184" s="6">
        <v>0</v>
      </c>
      <c r="T184" s="6">
        <v>0</v>
      </c>
      <c r="U184" s="6">
        <v>0</v>
      </c>
      <c r="V184" s="6">
        <v>0</v>
      </c>
      <c r="W184" s="6">
        <v>0</v>
      </c>
      <c r="X184" s="6">
        <v>0</v>
      </c>
      <c r="Y184" s="6">
        <v>0</v>
      </c>
      <c r="Z184" s="6">
        <v>0</v>
      </c>
      <c r="AA184" s="6">
        <v>0</v>
      </c>
    </row>
    <row r="185" spans="1:27" x14ac:dyDescent="0.3">
      <c r="A185" s="8" t="s">
        <v>100</v>
      </c>
      <c r="B185" s="8" t="s">
        <v>10</v>
      </c>
      <c r="C185" s="8" t="s">
        <v>60</v>
      </c>
      <c r="D185" s="6">
        <v>1</v>
      </c>
      <c r="E185" s="6">
        <v>1</v>
      </c>
      <c r="F185" s="6">
        <v>1</v>
      </c>
      <c r="G185" s="6">
        <v>1</v>
      </c>
      <c r="H185" s="6">
        <v>1</v>
      </c>
      <c r="I185" s="6">
        <v>1</v>
      </c>
      <c r="J185" s="6">
        <v>1</v>
      </c>
      <c r="K185" s="6">
        <v>1</v>
      </c>
      <c r="L185" s="6">
        <v>1</v>
      </c>
      <c r="M185" s="6">
        <v>1</v>
      </c>
      <c r="N185" s="6">
        <v>1</v>
      </c>
      <c r="O185" s="6">
        <v>1</v>
      </c>
      <c r="P185" s="6">
        <v>1</v>
      </c>
      <c r="Q185" s="6">
        <v>1</v>
      </c>
      <c r="R185" s="6">
        <v>1</v>
      </c>
      <c r="S185" s="6">
        <v>1</v>
      </c>
      <c r="T185" s="6">
        <v>1</v>
      </c>
      <c r="U185" s="6">
        <v>1</v>
      </c>
      <c r="V185" s="6">
        <v>1</v>
      </c>
      <c r="W185" s="6">
        <v>1</v>
      </c>
      <c r="X185" s="6">
        <v>1</v>
      </c>
      <c r="Y185" s="6">
        <v>1</v>
      </c>
      <c r="Z185" s="6">
        <v>1</v>
      </c>
      <c r="AA185" s="6">
        <v>1</v>
      </c>
    </row>
    <row r="186" spans="1:27" x14ac:dyDescent="0.3">
      <c r="A186" s="8" t="s">
        <v>100</v>
      </c>
      <c r="B186" s="8" t="s">
        <v>10</v>
      </c>
      <c r="C186" s="8" t="s">
        <v>150</v>
      </c>
      <c r="D186" s="6">
        <v>1</v>
      </c>
      <c r="E186" s="6">
        <v>0</v>
      </c>
      <c r="F186" s="6">
        <v>1</v>
      </c>
      <c r="G186" s="6">
        <v>1</v>
      </c>
      <c r="H186" s="6">
        <v>1</v>
      </c>
      <c r="I186" s="6">
        <v>1</v>
      </c>
      <c r="J186" s="6">
        <v>1</v>
      </c>
      <c r="K186" s="6">
        <v>0</v>
      </c>
      <c r="L186" s="6">
        <v>1</v>
      </c>
      <c r="M186" s="6">
        <v>1</v>
      </c>
      <c r="N186" s="6">
        <v>1</v>
      </c>
      <c r="O186" s="6">
        <v>0</v>
      </c>
      <c r="P186" s="6">
        <v>1</v>
      </c>
      <c r="Q186" s="6">
        <v>1</v>
      </c>
      <c r="R186" s="6">
        <v>1</v>
      </c>
      <c r="S186" s="6">
        <v>0</v>
      </c>
      <c r="T186" s="6">
        <v>1</v>
      </c>
      <c r="U186" s="6">
        <v>0</v>
      </c>
      <c r="V186" s="6">
        <v>1</v>
      </c>
      <c r="W186" s="6">
        <v>1</v>
      </c>
      <c r="X186" s="6">
        <v>1</v>
      </c>
      <c r="Y186" s="6">
        <v>1</v>
      </c>
      <c r="Z186" s="6">
        <v>1</v>
      </c>
      <c r="AA186" s="6">
        <v>1</v>
      </c>
    </row>
    <row r="187" spans="1:27" x14ac:dyDescent="0.3">
      <c r="A187" s="8" t="s">
        <v>100</v>
      </c>
      <c r="B187" s="8" t="s">
        <v>10</v>
      </c>
      <c r="C187" s="8" t="s">
        <v>61</v>
      </c>
      <c r="D187" s="6">
        <v>0</v>
      </c>
      <c r="E187" s="6">
        <v>0</v>
      </c>
      <c r="F187" s="6">
        <v>0</v>
      </c>
      <c r="G187" s="6">
        <v>0</v>
      </c>
      <c r="H187" s="6">
        <v>0</v>
      </c>
      <c r="I187" s="6">
        <v>0</v>
      </c>
      <c r="J187" s="6">
        <v>0</v>
      </c>
      <c r="K187" s="6">
        <v>0</v>
      </c>
      <c r="L187" s="6">
        <v>0</v>
      </c>
      <c r="M187" s="6">
        <v>0</v>
      </c>
      <c r="N187" s="6">
        <v>1</v>
      </c>
      <c r="O187" s="6">
        <v>1</v>
      </c>
      <c r="P187" s="6">
        <v>0</v>
      </c>
      <c r="Q187" s="6">
        <v>0</v>
      </c>
      <c r="R187" s="6">
        <v>0</v>
      </c>
      <c r="S187" s="6">
        <v>0</v>
      </c>
      <c r="T187" s="6">
        <v>0</v>
      </c>
      <c r="U187" s="6">
        <v>0</v>
      </c>
      <c r="V187" s="6">
        <v>0</v>
      </c>
      <c r="W187" s="6">
        <v>0</v>
      </c>
      <c r="X187" s="6">
        <v>1</v>
      </c>
      <c r="Y187" s="6">
        <v>0</v>
      </c>
      <c r="Z187" s="6">
        <v>1</v>
      </c>
      <c r="AA187" s="6">
        <v>1</v>
      </c>
    </row>
    <row r="188" spans="1:27" x14ac:dyDescent="0.3">
      <c r="A188" s="8" t="s">
        <v>100</v>
      </c>
      <c r="B188" s="8" t="s">
        <v>10</v>
      </c>
      <c r="C188" s="8" t="s">
        <v>152</v>
      </c>
      <c r="D188" s="6">
        <v>0</v>
      </c>
      <c r="E188" s="6">
        <v>0</v>
      </c>
      <c r="F188" s="6">
        <v>1</v>
      </c>
      <c r="G188" s="6">
        <v>0</v>
      </c>
      <c r="H188" s="6">
        <v>0</v>
      </c>
      <c r="I188" s="6">
        <v>0</v>
      </c>
      <c r="J188" s="6">
        <v>1</v>
      </c>
      <c r="K188" s="6">
        <v>1</v>
      </c>
      <c r="L188" s="6">
        <v>1</v>
      </c>
      <c r="M188" s="6">
        <v>0</v>
      </c>
      <c r="N188" s="6">
        <v>0</v>
      </c>
      <c r="O188" s="6">
        <v>0</v>
      </c>
      <c r="P188" s="6">
        <v>1</v>
      </c>
      <c r="Q188" s="6">
        <v>0</v>
      </c>
      <c r="R188" s="6">
        <v>1</v>
      </c>
      <c r="S188" s="6">
        <v>1</v>
      </c>
      <c r="T188" s="6">
        <v>0</v>
      </c>
      <c r="U188" s="6">
        <v>0</v>
      </c>
      <c r="V188" s="6">
        <v>0</v>
      </c>
      <c r="W188" s="6">
        <v>0</v>
      </c>
      <c r="X188" s="6">
        <v>0</v>
      </c>
      <c r="Y188" s="6">
        <v>0</v>
      </c>
      <c r="Z188" s="6">
        <v>0</v>
      </c>
      <c r="AA188" s="6">
        <v>0</v>
      </c>
    </row>
    <row r="189" spans="1:27" x14ac:dyDescent="0.3">
      <c r="A189" s="8" t="s">
        <v>100</v>
      </c>
      <c r="B189" s="8" t="s">
        <v>10</v>
      </c>
      <c r="C189" s="8" t="s">
        <v>151</v>
      </c>
      <c r="D189" s="6">
        <v>1</v>
      </c>
      <c r="E189" s="6">
        <v>0</v>
      </c>
      <c r="F189" s="6">
        <v>1</v>
      </c>
      <c r="G189" s="6">
        <v>1</v>
      </c>
      <c r="H189" s="6">
        <v>1</v>
      </c>
      <c r="I189" s="6">
        <v>0</v>
      </c>
      <c r="J189" s="6">
        <v>1</v>
      </c>
      <c r="K189" s="6">
        <v>1</v>
      </c>
      <c r="L189" s="6">
        <v>1</v>
      </c>
      <c r="M189" s="6">
        <v>1</v>
      </c>
      <c r="N189" s="6">
        <v>1</v>
      </c>
      <c r="O189" s="6">
        <v>1</v>
      </c>
      <c r="P189" s="6">
        <v>1</v>
      </c>
      <c r="Q189" s="6">
        <v>0</v>
      </c>
      <c r="R189" s="6">
        <v>1</v>
      </c>
      <c r="S189" s="6">
        <v>1</v>
      </c>
      <c r="T189" s="6">
        <v>1</v>
      </c>
      <c r="U189" s="6">
        <v>1</v>
      </c>
      <c r="V189" s="6">
        <v>0</v>
      </c>
      <c r="W189" s="6">
        <v>0</v>
      </c>
      <c r="X189" s="6">
        <v>1</v>
      </c>
      <c r="Y189" s="6">
        <v>1</v>
      </c>
      <c r="Z189" s="6">
        <v>1</v>
      </c>
      <c r="AA189" s="6">
        <v>0</v>
      </c>
    </row>
    <row r="190" spans="1:27" x14ac:dyDescent="0.3">
      <c r="A190" s="8" t="s">
        <v>100</v>
      </c>
      <c r="B190" s="8" t="s">
        <v>10</v>
      </c>
      <c r="C190" s="8" t="s">
        <v>62</v>
      </c>
      <c r="D190" s="6">
        <v>1</v>
      </c>
      <c r="E190" s="6">
        <v>1</v>
      </c>
      <c r="F190" s="6">
        <v>1</v>
      </c>
      <c r="G190" s="6">
        <v>1</v>
      </c>
      <c r="H190" s="6">
        <v>1</v>
      </c>
      <c r="I190" s="6">
        <v>1</v>
      </c>
      <c r="J190" s="6">
        <v>1</v>
      </c>
      <c r="K190" s="6">
        <v>1</v>
      </c>
      <c r="L190" s="6">
        <v>1</v>
      </c>
      <c r="M190" s="6">
        <v>1</v>
      </c>
      <c r="N190" s="6">
        <v>1</v>
      </c>
      <c r="O190" s="6">
        <v>1</v>
      </c>
      <c r="P190" s="6">
        <v>1</v>
      </c>
      <c r="Q190" s="6">
        <v>1</v>
      </c>
      <c r="R190" s="6">
        <v>1</v>
      </c>
      <c r="S190" s="6">
        <v>1</v>
      </c>
      <c r="T190" s="6">
        <v>1</v>
      </c>
      <c r="U190" s="6">
        <v>1</v>
      </c>
      <c r="V190" s="6">
        <v>1</v>
      </c>
      <c r="W190" s="6">
        <v>1</v>
      </c>
      <c r="X190" s="6">
        <v>1</v>
      </c>
      <c r="Y190" s="6">
        <v>1</v>
      </c>
      <c r="Z190" s="6">
        <v>1</v>
      </c>
      <c r="AA190" s="6">
        <v>1</v>
      </c>
    </row>
    <row r="191" spans="1:27" x14ac:dyDescent="0.3">
      <c r="A191" s="8" t="s">
        <v>100</v>
      </c>
      <c r="B191" s="8" t="s">
        <v>10</v>
      </c>
      <c r="C191" s="8" t="s">
        <v>63</v>
      </c>
      <c r="D191" s="6">
        <v>1</v>
      </c>
      <c r="E191" s="6">
        <v>1</v>
      </c>
      <c r="F191" s="6">
        <v>1</v>
      </c>
      <c r="G191" s="6">
        <v>1</v>
      </c>
      <c r="H191" s="6">
        <v>1</v>
      </c>
      <c r="I191" s="6">
        <v>1</v>
      </c>
      <c r="J191" s="6">
        <v>1</v>
      </c>
      <c r="K191" s="6">
        <v>1</v>
      </c>
      <c r="L191" s="6">
        <v>1</v>
      </c>
      <c r="M191" s="6">
        <v>0</v>
      </c>
      <c r="N191" s="6">
        <v>1</v>
      </c>
      <c r="O191" s="6">
        <v>1</v>
      </c>
      <c r="P191" s="6">
        <v>1</v>
      </c>
      <c r="Q191" s="6">
        <v>1</v>
      </c>
      <c r="R191" s="6">
        <v>1</v>
      </c>
      <c r="S191" s="6">
        <v>1</v>
      </c>
      <c r="T191" s="6">
        <v>1</v>
      </c>
      <c r="U191" s="6">
        <v>1</v>
      </c>
      <c r="V191" s="6">
        <v>1</v>
      </c>
      <c r="W191" s="6">
        <v>1</v>
      </c>
      <c r="X191" s="6">
        <v>1</v>
      </c>
      <c r="Y191" s="6">
        <v>1</v>
      </c>
      <c r="Z191" s="6">
        <v>1</v>
      </c>
      <c r="AA191" s="6">
        <v>1</v>
      </c>
    </row>
    <row r="192" spans="1:27" x14ac:dyDescent="0.3">
      <c r="A192" s="8" t="s">
        <v>100</v>
      </c>
      <c r="B192" s="8" t="s">
        <v>10</v>
      </c>
      <c r="C192" s="8" t="s">
        <v>64</v>
      </c>
      <c r="D192" s="6">
        <v>1</v>
      </c>
      <c r="E192" s="6">
        <v>0</v>
      </c>
      <c r="F192" s="6">
        <v>1</v>
      </c>
      <c r="G192" s="6">
        <v>0</v>
      </c>
      <c r="H192" s="6">
        <v>1</v>
      </c>
      <c r="I192" s="6">
        <v>0</v>
      </c>
      <c r="J192" s="6">
        <v>0</v>
      </c>
      <c r="K192" s="6">
        <v>0</v>
      </c>
      <c r="L192" s="6">
        <v>0</v>
      </c>
      <c r="M192" s="6">
        <v>0</v>
      </c>
      <c r="N192" s="6">
        <v>1</v>
      </c>
      <c r="O192" s="6">
        <v>0</v>
      </c>
      <c r="P192" s="6">
        <v>1</v>
      </c>
      <c r="Q192" s="6">
        <v>0</v>
      </c>
      <c r="R192" s="6">
        <v>0</v>
      </c>
      <c r="S192" s="6">
        <v>0</v>
      </c>
      <c r="T192" s="6">
        <v>1</v>
      </c>
      <c r="U192" s="6">
        <v>0</v>
      </c>
      <c r="V192" s="6">
        <v>1</v>
      </c>
      <c r="W192" s="6">
        <v>0</v>
      </c>
      <c r="X192" s="6">
        <v>1</v>
      </c>
      <c r="Y192" s="6">
        <v>0</v>
      </c>
      <c r="Z192" s="6">
        <v>1</v>
      </c>
      <c r="AA192" s="6">
        <v>0</v>
      </c>
    </row>
    <row r="193" spans="1:27" x14ac:dyDescent="0.3">
      <c r="A193" s="8" t="s">
        <v>100</v>
      </c>
      <c r="B193" s="8" t="s">
        <v>10</v>
      </c>
      <c r="C193" s="8" t="s">
        <v>65</v>
      </c>
      <c r="D193" s="6">
        <v>1</v>
      </c>
      <c r="E193" s="6">
        <v>1</v>
      </c>
      <c r="F193" s="6">
        <v>1</v>
      </c>
      <c r="G193" s="6">
        <v>1</v>
      </c>
      <c r="H193" s="6">
        <v>1</v>
      </c>
      <c r="I193" s="6">
        <v>1</v>
      </c>
      <c r="J193" s="6">
        <v>1</v>
      </c>
      <c r="K193" s="6">
        <v>1</v>
      </c>
      <c r="L193" s="6">
        <v>1</v>
      </c>
      <c r="M193" s="6">
        <v>1</v>
      </c>
      <c r="N193" s="6">
        <v>1</v>
      </c>
      <c r="O193" s="6">
        <v>1</v>
      </c>
      <c r="P193" s="6">
        <v>1</v>
      </c>
      <c r="Q193" s="6">
        <v>1</v>
      </c>
      <c r="R193" s="6">
        <v>1</v>
      </c>
      <c r="S193" s="6">
        <v>1</v>
      </c>
      <c r="T193" s="6">
        <v>1</v>
      </c>
      <c r="U193" s="6">
        <v>1</v>
      </c>
      <c r="V193" s="6">
        <v>1</v>
      </c>
      <c r="W193" s="6">
        <v>1</v>
      </c>
      <c r="X193" s="6">
        <v>1</v>
      </c>
      <c r="Y193" s="6">
        <v>1</v>
      </c>
      <c r="Z193" s="6">
        <v>1</v>
      </c>
      <c r="AA193" s="6">
        <v>1</v>
      </c>
    </row>
    <row r="194" spans="1:27" x14ac:dyDescent="0.3">
      <c r="A194" s="8" t="s">
        <v>100</v>
      </c>
      <c r="B194" s="8" t="s">
        <v>10</v>
      </c>
      <c r="C194" s="8" t="s">
        <v>66</v>
      </c>
      <c r="D194" s="6">
        <v>0</v>
      </c>
      <c r="E194" s="6">
        <v>0</v>
      </c>
      <c r="F194" s="6">
        <v>0</v>
      </c>
      <c r="G194" s="6">
        <v>0</v>
      </c>
      <c r="H194" s="6">
        <v>0</v>
      </c>
      <c r="I194" s="6">
        <v>0</v>
      </c>
      <c r="J194" s="6">
        <v>0</v>
      </c>
      <c r="K194" s="6">
        <v>0</v>
      </c>
      <c r="L194" s="6">
        <v>0</v>
      </c>
      <c r="M194" s="6">
        <v>0</v>
      </c>
      <c r="N194" s="6">
        <v>0</v>
      </c>
      <c r="O194" s="6">
        <v>0</v>
      </c>
      <c r="P194" s="6">
        <v>0</v>
      </c>
      <c r="Q194" s="6">
        <v>0</v>
      </c>
      <c r="R194" s="6">
        <v>0</v>
      </c>
      <c r="S194" s="6">
        <v>0</v>
      </c>
      <c r="T194" s="6">
        <v>0</v>
      </c>
      <c r="U194" s="6">
        <v>0</v>
      </c>
      <c r="V194" s="6">
        <v>0</v>
      </c>
      <c r="W194" s="6">
        <v>0</v>
      </c>
      <c r="X194" s="6">
        <v>0</v>
      </c>
      <c r="Y194" s="6">
        <v>0</v>
      </c>
      <c r="Z194" s="6">
        <v>0</v>
      </c>
      <c r="AA194" s="6">
        <v>0</v>
      </c>
    </row>
    <row r="195" spans="1:27" x14ac:dyDescent="0.3">
      <c r="A195" s="8" t="s">
        <v>100</v>
      </c>
      <c r="B195" s="8" t="s">
        <v>10</v>
      </c>
      <c r="C195" s="8" t="s">
        <v>67</v>
      </c>
      <c r="D195" s="6">
        <v>0</v>
      </c>
      <c r="E195" s="6">
        <v>0</v>
      </c>
      <c r="F195" s="6">
        <v>0</v>
      </c>
      <c r="G195" s="6">
        <v>0</v>
      </c>
      <c r="H195" s="6">
        <v>0</v>
      </c>
      <c r="I195" s="6">
        <v>0</v>
      </c>
      <c r="J195" s="6">
        <v>0</v>
      </c>
      <c r="K195" s="6">
        <v>0</v>
      </c>
      <c r="L195" s="6">
        <v>0</v>
      </c>
      <c r="M195" s="6">
        <v>0</v>
      </c>
      <c r="N195" s="6">
        <v>0</v>
      </c>
      <c r="O195" s="6">
        <v>0</v>
      </c>
      <c r="P195" s="6">
        <v>0</v>
      </c>
      <c r="Q195" s="6">
        <v>0</v>
      </c>
      <c r="R195" s="6">
        <v>0</v>
      </c>
      <c r="S195" s="6">
        <v>0</v>
      </c>
      <c r="T195" s="6">
        <v>0</v>
      </c>
      <c r="U195" s="6">
        <v>0</v>
      </c>
      <c r="V195" s="6">
        <v>0</v>
      </c>
      <c r="W195" s="6">
        <v>0</v>
      </c>
      <c r="X195" s="6">
        <v>0</v>
      </c>
      <c r="Y195" s="6">
        <v>0</v>
      </c>
      <c r="Z195" s="6">
        <v>1</v>
      </c>
      <c r="AA195" s="6">
        <v>0</v>
      </c>
    </row>
    <row r="196" spans="1:27" x14ac:dyDescent="0.3">
      <c r="A196" s="8" t="s">
        <v>100</v>
      </c>
      <c r="B196" s="8" t="s">
        <v>10</v>
      </c>
      <c r="C196" s="8" t="s">
        <v>68</v>
      </c>
      <c r="D196" s="6">
        <v>1</v>
      </c>
      <c r="E196" s="6">
        <v>1</v>
      </c>
      <c r="F196" s="6">
        <v>0</v>
      </c>
      <c r="G196" s="6">
        <v>0</v>
      </c>
      <c r="H196" s="6">
        <v>0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 s="6">
        <v>0</v>
      </c>
      <c r="O196" s="6">
        <v>0</v>
      </c>
      <c r="P196" s="6">
        <v>0</v>
      </c>
      <c r="Q196" s="6">
        <v>0</v>
      </c>
      <c r="R196" s="6">
        <v>0</v>
      </c>
      <c r="S196" s="6">
        <v>0</v>
      </c>
      <c r="T196" s="6">
        <v>0</v>
      </c>
      <c r="U196" s="6">
        <v>0</v>
      </c>
      <c r="V196" s="6">
        <v>0</v>
      </c>
      <c r="W196" s="6">
        <v>0</v>
      </c>
      <c r="X196" s="6">
        <v>0</v>
      </c>
      <c r="Y196" s="6">
        <v>0</v>
      </c>
      <c r="Z196" s="6">
        <v>0</v>
      </c>
      <c r="AA196" s="6">
        <v>0</v>
      </c>
    </row>
    <row r="197" spans="1:27" x14ac:dyDescent="0.3">
      <c r="A197" s="8" t="s">
        <v>100</v>
      </c>
      <c r="B197" s="8" t="s">
        <v>10</v>
      </c>
      <c r="C197" s="8" t="s">
        <v>69</v>
      </c>
      <c r="D197" s="6">
        <v>0</v>
      </c>
      <c r="E197" s="6">
        <v>0</v>
      </c>
      <c r="F197" s="6">
        <v>0</v>
      </c>
      <c r="G197" s="6">
        <v>0</v>
      </c>
      <c r="H197" s="6">
        <v>0</v>
      </c>
      <c r="I197" s="6">
        <v>0</v>
      </c>
      <c r="J197" s="6">
        <v>0</v>
      </c>
      <c r="K197" s="6">
        <v>0</v>
      </c>
      <c r="L197" s="6">
        <v>0</v>
      </c>
      <c r="M197" s="6">
        <v>0</v>
      </c>
      <c r="N197" s="6">
        <v>0</v>
      </c>
      <c r="O197" s="6">
        <v>0</v>
      </c>
      <c r="P197" s="6">
        <v>0</v>
      </c>
      <c r="Q197" s="6">
        <v>0</v>
      </c>
      <c r="R197" s="6">
        <v>0</v>
      </c>
      <c r="S197" s="6">
        <v>0</v>
      </c>
      <c r="T197" s="6">
        <v>0</v>
      </c>
      <c r="U197" s="6">
        <v>0</v>
      </c>
      <c r="V197" s="6">
        <v>0</v>
      </c>
      <c r="W197" s="6">
        <v>0</v>
      </c>
      <c r="X197" s="6">
        <v>0</v>
      </c>
      <c r="Y197" s="6">
        <v>0</v>
      </c>
      <c r="Z197" s="6">
        <v>0</v>
      </c>
      <c r="AA197" s="6">
        <v>0</v>
      </c>
    </row>
  </sheetData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1" type="noConversion"/>
  <pageMargins left="0.75" right="0.75" top="1" bottom="1" header="0" footer="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>
    <tabColor indexed="47"/>
  </sheetPr>
  <dimension ref="A1:BW273"/>
  <sheetViews>
    <sheetView showRowColHeaders="0" workbookViewId="0">
      <pane xSplit="3" ySplit="3" topLeftCell="H4" activePane="bottomRight" state="frozen"/>
      <selection pane="topRight"/>
      <selection pane="bottomLeft"/>
      <selection pane="bottomRight" activeCell="D4" sqref="D4"/>
    </sheetView>
  </sheetViews>
  <sheetFormatPr baseColWidth="10" defaultColWidth="11.44140625" defaultRowHeight="13.8" x14ac:dyDescent="0.3"/>
  <cols>
    <col min="1" max="2" width="4.5546875" style="8" bestFit="1" customWidth="1"/>
    <col min="3" max="3" width="24.44140625" style="8" bestFit="1" customWidth="1"/>
    <col min="4" max="75" width="8.33203125" style="6" bestFit="1" customWidth="1"/>
    <col min="76" max="16384" width="11.44140625" style="6"/>
  </cols>
  <sheetData>
    <row r="1" spans="1:75" s="9" customFormat="1" x14ac:dyDescent="0.3">
      <c r="A1" s="7" t="s">
        <v>165</v>
      </c>
      <c r="B1" s="7" t="s">
        <v>166</v>
      </c>
      <c r="C1" s="7" t="s">
        <v>167</v>
      </c>
      <c r="D1" s="53" t="s">
        <v>21</v>
      </c>
      <c r="E1" s="53" t="s">
        <v>21</v>
      </c>
      <c r="F1" s="53" t="s">
        <v>21</v>
      </c>
      <c r="G1" s="9" t="s">
        <v>21</v>
      </c>
      <c r="H1" s="9" t="s">
        <v>21</v>
      </c>
      <c r="I1" s="9" t="s">
        <v>21</v>
      </c>
      <c r="J1" s="9" t="s">
        <v>29</v>
      </c>
      <c r="K1" s="9" t="s">
        <v>29</v>
      </c>
      <c r="L1" s="9" t="s">
        <v>29</v>
      </c>
      <c r="M1" s="9" t="s">
        <v>29</v>
      </c>
      <c r="N1" s="9" t="s">
        <v>29</v>
      </c>
      <c r="O1" s="9" t="s">
        <v>29</v>
      </c>
      <c r="P1" s="9" t="s">
        <v>30</v>
      </c>
      <c r="Q1" s="9" t="s">
        <v>30</v>
      </c>
      <c r="R1" s="9" t="s">
        <v>30</v>
      </c>
      <c r="S1" s="9" t="s">
        <v>30</v>
      </c>
      <c r="T1" s="9" t="s">
        <v>30</v>
      </c>
      <c r="U1" s="9" t="s">
        <v>30</v>
      </c>
      <c r="V1" s="9" t="s">
        <v>31</v>
      </c>
      <c r="W1" s="9" t="s">
        <v>31</v>
      </c>
      <c r="X1" s="9" t="s">
        <v>31</v>
      </c>
      <c r="Y1" s="9" t="s">
        <v>31</v>
      </c>
      <c r="Z1" s="9" t="s">
        <v>31</v>
      </c>
      <c r="AA1" s="9" t="s">
        <v>31</v>
      </c>
      <c r="AB1" s="9" t="s">
        <v>32</v>
      </c>
      <c r="AC1" s="9" t="s">
        <v>32</v>
      </c>
      <c r="AD1" s="9" t="s">
        <v>32</v>
      </c>
      <c r="AE1" s="9" t="s">
        <v>32</v>
      </c>
      <c r="AF1" s="9" t="s">
        <v>32</v>
      </c>
      <c r="AG1" s="9" t="s">
        <v>32</v>
      </c>
      <c r="AH1" s="9" t="s">
        <v>33</v>
      </c>
      <c r="AI1" s="9" t="s">
        <v>33</v>
      </c>
      <c r="AJ1" s="9" t="s">
        <v>33</v>
      </c>
      <c r="AK1" s="9" t="s">
        <v>33</v>
      </c>
      <c r="AL1" s="9" t="s">
        <v>33</v>
      </c>
      <c r="AM1" s="9" t="s">
        <v>33</v>
      </c>
      <c r="AN1" s="9" t="s">
        <v>34</v>
      </c>
      <c r="AO1" s="9" t="s">
        <v>34</v>
      </c>
      <c r="AP1" s="9" t="s">
        <v>34</v>
      </c>
      <c r="AQ1" s="9" t="s">
        <v>34</v>
      </c>
      <c r="AR1" s="9" t="s">
        <v>34</v>
      </c>
      <c r="AS1" s="9" t="s">
        <v>34</v>
      </c>
      <c r="AT1" s="9" t="s">
        <v>35</v>
      </c>
      <c r="AU1" s="9" t="s">
        <v>35</v>
      </c>
      <c r="AV1" s="9" t="s">
        <v>35</v>
      </c>
      <c r="AW1" s="9" t="s">
        <v>35</v>
      </c>
      <c r="AX1" s="9" t="s">
        <v>35</v>
      </c>
      <c r="AY1" s="9" t="s">
        <v>35</v>
      </c>
      <c r="AZ1" s="9" t="s">
        <v>36</v>
      </c>
      <c r="BA1" s="9" t="s">
        <v>36</v>
      </c>
      <c r="BB1" s="9" t="s">
        <v>36</v>
      </c>
      <c r="BC1" s="9" t="s">
        <v>36</v>
      </c>
      <c r="BD1" s="9" t="s">
        <v>36</v>
      </c>
      <c r="BE1" s="9" t="s">
        <v>36</v>
      </c>
      <c r="BF1" s="9" t="s">
        <v>37</v>
      </c>
      <c r="BG1" s="9" t="s">
        <v>37</v>
      </c>
      <c r="BH1" s="9" t="s">
        <v>37</v>
      </c>
      <c r="BI1" s="9" t="s">
        <v>37</v>
      </c>
      <c r="BJ1" s="9" t="s">
        <v>37</v>
      </c>
      <c r="BK1" s="9" t="s">
        <v>37</v>
      </c>
      <c r="BL1" s="9" t="s">
        <v>38</v>
      </c>
      <c r="BM1" s="9" t="s">
        <v>38</v>
      </c>
      <c r="BN1" s="9" t="s">
        <v>38</v>
      </c>
      <c r="BO1" s="9" t="s">
        <v>38</v>
      </c>
      <c r="BP1" s="9" t="s">
        <v>38</v>
      </c>
      <c r="BQ1" s="9" t="s">
        <v>38</v>
      </c>
      <c r="BR1" s="9" t="s">
        <v>22</v>
      </c>
      <c r="BS1" s="9" t="s">
        <v>22</v>
      </c>
      <c r="BT1" s="9" t="s">
        <v>22</v>
      </c>
      <c r="BU1" s="9" t="s">
        <v>22</v>
      </c>
      <c r="BV1" s="9" t="s">
        <v>22</v>
      </c>
      <c r="BW1" s="9" t="s">
        <v>22</v>
      </c>
    </row>
    <row r="2" spans="1:75" s="9" customFormat="1" x14ac:dyDescent="0.3">
      <c r="A2" s="7"/>
      <c r="B2" s="7"/>
      <c r="C2" s="7"/>
      <c r="D2" s="53" t="s">
        <v>156</v>
      </c>
      <c r="E2" s="53" t="s">
        <v>156</v>
      </c>
      <c r="F2" s="53" t="s">
        <v>156</v>
      </c>
      <c r="G2" s="9" t="s">
        <v>39</v>
      </c>
      <c r="H2" s="9" t="s">
        <v>39</v>
      </c>
      <c r="I2" s="9" t="s">
        <v>39</v>
      </c>
      <c r="J2" s="9" t="s">
        <v>156</v>
      </c>
      <c r="K2" s="9" t="s">
        <v>156</v>
      </c>
      <c r="L2" s="9" t="s">
        <v>156</v>
      </c>
      <c r="M2" s="9" t="s">
        <v>39</v>
      </c>
      <c r="N2" s="9" t="s">
        <v>39</v>
      </c>
      <c r="O2" s="9" t="s">
        <v>39</v>
      </c>
      <c r="P2" s="9" t="s">
        <v>156</v>
      </c>
      <c r="Q2" s="9" t="s">
        <v>156</v>
      </c>
      <c r="R2" s="9" t="s">
        <v>156</v>
      </c>
      <c r="S2" s="9" t="s">
        <v>39</v>
      </c>
      <c r="T2" s="9" t="s">
        <v>39</v>
      </c>
      <c r="U2" s="9" t="s">
        <v>39</v>
      </c>
      <c r="V2" s="9" t="s">
        <v>156</v>
      </c>
      <c r="W2" s="9" t="s">
        <v>156</v>
      </c>
      <c r="X2" s="9" t="s">
        <v>156</v>
      </c>
      <c r="Y2" s="9" t="s">
        <v>39</v>
      </c>
      <c r="Z2" s="9" t="s">
        <v>39</v>
      </c>
      <c r="AA2" s="9" t="s">
        <v>39</v>
      </c>
      <c r="AB2" s="9" t="s">
        <v>156</v>
      </c>
      <c r="AC2" s="9" t="s">
        <v>156</v>
      </c>
      <c r="AD2" s="9" t="s">
        <v>156</v>
      </c>
      <c r="AE2" s="9" t="s">
        <v>39</v>
      </c>
      <c r="AF2" s="9" t="s">
        <v>39</v>
      </c>
      <c r="AG2" s="9" t="s">
        <v>39</v>
      </c>
      <c r="AH2" s="9" t="s">
        <v>156</v>
      </c>
      <c r="AI2" s="9" t="s">
        <v>156</v>
      </c>
      <c r="AJ2" s="9" t="s">
        <v>156</v>
      </c>
      <c r="AK2" s="9" t="s">
        <v>39</v>
      </c>
      <c r="AL2" s="9" t="s">
        <v>39</v>
      </c>
      <c r="AM2" s="9" t="s">
        <v>39</v>
      </c>
      <c r="AN2" s="9" t="s">
        <v>156</v>
      </c>
      <c r="AO2" s="9" t="s">
        <v>156</v>
      </c>
      <c r="AP2" s="9" t="s">
        <v>156</v>
      </c>
      <c r="AQ2" s="9" t="s">
        <v>39</v>
      </c>
      <c r="AR2" s="9" t="s">
        <v>39</v>
      </c>
      <c r="AS2" s="9" t="s">
        <v>39</v>
      </c>
      <c r="AT2" s="9" t="s">
        <v>156</v>
      </c>
      <c r="AU2" s="9" t="s">
        <v>156</v>
      </c>
      <c r="AV2" s="9" t="s">
        <v>156</v>
      </c>
      <c r="AW2" s="9" t="s">
        <v>39</v>
      </c>
      <c r="AX2" s="9" t="s">
        <v>39</v>
      </c>
      <c r="AY2" s="9" t="s">
        <v>39</v>
      </c>
      <c r="AZ2" s="9" t="s">
        <v>156</v>
      </c>
      <c r="BA2" s="9" t="s">
        <v>156</v>
      </c>
      <c r="BB2" s="9" t="s">
        <v>156</v>
      </c>
      <c r="BC2" s="9" t="s">
        <v>39</v>
      </c>
      <c r="BD2" s="9" t="s">
        <v>39</v>
      </c>
      <c r="BE2" s="9" t="s">
        <v>39</v>
      </c>
      <c r="BF2" s="9" t="s">
        <v>156</v>
      </c>
      <c r="BG2" s="9" t="s">
        <v>156</v>
      </c>
      <c r="BH2" s="9" t="s">
        <v>156</v>
      </c>
      <c r="BI2" s="9" t="s">
        <v>39</v>
      </c>
      <c r="BJ2" s="9" t="s">
        <v>39</v>
      </c>
      <c r="BK2" s="9" t="s">
        <v>39</v>
      </c>
      <c r="BL2" s="9" t="s">
        <v>156</v>
      </c>
      <c r="BM2" s="9" t="s">
        <v>156</v>
      </c>
      <c r="BN2" s="9" t="s">
        <v>156</v>
      </c>
      <c r="BO2" s="9" t="s">
        <v>39</v>
      </c>
      <c r="BP2" s="9" t="s">
        <v>39</v>
      </c>
      <c r="BQ2" s="9" t="s">
        <v>39</v>
      </c>
      <c r="BR2" s="9" t="s">
        <v>156</v>
      </c>
      <c r="BS2" s="9" t="s">
        <v>156</v>
      </c>
      <c r="BT2" s="9" t="s">
        <v>156</v>
      </c>
      <c r="BU2" s="9" t="s">
        <v>39</v>
      </c>
      <c r="BV2" s="9" t="s">
        <v>39</v>
      </c>
      <c r="BW2" s="9" t="s">
        <v>39</v>
      </c>
    </row>
    <row r="3" spans="1:75" s="9" customFormat="1" x14ac:dyDescent="0.3">
      <c r="A3" s="7"/>
      <c r="B3" s="7"/>
      <c r="C3" s="7"/>
      <c r="D3" s="53" t="s">
        <v>26</v>
      </c>
      <c r="E3" s="53" t="s">
        <v>56</v>
      </c>
      <c r="F3" s="53" t="s">
        <v>57</v>
      </c>
      <c r="G3" s="9" t="s">
        <v>26</v>
      </c>
      <c r="H3" s="9" t="s">
        <v>56</v>
      </c>
      <c r="I3" s="9" t="s">
        <v>57</v>
      </c>
      <c r="J3" s="9" t="s">
        <v>26</v>
      </c>
      <c r="K3" s="9" t="s">
        <v>56</v>
      </c>
      <c r="L3" s="9" t="s">
        <v>57</v>
      </c>
      <c r="M3" s="9" t="s">
        <v>26</v>
      </c>
      <c r="N3" s="9" t="s">
        <v>56</v>
      </c>
      <c r="O3" s="9" t="s">
        <v>57</v>
      </c>
      <c r="P3" s="9" t="s">
        <v>26</v>
      </c>
      <c r="Q3" s="9" t="s">
        <v>56</v>
      </c>
      <c r="R3" s="9" t="s">
        <v>57</v>
      </c>
      <c r="S3" s="9" t="s">
        <v>26</v>
      </c>
      <c r="T3" s="9" t="s">
        <v>56</v>
      </c>
      <c r="U3" s="9" t="s">
        <v>57</v>
      </c>
      <c r="V3" s="9" t="s">
        <v>26</v>
      </c>
      <c r="W3" s="9" t="s">
        <v>56</v>
      </c>
      <c r="X3" s="9" t="s">
        <v>57</v>
      </c>
      <c r="Y3" s="9" t="s">
        <v>26</v>
      </c>
      <c r="Z3" s="9" t="s">
        <v>56</v>
      </c>
      <c r="AA3" s="9" t="s">
        <v>57</v>
      </c>
      <c r="AB3" s="9" t="s">
        <v>26</v>
      </c>
      <c r="AC3" s="9" t="s">
        <v>56</v>
      </c>
      <c r="AD3" s="9" t="s">
        <v>57</v>
      </c>
      <c r="AE3" s="9" t="s">
        <v>26</v>
      </c>
      <c r="AF3" s="9" t="s">
        <v>56</v>
      </c>
      <c r="AG3" s="9" t="s">
        <v>57</v>
      </c>
      <c r="AH3" s="9" t="s">
        <v>26</v>
      </c>
      <c r="AI3" s="9" t="s">
        <v>56</v>
      </c>
      <c r="AJ3" s="9" t="s">
        <v>57</v>
      </c>
      <c r="AK3" s="9" t="s">
        <v>26</v>
      </c>
      <c r="AL3" s="9" t="s">
        <v>56</v>
      </c>
      <c r="AM3" s="9" t="s">
        <v>57</v>
      </c>
      <c r="AN3" s="9" t="s">
        <v>26</v>
      </c>
      <c r="AO3" s="9" t="s">
        <v>56</v>
      </c>
      <c r="AP3" s="9" t="s">
        <v>57</v>
      </c>
      <c r="AQ3" s="9" t="s">
        <v>26</v>
      </c>
      <c r="AR3" s="9" t="s">
        <v>56</v>
      </c>
      <c r="AS3" s="9" t="s">
        <v>57</v>
      </c>
      <c r="AT3" s="9" t="s">
        <v>26</v>
      </c>
      <c r="AU3" s="9" t="s">
        <v>56</v>
      </c>
      <c r="AV3" s="9" t="s">
        <v>57</v>
      </c>
      <c r="AW3" s="9" t="s">
        <v>26</v>
      </c>
      <c r="AX3" s="9" t="s">
        <v>56</v>
      </c>
      <c r="AY3" s="9" t="s">
        <v>57</v>
      </c>
      <c r="AZ3" s="9" t="s">
        <v>26</v>
      </c>
      <c r="BA3" s="9" t="s">
        <v>56</v>
      </c>
      <c r="BB3" s="9" t="s">
        <v>57</v>
      </c>
      <c r="BC3" s="9" t="s">
        <v>26</v>
      </c>
      <c r="BD3" s="9" t="s">
        <v>56</v>
      </c>
      <c r="BE3" s="9" t="s">
        <v>57</v>
      </c>
      <c r="BF3" s="9" t="s">
        <v>26</v>
      </c>
      <c r="BG3" s="9" t="s">
        <v>56</v>
      </c>
      <c r="BH3" s="9" t="s">
        <v>57</v>
      </c>
      <c r="BI3" s="9" t="s">
        <v>26</v>
      </c>
      <c r="BJ3" s="9" t="s">
        <v>56</v>
      </c>
      <c r="BK3" s="9" t="s">
        <v>57</v>
      </c>
      <c r="BL3" s="9" t="s">
        <v>26</v>
      </c>
      <c r="BM3" s="9" t="s">
        <v>56</v>
      </c>
      <c r="BN3" s="9" t="s">
        <v>57</v>
      </c>
      <c r="BO3" s="9" t="s">
        <v>26</v>
      </c>
      <c r="BP3" s="9" t="s">
        <v>56</v>
      </c>
      <c r="BQ3" s="9" t="s">
        <v>57</v>
      </c>
      <c r="BR3" s="9" t="s">
        <v>26</v>
      </c>
      <c r="BS3" s="9" t="s">
        <v>56</v>
      </c>
      <c r="BT3" s="9" t="s">
        <v>57</v>
      </c>
      <c r="BU3" s="9" t="s">
        <v>26</v>
      </c>
      <c r="BV3" s="9" t="s">
        <v>56</v>
      </c>
      <c r="BW3" s="9" t="s">
        <v>57</v>
      </c>
    </row>
    <row r="4" spans="1:75" x14ac:dyDescent="0.3">
      <c r="A4" s="7" t="s">
        <v>89</v>
      </c>
      <c r="B4" s="7" t="s">
        <v>8</v>
      </c>
      <c r="C4" s="7" t="s">
        <v>60</v>
      </c>
      <c r="D4" s="52">
        <v>771.6</v>
      </c>
      <c r="E4" s="52">
        <v>771.6</v>
      </c>
      <c r="F4" s="52">
        <v>771.6</v>
      </c>
      <c r="G4" s="52">
        <v>771.6</v>
      </c>
      <c r="H4" s="52">
        <v>771.6</v>
      </c>
      <c r="I4" s="52">
        <v>771.6</v>
      </c>
      <c r="J4" s="52">
        <v>771.6</v>
      </c>
      <c r="K4" s="52">
        <v>771.6</v>
      </c>
      <c r="L4" s="52">
        <v>771.6</v>
      </c>
      <c r="M4" s="52">
        <v>771.6</v>
      </c>
      <c r="N4" s="52">
        <v>771.6</v>
      </c>
      <c r="O4" s="52">
        <v>771.6</v>
      </c>
      <c r="P4" s="52">
        <v>771.6</v>
      </c>
      <c r="Q4" s="52">
        <v>771.6</v>
      </c>
      <c r="R4" s="52">
        <v>771.6</v>
      </c>
      <c r="S4" s="52">
        <v>771.6</v>
      </c>
      <c r="T4" s="52">
        <v>771.6</v>
      </c>
      <c r="U4" s="52">
        <v>771.6</v>
      </c>
      <c r="V4" s="52">
        <v>771.6</v>
      </c>
      <c r="W4" s="52">
        <v>771.6</v>
      </c>
      <c r="X4" s="52">
        <v>771.6</v>
      </c>
      <c r="Y4" s="52">
        <v>771.6</v>
      </c>
      <c r="Z4" s="52">
        <v>771.6</v>
      </c>
      <c r="AA4" s="52">
        <v>771.6</v>
      </c>
      <c r="AB4" s="52">
        <v>771.6</v>
      </c>
      <c r="AC4" s="52">
        <v>771.6</v>
      </c>
      <c r="AD4" s="52">
        <v>771.6</v>
      </c>
      <c r="AE4" s="52">
        <v>771.6</v>
      </c>
      <c r="AF4" s="52">
        <v>771.6</v>
      </c>
      <c r="AG4" s="52">
        <v>771.6</v>
      </c>
      <c r="AH4" s="52">
        <v>771.6</v>
      </c>
      <c r="AI4" s="52">
        <v>771.6</v>
      </c>
      <c r="AJ4" s="52">
        <v>771.6</v>
      </c>
      <c r="AK4" s="52">
        <v>771.6</v>
      </c>
      <c r="AL4" s="52">
        <v>771.6</v>
      </c>
      <c r="AM4" s="52">
        <v>771.6</v>
      </c>
      <c r="AN4" s="52">
        <v>771.6</v>
      </c>
      <c r="AO4" s="52">
        <v>771.6</v>
      </c>
      <c r="AP4" s="52">
        <v>771.6</v>
      </c>
      <c r="AQ4" s="52">
        <v>771.6</v>
      </c>
      <c r="AR4" s="52">
        <v>771.6</v>
      </c>
      <c r="AS4" s="52">
        <v>771.6</v>
      </c>
      <c r="AT4" s="52">
        <v>771.6</v>
      </c>
      <c r="AU4" s="52">
        <v>771.6</v>
      </c>
      <c r="AV4" s="52">
        <v>771.6</v>
      </c>
      <c r="AW4" s="52">
        <v>771.6</v>
      </c>
      <c r="AX4" s="52">
        <v>771.6</v>
      </c>
      <c r="AY4" s="52">
        <v>771.6</v>
      </c>
      <c r="AZ4" s="52">
        <v>771.6</v>
      </c>
      <c r="BA4" s="52">
        <v>771.6</v>
      </c>
      <c r="BB4" s="52">
        <v>771.6</v>
      </c>
      <c r="BC4" s="52">
        <v>771.6</v>
      </c>
      <c r="BD4" s="52">
        <v>771.6</v>
      </c>
      <c r="BE4" s="52">
        <v>771.6</v>
      </c>
      <c r="BF4" s="52">
        <v>771.6</v>
      </c>
      <c r="BG4" s="52">
        <v>771.6</v>
      </c>
      <c r="BH4" s="52">
        <v>771.6</v>
      </c>
      <c r="BI4" s="52">
        <v>771.6</v>
      </c>
      <c r="BJ4" s="52">
        <v>771.6</v>
      </c>
      <c r="BK4" s="52">
        <v>771.6</v>
      </c>
      <c r="BL4" s="52">
        <v>771.6</v>
      </c>
      <c r="BM4" s="52">
        <v>771.6</v>
      </c>
      <c r="BN4" s="52">
        <v>771.6</v>
      </c>
      <c r="BO4" s="52">
        <v>771.6</v>
      </c>
      <c r="BP4" s="52">
        <v>771.6</v>
      </c>
      <c r="BQ4" s="52">
        <v>771.6</v>
      </c>
      <c r="BR4" s="52">
        <v>771.6</v>
      </c>
      <c r="BS4" s="52">
        <v>771.6</v>
      </c>
      <c r="BT4" s="52">
        <v>771.6</v>
      </c>
      <c r="BU4" s="52">
        <v>771.6</v>
      </c>
      <c r="BV4" s="52">
        <v>771.6</v>
      </c>
      <c r="BW4" s="52">
        <v>771.6</v>
      </c>
    </row>
    <row r="5" spans="1:75" x14ac:dyDescent="0.3">
      <c r="A5" s="7" t="s">
        <v>89</v>
      </c>
      <c r="B5" s="7" t="s">
        <v>8</v>
      </c>
      <c r="C5" s="7" t="s">
        <v>150</v>
      </c>
      <c r="D5" s="52">
        <v>235.19999999999996</v>
      </c>
      <c r="E5" s="52">
        <v>235.19999999999996</v>
      </c>
      <c r="F5" s="52">
        <v>235.19999999999996</v>
      </c>
      <c r="G5" s="52">
        <v>235.19999999999996</v>
      </c>
      <c r="H5" s="52">
        <v>235.19999999999996</v>
      </c>
      <c r="I5" s="52">
        <v>235.19999999999996</v>
      </c>
      <c r="J5" s="52">
        <v>235.19999999999996</v>
      </c>
      <c r="K5" s="52">
        <v>235.19999999999996</v>
      </c>
      <c r="L5" s="52">
        <v>235.19999999999996</v>
      </c>
      <c r="M5" s="52">
        <v>235.19999999999996</v>
      </c>
      <c r="N5" s="52">
        <v>235.19999999999996</v>
      </c>
      <c r="O5" s="52">
        <v>235.19999999999996</v>
      </c>
      <c r="P5" s="52">
        <v>235.19999999999996</v>
      </c>
      <c r="Q5" s="52">
        <v>235.19999999999996</v>
      </c>
      <c r="R5" s="52">
        <v>235.19999999999996</v>
      </c>
      <c r="S5" s="52">
        <v>235.19999999999996</v>
      </c>
      <c r="T5" s="52">
        <v>235.19999999999996</v>
      </c>
      <c r="U5" s="52">
        <v>235.19999999999996</v>
      </c>
      <c r="V5" s="52">
        <v>235.19999999999996</v>
      </c>
      <c r="W5" s="52">
        <v>235.19999999999996</v>
      </c>
      <c r="X5" s="52">
        <v>235.19999999999996</v>
      </c>
      <c r="Y5" s="52">
        <v>235.19999999999996</v>
      </c>
      <c r="Z5" s="52">
        <v>235.19999999999996</v>
      </c>
      <c r="AA5" s="52">
        <v>235.19999999999996</v>
      </c>
      <c r="AB5" s="52">
        <v>235.19999999999996</v>
      </c>
      <c r="AC5" s="52">
        <v>235.19999999999996</v>
      </c>
      <c r="AD5" s="52">
        <v>235.19999999999996</v>
      </c>
      <c r="AE5" s="52">
        <v>235.19999999999996</v>
      </c>
      <c r="AF5" s="52">
        <v>235.19999999999996</v>
      </c>
      <c r="AG5" s="52">
        <v>235.19999999999996</v>
      </c>
      <c r="AH5" s="52">
        <v>235.19999999999996</v>
      </c>
      <c r="AI5" s="52">
        <v>235.19999999999996</v>
      </c>
      <c r="AJ5" s="52">
        <v>235.19999999999996</v>
      </c>
      <c r="AK5" s="52">
        <v>235.19999999999996</v>
      </c>
      <c r="AL5" s="52">
        <v>235.19999999999996</v>
      </c>
      <c r="AM5" s="52">
        <v>235.19999999999996</v>
      </c>
      <c r="AN5" s="52">
        <v>235.19999999999996</v>
      </c>
      <c r="AO5" s="52">
        <v>235.19999999999996</v>
      </c>
      <c r="AP5" s="52">
        <v>235.19999999999996</v>
      </c>
      <c r="AQ5" s="52">
        <v>235.19999999999996</v>
      </c>
      <c r="AR5" s="52">
        <v>235.19999999999996</v>
      </c>
      <c r="AS5" s="52">
        <v>235.19999999999996</v>
      </c>
      <c r="AT5" s="52">
        <v>235.19999999999996</v>
      </c>
      <c r="AU5" s="52">
        <v>235.19999999999996</v>
      </c>
      <c r="AV5" s="52">
        <v>235.19999999999996</v>
      </c>
      <c r="AW5" s="52">
        <v>0</v>
      </c>
      <c r="AX5" s="52">
        <v>0</v>
      </c>
      <c r="AY5" s="52">
        <v>0</v>
      </c>
      <c r="AZ5" s="52">
        <v>0</v>
      </c>
      <c r="BA5" s="52">
        <v>0</v>
      </c>
      <c r="BB5" s="52">
        <v>0</v>
      </c>
      <c r="BC5" s="52">
        <v>0</v>
      </c>
      <c r="BD5" s="52">
        <v>0</v>
      </c>
      <c r="BE5" s="52">
        <v>0</v>
      </c>
      <c r="BF5" s="52">
        <v>235.19999999999996</v>
      </c>
      <c r="BG5" s="52">
        <v>235.19999999999996</v>
      </c>
      <c r="BH5" s="52">
        <v>235.19999999999996</v>
      </c>
      <c r="BI5" s="52">
        <v>0</v>
      </c>
      <c r="BJ5" s="52">
        <v>0</v>
      </c>
      <c r="BK5" s="52">
        <v>0</v>
      </c>
      <c r="BL5" s="52">
        <v>235.19999999999996</v>
      </c>
      <c r="BM5" s="52">
        <v>235.19999999999996</v>
      </c>
      <c r="BN5" s="52">
        <v>235.19999999999996</v>
      </c>
      <c r="BO5" s="52">
        <v>0</v>
      </c>
      <c r="BP5" s="52">
        <v>0</v>
      </c>
      <c r="BQ5" s="52">
        <v>0</v>
      </c>
      <c r="BR5" s="52">
        <v>235.19999999999996</v>
      </c>
      <c r="BS5" s="52">
        <v>235.19999999999996</v>
      </c>
      <c r="BT5" s="52">
        <v>235.19999999999996</v>
      </c>
      <c r="BU5" s="52">
        <v>235.19999999999996</v>
      </c>
      <c r="BV5" s="52">
        <v>235.19999999999996</v>
      </c>
      <c r="BW5" s="52">
        <v>235.19999999999996</v>
      </c>
    </row>
    <row r="6" spans="1:75" x14ac:dyDescent="0.3">
      <c r="A6" s="7" t="s">
        <v>89</v>
      </c>
      <c r="B6" s="7" t="s">
        <v>8</v>
      </c>
      <c r="C6" s="7" t="s">
        <v>61</v>
      </c>
      <c r="D6" s="52">
        <v>96.000000000000256</v>
      </c>
      <c r="E6" s="52">
        <v>81.239999999999853</v>
      </c>
      <c r="F6" s="52">
        <v>81.239999999999853</v>
      </c>
      <c r="G6" s="52">
        <v>0</v>
      </c>
      <c r="H6" s="52">
        <v>0</v>
      </c>
      <c r="I6" s="52">
        <v>0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0</v>
      </c>
      <c r="P6" s="52">
        <v>0</v>
      </c>
      <c r="Q6" s="52">
        <v>0</v>
      </c>
      <c r="R6" s="52">
        <v>0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0</v>
      </c>
      <c r="Y6" s="52">
        <v>0</v>
      </c>
      <c r="Z6" s="52">
        <v>0</v>
      </c>
      <c r="AA6" s="52">
        <v>0</v>
      </c>
      <c r="AB6" s="52">
        <v>0</v>
      </c>
      <c r="AC6" s="52">
        <v>0</v>
      </c>
      <c r="AD6" s="52">
        <v>0</v>
      </c>
      <c r="AE6" s="52">
        <v>0</v>
      </c>
      <c r="AF6" s="52">
        <v>0</v>
      </c>
      <c r="AG6" s="52">
        <v>0</v>
      </c>
      <c r="AH6" s="52">
        <v>0</v>
      </c>
      <c r="AI6" s="52">
        <v>0</v>
      </c>
      <c r="AJ6" s="52">
        <v>0</v>
      </c>
      <c r="AK6" s="52">
        <v>0</v>
      </c>
      <c r="AL6" s="52">
        <v>0</v>
      </c>
      <c r="AM6" s="52">
        <v>0</v>
      </c>
      <c r="AN6" s="52">
        <v>0</v>
      </c>
      <c r="AO6" s="52">
        <v>0</v>
      </c>
      <c r="AP6" s="52">
        <v>0</v>
      </c>
      <c r="AQ6" s="52">
        <v>0</v>
      </c>
      <c r="AR6" s="52">
        <v>0</v>
      </c>
      <c r="AS6" s="52">
        <v>0</v>
      </c>
      <c r="AT6" s="52">
        <v>0</v>
      </c>
      <c r="AU6" s="52">
        <v>0</v>
      </c>
      <c r="AV6" s="52">
        <v>0</v>
      </c>
      <c r="AW6" s="52">
        <v>0</v>
      </c>
      <c r="AX6" s="52">
        <v>0</v>
      </c>
      <c r="AY6" s="52">
        <v>0</v>
      </c>
      <c r="AZ6" s="52">
        <v>81.239999999999995</v>
      </c>
      <c r="BA6" s="52">
        <v>81.239999999999995</v>
      </c>
      <c r="BB6" s="52">
        <v>81.239999999999995</v>
      </c>
      <c r="BC6" s="52">
        <v>0</v>
      </c>
      <c r="BD6" s="52">
        <v>0</v>
      </c>
      <c r="BE6" s="52">
        <v>0</v>
      </c>
      <c r="BF6" s="52">
        <v>0</v>
      </c>
      <c r="BG6" s="52">
        <v>0</v>
      </c>
      <c r="BH6" s="52">
        <v>0</v>
      </c>
      <c r="BI6" s="52">
        <v>0</v>
      </c>
      <c r="BJ6" s="52">
        <v>0</v>
      </c>
      <c r="BK6" s="52">
        <v>0</v>
      </c>
      <c r="BL6" s="52">
        <v>131.2000000000011</v>
      </c>
      <c r="BM6" s="52">
        <v>81.239999999999995</v>
      </c>
      <c r="BN6" s="52">
        <v>81.239999999999995</v>
      </c>
      <c r="BO6" s="52">
        <v>114.10000000000053</v>
      </c>
      <c r="BP6" s="52">
        <v>81.239999999999995</v>
      </c>
      <c r="BQ6" s="52">
        <v>81.239999999999995</v>
      </c>
      <c r="BR6" s="52">
        <v>89.48100534759152</v>
      </c>
      <c r="BS6" s="52">
        <v>81.239999999999995</v>
      </c>
      <c r="BT6" s="52">
        <v>81.239999999999995</v>
      </c>
      <c r="BU6" s="52">
        <v>0</v>
      </c>
      <c r="BV6" s="52">
        <v>0</v>
      </c>
      <c r="BW6" s="52">
        <v>0</v>
      </c>
    </row>
    <row r="7" spans="1:75" x14ac:dyDescent="0.3">
      <c r="A7" s="7" t="s">
        <v>89</v>
      </c>
      <c r="B7" s="7" t="s">
        <v>8</v>
      </c>
      <c r="C7" s="7" t="s">
        <v>152</v>
      </c>
      <c r="D7" s="52">
        <v>0</v>
      </c>
      <c r="E7" s="52">
        <v>0</v>
      </c>
      <c r="F7" s="52">
        <v>0</v>
      </c>
      <c r="G7" s="52">
        <v>0</v>
      </c>
      <c r="H7" s="52">
        <v>0</v>
      </c>
      <c r="I7" s="52">
        <v>0</v>
      </c>
      <c r="J7" s="52">
        <v>0</v>
      </c>
      <c r="K7" s="52">
        <v>0</v>
      </c>
      <c r="L7" s="52">
        <v>0</v>
      </c>
      <c r="M7" s="52">
        <v>0</v>
      </c>
      <c r="N7" s="52">
        <v>0</v>
      </c>
      <c r="O7" s="52">
        <v>0</v>
      </c>
      <c r="P7" s="52">
        <v>0</v>
      </c>
      <c r="Q7" s="52">
        <v>0</v>
      </c>
      <c r="R7" s="52">
        <v>0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v>0</v>
      </c>
      <c r="AA7" s="52">
        <v>0</v>
      </c>
      <c r="AB7" s="52">
        <v>0</v>
      </c>
      <c r="AC7" s="52">
        <v>0</v>
      </c>
      <c r="AD7" s="52">
        <v>0</v>
      </c>
      <c r="AE7" s="52">
        <v>0</v>
      </c>
      <c r="AF7" s="52">
        <v>0</v>
      </c>
      <c r="AG7" s="52">
        <v>0</v>
      </c>
      <c r="AH7" s="52">
        <v>0</v>
      </c>
      <c r="AI7" s="52">
        <v>0</v>
      </c>
      <c r="AJ7" s="52">
        <v>0</v>
      </c>
      <c r="AK7" s="52">
        <v>0</v>
      </c>
      <c r="AL7" s="52">
        <v>0</v>
      </c>
      <c r="AM7" s="52">
        <v>0</v>
      </c>
      <c r="AN7" s="52">
        <v>0</v>
      </c>
      <c r="AO7" s="52">
        <v>0</v>
      </c>
      <c r="AP7" s="52">
        <v>0</v>
      </c>
      <c r="AQ7" s="52">
        <v>0</v>
      </c>
      <c r="AR7" s="52">
        <v>0</v>
      </c>
      <c r="AS7" s="52">
        <v>0</v>
      </c>
      <c r="AT7" s="52">
        <v>0</v>
      </c>
      <c r="AU7" s="52">
        <v>0</v>
      </c>
      <c r="AV7" s="52">
        <v>0</v>
      </c>
      <c r="AW7" s="52">
        <v>0</v>
      </c>
      <c r="AX7" s="52">
        <v>0</v>
      </c>
      <c r="AY7" s="52">
        <v>0</v>
      </c>
      <c r="AZ7" s="52">
        <v>60.159999999999989</v>
      </c>
      <c r="BA7" s="52">
        <v>60.159999999999989</v>
      </c>
      <c r="BB7" s="52">
        <v>60.159999999999989</v>
      </c>
      <c r="BC7" s="52">
        <v>0</v>
      </c>
      <c r="BD7" s="52">
        <v>0</v>
      </c>
      <c r="BE7" s="52">
        <v>0</v>
      </c>
      <c r="BF7" s="52">
        <v>68.300000000000139</v>
      </c>
      <c r="BG7" s="52">
        <v>60.159999999999314</v>
      </c>
      <c r="BH7" s="52">
        <v>60.159999999999314</v>
      </c>
      <c r="BI7" s="52">
        <v>0</v>
      </c>
      <c r="BJ7" s="52">
        <v>0</v>
      </c>
      <c r="BK7" s="52">
        <v>0</v>
      </c>
      <c r="BL7" s="52">
        <v>0</v>
      </c>
      <c r="BM7" s="52">
        <v>0</v>
      </c>
      <c r="BN7" s="52">
        <v>0</v>
      </c>
      <c r="BO7" s="52">
        <v>0</v>
      </c>
      <c r="BP7" s="52">
        <v>0</v>
      </c>
      <c r="BQ7" s="52">
        <v>0</v>
      </c>
      <c r="BR7" s="52">
        <v>150.4</v>
      </c>
      <c r="BS7" s="52">
        <v>60.159999999999989</v>
      </c>
      <c r="BT7" s="52">
        <v>60.159999999999989</v>
      </c>
      <c r="BU7" s="52">
        <v>0</v>
      </c>
      <c r="BV7" s="52">
        <v>0</v>
      </c>
      <c r="BW7" s="52">
        <v>0</v>
      </c>
    </row>
    <row r="8" spans="1:75" x14ac:dyDescent="0.3">
      <c r="A8" s="7" t="s">
        <v>89</v>
      </c>
      <c r="B8" s="7" t="s">
        <v>8</v>
      </c>
      <c r="C8" s="7" t="s">
        <v>151</v>
      </c>
      <c r="D8" s="52">
        <v>194.4</v>
      </c>
      <c r="E8" s="52">
        <v>77.760000000000005</v>
      </c>
      <c r="F8" s="52">
        <v>77.760000000000005</v>
      </c>
      <c r="G8" s="52">
        <v>194.4</v>
      </c>
      <c r="H8" s="52">
        <v>77.760000000000005</v>
      </c>
      <c r="I8" s="52">
        <v>77.760000000000005</v>
      </c>
      <c r="J8" s="52">
        <v>92.300000000000608</v>
      </c>
      <c r="K8" s="52">
        <v>77.759999999999394</v>
      </c>
      <c r="L8" s="52">
        <v>77.759999999999394</v>
      </c>
      <c r="M8" s="52">
        <v>0</v>
      </c>
      <c r="N8" s="52">
        <v>0</v>
      </c>
      <c r="O8" s="52">
        <v>0</v>
      </c>
      <c r="P8" s="52">
        <v>0</v>
      </c>
      <c r="Q8" s="52">
        <v>0</v>
      </c>
      <c r="R8" s="52">
        <v>0</v>
      </c>
      <c r="S8" s="52">
        <v>0</v>
      </c>
      <c r="T8" s="52">
        <v>0</v>
      </c>
      <c r="U8" s="52">
        <v>0</v>
      </c>
      <c r="V8" s="52">
        <v>194.4</v>
      </c>
      <c r="W8" s="52">
        <v>144.63918796992692</v>
      </c>
      <c r="X8" s="52">
        <v>77.760000000000005</v>
      </c>
      <c r="Y8" s="52">
        <v>194.4</v>
      </c>
      <c r="Z8" s="52">
        <v>77.760000000000005</v>
      </c>
      <c r="AA8" s="52">
        <v>77.760000000000005</v>
      </c>
      <c r="AB8" s="52">
        <v>137.39999999999992</v>
      </c>
      <c r="AC8" s="52">
        <v>174.79999999999984</v>
      </c>
      <c r="AD8" s="52">
        <v>77.759999999999948</v>
      </c>
      <c r="AE8" s="52">
        <v>0</v>
      </c>
      <c r="AF8" s="52">
        <v>0</v>
      </c>
      <c r="AG8" s="52">
        <v>0</v>
      </c>
      <c r="AH8" s="52">
        <v>194.4</v>
      </c>
      <c r="AI8" s="52">
        <v>77.759999999999962</v>
      </c>
      <c r="AJ8" s="52">
        <v>77.759999999999962</v>
      </c>
      <c r="AK8" s="52">
        <v>0</v>
      </c>
      <c r="AL8" s="52">
        <v>0</v>
      </c>
      <c r="AM8" s="52">
        <v>0</v>
      </c>
      <c r="AN8" s="52">
        <v>194.4</v>
      </c>
      <c r="AO8" s="52">
        <v>118.58737327824458</v>
      </c>
      <c r="AP8" s="52">
        <v>77.760000000000005</v>
      </c>
      <c r="AQ8" s="52">
        <v>0</v>
      </c>
      <c r="AR8" s="52">
        <v>0</v>
      </c>
      <c r="AS8" s="52">
        <v>0</v>
      </c>
      <c r="AT8" s="52">
        <v>194.4</v>
      </c>
      <c r="AU8" s="52">
        <v>194.4</v>
      </c>
      <c r="AV8" s="52">
        <v>77.760000000000005</v>
      </c>
      <c r="AW8" s="52">
        <v>194.4</v>
      </c>
      <c r="AX8" s="52">
        <v>77.760000000000005</v>
      </c>
      <c r="AY8" s="52">
        <v>77.760000000000005</v>
      </c>
      <c r="AZ8" s="52">
        <v>189.259999999999</v>
      </c>
      <c r="BA8" s="52">
        <v>77.760000000000005</v>
      </c>
      <c r="BB8" s="52">
        <v>77.760000000000005</v>
      </c>
      <c r="BC8" s="52">
        <v>77.760000000000005</v>
      </c>
      <c r="BD8" s="52">
        <v>77.760000000000005</v>
      </c>
      <c r="BE8" s="52">
        <v>77.760000000000005</v>
      </c>
      <c r="BF8" s="52">
        <v>194.4</v>
      </c>
      <c r="BG8" s="52">
        <v>194.4</v>
      </c>
      <c r="BH8" s="52">
        <v>77.760000000000005</v>
      </c>
      <c r="BI8" s="52">
        <v>0</v>
      </c>
      <c r="BJ8" s="52">
        <v>0</v>
      </c>
      <c r="BK8" s="52">
        <v>0</v>
      </c>
      <c r="BL8" s="52">
        <v>0</v>
      </c>
      <c r="BM8" s="52">
        <v>0</v>
      </c>
      <c r="BN8" s="52">
        <v>0</v>
      </c>
      <c r="BO8" s="52">
        <v>0</v>
      </c>
      <c r="BP8" s="52">
        <v>0</v>
      </c>
      <c r="BQ8" s="52">
        <v>0</v>
      </c>
      <c r="BR8" s="52">
        <v>194.4</v>
      </c>
      <c r="BS8" s="52">
        <v>83.737558441559059</v>
      </c>
      <c r="BT8" s="52">
        <v>77.760000000000005</v>
      </c>
      <c r="BU8" s="52">
        <v>194.4</v>
      </c>
      <c r="BV8" s="52">
        <v>77.760000000000005</v>
      </c>
      <c r="BW8" s="52">
        <v>77.760000000000005</v>
      </c>
    </row>
    <row r="9" spans="1:75" x14ac:dyDescent="0.3">
      <c r="A9" s="7" t="s">
        <v>89</v>
      </c>
      <c r="B9" s="7" t="s">
        <v>8</v>
      </c>
      <c r="C9" s="7" t="s">
        <v>62</v>
      </c>
      <c r="D9" s="52">
        <v>500</v>
      </c>
      <c r="E9" s="52">
        <v>500</v>
      </c>
      <c r="F9" s="52">
        <v>500</v>
      </c>
      <c r="G9" s="52">
        <v>500</v>
      </c>
      <c r="H9" s="52">
        <v>500</v>
      </c>
      <c r="I9" s="52">
        <v>500</v>
      </c>
      <c r="J9" s="52">
        <v>500</v>
      </c>
      <c r="K9" s="52">
        <v>500</v>
      </c>
      <c r="L9" s="52">
        <v>500</v>
      </c>
      <c r="M9" s="52">
        <v>500</v>
      </c>
      <c r="N9" s="52">
        <v>500</v>
      </c>
      <c r="O9" s="52">
        <v>500</v>
      </c>
      <c r="P9" s="52">
        <v>500</v>
      </c>
      <c r="Q9" s="52">
        <v>500</v>
      </c>
      <c r="R9" s="52">
        <v>500</v>
      </c>
      <c r="S9" s="52">
        <v>500</v>
      </c>
      <c r="T9" s="52">
        <v>500</v>
      </c>
      <c r="U9" s="52">
        <v>500</v>
      </c>
      <c r="V9" s="52">
        <v>500</v>
      </c>
      <c r="W9" s="52">
        <v>500</v>
      </c>
      <c r="X9" s="52">
        <v>186.50000000000111</v>
      </c>
      <c r="Y9" s="52">
        <v>0</v>
      </c>
      <c r="Z9" s="52">
        <v>0</v>
      </c>
      <c r="AA9" s="52">
        <v>0</v>
      </c>
      <c r="AB9" s="52">
        <v>500</v>
      </c>
      <c r="AC9" s="52">
        <v>500</v>
      </c>
      <c r="AD9" s="52">
        <v>500</v>
      </c>
      <c r="AE9" s="52">
        <v>500</v>
      </c>
      <c r="AF9" s="52">
        <v>500</v>
      </c>
      <c r="AG9" s="52">
        <v>500</v>
      </c>
      <c r="AH9" s="52">
        <v>500</v>
      </c>
      <c r="AI9" s="52">
        <v>500</v>
      </c>
      <c r="AJ9" s="52">
        <v>500</v>
      </c>
      <c r="AK9" s="52">
        <v>500</v>
      </c>
      <c r="AL9" s="52">
        <v>500</v>
      </c>
      <c r="AM9" s="52">
        <v>500</v>
      </c>
      <c r="AN9" s="52">
        <v>500</v>
      </c>
      <c r="AO9" s="52">
        <v>500</v>
      </c>
      <c r="AP9" s="52">
        <v>500</v>
      </c>
      <c r="AQ9" s="52">
        <v>500</v>
      </c>
      <c r="AR9" s="52">
        <v>500</v>
      </c>
      <c r="AS9" s="52">
        <v>500</v>
      </c>
      <c r="AT9" s="52">
        <v>500</v>
      </c>
      <c r="AU9" s="52">
        <v>500</v>
      </c>
      <c r="AV9" s="52">
        <v>500</v>
      </c>
      <c r="AW9" s="52">
        <v>500</v>
      </c>
      <c r="AX9" s="52">
        <v>500</v>
      </c>
      <c r="AY9" s="52">
        <v>500</v>
      </c>
      <c r="AZ9" s="52">
        <v>500</v>
      </c>
      <c r="BA9" s="52">
        <v>500</v>
      </c>
      <c r="BB9" s="52">
        <v>500</v>
      </c>
      <c r="BC9" s="52">
        <v>500</v>
      </c>
      <c r="BD9" s="52">
        <v>500</v>
      </c>
      <c r="BE9" s="52">
        <v>500</v>
      </c>
      <c r="BF9" s="52">
        <v>500</v>
      </c>
      <c r="BG9" s="52">
        <v>500</v>
      </c>
      <c r="BH9" s="52">
        <v>500</v>
      </c>
      <c r="BI9" s="52">
        <v>500</v>
      </c>
      <c r="BJ9" s="52">
        <v>500</v>
      </c>
      <c r="BK9" s="52">
        <v>500</v>
      </c>
      <c r="BL9" s="52">
        <v>500</v>
      </c>
      <c r="BM9" s="52">
        <v>500</v>
      </c>
      <c r="BN9" s="52">
        <v>500</v>
      </c>
      <c r="BO9" s="52">
        <v>500</v>
      </c>
      <c r="BP9" s="52">
        <v>500</v>
      </c>
      <c r="BQ9" s="52">
        <v>500</v>
      </c>
      <c r="BR9" s="52">
        <v>500</v>
      </c>
      <c r="BS9" s="52">
        <v>500</v>
      </c>
      <c r="BT9" s="52">
        <v>500</v>
      </c>
      <c r="BU9" s="52">
        <v>500</v>
      </c>
      <c r="BV9" s="52">
        <v>500</v>
      </c>
      <c r="BW9" s="52">
        <v>462.79102040816531</v>
      </c>
    </row>
    <row r="10" spans="1:75" x14ac:dyDescent="0.3">
      <c r="A10" s="7" t="s">
        <v>89</v>
      </c>
      <c r="B10" s="7" t="s">
        <v>8</v>
      </c>
      <c r="C10" s="7" t="s">
        <v>63</v>
      </c>
      <c r="D10" s="52">
        <v>500</v>
      </c>
      <c r="E10" s="52">
        <v>500</v>
      </c>
      <c r="F10" s="52">
        <v>204.40272727272736</v>
      </c>
      <c r="G10" s="52">
        <v>500</v>
      </c>
      <c r="H10" s="52">
        <v>500</v>
      </c>
      <c r="I10" s="52">
        <v>100</v>
      </c>
      <c r="J10" s="52">
        <v>500</v>
      </c>
      <c r="K10" s="52">
        <v>500</v>
      </c>
      <c r="L10" s="52">
        <v>205.55304347826078</v>
      </c>
      <c r="M10" s="52">
        <v>500</v>
      </c>
      <c r="N10" s="52">
        <v>500</v>
      </c>
      <c r="O10" s="52">
        <v>141.81304347826045</v>
      </c>
      <c r="P10" s="52">
        <v>500</v>
      </c>
      <c r="Q10" s="52">
        <v>500</v>
      </c>
      <c r="R10" s="52">
        <v>198.50000000000014</v>
      </c>
      <c r="S10" s="52">
        <v>500</v>
      </c>
      <c r="T10" s="52">
        <v>500</v>
      </c>
      <c r="U10" s="52">
        <v>103.50000000000004</v>
      </c>
      <c r="V10" s="52">
        <v>500</v>
      </c>
      <c r="W10" s="52">
        <v>500</v>
      </c>
      <c r="X10" s="52">
        <v>424.2112041884821</v>
      </c>
      <c r="Y10" s="52">
        <v>500</v>
      </c>
      <c r="Z10" s="52">
        <v>500</v>
      </c>
      <c r="AA10" s="52">
        <v>424.2112041884821</v>
      </c>
      <c r="AB10" s="52">
        <v>500</v>
      </c>
      <c r="AC10" s="52">
        <v>500</v>
      </c>
      <c r="AD10" s="52">
        <v>139.34000000000052</v>
      </c>
      <c r="AE10" s="52">
        <v>0</v>
      </c>
      <c r="AF10" s="52">
        <v>0</v>
      </c>
      <c r="AG10" s="52">
        <v>0</v>
      </c>
      <c r="AH10" s="52">
        <v>500</v>
      </c>
      <c r="AI10" s="52">
        <v>500</v>
      </c>
      <c r="AJ10" s="52">
        <v>224.54000000000005</v>
      </c>
      <c r="AK10" s="52">
        <v>500</v>
      </c>
      <c r="AL10" s="52">
        <v>500</v>
      </c>
      <c r="AM10" s="52">
        <v>138.1</v>
      </c>
      <c r="AN10" s="52">
        <v>500</v>
      </c>
      <c r="AO10" s="52">
        <v>500</v>
      </c>
      <c r="AP10" s="52">
        <v>337.63999999999982</v>
      </c>
      <c r="AQ10" s="52">
        <v>500</v>
      </c>
      <c r="AR10" s="52">
        <v>500</v>
      </c>
      <c r="AS10" s="52">
        <v>225.00000000000031</v>
      </c>
      <c r="AT10" s="52">
        <v>500</v>
      </c>
      <c r="AU10" s="52">
        <v>500</v>
      </c>
      <c r="AV10" s="52">
        <v>231.13999999999993</v>
      </c>
      <c r="AW10" s="52">
        <v>500</v>
      </c>
      <c r="AX10" s="52">
        <v>500</v>
      </c>
      <c r="AY10" s="52">
        <v>231.13999999999993</v>
      </c>
      <c r="AZ10" s="52">
        <v>500</v>
      </c>
      <c r="BA10" s="52">
        <v>500</v>
      </c>
      <c r="BB10" s="52">
        <v>319.3257142857147</v>
      </c>
      <c r="BC10" s="52">
        <v>500</v>
      </c>
      <c r="BD10" s="52">
        <v>500</v>
      </c>
      <c r="BE10" s="52">
        <v>271.34000000000009</v>
      </c>
      <c r="BF10" s="52">
        <v>500</v>
      </c>
      <c r="BG10" s="52">
        <v>500</v>
      </c>
      <c r="BH10" s="52">
        <v>233.30884955752239</v>
      </c>
      <c r="BI10" s="52">
        <v>500</v>
      </c>
      <c r="BJ10" s="52">
        <v>500</v>
      </c>
      <c r="BK10" s="52">
        <v>233.30884955752239</v>
      </c>
      <c r="BL10" s="52">
        <v>500</v>
      </c>
      <c r="BM10" s="52">
        <v>500</v>
      </c>
      <c r="BN10" s="52">
        <v>235.58602739726047</v>
      </c>
      <c r="BO10" s="52">
        <v>500</v>
      </c>
      <c r="BP10" s="52">
        <v>500</v>
      </c>
      <c r="BQ10" s="52">
        <v>235.58602739726047</v>
      </c>
      <c r="BR10" s="52">
        <v>500</v>
      </c>
      <c r="BS10" s="52">
        <v>500</v>
      </c>
      <c r="BT10" s="52">
        <v>169.94000000000096</v>
      </c>
      <c r="BU10" s="52">
        <v>500</v>
      </c>
      <c r="BV10" s="52">
        <v>500</v>
      </c>
      <c r="BW10" s="52">
        <v>100</v>
      </c>
    </row>
    <row r="11" spans="1:75" x14ac:dyDescent="0.3">
      <c r="A11" s="7" t="s">
        <v>89</v>
      </c>
      <c r="B11" s="7" t="s">
        <v>8</v>
      </c>
      <c r="C11" s="7" t="s">
        <v>64</v>
      </c>
      <c r="D11" s="52">
        <v>500</v>
      </c>
      <c r="E11" s="52">
        <v>500</v>
      </c>
      <c r="F11" s="52">
        <v>100</v>
      </c>
      <c r="G11" s="52">
        <v>0</v>
      </c>
      <c r="H11" s="52">
        <v>0</v>
      </c>
      <c r="I11" s="52">
        <v>0</v>
      </c>
      <c r="J11" s="52">
        <v>500</v>
      </c>
      <c r="K11" s="52">
        <v>500</v>
      </c>
      <c r="L11" s="52">
        <v>100</v>
      </c>
      <c r="M11" s="52">
        <v>0</v>
      </c>
      <c r="N11" s="52">
        <v>0</v>
      </c>
      <c r="O11" s="52">
        <v>0</v>
      </c>
      <c r="P11" s="52">
        <v>500</v>
      </c>
      <c r="Q11" s="52">
        <v>500</v>
      </c>
      <c r="R11" s="52">
        <v>100</v>
      </c>
      <c r="S11" s="52">
        <v>0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v>0</v>
      </c>
      <c r="AA11" s="52">
        <v>0</v>
      </c>
      <c r="AB11" s="52">
        <v>0</v>
      </c>
      <c r="AC11" s="52">
        <v>0</v>
      </c>
      <c r="AD11" s="52">
        <v>0</v>
      </c>
      <c r="AE11" s="52">
        <v>0</v>
      </c>
      <c r="AF11" s="52">
        <v>0</v>
      </c>
      <c r="AG11" s="52">
        <v>0</v>
      </c>
      <c r="AH11" s="52">
        <v>500</v>
      </c>
      <c r="AI11" s="52">
        <v>500</v>
      </c>
      <c r="AJ11" s="52">
        <v>100</v>
      </c>
      <c r="AK11" s="52">
        <v>0</v>
      </c>
      <c r="AL11" s="52">
        <v>0</v>
      </c>
      <c r="AM11" s="52">
        <v>0</v>
      </c>
      <c r="AN11" s="52">
        <v>500</v>
      </c>
      <c r="AO11" s="52">
        <v>500</v>
      </c>
      <c r="AP11" s="52">
        <v>100</v>
      </c>
      <c r="AQ11" s="52">
        <v>0</v>
      </c>
      <c r="AR11" s="52">
        <v>0</v>
      </c>
      <c r="AS11" s="52">
        <v>0</v>
      </c>
      <c r="AT11" s="52">
        <v>0</v>
      </c>
      <c r="AU11" s="52">
        <v>0</v>
      </c>
      <c r="AV11" s="52">
        <v>0</v>
      </c>
      <c r="AW11" s="52">
        <v>0</v>
      </c>
      <c r="AX11" s="52">
        <v>0</v>
      </c>
      <c r="AY11" s="52">
        <v>0</v>
      </c>
      <c r="AZ11" s="52">
        <v>500</v>
      </c>
      <c r="BA11" s="52">
        <v>500</v>
      </c>
      <c r="BB11" s="52">
        <v>100</v>
      </c>
      <c r="BC11" s="52">
        <v>0</v>
      </c>
      <c r="BD11" s="52">
        <v>0</v>
      </c>
      <c r="BE11" s="52">
        <v>0</v>
      </c>
      <c r="BF11" s="52">
        <v>0</v>
      </c>
      <c r="BG11" s="52">
        <v>0</v>
      </c>
      <c r="BH11" s="52">
        <v>0</v>
      </c>
      <c r="BI11" s="52">
        <v>0</v>
      </c>
      <c r="BJ11" s="52">
        <v>0</v>
      </c>
      <c r="BK11" s="52">
        <v>0</v>
      </c>
      <c r="BL11" s="52">
        <v>500</v>
      </c>
      <c r="BM11" s="52">
        <v>493.50000000000034</v>
      </c>
      <c r="BN11" s="52">
        <v>100</v>
      </c>
      <c r="BO11" s="52">
        <v>0</v>
      </c>
      <c r="BP11" s="52">
        <v>0</v>
      </c>
      <c r="BQ11" s="52">
        <v>0</v>
      </c>
      <c r="BR11" s="52">
        <v>500</v>
      </c>
      <c r="BS11" s="52">
        <v>500</v>
      </c>
      <c r="BT11" s="52">
        <v>100</v>
      </c>
      <c r="BU11" s="52">
        <v>0</v>
      </c>
      <c r="BV11" s="52">
        <v>0</v>
      </c>
      <c r="BW11" s="52">
        <v>0</v>
      </c>
    </row>
    <row r="12" spans="1:75" x14ac:dyDescent="0.3">
      <c r="A12" s="7" t="s">
        <v>89</v>
      </c>
      <c r="B12" s="7" t="s">
        <v>8</v>
      </c>
      <c r="C12" s="7" t="s">
        <v>65</v>
      </c>
      <c r="D12" s="52">
        <v>667.5</v>
      </c>
      <c r="E12" s="52">
        <v>667.5</v>
      </c>
      <c r="F12" s="52">
        <v>667.5</v>
      </c>
      <c r="G12" s="52">
        <v>667.5</v>
      </c>
      <c r="H12" s="52">
        <v>667.5</v>
      </c>
      <c r="I12" s="52">
        <v>667.5</v>
      </c>
      <c r="J12" s="52">
        <v>667.5</v>
      </c>
      <c r="K12" s="52">
        <v>667.5</v>
      </c>
      <c r="L12" s="52">
        <v>667.5</v>
      </c>
      <c r="M12" s="52">
        <v>667.5</v>
      </c>
      <c r="N12" s="52">
        <v>667.5</v>
      </c>
      <c r="O12" s="52">
        <v>667.5</v>
      </c>
      <c r="P12" s="52">
        <v>667.5</v>
      </c>
      <c r="Q12" s="52">
        <v>667.5</v>
      </c>
      <c r="R12" s="52">
        <v>667.5</v>
      </c>
      <c r="S12" s="52">
        <v>667.5</v>
      </c>
      <c r="T12" s="52">
        <v>667.5</v>
      </c>
      <c r="U12" s="52">
        <v>667.5</v>
      </c>
      <c r="V12" s="52">
        <v>667.5</v>
      </c>
      <c r="W12" s="52">
        <v>667.5</v>
      </c>
      <c r="X12" s="52">
        <v>667.5</v>
      </c>
      <c r="Y12" s="52">
        <v>667.5</v>
      </c>
      <c r="Z12" s="52">
        <v>667.5</v>
      </c>
      <c r="AA12" s="52">
        <v>667.5</v>
      </c>
      <c r="AB12" s="52">
        <v>667.5</v>
      </c>
      <c r="AC12" s="52">
        <v>667.5</v>
      </c>
      <c r="AD12" s="52">
        <v>667.5</v>
      </c>
      <c r="AE12" s="52">
        <v>667.5</v>
      </c>
      <c r="AF12" s="52">
        <v>667.5</v>
      </c>
      <c r="AG12" s="52">
        <v>667.5</v>
      </c>
      <c r="AH12" s="52">
        <v>667.5</v>
      </c>
      <c r="AI12" s="52">
        <v>667.5</v>
      </c>
      <c r="AJ12" s="52">
        <v>667.5</v>
      </c>
      <c r="AK12" s="52">
        <v>667.5</v>
      </c>
      <c r="AL12" s="52">
        <v>667.5</v>
      </c>
      <c r="AM12" s="52">
        <v>667.5</v>
      </c>
      <c r="AN12" s="52">
        <v>667.5</v>
      </c>
      <c r="AO12" s="52">
        <v>667.5</v>
      </c>
      <c r="AP12" s="52">
        <v>667.5</v>
      </c>
      <c r="AQ12" s="52">
        <v>667.5</v>
      </c>
      <c r="AR12" s="52">
        <v>667.5</v>
      </c>
      <c r="AS12" s="52">
        <v>667.5</v>
      </c>
      <c r="AT12" s="52">
        <v>667.5</v>
      </c>
      <c r="AU12" s="52">
        <v>667.5</v>
      </c>
      <c r="AV12" s="52">
        <v>667.5</v>
      </c>
      <c r="AW12" s="52">
        <v>667.5</v>
      </c>
      <c r="AX12" s="52">
        <v>667.5</v>
      </c>
      <c r="AY12" s="52">
        <v>667.5</v>
      </c>
      <c r="AZ12" s="52">
        <v>667.5</v>
      </c>
      <c r="BA12" s="52">
        <v>667.5</v>
      </c>
      <c r="BB12" s="52">
        <v>667.5</v>
      </c>
      <c r="BC12" s="52">
        <v>667.5</v>
      </c>
      <c r="BD12" s="52">
        <v>667.5</v>
      </c>
      <c r="BE12" s="52">
        <v>667.5</v>
      </c>
      <c r="BF12" s="52">
        <v>667.5</v>
      </c>
      <c r="BG12" s="52">
        <v>667.5</v>
      </c>
      <c r="BH12" s="52">
        <v>667.5</v>
      </c>
      <c r="BI12" s="52">
        <v>667.5</v>
      </c>
      <c r="BJ12" s="52">
        <v>667.5</v>
      </c>
      <c r="BK12" s="52">
        <v>667.5</v>
      </c>
      <c r="BL12" s="52">
        <v>667.5</v>
      </c>
      <c r="BM12" s="52">
        <v>667.5</v>
      </c>
      <c r="BN12" s="52">
        <v>667.5</v>
      </c>
      <c r="BO12" s="52">
        <v>667.5</v>
      </c>
      <c r="BP12" s="52">
        <v>667.5</v>
      </c>
      <c r="BQ12" s="52">
        <v>667.5</v>
      </c>
      <c r="BR12" s="52">
        <v>667.5</v>
      </c>
      <c r="BS12" s="52">
        <v>667.5</v>
      </c>
      <c r="BT12" s="52">
        <v>667.5</v>
      </c>
      <c r="BU12" s="52">
        <v>667.5</v>
      </c>
      <c r="BV12" s="52">
        <v>667.5</v>
      </c>
      <c r="BW12" s="52">
        <v>667.5</v>
      </c>
    </row>
    <row r="13" spans="1:75" x14ac:dyDescent="0.3">
      <c r="A13" s="7" t="s">
        <v>89</v>
      </c>
      <c r="B13" s="7" t="s">
        <v>8</v>
      </c>
      <c r="C13" s="7" t="s">
        <v>66</v>
      </c>
      <c r="D13" s="52">
        <v>0</v>
      </c>
      <c r="E13" s="52">
        <v>0</v>
      </c>
      <c r="F13" s="52">
        <v>0</v>
      </c>
      <c r="G13" s="52">
        <v>0</v>
      </c>
      <c r="H13" s="52">
        <v>0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0</v>
      </c>
      <c r="P13" s="52">
        <v>0</v>
      </c>
      <c r="Q13" s="52">
        <v>0</v>
      </c>
      <c r="R13" s="52">
        <v>0</v>
      </c>
      <c r="S13" s="52">
        <v>0</v>
      </c>
      <c r="T13" s="52">
        <v>0</v>
      </c>
      <c r="U13" s="52">
        <v>0</v>
      </c>
      <c r="V13" s="52">
        <v>0</v>
      </c>
      <c r="W13" s="52">
        <v>0</v>
      </c>
      <c r="X13" s="52">
        <v>0</v>
      </c>
      <c r="Y13" s="52">
        <v>0</v>
      </c>
      <c r="Z13" s="52">
        <v>0</v>
      </c>
      <c r="AA13" s="52">
        <v>0</v>
      </c>
      <c r="AB13" s="52">
        <v>0</v>
      </c>
      <c r="AC13" s="52">
        <v>0</v>
      </c>
      <c r="AD13" s="52">
        <v>0</v>
      </c>
      <c r="AE13" s="52">
        <v>0</v>
      </c>
      <c r="AF13" s="52">
        <v>0</v>
      </c>
      <c r="AG13" s="52">
        <v>0</v>
      </c>
      <c r="AH13" s="52">
        <v>0</v>
      </c>
      <c r="AI13" s="52">
        <v>0</v>
      </c>
      <c r="AJ13" s="52">
        <v>0</v>
      </c>
      <c r="AK13" s="52">
        <v>0</v>
      </c>
      <c r="AL13" s="52">
        <v>0</v>
      </c>
      <c r="AM13" s="52">
        <v>0</v>
      </c>
      <c r="AN13" s="52">
        <v>0</v>
      </c>
      <c r="AO13" s="52">
        <v>0</v>
      </c>
      <c r="AP13" s="52">
        <v>0</v>
      </c>
      <c r="AQ13" s="52">
        <v>0</v>
      </c>
      <c r="AR13" s="52">
        <v>0</v>
      </c>
      <c r="AS13" s="52">
        <v>0</v>
      </c>
      <c r="AT13" s="52">
        <v>0</v>
      </c>
      <c r="AU13" s="52">
        <v>0</v>
      </c>
      <c r="AV13" s="52">
        <v>0</v>
      </c>
      <c r="AW13" s="52">
        <v>0</v>
      </c>
      <c r="AX13" s="52">
        <v>0</v>
      </c>
      <c r="AY13" s="52">
        <v>0</v>
      </c>
      <c r="AZ13" s="52">
        <v>0</v>
      </c>
      <c r="BA13" s="52">
        <v>0</v>
      </c>
      <c r="BB13" s="52">
        <v>0</v>
      </c>
      <c r="BC13" s="52">
        <v>0</v>
      </c>
      <c r="BD13" s="52">
        <v>0</v>
      </c>
      <c r="BE13" s="52">
        <v>0</v>
      </c>
      <c r="BF13" s="52">
        <v>0</v>
      </c>
      <c r="BG13" s="52">
        <v>0</v>
      </c>
      <c r="BH13" s="52">
        <v>0</v>
      </c>
      <c r="BI13" s="52">
        <v>0</v>
      </c>
      <c r="BJ13" s="52">
        <v>0</v>
      </c>
      <c r="BK13" s="52">
        <v>0</v>
      </c>
      <c r="BL13" s="52">
        <v>0</v>
      </c>
      <c r="BM13" s="52">
        <v>0</v>
      </c>
      <c r="BN13" s="52">
        <v>0</v>
      </c>
      <c r="BO13" s="52">
        <v>0</v>
      </c>
      <c r="BP13" s="52">
        <v>0</v>
      </c>
      <c r="BQ13" s="52">
        <v>0</v>
      </c>
      <c r="BR13" s="52">
        <v>0</v>
      </c>
      <c r="BS13" s="52">
        <v>0</v>
      </c>
      <c r="BT13" s="52">
        <v>0</v>
      </c>
      <c r="BU13" s="52">
        <v>0</v>
      </c>
      <c r="BV13" s="52">
        <v>0</v>
      </c>
      <c r="BW13" s="52">
        <v>0</v>
      </c>
    </row>
    <row r="14" spans="1:75" x14ac:dyDescent="0.3">
      <c r="A14" s="7" t="s">
        <v>89</v>
      </c>
      <c r="B14" s="7" t="s">
        <v>8</v>
      </c>
      <c r="C14" s="7" t="s">
        <v>67</v>
      </c>
      <c r="D14" s="52">
        <v>0</v>
      </c>
      <c r="E14" s="52">
        <v>0</v>
      </c>
      <c r="F14" s="52">
        <v>0</v>
      </c>
      <c r="G14" s="52">
        <v>0</v>
      </c>
      <c r="H14" s="52">
        <v>0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52">
        <v>0</v>
      </c>
      <c r="Y14" s="52">
        <v>0</v>
      </c>
      <c r="Z14" s="52">
        <v>0</v>
      </c>
      <c r="AA14" s="52">
        <v>0</v>
      </c>
      <c r="AB14" s="52">
        <v>0</v>
      </c>
      <c r="AC14" s="52">
        <v>0</v>
      </c>
      <c r="AD14" s="52">
        <v>0</v>
      </c>
      <c r="AE14" s="52">
        <v>0</v>
      </c>
      <c r="AF14" s="52">
        <v>0</v>
      </c>
      <c r="AG14" s="52">
        <v>0</v>
      </c>
      <c r="AH14" s="52">
        <v>0</v>
      </c>
      <c r="AI14" s="52">
        <v>0</v>
      </c>
      <c r="AJ14" s="52">
        <v>0</v>
      </c>
      <c r="AK14" s="52">
        <v>0</v>
      </c>
      <c r="AL14" s="52">
        <v>0</v>
      </c>
      <c r="AM14" s="52">
        <v>0</v>
      </c>
      <c r="AN14" s="52">
        <v>0</v>
      </c>
      <c r="AO14" s="52">
        <v>0</v>
      </c>
      <c r="AP14" s="52">
        <v>0</v>
      </c>
      <c r="AQ14" s="52">
        <v>0</v>
      </c>
      <c r="AR14" s="52">
        <v>0</v>
      </c>
      <c r="AS14" s="52">
        <v>0</v>
      </c>
      <c r="AT14" s="52">
        <v>0</v>
      </c>
      <c r="AU14" s="52">
        <v>0</v>
      </c>
      <c r="AV14" s="52">
        <v>0</v>
      </c>
      <c r="AW14" s="52">
        <v>0</v>
      </c>
      <c r="AX14" s="52">
        <v>0</v>
      </c>
      <c r="AY14" s="52">
        <v>0</v>
      </c>
      <c r="AZ14" s="52">
        <v>0</v>
      </c>
      <c r="BA14" s="52">
        <v>0</v>
      </c>
      <c r="BB14" s="52">
        <v>0</v>
      </c>
      <c r="BC14" s="52">
        <v>0</v>
      </c>
      <c r="BD14" s="52">
        <v>0</v>
      </c>
      <c r="BE14" s="52">
        <v>0</v>
      </c>
      <c r="BF14" s="52">
        <v>0</v>
      </c>
      <c r="BG14" s="52">
        <v>0</v>
      </c>
      <c r="BH14" s="52">
        <v>0</v>
      </c>
      <c r="BI14" s="52">
        <v>0</v>
      </c>
      <c r="BJ14" s="52">
        <v>0</v>
      </c>
      <c r="BK14" s="52">
        <v>0</v>
      </c>
      <c r="BL14" s="52">
        <v>0</v>
      </c>
      <c r="BM14" s="52">
        <v>0</v>
      </c>
      <c r="BN14" s="52">
        <v>0</v>
      </c>
      <c r="BO14" s="52">
        <v>0</v>
      </c>
      <c r="BP14" s="52">
        <v>0</v>
      </c>
      <c r="BQ14" s="52">
        <v>0</v>
      </c>
      <c r="BR14" s="52">
        <v>0</v>
      </c>
      <c r="BS14" s="52">
        <v>0</v>
      </c>
      <c r="BT14" s="52">
        <v>0</v>
      </c>
      <c r="BU14" s="52">
        <v>0</v>
      </c>
      <c r="BV14" s="52">
        <v>0</v>
      </c>
      <c r="BW14" s="52">
        <v>0</v>
      </c>
    </row>
    <row r="15" spans="1:75" x14ac:dyDescent="0.3">
      <c r="A15" s="7" t="s">
        <v>89</v>
      </c>
      <c r="B15" s="7" t="s">
        <v>8</v>
      </c>
      <c r="C15" s="7" t="s">
        <v>68</v>
      </c>
      <c r="D15" s="52">
        <v>0</v>
      </c>
      <c r="E15" s="52">
        <v>0</v>
      </c>
      <c r="F15" s="52">
        <v>0</v>
      </c>
      <c r="G15" s="52">
        <v>0</v>
      </c>
      <c r="H15" s="52">
        <v>0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0</v>
      </c>
      <c r="P15" s="52">
        <v>0</v>
      </c>
      <c r="Q15" s="52">
        <v>0</v>
      </c>
      <c r="R15" s="52">
        <v>0</v>
      </c>
      <c r="S15" s="52">
        <v>0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2">
        <v>0</v>
      </c>
      <c r="Z15" s="52">
        <v>0</v>
      </c>
      <c r="AA15" s="52">
        <v>0</v>
      </c>
      <c r="AB15" s="52">
        <v>0</v>
      </c>
      <c r="AC15" s="52">
        <v>0</v>
      </c>
      <c r="AD15" s="52">
        <v>0</v>
      </c>
      <c r="AE15" s="52">
        <v>0</v>
      </c>
      <c r="AF15" s="52">
        <v>0</v>
      </c>
      <c r="AG15" s="52">
        <v>0</v>
      </c>
      <c r="AH15" s="52">
        <v>0</v>
      </c>
      <c r="AI15" s="52">
        <v>0</v>
      </c>
      <c r="AJ15" s="52">
        <v>0</v>
      </c>
      <c r="AK15" s="52">
        <v>0</v>
      </c>
      <c r="AL15" s="52">
        <v>0</v>
      </c>
      <c r="AM15" s="52">
        <v>0</v>
      </c>
      <c r="AN15" s="52">
        <v>0</v>
      </c>
      <c r="AO15" s="52">
        <v>0</v>
      </c>
      <c r="AP15" s="52">
        <v>0</v>
      </c>
      <c r="AQ15" s="52">
        <v>0</v>
      </c>
      <c r="AR15" s="52">
        <v>0</v>
      </c>
      <c r="AS15" s="52">
        <v>0</v>
      </c>
      <c r="AT15" s="52">
        <v>0</v>
      </c>
      <c r="AU15" s="52">
        <v>0</v>
      </c>
      <c r="AV15" s="52">
        <v>0</v>
      </c>
      <c r="AW15" s="52">
        <v>0</v>
      </c>
      <c r="AX15" s="52">
        <v>0</v>
      </c>
      <c r="AY15" s="52">
        <v>0</v>
      </c>
      <c r="AZ15" s="52">
        <v>0</v>
      </c>
      <c r="BA15" s="52">
        <v>0</v>
      </c>
      <c r="BB15" s="52">
        <v>0</v>
      </c>
      <c r="BC15" s="52">
        <v>0</v>
      </c>
      <c r="BD15" s="52">
        <v>0</v>
      </c>
      <c r="BE15" s="52">
        <v>0</v>
      </c>
      <c r="BF15" s="52">
        <v>0</v>
      </c>
      <c r="BG15" s="52">
        <v>0</v>
      </c>
      <c r="BH15" s="52">
        <v>0</v>
      </c>
      <c r="BI15" s="52">
        <v>0</v>
      </c>
      <c r="BJ15" s="52">
        <v>0</v>
      </c>
      <c r="BK15" s="52">
        <v>0</v>
      </c>
      <c r="BL15" s="52">
        <v>0</v>
      </c>
      <c r="BM15" s="52">
        <v>0</v>
      </c>
      <c r="BN15" s="52">
        <v>0</v>
      </c>
      <c r="BO15" s="52">
        <v>0</v>
      </c>
      <c r="BP15" s="52">
        <v>0</v>
      </c>
      <c r="BQ15" s="52">
        <v>0</v>
      </c>
      <c r="BR15" s="52">
        <v>0</v>
      </c>
      <c r="BS15" s="52">
        <v>0</v>
      </c>
      <c r="BT15" s="52">
        <v>0</v>
      </c>
      <c r="BU15" s="52">
        <v>0</v>
      </c>
      <c r="BV15" s="52">
        <v>0</v>
      </c>
      <c r="BW15" s="52">
        <v>0</v>
      </c>
    </row>
    <row r="16" spans="1:75" x14ac:dyDescent="0.3">
      <c r="A16" s="7" t="s">
        <v>89</v>
      </c>
      <c r="B16" s="7" t="s">
        <v>8</v>
      </c>
      <c r="C16" s="7" t="s">
        <v>69</v>
      </c>
      <c r="D16" s="52">
        <v>0</v>
      </c>
      <c r="E16" s="52">
        <v>0</v>
      </c>
      <c r="F16" s="52">
        <v>0</v>
      </c>
      <c r="G16" s="52">
        <v>0</v>
      </c>
      <c r="H16" s="52">
        <v>0</v>
      </c>
      <c r="I16" s="52">
        <v>0</v>
      </c>
      <c r="J16" s="52">
        <v>0</v>
      </c>
      <c r="K16" s="52">
        <v>0</v>
      </c>
      <c r="L16" s="52">
        <v>0</v>
      </c>
      <c r="M16" s="52">
        <v>0</v>
      </c>
      <c r="N16" s="52">
        <v>0</v>
      </c>
      <c r="O16" s="52">
        <v>0</v>
      </c>
      <c r="P16" s="52">
        <v>0</v>
      </c>
      <c r="Q16" s="52">
        <v>0</v>
      </c>
      <c r="R16" s="52">
        <v>0</v>
      </c>
      <c r="S16" s="52">
        <v>0</v>
      </c>
      <c r="T16" s="52">
        <v>0</v>
      </c>
      <c r="U16" s="52">
        <v>0</v>
      </c>
      <c r="V16" s="52">
        <v>0</v>
      </c>
      <c r="W16" s="52">
        <v>0</v>
      </c>
      <c r="X16" s="52">
        <v>0</v>
      </c>
      <c r="Y16" s="52">
        <v>0</v>
      </c>
      <c r="Z16" s="52">
        <v>0</v>
      </c>
      <c r="AA16" s="52">
        <v>0</v>
      </c>
      <c r="AB16" s="52">
        <v>0</v>
      </c>
      <c r="AC16" s="52">
        <v>0</v>
      </c>
      <c r="AD16" s="52">
        <v>0</v>
      </c>
      <c r="AE16" s="52">
        <v>0</v>
      </c>
      <c r="AF16" s="52">
        <v>0</v>
      </c>
      <c r="AG16" s="52">
        <v>0</v>
      </c>
      <c r="AH16" s="52">
        <v>0</v>
      </c>
      <c r="AI16" s="52">
        <v>0</v>
      </c>
      <c r="AJ16" s="52">
        <v>0</v>
      </c>
      <c r="AK16" s="52">
        <v>0</v>
      </c>
      <c r="AL16" s="52">
        <v>0</v>
      </c>
      <c r="AM16" s="52">
        <v>0</v>
      </c>
      <c r="AN16" s="52">
        <v>0</v>
      </c>
      <c r="AO16" s="52">
        <v>0</v>
      </c>
      <c r="AP16" s="52">
        <v>0</v>
      </c>
      <c r="AQ16" s="52">
        <v>0</v>
      </c>
      <c r="AR16" s="52">
        <v>0</v>
      </c>
      <c r="AS16" s="52">
        <v>0</v>
      </c>
      <c r="AT16" s="52">
        <v>0</v>
      </c>
      <c r="AU16" s="52">
        <v>0</v>
      </c>
      <c r="AV16" s="52">
        <v>0</v>
      </c>
      <c r="AW16" s="52">
        <v>0</v>
      </c>
      <c r="AX16" s="52">
        <v>0</v>
      </c>
      <c r="AY16" s="52">
        <v>0</v>
      </c>
      <c r="AZ16" s="52">
        <v>0</v>
      </c>
      <c r="BA16" s="52">
        <v>0</v>
      </c>
      <c r="BB16" s="52">
        <v>0</v>
      </c>
      <c r="BC16" s="52">
        <v>0</v>
      </c>
      <c r="BD16" s="52">
        <v>0</v>
      </c>
      <c r="BE16" s="52">
        <v>0</v>
      </c>
      <c r="BF16" s="52">
        <v>0</v>
      </c>
      <c r="BG16" s="52">
        <v>0</v>
      </c>
      <c r="BH16" s="52">
        <v>0</v>
      </c>
      <c r="BI16" s="52">
        <v>0</v>
      </c>
      <c r="BJ16" s="52">
        <v>0</v>
      </c>
      <c r="BK16" s="52">
        <v>0</v>
      </c>
      <c r="BL16" s="52">
        <v>0</v>
      </c>
      <c r="BM16" s="52">
        <v>0</v>
      </c>
      <c r="BN16" s="52">
        <v>0</v>
      </c>
      <c r="BO16" s="52">
        <v>0</v>
      </c>
      <c r="BP16" s="52">
        <v>0</v>
      </c>
      <c r="BQ16" s="52">
        <v>0</v>
      </c>
      <c r="BR16" s="52">
        <v>0</v>
      </c>
      <c r="BS16" s="52">
        <v>0</v>
      </c>
      <c r="BT16" s="52">
        <v>0</v>
      </c>
      <c r="BU16" s="52">
        <v>0</v>
      </c>
      <c r="BV16" s="52">
        <v>0</v>
      </c>
      <c r="BW16" s="52">
        <v>0</v>
      </c>
    </row>
    <row r="17" spans="1:75" x14ac:dyDescent="0.3">
      <c r="A17" s="7" t="s">
        <v>89</v>
      </c>
      <c r="B17" s="7" t="s">
        <v>8</v>
      </c>
      <c r="C17" s="7" t="s">
        <v>27</v>
      </c>
      <c r="D17" s="52">
        <v>150</v>
      </c>
      <c r="E17" s="52">
        <v>150</v>
      </c>
      <c r="F17" s="52">
        <v>149.99727272727276</v>
      </c>
      <c r="G17" s="52">
        <v>150</v>
      </c>
      <c r="H17" s="52">
        <v>150</v>
      </c>
      <c r="I17" s="52">
        <v>67.340000000000032</v>
      </c>
      <c r="J17" s="52">
        <v>150</v>
      </c>
      <c r="K17" s="52">
        <v>150</v>
      </c>
      <c r="L17" s="52">
        <v>128.08695652173918</v>
      </c>
      <c r="M17" s="52">
        <v>150</v>
      </c>
      <c r="N17" s="52">
        <v>150</v>
      </c>
      <c r="O17" s="52">
        <v>128.08695652173921</v>
      </c>
      <c r="P17" s="52">
        <v>150</v>
      </c>
      <c r="Q17" s="52">
        <v>150</v>
      </c>
      <c r="R17" s="52">
        <v>150</v>
      </c>
      <c r="S17" s="52">
        <v>150</v>
      </c>
      <c r="T17" s="52">
        <v>150</v>
      </c>
      <c r="U17" s="52">
        <v>94.200000000000188</v>
      </c>
      <c r="V17" s="52">
        <v>150</v>
      </c>
      <c r="W17" s="52">
        <v>150</v>
      </c>
      <c r="X17" s="52">
        <v>59.528795811518329</v>
      </c>
      <c r="Y17" s="52">
        <v>150</v>
      </c>
      <c r="Z17" s="52">
        <v>150</v>
      </c>
      <c r="AA17" s="52">
        <v>59.528795811518336</v>
      </c>
      <c r="AB17" s="52">
        <v>144.3652173913043</v>
      </c>
      <c r="AC17" s="52">
        <v>150</v>
      </c>
      <c r="AD17" s="52">
        <v>0</v>
      </c>
      <c r="AE17" s="52">
        <v>144.3652173913043</v>
      </c>
      <c r="AF17" s="52">
        <v>150</v>
      </c>
      <c r="AG17" s="52">
        <v>0</v>
      </c>
      <c r="AH17" s="52">
        <v>150</v>
      </c>
      <c r="AI17" s="52">
        <v>129.59387755102037</v>
      </c>
      <c r="AJ17" s="52">
        <v>0</v>
      </c>
      <c r="AK17" s="52">
        <v>42.20000000000072</v>
      </c>
      <c r="AL17" s="52">
        <v>0</v>
      </c>
      <c r="AM17" s="52">
        <v>0</v>
      </c>
      <c r="AN17" s="52">
        <v>127.21070471136015</v>
      </c>
      <c r="AO17" s="52">
        <v>126.01262672175612</v>
      </c>
      <c r="AP17" s="52">
        <v>0</v>
      </c>
      <c r="AQ17" s="52">
        <v>127.21070471136015</v>
      </c>
      <c r="AR17" s="52">
        <v>22.800000000000374</v>
      </c>
      <c r="AS17" s="52">
        <v>0</v>
      </c>
      <c r="AT17" s="52">
        <v>121.22727272727278</v>
      </c>
      <c r="AU17" s="52">
        <v>150</v>
      </c>
      <c r="AV17" s="52">
        <v>0</v>
      </c>
      <c r="AW17" s="52">
        <v>0</v>
      </c>
      <c r="AX17" s="52">
        <v>0</v>
      </c>
      <c r="AY17" s="52">
        <v>0</v>
      </c>
      <c r="AZ17" s="52">
        <v>150</v>
      </c>
      <c r="BA17" s="52">
        <v>150</v>
      </c>
      <c r="BB17" s="52">
        <v>19.714285714285708</v>
      </c>
      <c r="BC17" s="52">
        <v>150</v>
      </c>
      <c r="BD17" s="52">
        <v>150</v>
      </c>
      <c r="BE17" s="52">
        <v>0</v>
      </c>
      <c r="BF17" s="52">
        <v>150</v>
      </c>
      <c r="BG17" s="52">
        <v>150</v>
      </c>
      <c r="BH17" s="52">
        <v>70.991150442477831</v>
      </c>
      <c r="BI17" s="52">
        <v>150</v>
      </c>
      <c r="BJ17" s="52">
        <v>150</v>
      </c>
      <c r="BK17" s="52">
        <v>70.991150442477831</v>
      </c>
      <c r="BL17" s="52">
        <v>150</v>
      </c>
      <c r="BM17" s="52">
        <v>150</v>
      </c>
      <c r="BN17" s="52">
        <v>130.27397260273978</v>
      </c>
      <c r="BO17" s="52">
        <v>150</v>
      </c>
      <c r="BP17" s="52">
        <v>150</v>
      </c>
      <c r="BQ17" s="52">
        <v>130.27397260273978</v>
      </c>
      <c r="BR17" s="52">
        <v>150</v>
      </c>
      <c r="BS17" s="52">
        <v>150</v>
      </c>
      <c r="BT17" s="52">
        <v>150</v>
      </c>
      <c r="BU17" s="52">
        <v>150</v>
      </c>
      <c r="BV17" s="52">
        <v>150</v>
      </c>
      <c r="BW17" s="52">
        <v>104.44897959183683</v>
      </c>
    </row>
    <row r="18" spans="1:75" x14ac:dyDescent="0.3">
      <c r="A18" s="7" t="s">
        <v>89</v>
      </c>
      <c r="B18" s="7" t="s">
        <v>8</v>
      </c>
      <c r="C18" s="7" t="s">
        <v>144</v>
      </c>
      <c r="D18" s="52">
        <v>200</v>
      </c>
      <c r="E18" s="52">
        <v>99.900000000000105</v>
      </c>
      <c r="F18" s="52">
        <v>0</v>
      </c>
      <c r="G18" s="52">
        <v>78.600000000000676</v>
      </c>
      <c r="H18" s="52">
        <v>0</v>
      </c>
      <c r="I18" s="52">
        <v>0</v>
      </c>
      <c r="J18" s="52">
        <v>200</v>
      </c>
      <c r="K18" s="52">
        <v>14.840000000000853</v>
      </c>
      <c r="L18" s="52">
        <v>0</v>
      </c>
      <c r="M18" s="52">
        <v>200</v>
      </c>
      <c r="N18" s="52">
        <v>0</v>
      </c>
      <c r="O18" s="52">
        <v>0</v>
      </c>
      <c r="P18" s="52">
        <v>200</v>
      </c>
      <c r="Q18" s="52">
        <v>0</v>
      </c>
      <c r="R18" s="52">
        <v>0</v>
      </c>
      <c r="S18" s="52">
        <v>200</v>
      </c>
      <c r="T18" s="52">
        <v>0</v>
      </c>
      <c r="U18" s="52">
        <v>0</v>
      </c>
      <c r="V18" s="52">
        <v>200</v>
      </c>
      <c r="W18" s="52">
        <v>78.660812030074183</v>
      </c>
      <c r="X18" s="52">
        <v>0</v>
      </c>
      <c r="Y18" s="52">
        <v>200</v>
      </c>
      <c r="Z18" s="52">
        <v>48.439999999999536</v>
      </c>
      <c r="AA18" s="52">
        <v>0</v>
      </c>
      <c r="AB18" s="52">
        <v>200</v>
      </c>
      <c r="AC18" s="52">
        <v>37.813206417109392</v>
      </c>
      <c r="AD18" s="52">
        <v>0</v>
      </c>
      <c r="AE18" s="52">
        <v>200</v>
      </c>
      <c r="AF18" s="52">
        <v>37.813206417109392</v>
      </c>
      <c r="AG18" s="52">
        <v>0</v>
      </c>
      <c r="AH18" s="52">
        <v>184.2999999999997</v>
      </c>
      <c r="AI18" s="52">
        <v>0</v>
      </c>
      <c r="AJ18" s="52">
        <v>0</v>
      </c>
      <c r="AK18" s="52">
        <v>184.2999999999997</v>
      </c>
      <c r="AL18" s="52">
        <v>0</v>
      </c>
      <c r="AM18" s="52">
        <v>0</v>
      </c>
      <c r="AN18" s="52">
        <v>200</v>
      </c>
      <c r="AO18" s="52">
        <v>0</v>
      </c>
      <c r="AP18" s="52">
        <v>0</v>
      </c>
      <c r="AQ18" s="52">
        <v>200</v>
      </c>
      <c r="AR18" s="52">
        <v>0</v>
      </c>
      <c r="AS18" s="52">
        <v>0</v>
      </c>
      <c r="AT18" s="52">
        <v>200</v>
      </c>
      <c r="AU18" s="52">
        <v>73.800000000000807</v>
      </c>
      <c r="AV18" s="52">
        <v>0</v>
      </c>
      <c r="AW18" s="52">
        <v>112.88797306399451</v>
      </c>
      <c r="AX18" s="52">
        <v>0</v>
      </c>
      <c r="AY18" s="52">
        <v>0</v>
      </c>
      <c r="AZ18" s="52">
        <v>189.44000000000094</v>
      </c>
      <c r="BA18" s="52">
        <v>0</v>
      </c>
      <c r="BB18" s="52">
        <v>0</v>
      </c>
      <c r="BC18" s="52">
        <v>189.44000000000094</v>
      </c>
      <c r="BD18" s="52">
        <v>0</v>
      </c>
      <c r="BE18" s="52">
        <v>0</v>
      </c>
      <c r="BF18" s="52">
        <v>200</v>
      </c>
      <c r="BG18" s="52">
        <v>78.240000000000975</v>
      </c>
      <c r="BH18" s="52">
        <v>0</v>
      </c>
      <c r="BI18" s="52">
        <v>200</v>
      </c>
      <c r="BJ18" s="52">
        <v>0</v>
      </c>
      <c r="BK18" s="52">
        <v>0</v>
      </c>
      <c r="BL18" s="52">
        <v>200</v>
      </c>
      <c r="BM18" s="52">
        <v>76.604747474747541</v>
      </c>
      <c r="BN18" s="52">
        <v>0</v>
      </c>
      <c r="BO18" s="52">
        <v>200</v>
      </c>
      <c r="BP18" s="52">
        <v>76.604747474747541</v>
      </c>
      <c r="BQ18" s="52">
        <v>0</v>
      </c>
      <c r="BR18" s="52">
        <v>200</v>
      </c>
      <c r="BS18" s="52">
        <v>55.862441558441454</v>
      </c>
      <c r="BT18" s="52">
        <v>0</v>
      </c>
      <c r="BU18" s="52">
        <v>200</v>
      </c>
      <c r="BV18" s="52">
        <v>0</v>
      </c>
      <c r="BW18" s="52">
        <v>0</v>
      </c>
    </row>
    <row r="19" spans="1:75" x14ac:dyDescent="0.3">
      <c r="A19" s="7" t="s">
        <v>89</v>
      </c>
      <c r="B19" s="7" t="s">
        <v>8</v>
      </c>
      <c r="C19" s="7" t="s">
        <v>145</v>
      </c>
      <c r="D19" s="52">
        <v>200</v>
      </c>
      <c r="E19" s="52">
        <v>0</v>
      </c>
      <c r="F19" s="52">
        <v>0</v>
      </c>
      <c r="G19" s="52">
        <v>200</v>
      </c>
      <c r="H19" s="52">
        <v>0</v>
      </c>
      <c r="I19" s="52">
        <v>0</v>
      </c>
      <c r="J19" s="52">
        <v>137.00000000000057</v>
      </c>
      <c r="K19" s="52">
        <v>0</v>
      </c>
      <c r="L19" s="52">
        <v>0</v>
      </c>
      <c r="M19" s="52">
        <v>137.00000000000057</v>
      </c>
      <c r="N19" s="52">
        <v>0</v>
      </c>
      <c r="O19" s="52">
        <v>0</v>
      </c>
      <c r="P19" s="52">
        <v>104.29999999999984</v>
      </c>
      <c r="Q19" s="52">
        <v>0</v>
      </c>
      <c r="R19" s="52">
        <v>0</v>
      </c>
      <c r="S19" s="52">
        <v>17.700000000000493</v>
      </c>
      <c r="T19" s="52">
        <v>0</v>
      </c>
      <c r="U19" s="52">
        <v>0</v>
      </c>
      <c r="V19" s="52">
        <v>133.29999999999998</v>
      </c>
      <c r="W19" s="52">
        <v>0</v>
      </c>
      <c r="X19" s="52">
        <v>0</v>
      </c>
      <c r="Y19" s="52">
        <v>123.20000000000029</v>
      </c>
      <c r="Z19" s="52">
        <v>0</v>
      </c>
      <c r="AA19" s="52">
        <v>0</v>
      </c>
      <c r="AB19" s="52">
        <v>190.23478260869621</v>
      </c>
      <c r="AC19" s="52">
        <v>5.8867935828911246</v>
      </c>
      <c r="AD19" s="52">
        <v>0</v>
      </c>
      <c r="AE19" s="52">
        <v>190.23478260869621</v>
      </c>
      <c r="AF19" s="52">
        <v>5.8867935828911246</v>
      </c>
      <c r="AG19" s="52">
        <v>0</v>
      </c>
      <c r="AH19" s="52">
        <v>0</v>
      </c>
      <c r="AI19" s="52">
        <v>0</v>
      </c>
      <c r="AJ19" s="52">
        <v>0</v>
      </c>
      <c r="AK19" s="52">
        <v>0</v>
      </c>
      <c r="AL19" s="52">
        <v>0</v>
      </c>
      <c r="AM19" s="52">
        <v>0</v>
      </c>
      <c r="AN19" s="52">
        <v>88.589295288639676</v>
      </c>
      <c r="AO19" s="52">
        <v>0</v>
      </c>
      <c r="AP19" s="52">
        <v>0</v>
      </c>
      <c r="AQ19" s="52">
        <v>88.589295288639676</v>
      </c>
      <c r="AR19" s="52">
        <v>0</v>
      </c>
      <c r="AS19" s="52">
        <v>0</v>
      </c>
      <c r="AT19" s="52">
        <v>188.17272727272717</v>
      </c>
      <c r="AU19" s="52">
        <v>0</v>
      </c>
      <c r="AV19" s="52">
        <v>0</v>
      </c>
      <c r="AW19" s="52">
        <v>188.17272727272717</v>
      </c>
      <c r="AX19" s="52">
        <v>0</v>
      </c>
      <c r="AY19" s="52">
        <v>0</v>
      </c>
      <c r="AZ19" s="52">
        <v>0</v>
      </c>
      <c r="BA19" s="52">
        <v>0</v>
      </c>
      <c r="BB19" s="52">
        <v>0</v>
      </c>
      <c r="BC19" s="52">
        <v>0</v>
      </c>
      <c r="BD19" s="52">
        <v>0</v>
      </c>
      <c r="BE19" s="52">
        <v>0</v>
      </c>
      <c r="BF19" s="52">
        <v>200</v>
      </c>
      <c r="BG19" s="52">
        <v>0</v>
      </c>
      <c r="BH19" s="52">
        <v>0</v>
      </c>
      <c r="BI19" s="52">
        <v>200</v>
      </c>
      <c r="BJ19" s="52">
        <v>0</v>
      </c>
      <c r="BK19" s="52">
        <v>0</v>
      </c>
      <c r="BL19" s="52">
        <v>200</v>
      </c>
      <c r="BM19" s="52">
        <v>0</v>
      </c>
      <c r="BN19" s="52">
        <v>0</v>
      </c>
      <c r="BO19" s="52">
        <v>200</v>
      </c>
      <c r="BP19" s="52">
        <v>0</v>
      </c>
      <c r="BQ19" s="52">
        <v>0</v>
      </c>
      <c r="BR19" s="52">
        <v>95.218994652408711</v>
      </c>
      <c r="BS19" s="52">
        <v>0</v>
      </c>
      <c r="BT19" s="52">
        <v>0</v>
      </c>
      <c r="BU19" s="52">
        <v>41.600000000001188</v>
      </c>
      <c r="BV19" s="52">
        <v>0</v>
      </c>
      <c r="BW19" s="52">
        <v>0</v>
      </c>
    </row>
    <row r="20" spans="1:75" x14ac:dyDescent="0.3">
      <c r="A20" s="7" t="s">
        <v>89</v>
      </c>
      <c r="B20" s="7" t="s">
        <v>8</v>
      </c>
      <c r="C20" s="7" t="s">
        <v>146</v>
      </c>
      <c r="D20" s="52">
        <v>200</v>
      </c>
      <c r="E20" s="52">
        <v>200</v>
      </c>
      <c r="F20" s="52">
        <v>0</v>
      </c>
      <c r="G20" s="52">
        <v>200</v>
      </c>
      <c r="H20" s="52">
        <v>87.8400000000007</v>
      </c>
      <c r="I20" s="52">
        <v>0</v>
      </c>
      <c r="J20" s="52">
        <v>200</v>
      </c>
      <c r="K20" s="52">
        <v>200</v>
      </c>
      <c r="L20" s="52">
        <v>0</v>
      </c>
      <c r="M20" s="52">
        <v>200</v>
      </c>
      <c r="N20" s="52">
        <v>163.70000000000024</v>
      </c>
      <c r="O20" s="52">
        <v>0</v>
      </c>
      <c r="P20" s="52">
        <v>200</v>
      </c>
      <c r="Q20" s="52">
        <v>178.19999999999985</v>
      </c>
      <c r="R20" s="52">
        <v>0</v>
      </c>
      <c r="S20" s="52">
        <v>200</v>
      </c>
      <c r="T20" s="52">
        <v>16.799999999999891</v>
      </c>
      <c r="U20" s="52">
        <v>0</v>
      </c>
      <c r="V20" s="52">
        <v>200</v>
      </c>
      <c r="W20" s="52">
        <v>200</v>
      </c>
      <c r="X20" s="52">
        <v>0</v>
      </c>
      <c r="Y20" s="52">
        <v>200</v>
      </c>
      <c r="Z20" s="52">
        <v>200</v>
      </c>
      <c r="AA20" s="52">
        <v>0</v>
      </c>
      <c r="AB20" s="52">
        <v>200</v>
      </c>
      <c r="AC20" s="52">
        <v>200</v>
      </c>
      <c r="AD20" s="52">
        <v>11.000000000000455</v>
      </c>
      <c r="AE20" s="52">
        <v>200</v>
      </c>
      <c r="AF20" s="52">
        <v>200</v>
      </c>
      <c r="AG20" s="52">
        <v>11.000000000000455</v>
      </c>
      <c r="AH20" s="52">
        <v>200</v>
      </c>
      <c r="AI20" s="52">
        <v>146.84612244898011</v>
      </c>
      <c r="AJ20" s="52">
        <v>0</v>
      </c>
      <c r="AK20" s="52">
        <v>200</v>
      </c>
      <c r="AL20" s="52">
        <v>109.9999999999999</v>
      </c>
      <c r="AM20" s="52">
        <v>0</v>
      </c>
      <c r="AN20" s="52">
        <v>200</v>
      </c>
      <c r="AO20" s="52">
        <v>200</v>
      </c>
      <c r="AP20" s="52">
        <v>0</v>
      </c>
      <c r="AQ20" s="52">
        <v>122.80000000000068</v>
      </c>
      <c r="AR20" s="52">
        <v>200</v>
      </c>
      <c r="AS20" s="52">
        <v>0</v>
      </c>
      <c r="AT20" s="52">
        <v>200</v>
      </c>
      <c r="AU20" s="52">
        <v>200</v>
      </c>
      <c r="AV20" s="52">
        <v>0</v>
      </c>
      <c r="AW20" s="52">
        <v>103.23929966327889</v>
      </c>
      <c r="AX20" s="52">
        <v>192.33999999999978</v>
      </c>
      <c r="AY20" s="52">
        <v>0</v>
      </c>
      <c r="AZ20" s="52">
        <v>200</v>
      </c>
      <c r="BA20" s="52">
        <v>197.94</v>
      </c>
      <c r="BB20" s="52">
        <v>0</v>
      </c>
      <c r="BC20" s="52">
        <v>200</v>
      </c>
      <c r="BD20" s="52">
        <v>42.540000000000134</v>
      </c>
      <c r="BE20" s="52">
        <v>0</v>
      </c>
      <c r="BF20" s="52">
        <v>200</v>
      </c>
      <c r="BG20" s="52">
        <v>200</v>
      </c>
      <c r="BH20" s="52">
        <v>0</v>
      </c>
      <c r="BI20" s="52">
        <v>52.89999999999862</v>
      </c>
      <c r="BJ20" s="52">
        <v>54.900000000000063</v>
      </c>
      <c r="BK20" s="52">
        <v>0</v>
      </c>
      <c r="BL20" s="52">
        <v>200</v>
      </c>
      <c r="BM20" s="52">
        <v>169.15525252525268</v>
      </c>
      <c r="BN20" s="52">
        <v>0</v>
      </c>
      <c r="BO20" s="52">
        <v>200</v>
      </c>
      <c r="BP20" s="52">
        <v>169.15525252525268</v>
      </c>
      <c r="BQ20" s="52">
        <v>0</v>
      </c>
      <c r="BR20" s="52">
        <v>200</v>
      </c>
      <c r="BS20" s="52">
        <v>200</v>
      </c>
      <c r="BT20" s="52">
        <v>0</v>
      </c>
      <c r="BU20" s="52">
        <v>200</v>
      </c>
      <c r="BV20" s="52">
        <v>108.63999999999946</v>
      </c>
      <c r="BW20" s="52">
        <v>0</v>
      </c>
    </row>
    <row r="21" spans="1:75" x14ac:dyDescent="0.3">
      <c r="A21" s="7" t="s">
        <v>89</v>
      </c>
      <c r="B21" s="7" t="s">
        <v>8</v>
      </c>
      <c r="C21" s="7" t="s">
        <v>28</v>
      </c>
      <c r="D21" s="52">
        <v>200</v>
      </c>
      <c r="E21" s="52">
        <v>200</v>
      </c>
      <c r="F21" s="52">
        <v>200</v>
      </c>
      <c r="G21" s="52">
        <v>200</v>
      </c>
      <c r="H21" s="52">
        <v>200</v>
      </c>
      <c r="I21" s="52">
        <v>200</v>
      </c>
      <c r="J21" s="52">
        <v>200</v>
      </c>
      <c r="K21" s="52">
        <v>200</v>
      </c>
      <c r="L21" s="52">
        <v>200</v>
      </c>
      <c r="M21" s="52">
        <v>200</v>
      </c>
      <c r="N21" s="52">
        <v>200</v>
      </c>
      <c r="O21" s="52">
        <v>200</v>
      </c>
      <c r="P21" s="52">
        <v>200</v>
      </c>
      <c r="Q21" s="52">
        <v>200</v>
      </c>
      <c r="R21" s="52">
        <v>200</v>
      </c>
      <c r="S21" s="52">
        <v>200</v>
      </c>
      <c r="T21" s="52">
        <v>200</v>
      </c>
      <c r="U21" s="52">
        <v>200</v>
      </c>
      <c r="V21" s="52">
        <v>200</v>
      </c>
      <c r="W21" s="52">
        <v>200</v>
      </c>
      <c r="X21" s="52">
        <v>200</v>
      </c>
      <c r="Y21" s="52">
        <v>200</v>
      </c>
      <c r="Z21" s="52">
        <v>200</v>
      </c>
      <c r="AA21" s="52">
        <v>200</v>
      </c>
      <c r="AB21" s="52">
        <v>200</v>
      </c>
      <c r="AC21" s="52">
        <v>200</v>
      </c>
      <c r="AD21" s="52">
        <v>200</v>
      </c>
      <c r="AE21" s="52">
        <v>200</v>
      </c>
      <c r="AF21" s="52">
        <v>200</v>
      </c>
      <c r="AG21" s="52">
        <v>200</v>
      </c>
      <c r="AH21" s="52">
        <v>200</v>
      </c>
      <c r="AI21" s="52">
        <v>200</v>
      </c>
      <c r="AJ21" s="52">
        <v>200</v>
      </c>
      <c r="AK21" s="52">
        <v>200</v>
      </c>
      <c r="AL21" s="52">
        <v>200</v>
      </c>
      <c r="AM21" s="52">
        <v>200</v>
      </c>
      <c r="AN21" s="52">
        <v>200</v>
      </c>
      <c r="AO21" s="52">
        <v>200</v>
      </c>
      <c r="AP21" s="52">
        <v>200</v>
      </c>
      <c r="AQ21" s="52">
        <v>200</v>
      </c>
      <c r="AR21" s="52">
        <v>200</v>
      </c>
      <c r="AS21" s="52">
        <v>200</v>
      </c>
      <c r="AT21" s="52">
        <v>200</v>
      </c>
      <c r="AU21" s="52">
        <v>200</v>
      </c>
      <c r="AV21" s="52">
        <v>200</v>
      </c>
      <c r="AW21" s="52">
        <v>200</v>
      </c>
      <c r="AX21" s="52">
        <v>200</v>
      </c>
      <c r="AY21" s="52">
        <v>200</v>
      </c>
      <c r="AZ21" s="52">
        <v>200</v>
      </c>
      <c r="BA21" s="52">
        <v>200</v>
      </c>
      <c r="BB21" s="52">
        <v>200</v>
      </c>
      <c r="BC21" s="52">
        <v>200</v>
      </c>
      <c r="BD21" s="52">
        <v>200</v>
      </c>
      <c r="BE21" s="52">
        <v>200</v>
      </c>
      <c r="BF21" s="52">
        <v>200</v>
      </c>
      <c r="BG21" s="52">
        <v>200</v>
      </c>
      <c r="BH21" s="52">
        <v>200</v>
      </c>
      <c r="BI21" s="52">
        <v>200</v>
      </c>
      <c r="BJ21" s="52">
        <v>200</v>
      </c>
      <c r="BK21" s="52">
        <v>200</v>
      </c>
      <c r="BL21" s="52">
        <v>200</v>
      </c>
      <c r="BM21" s="52">
        <v>200</v>
      </c>
      <c r="BN21" s="52">
        <v>200</v>
      </c>
      <c r="BO21" s="52">
        <v>200</v>
      </c>
      <c r="BP21" s="52">
        <v>200</v>
      </c>
      <c r="BQ21" s="52">
        <v>200</v>
      </c>
      <c r="BR21" s="52">
        <v>200</v>
      </c>
      <c r="BS21" s="52">
        <v>200</v>
      </c>
      <c r="BT21" s="52">
        <v>200</v>
      </c>
      <c r="BU21" s="52">
        <v>200</v>
      </c>
      <c r="BV21" s="52">
        <v>200</v>
      </c>
      <c r="BW21" s="52">
        <v>200</v>
      </c>
    </row>
    <row r="22" spans="1:75" x14ac:dyDescent="0.3">
      <c r="A22" s="7" t="s">
        <v>89</v>
      </c>
      <c r="B22" s="7" t="s">
        <v>9</v>
      </c>
      <c r="C22" s="7" t="s">
        <v>60</v>
      </c>
      <c r="D22" s="52">
        <v>771.6</v>
      </c>
      <c r="E22" s="52">
        <v>771.6</v>
      </c>
      <c r="F22" s="52">
        <v>771.6</v>
      </c>
      <c r="G22" s="52">
        <v>771.6</v>
      </c>
      <c r="H22" s="52">
        <v>771.6</v>
      </c>
      <c r="I22" s="52">
        <v>771.6</v>
      </c>
      <c r="J22" s="52">
        <v>771.6</v>
      </c>
      <c r="K22" s="52">
        <v>771.6</v>
      </c>
      <c r="L22" s="52">
        <v>771.6</v>
      </c>
      <c r="M22" s="52">
        <v>771.6</v>
      </c>
      <c r="N22" s="52">
        <v>771.6</v>
      </c>
      <c r="O22" s="52">
        <v>771.6</v>
      </c>
      <c r="P22" s="52">
        <v>771.6</v>
      </c>
      <c r="Q22" s="52">
        <v>771.6</v>
      </c>
      <c r="R22" s="52">
        <v>771.6</v>
      </c>
      <c r="S22" s="52">
        <v>771.6</v>
      </c>
      <c r="T22" s="52">
        <v>771.6</v>
      </c>
      <c r="U22" s="52">
        <v>771.6</v>
      </c>
      <c r="V22" s="52">
        <v>771.6</v>
      </c>
      <c r="W22" s="52">
        <v>771.6</v>
      </c>
      <c r="X22" s="52">
        <v>771.6</v>
      </c>
      <c r="Y22" s="52">
        <v>771.6</v>
      </c>
      <c r="Z22" s="52">
        <v>771.6</v>
      </c>
      <c r="AA22" s="52">
        <v>771.6</v>
      </c>
      <c r="AB22" s="52">
        <v>771.6</v>
      </c>
      <c r="AC22" s="52">
        <v>771.6</v>
      </c>
      <c r="AD22" s="52">
        <v>771.6</v>
      </c>
      <c r="AE22" s="52">
        <v>771.6</v>
      </c>
      <c r="AF22" s="52">
        <v>771.6</v>
      </c>
      <c r="AG22" s="52">
        <v>771.6</v>
      </c>
      <c r="AH22" s="52">
        <v>771.6</v>
      </c>
      <c r="AI22" s="52">
        <v>771.6</v>
      </c>
      <c r="AJ22" s="52">
        <v>771.6</v>
      </c>
      <c r="AK22" s="52">
        <v>771.6</v>
      </c>
      <c r="AL22" s="52">
        <v>771.6</v>
      </c>
      <c r="AM22" s="52">
        <v>771.6</v>
      </c>
      <c r="AN22" s="52">
        <v>771.6</v>
      </c>
      <c r="AO22" s="52">
        <v>771.6</v>
      </c>
      <c r="AP22" s="52">
        <v>771.6</v>
      </c>
      <c r="AQ22" s="52">
        <v>771.6</v>
      </c>
      <c r="AR22" s="52">
        <v>771.6</v>
      </c>
      <c r="AS22" s="52">
        <v>771.6</v>
      </c>
      <c r="AT22" s="52">
        <v>771.6</v>
      </c>
      <c r="AU22" s="52">
        <v>771.6</v>
      </c>
      <c r="AV22" s="52">
        <v>771.6</v>
      </c>
      <c r="AW22" s="52">
        <v>771.6</v>
      </c>
      <c r="AX22" s="52">
        <v>771.6</v>
      </c>
      <c r="AY22" s="52">
        <v>771.6</v>
      </c>
      <c r="AZ22" s="52">
        <v>771.6</v>
      </c>
      <c r="BA22" s="52">
        <v>771.6</v>
      </c>
      <c r="BB22" s="52">
        <v>771.6</v>
      </c>
      <c r="BC22" s="52">
        <v>771.6</v>
      </c>
      <c r="BD22" s="52">
        <v>771.6</v>
      </c>
      <c r="BE22" s="52">
        <v>771.6</v>
      </c>
      <c r="BF22" s="52">
        <v>771.6</v>
      </c>
      <c r="BG22" s="52">
        <v>771.6</v>
      </c>
      <c r="BH22" s="52">
        <v>771.6</v>
      </c>
      <c r="BI22" s="52">
        <v>771.6</v>
      </c>
      <c r="BJ22" s="52">
        <v>771.6</v>
      </c>
      <c r="BK22" s="52">
        <v>771.6</v>
      </c>
      <c r="BL22" s="52">
        <v>771.6</v>
      </c>
      <c r="BM22" s="52">
        <v>771.6</v>
      </c>
      <c r="BN22" s="52">
        <v>771.6</v>
      </c>
      <c r="BO22" s="52">
        <v>771.6</v>
      </c>
      <c r="BP22" s="52">
        <v>771.6</v>
      </c>
      <c r="BQ22" s="52">
        <v>771.6</v>
      </c>
      <c r="BR22" s="52">
        <v>771.6</v>
      </c>
      <c r="BS22" s="52">
        <v>771.6</v>
      </c>
      <c r="BT22" s="52">
        <v>771.6</v>
      </c>
      <c r="BU22" s="52">
        <v>771.6</v>
      </c>
      <c r="BV22" s="52">
        <v>771.6</v>
      </c>
      <c r="BW22" s="52">
        <v>771.6</v>
      </c>
    </row>
    <row r="23" spans="1:75" x14ac:dyDescent="0.3">
      <c r="A23" s="7" t="s">
        <v>89</v>
      </c>
      <c r="B23" s="7" t="s">
        <v>9</v>
      </c>
      <c r="C23" s="7" t="s">
        <v>150</v>
      </c>
      <c r="D23" s="52">
        <v>235.19999999999996</v>
      </c>
      <c r="E23" s="52">
        <v>235.19999999999996</v>
      </c>
      <c r="F23" s="52">
        <v>235.19999999999996</v>
      </c>
      <c r="G23" s="52">
        <v>235.19999999999996</v>
      </c>
      <c r="H23" s="52">
        <v>235.19999999999996</v>
      </c>
      <c r="I23" s="52">
        <v>235.19999999999996</v>
      </c>
      <c r="J23" s="52">
        <v>235.19999999999996</v>
      </c>
      <c r="K23" s="52">
        <v>235.19999999999996</v>
      </c>
      <c r="L23" s="52">
        <v>235.19999999999996</v>
      </c>
      <c r="M23" s="52">
        <v>235.19999999999996</v>
      </c>
      <c r="N23" s="52">
        <v>235.19999999999996</v>
      </c>
      <c r="O23" s="52">
        <v>235.19999999999996</v>
      </c>
      <c r="P23" s="52">
        <v>235.19999999999996</v>
      </c>
      <c r="Q23" s="52">
        <v>235.19999999999996</v>
      </c>
      <c r="R23" s="52">
        <v>235.19999999999996</v>
      </c>
      <c r="S23" s="52">
        <v>0</v>
      </c>
      <c r="T23" s="52">
        <v>0</v>
      </c>
      <c r="U23" s="52">
        <v>0</v>
      </c>
      <c r="V23" s="52">
        <v>235.19999999999987</v>
      </c>
      <c r="W23" s="52">
        <v>235.19999999999987</v>
      </c>
      <c r="X23" s="52">
        <v>235.19999999999987</v>
      </c>
      <c r="Y23" s="52">
        <v>0</v>
      </c>
      <c r="Z23" s="52">
        <v>0</v>
      </c>
      <c r="AA23" s="52">
        <v>0</v>
      </c>
      <c r="AB23" s="52">
        <v>235.19999999999996</v>
      </c>
      <c r="AC23" s="52">
        <v>235.19999999999996</v>
      </c>
      <c r="AD23" s="52">
        <v>235.19999999999996</v>
      </c>
      <c r="AE23" s="52">
        <v>235.19999999999996</v>
      </c>
      <c r="AF23" s="52">
        <v>235.19999999999996</v>
      </c>
      <c r="AG23" s="52">
        <v>235.19999999999996</v>
      </c>
      <c r="AH23" s="52">
        <v>235.19999999999996</v>
      </c>
      <c r="AI23" s="52">
        <v>235.19999999999996</v>
      </c>
      <c r="AJ23" s="52">
        <v>235.19999999999996</v>
      </c>
      <c r="AK23" s="52">
        <v>235.19999999999996</v>
      </c>
      <c r="AL23" s="52">
        <v>235.19999999999996</v>
      </c>
      <c r="AM23" s="52">
        <v>235.19999999999996</v>
      </c>
      <c r="AN23" s="52">
        <v>235.19999999999996</v>
      </c>
      <c r="AO23" s="52">
        <v>235.19999999999996</v>
      </c>
      <c r="AP23" s="52">
        <v>235.19999999999996</v>
      </c>
      <c r="AQ23" s="52">
        <v>0</v>
      </c>
      <c r="AR23" s="52">
        <v>0</v>
      </c>
      <c r="AS23" s="52">
        <v>0</v>
      </c>
      <c r="AT23" s="52">
        <v>235.1999999999999</v>
      </c>
      <c r="AU23" s="52">
        <v>235.1999999999999</v>
      </c>
      <c r="AV23" s="52">
        <v>235.1999999999999</v>
      </c>
      <c r="AW23" s="52">
        <v>0</v>
      </c>
      <c r="AX23" s="52">
        <v>0</v>
      </c>
      <c r="AY23" s="52">
        <v>0</v>
      </c>
      <c r="AZ23" s="52">
        <v>0</v>
      </c>
      <c r="BA23" s="52">
        <v>0</v>
      </c>
      <c r="BB23" s="52">
        <v>0</v>
      </c>
      <c r="BC23" s="52">
        <v>0</v>
      </c>
      <c r="BD23" s="52">
        <v>0</v>
      </c>
      <c r="BE23" s="52">
        <v>0</v>
      </c>
      <c r="BF23" s="52">
        <v>0</v>
      </c>
      <c r="BG23" s="52">
        <v>0</v>
      </c>
      <c r="BH23" s="52">
        <v>0</v>
      </c>
      <c r="BI23" s="52">
        <v>0</v>
      </c>
      <c r="BJ23" s="52">
        <v>0</v>
      </c>
      <c r="BK23" s="52">
        <v>0</v>
      </c>
      <c r="BL23" s="52">
        <v>235.19999999999996</v>
      </c>
      <c r="BM23" s="52">
        <v>235.19999999999996</v>
      </c>
      <c r="BN23" s="52">
        <v>235.19999999999996</v>
      </c>
      <c r="BO23" s="52">
        <v>235.19999999999996</v>
      </c>
      <c r="BP23" s="52">
        <v>235.19999999999996</v>
      </c>
      <c r="BQ23" s="52">
        <v>235.19999999999996</v>
      </c>
      <c r="BR23" s="52">
        <v>235.19999999999996</v>
      </c>
      <c r="BS23" s="52">
        <v>235.19999999999996</v>
      </c>
      <c r="BT23" s="52">
        <v>235.19999999999996</v>
      </c>
      <c r="BU23" s="52">
        <v>235.19999999999996</v>
      </c>
      <c r="BV23" s="52">
        <v>235.19999999999996</v>
      </c>
      <c r="BW23" s="52">
        <v>235.19999999999996</v>
      </c>
    </row>
    <row r="24" spans="1:75" x14ac:dyDescent="0.3">
      <c r="A24" s="7" t="s">
        <v>89</v>
      </c>
      <c r="B24" s="7" t="s">
        <v>9</v>
      </c>
      <c r="C24" s="7" t="s">
        <v>61</v>
      </c>
      <c r="D24" s="52">
        <v>203.1</v>
      </c>
      <c r="E24" s="52">
        <v>133.14977024792987</v>
      </c>
      <c r="F24" s="52">
        <v>81.239999999999995</v>
      </c>
      <c r="G24" s="52">
        <v>0</v>
      </c>
      <c r="H24" s="52">
        <v>0</v>
      </c>
      <c r="I24" s="52">
        <v>0</v>
      </c>
      <c r="J24" s="52">
        <v>0</v>
      </c>
      <c r="K24" s="52">
        <v>0</v>
      </c>
      <c r="L24" s="52">
        <v>0</v>
      </c>
      <c r="M24" s="52">
        <v>0</v>
      </c>
      <c r="N24" s="52">
        <v>0</v>
      </c>
      <c r="O24" s="52">
        <v>0</v>
      </c>
      <c r="P24" s="52">
        <v>0</v>
      </c>
      <c r="Q24" s="52">
        <v>0</v>
      </c>
      <c r="R24" s="52">
        <v>0</v>
      </c>
      <c r="S24" s="52">
        <v>0</v>
      </c>
      <c r="T24" s="52">
        <v>0</v>
      </c>
      <c r="U24" s="52">
        <v>0</v>
      </c>
      <c r="V24" s="52">
        <v>0</v>
      </c>
      <c r="W24" s="52">
        <v>0</v>
      </c>
      <c r="X24" s="52">
        <v>0</v>
      </c>
      <c r="Y24" s="52">
        <v>0</v>
      </c>
      <c r="Z24" s="52">
        <v>0</v>
      </c>
      <c r="AA24" s="52">
        <v>0</v>
      </c>
      <c r="AB24" s="52">
        <v>0</v>
      </c>
      <c r="AC24" s="52">
        <v>0</v>
      </c>
      <c r="AD24" s="52">
        <v>0</v>
      </c>
      <c r="AE24" s="52">
        <v>0</v>
      </c>
      <c r="AF24" s="52">
        <v>0</v>
      </c>
      <c r="AG24" s="52">
        <v>0</v>
      </c>
      <c r="AH24" s="52">
        <v>0</v>
      </c>
      <c r="AI24" s="52">
        <v>0</v>
      </c>
      <c r="AJ24" s="52">
        <v>0</v>
      </c>
      <c r="AK24" s="52">
        <v>0</v>
      </c>
      <c r="AL24" s="52">
        <v>0</v>
      </c>
      <c r="AM24" s="52">
        <v>0</v>
      </c>
      <c r="AN24" s="52">
        <v>0</v>
      </c>
      <c r="AO24" s="52">
        <v>0</v>
      </c>
      <c r="AP24" s="52">
        <v>0</v>
      </c>
      <c r="AQ24" s="52">
        <v>0</v>
      </c>
      <c r="AR24" s="52">
        <v>0</v>
      </c>
      <c r="AS24" s="52">
        <v>0</v>
      </c>
      <c r="AT24" s="52">
        <v>0</v>
      </c>
      <c r="AU24" s="52">
        <v>0</v>
      </c>
      <c r="AV24" s="52">
        <v>0</v>
      </c>
      <c r="AW24" s="52">
        <v>0</v>
      </c>
      <c r="AX24" s="52">
        <v>0</v>
      </c>
      <c r="AY24" s="52">
        <v>0</v>
      </c>
      <c r="AZ24" s="52">
        <v>0</v>
      </c>
      <c r="BA24" s="52">
        <v>0</v>
      </c>
      <c r="BB24" s="52">
        <v>0</v>
      </c>
      <c r="BC24" s="52">
        <v>0</v>
      </c>
      <c r="BD24" s="52">
        <v>0</v>
      </c>
      <c r="BE24" s="52">
        <v>0</v>
      </c>
      <c r="BF24" s="52">
        <v>145.00000000000017</v>
      </c>
      <c r="BG24" s="52">
        <v>81.239999999999824</v>
      </c>
      <c r="BH24" s="52">
        <v>81.239999999999824</v>
      </c>
      <c r="BI24" s="52">
        <v>0</v>
      </c>
      <c r="BJ24" s="52">
        <v>0</v>
      </c>
      <c r="BK24" s="52">
        <v>0</v>
      </c>
      <c r="BL24" s="52">
        <v>203.1</v>
      </c>
      <c r="BM24" s="52">
        <v>203.1</v>
      </c>
      <c r="BN24" s="52">
        <v>81.239999999999995</v>
      </c>
      <c r="BO24" s="52">
        <v>0</v>
      </c>
      <c r="BP24" s="52">
        <v>0</v>
      </c>
      <c r="BQ24" s="52">
        <v>0</v>
      </c>
      <c r="BR24" s="52">
        <v>203.1</v>
      </c>
      <c r="BS24" s="52">
        <v>203.1</v>
      </c>
      <c r="BT24" s="52">
        <v>81.239999999999995</v>
      </c>
      <c r="BU24" s="52">
        <v>0</v>
      </c>
      <c r="BV24" s="52">
        <v>0</v>
      </c>
      <c r="BW24" s="52">
        <v>0</v>
      </c>
    </row>
    <row r="25" spans="1:75" x14ac:dyDescent="0.3">
      <c r="A25" s="7" t="s">
        <v>89</v>
      </c>
      <c r="B25" s="7" t="s">
        <v>9</v>
      </c>
      <c r="C25" s="7" t="s">
        <v>152</v>
      </c>
      <c r="D25" s="52">
        <v>0</v>
      </c>
      <c r="E25" s="52">
        <v>0</v>
      </c>
      <c r="F25" s="52">
        <v>0</v>
      </c>
      <c r="G25" s="52">
        <v>0</v>
      </c>
      <c r="H25" s="52">
        <v>0</v>
      </c>
      <c r="I25" s="52">
        <v>0</v>
      </c>
      <c r="J25" s="52">
        <v>0</v>
      </c>
      <c r="K25" s="52">
        <v>0</v>
      </c>
      <c r="L25" s="52">
        <v>0</v>
      </c>
      <c r="M25" s="52">
        <v>0</v>
      </c>
      <c r="N25" s="52">
        <v>0</v>
      </c>
      <c r="O25" s="52">
        <v>0</v>
      </c>
      <c r="P25" s="52">
        <v>0</v>
      </c>
      <c r="Q25" s="52">
        <v>0</v>
      </c>
      <c r="R25" s="52">
        <v>0</v>
      </c>
      <c r="S25" s="52">
        <v>0</v>
      </c>
      <c r="T25" s="52">
        <v>0</v>
      </c>
      <c r="U25" s="52">
        <v>0</v>
      </c>
      <c r="V25" s="52">
        <v>0</v>
      </c>
      <c r="W25" s="52">
        <v>0</v>
      </c>
      <c r="X25" s="52">
        <v>0</v>
      </c>
      <c r="Y25" s="52">
        <v>0</v>
      </c>
      <c r="Z25" s="52">
        <v>0</v>
      </c>
      <c r="AA25" s="52">
        <v>0</v>
      </c>
      <c r="AB25" s="52">
        <v>0</v>
      </c>
      <c r="AC25" s="52">
        <v>0</v>
      </c>
      <c r="AD25" s="52">
        <v>0</v>
      </c>
      <c r="AE25" s="52">
        <v>0</v>
      </c>
      <c r="AF25" s="52">
        <v>0</v>
      </c>
      <c r="AG25" s="52">
        <v>0</v>
      </c>
      <c r="AH25" s="52">
        <v>0</v>
      </c>
      <c r="AI25" s="52">
        <v>0</v>
      </c>
      <c r="AJ25" s="52">
        <v>0</v>
      </c>
      <c r="AK25" s="52">
        <v>0</v>
      </c>
      <c r="AL25" s="52">
        <v>0</v>
      </c>
      <c r="AM25" s="52">
        <v>0</v>
      </c>
      <c r="AN25" s="52">
        <v>0</v>
      </c>
      <c r="AO25" s="52">
        <v>0</v>
      </c>
      <c r="AP25" s="52">
        <v>0</v>
      </c>
      <c r="AQ25" s="52">
        <v>0</v>
      </c>
      <c r="AR25" s="52">
        <v>0</v>
      </c>
      <c r="AS25" s="52">
        <v>0</v>
      </c>
      <c r="AT25" s="52">
        <v>0</v>
      </c>
      <c r="AU25" s="52">
        <v>0</v>
      </c>
      <c r="AV25" s="52">
        <v>0</v>
      </c>
      <c r="AW25" s="52">
        <v>0</v>
      </c>
      <c r="AX25" s="52">
        <v>0</v>
      </c>
      <c r="AY25" s="52">
        <v>0</v>
      </c>
      <c r="AZ25" s="52">
        <v>0</v>
      </c>
      <c r="BA25" s="52">
        <v>0</v>
      </c>
      <c r="BB25" s="52">
        <v>0</v>
      </c>
      <c r="BC25" s="52">
        <v>0</v>
      </c>
      <c r="BD25" s="52">
        <v>0</v>
      </c>
      <c r="BE25" s="52">
        <v>0</v>
      </c>
      <c r="BF25" s="52">
        <v>0</v>
      </c>
      <c r="BG25" s="52">
        <v>0</v>
      </c>
      <c r="BH25" s="52">
        <v>0</v>
      </c>
      <c r="BI25" s="52">
        <v>0</v>
      </c>
      <c r="BJ25" s="52">
        <v>0</v>
      </c>
      <c r="BK25" s="52">
        <v>0</v>
      </c>
      <c r="BL25" s="52">
        <v>0</v>
      </c>
      <c r="BM25" s="52">
        <v>0</v>
      </c>
      <c r="BN25" s="52">
        <v>0</v>
      </c>
      <c r="BO25" s="52">
        <v>0</v>
      </c>
      <c r="BP25" s="52">
        <v>0</v>
      </c>
      <c r="BQ25" s="52">
        <v>0</v>
      </c>
      <c r="BR25" s="52">
        <v>90.399999999999707</v>
      </c>
      <c r="BS25" s="52">
        <v>83.500000000000156</v>
      </c>
      <c r="BT25" s="52">
        <v>60.159999999999989</v>
      </c>
      <c r="BU25" s="52">
        <v>0</v>
      </c>
      <c r="BV25" s="52">
        <v>0</v>
      </c>
      <c r="BW25" s="52">
        <v>0</v>
      </c>
    </row>
    <row r="26" spans="1:75" x14ac:dyDescent="0.3">
      <c r="A26" s="8" t="s">
        <v>89</v>
      </c>
      <c r="B26" s="8" t="s">
        <v>9</v>
      </c>
      <c r="C26" s="8" t="s">
        <v>151</v>
      </c>
      <c r="D26" s="52">
        <v>194.4</v>
      </c>
      <c r="E26" s="52">
        <v>194.4</v>
      </c>
      <c r="F26" s="52">
        <v>77.760000000000005</v>
      </c>
      <c r="G26" s="52">
        <v>194.4</v>
      </c>
      <c r="H26" s="52">
        <v>165.60000000000053</v>
      </c>
      <c r="I26" s="52">
        <v>77.759999999999891</v>
      </c>
      <c r="J26" s="52">
        <v>194.4</v>
      </c>
      <c r="K26" s="52">
        <v>194.4</v>
      </c>
      <c r="L26" s="52">
        <v>77.759999999999962</v>
      </c>
      <c r="M26" s="52">
        <v>194.4</v>
      </c>
      <c r="N26" s="52">
        <v>163.70000000000039</v>
      </c>
      <c r="O26" s="52">
        <v>77.760000000000005</v>
      </c>
      <c r="P26" s="52">
        <v>0</v>
      </c>
      <c r="Q26" s="52">
        <v>0</v>
      </c>
      <c r="R26" s="52">
        <v>0</v>
      </c>
      <c r="S26" s="52">
        <v>0</v>
      </c>
      <c r="T26" s="52">
        <v>0</v>
      </c>
      <c r="U26" s="52">
        <v>0</v>
      </c>
      <c r="V26" s="52">
        <v>194.4</v>
      </c>
      <c r="W26" s="52">
        <v>194.4</v>
      </c>
      <c r="X26" s="52">
        <v>77.760000000000005</v>
      </c>
      <c r="Y26" s="52">
        <v>194.4</v>
      </c>
      <c r="Z26" s="52">
        <v>77.760000000000005</v>
      </c>
      <c r="AA26" s="52">
        <v>77.760000000000005</v>
      </c>
      <c r="AB26" s="52">
        <v>137.39999999999969</v>
      </c>
      <c r="AC26" s="52">
        <v>174.8000000000003</v>
      </c>
      <c r="AD26" s="52">
        <v>77.760000000000005</v>
      </c>
      <c r="AE26" s="52">
        <v>0</v>
      </c>
      <c r="AF26" s="52">
        <v>0</v>
      </c>
      <c r="AG26" s="52">
        <v>0</v>
      </c>
      <c r="AH26" s="52">
        <v>194.4</v>
      </c>
      <c r="AI26" s="52">
        <v>194.4</v>
      </c>
      <c r="AJ26" s="52">
        <v>77.760000000000005</v>
      </c>
      <c r="AK26" s="52">
        <v>0</v>
      </c>
      <c r="AL26" s="52">
        <v>0</v>
      </c>
      <c r="AM26" s="52">
        <v>0</v>
      </c>
      <c r="AN26" s="52">
        <v>194.4</v>
      </c>
      <c r="AO26" s="52">
        <v>194.4</v>
      </c>
      <c r="AP26" s="52">
        <v>77.760000000000005</v>
      </c>
      <c r="AQ26" s="52">
        <v>0</v>
      </c>
      <c r="AR26" s="52">
        <v>0</v>
      </c>
      <c r="AS26" s="52">
        <v>0</v>
      </c>
      <c r="AT26" s="52">
        <v>194.4</v>
      </c>
      <c r="AU26" s="52">
        <v>194.4</v>
      </c>
      <c r="AV26" s="52">
        <v>77.760000000000005</v>
      </c>
      <c r="AW26" s="52">
        <v>194.4</v>
      </c>
      <c r="AX26" s="52">
        <v>194.4</v>
      </c>
      <c r="AY26" s="52">
        <v>77.760000000000005</v>
      </c>
      <c r="AZ26" s="52">
        <v>194.4</v>
      </c>
      <c r="BA26" s="52">
        <v>194.4</v>
      </c>
      <c r="BB26" s="52">
        <v>77.759999999999991</v>
      </c>
      <c r="BC26" s="52">
        <v>194.4</v>
      </c>
      <c r="BD26" s="52">
        <v>128.97692307692344</v>
      </c>
      <c r="BE26" s="52">
        <v>77.759999999999991</v>
      </c>
      <c r="BF26" s="52">
        <v>194.4</v>
      </c>
      <c r="BG26" s="52">
        <v>186.7600000000003</v>
      </c>
      <c r="BH26" s="52">
        <v>77.760000000000005</v>
      </c>
      <c r="BI26" s="52">
        <v>194.4</v>
      </c>
      <c r="BJ26" s="52">
        <v>77.759999999999991</v>
      </c>
      <c r="BK26" s="52">
        <v>77.759999999999991</v>
      </c>
      <c r="BL26" s="52">
        <v>0</v>
      </c>
      <c r="BM26" s="52">
        <v>0</v>
      </c>
      <c r="BN26" s="52">
        <v>0</v>
      </c>
      <c r="BO26" s="52">
        <v>0</v>
      </c>
      <c r="BP26" s="52">
        <v>0</v>
      </c>
      <c r="BQ26" s="52">
        <v>0</v>
      </c>
      <c r="BR26" s="52">
        <v>194.4</v>
      </c>
      <c r="BS26" s="52">
        <v>194.4</v>
      </c>
      <c r="BT26" s="52">
        <v>77.759999999999224</v>
      </c>
      <c r="BU26" s="52">
        <v>194.4</v>
      </c>
      <c r="BV26" s="52">
        <v>186.39999999999978</v>
      </c>
      <c r="BW26" s="52">
        <v>77.759999999999977</v>
      </c>
    </row>
    <row r="27" spans="1:75" x14ac:dyDescent="0.3">
      <c r="A27" s="8" t="s">
        <v>89</v>
      </c>
      <c r="B27" s="8" t="s">
        <v>9</v>
      </c>
      <c r="C27" s="8" t="s">
        <v>62</v>
      </c>
      <c r="D27" s="52">
        <v>500</v>
      </c>
      <c r="E27" s="52">
        <v>500</v>
      </c>
      <c r="F27" s="52">
        <v>500</v>
      </c>
      <c r="G27" s="52">
        <v>500</v>
      </c>
      <c r="H27" s="52">
        <v>500</v>
      </c>
      <c r="I27" s="52">
        <v>500</v>
      </c>
      <c r="J27" s="52">
        <v>500</v>
      </c>
      <c r="K27" s="52">
        <v>500</v>
      </c>
      <c r="L27" s="52">
        <v>500</v>
      </c>
      <c r="M27" s="52">
        <v>500</v>
      </c>
      <c r="N27" s="52">
        <v>500</v>
      </c>
      <c r="O27" s="52">
        <v>500</v>
      </c>
      <c r="P27" s="52">
        <v>500</v>
      </c>
      <c r="Q27" s="52">
        <v>500</v>
      </c>
      <c r="R27" s="52">
        <v>500</v>
      </c>
      <c r="S27" s="52">
        <v>500</v>
      </c>
      <c r="T27" s="52">
        <v>500</v>
      </c>
      <c r="U27" s="52">
        <v>500</v>
      </c>
      <c r="V27" s="52">
        <v>500</v>
      </c>
      <c r="W27" s="52">
        <v>500</v>
      </c>
      <c r="X27" s="52">
        <v>500</v>
      </c>
      <c r="Y27" s="52">
        <v>500</v>
      </c>
      <c r="Z27" s="52">
        <v>500</v>
      </c>
      <c r="AA27" s="52">
        <v>500</v>
      </c>
      <c r="AB27" s="52">
        <v>500</v>
      </c>
      <c r="AC27" s="52">
        <v>500</v>
      </c>
      <c r="AD27" s="52">
        <v>500</v>
      </c>
      <c r="AE27" s="52">
        <v>500</v>
      </c>
      <c r="AF27" s="52">
        <v>500</v>
      </c>
      <c r="AG27" s="52">
        <v>500</v>
      </c>
      <c r="AH27" s="52">
        <v>500</v>
      </c>
      <c r="AI27" s="52">
        <v>500</v>
      </c>
      <c r="AJ27" s="52">
        <v>500</v>
      </c>
      <c r="AK27" s="52">
        <v>500</v>
      </c>
      <c r="AL27" s="52">
        <v>500</v>
      </c>
      <c r="AM27" s="52">
        <v>500</v>
      </c>
      <c r="AN27" s="52">
        <v>500</v>
      </c>
      <c r="AO27" s="52">
        <v>500</v>
      </c>
      <c r="AP27" s="52">
        <v>500</v>
      </c>
      <c r="AQ27" s="52">
        <v>500</v>
      </c>
      <c r="AR27" s="52">
        <v>500</v>
      </c>
      <c r="AS27" s="52">
        <v>500</v>
      </c>
      <c r="AT27" s="52">
        <v>500</v>
      </c>
      <c r="AU27" s="52">
        <v>500</v>
      </c>
      <c r="AV27" s="52">
        <v>500</v>
      </c>
      <c r="AW27" s="52">
        <v>500</v>
      </c>
      <c r="AX27" s="52">
        <v>500</v>
      </c>
      <c r="AY27" s="52">
        <v>500</v>
      </c>
      <c r="AZ27" s="52">
        <v>500</v>
      </c>
      <c r="BA27" s="52">
        <v>500</v>
      </c>
      <c r="BB27" s="52">
        <v>500</v>
      </c>
      <c r="BC27" s="52">
        <v>500</v>
      </c>
      <c r="BD27" s="52">
        <v>500</v>
      </c>
      <c r="BE27" s="52">
        <v>500</v>
      </c>
      <c r="BF27" s="52">
        <v>500</v>
      </c>
      <c r="BG27" s="52">
        <v>500</v>
      </c>
      <c r="BH27" s="52">
        <v>500</v>
      </c>
      <c r="BI27" s="52">
        <v>500</v>
      </c>
      <c r="BJ27" s="52">
        <v>500</v>
      </c>
      <c r="BK27" s="52">
        <v>500</v>
      </c>
      <c r="BL27" s="52">
        <v>500</v>
      </c>
      <c r="BM27" s="52">
        <v>500</v>
      </c>
      <c r="BN27" s="52">
        <v>500</v>
      </c>
      <c r="BO27" s="52">
        <v>500</v>
      </c>
      <c r="BP27" s="52">
        <v>500</v>
      </c>
      <c r="BQ27" s="52">
        <v>500</v>
      </c>
      <c r="BR27" s="52">
        <v>500</v>
      </c>
      <c r="BS27" s="52">
        <v>500</v>
      </c>
      <c r="BT27" s="52">
        <v>500</v>
      </c>
      <c r="BU27" s="52">
        <v>500</v>
      </c>
      <c r="BV27" s="52">
        <v>500</v>
      </c>
      <c r="BW27" s="52">
        <v>500</v>
      </c>
    </row>
    <row r="28" spans="1:75" x14ac:dyDescent="0.3">
      <c r="A28" s="8" t="s">
        <v>89</v>
      </c>
      <c r="B28" s="8" t="s">
        <v>9</v>
      </c>
      <c r="C28" s="8" t="s">
        <v>63</v>
      </c>
      <c r="D28" s="52">
        <v>500</v>
      </c>
      <c r="E28" s="52">
        <v>500</v>
      </c>
      <c r="F28" s="52">
        <v>204.40272727272739</v>
      </c>
      <c r="G28" s="52">
        <v>500</v>
      </c>
      <c r="H28" s="52">
        <v>500</v>
      </c>
      <c r="I28" s="52">
        <v>99.999999999999474</v>
      </c>
      <c r="J28" s="52">
        <v>500</v>
      </c>
      <c r="K28" s="52">
        <v>500</v>
      </c>
      <c r="L28" s="52">
        <v>183.63999999999979</v>
      </c>
      <c r="M28" s="52">
        <v>500</v>
      </c>
      <c r="N28" s="52">
        <v>500</v>
      </c>
      <c r="O28" s="52">
        <v>180.73999999999927</v>
      </c>
      <c r="P28" s="52">
        <v>500</v>
      </c>
      <c r="Q28" s="52">
        <v>500</v>
      </c>
      <c r="R28" s="52">
        <v>330.57378640776722</v>
      </c>
      <c r="S28" s="52">
        <v>500</v>
      </c>
      <c r="T28" s="52">
        <v>500</v>
      </c>
      <c r="U28" s="52">
        <v>330.57378640776722</v>
      </c>
      <c r="V28" s="52">
        <v>500</v>
      </c>
      <c r="W28" s="52">
        <v>500</v>
      </c>
      <c r="X28" s="52">
        <v>183.15989528795797</v>
      </c>
      <c r="Y28" s="52">
        <v>500</v>
      </c>
      <c r="Z28" s="52">
        <v>483.64000000000038</v>
      </c>
      <c r="AA28" s="52">
        <v>183.15989528795797</v>
      </c>
      <c r="AB28" s="52">
        <v>500</v>
      </c>
      <c r="AC28" s="52">
        <v>500</v>
      </c>
      <c r="AD28" s="52">
        <v>139.34000000000003</v>
      </c>
      <c r="AE28" s="52">
        <v>0</v>
      </c>
      <c r="AF28" s="52">
        <v>0</v>
      </c>
      <c r="AG28" s="52">
        <v>0</v>
      </c>
      <c r="AH28" s="52">
        <v>500</v>
      </c>
      <c r="AI28" s="52">
        <v>500</v>
      </c>
      <c r="AJ28" s="52">
        <v>186.44000000000034</v>
      </c>
      <c r="AK28" s="52">
        <v>0</v>
      </c>
      <c r="AL28" s="52">
        <v>0</v>
      </c>
      <c r="AM28" s="52">
        <v>0</v>
      </c>
      <c r="AN28" s="52">
        <v>500</v>
      </c>
      <c r="AO28" s="52">
        <v>500</v>
      </c>
      <c r="AP28" s="52">
        <v>360.20000000000027</v>
      </c>
      <c r="AQ28" s="52">
        <v>500</v>
      </c>
      <c r="AR28" s="52">
        <v>500</v>
      </c>
      <c r="AS28" s="52">
        <v>360.20000000000027</v>
      </c>
      <c r="AT28" s="52">
        <v>500</v>
      </c>
      <c r="AU28" s="52">
        <v>500</v>
      </c>
      <c r="AV28" s="52">
        <v>231.13999999999993</v>
      </c>
      <c r="AW28" s="52">
        <v>500</v>
      </c>
      <c r="AX28" s="52">
        <v>500</v>
      </c>
      <c r="AY28" s="52">
        <v>231.13999999999993</v>
      </c>
      <c r="AZ28" s="52">
        <v>500</v>
      </c>
      <c r="BA28" s="52">
        <v>500</v>
      </c>
      <c r="BB28" s="52">
        <v>480.44</v>
      </c>
      <c r="BC28" s="52">
        <v>500</v>
      </c>
      <c r="BD28" s="52">
        <v>500</v>
      </c>
      <c r="BE28" s="52">
        <v>271.34000000000009</v>
      </c>
      <c r="BF28" s="52">
        <v>500</v>
      </c>
      <c r="BG28" s="52">
        <v>500</v>
      </c>
      <c r="BH28" s="52">
        <v>196.84867256637125</v>
      </c>
      <c r="BI28" s="52">
        <v>500</v>
      </c>
      <c r="BJ28" s="52">
        <v>477.13999999999959</v>
      </c>
      <c r="BK28" s="52">
        <v>176.28867256637128</v>
      </c>
      <c r="BL28" s="52">
        <v>500</v>
      </c>
      <c r="BM28" s="52">
        <v>500</v>
      </c>
      <c r="BN28" s="52">
        <v>186.62383561643816</v>
      </c>
      <c r="BO28" s="52">
        <v>500</v>
      </c>
      <c r="BP28" s="52">
        <v>500</v>
      </c>
      <c r="BQ28" s="52">
        <v>186.62383561643816</v>
      </c>
      <c r="BR28" s="52">
        <v>500</v>
      </c>
      <c r="BS28" s="52">
        <v>500</v>
      </c>
      <c r="BT28" s="52">
        <v>186.70784313725679</v>
      </c>
      <c r="BU28" s="52">
        <v>500</v>
      </c>
      <c r="BV28" s="52">
        <v>500</v>
      </c>
      <c r="BW28" s="52">
        <v>100</v>
      </c>
    </row>
    <row r="29" spans="1:75" x14ac:dyDescent="0.3">
      <c r="A29" s="8" t="s">
        <v>89</v>
      </c>
      <c r="B29" s="8" t="s">
        <v>9</v>
      </c>
      <c r="C29" s="8" t="s">
        <v>64</v>
      </c>
      <c r="D29" s="52">
        <v>500</v>
      </c>
      <c r="E29" s="52">
        <v>500</v>
      </c>
      <c r="F29" s="52">
        <v>100</v>
      </c>
      <c r="G29" s="52">
        <v>0</v>
      </c>
      <c r="H29" s="52">
        <v>0</v>
      </c>
      <c r="I29" s="52">
        <v>0</v>
      </c>
      <c r="J29" s="52">
        <v>500</v>
      </c>
      <c r="K29" s="52">
        <v>500</v>
      </c>
      <c r="L29" s="52">
        <v>100</v>
      </c>
      <c r="M29" s="52">
        <v>0</v>
      </c>
      <c r="N29" s="52">
        <v>0</v>
      </c>
      <c r="O29" s="52">
        <v>0</v>
      </c>
      <c r="P29" s="52">
        <v>404.29999999999978</v>
      </c>
      <c r="Q29" s="52">
        <v>426.19999999999862</v>
      </c>
      <c r="R29" s="52">
        <v>100</v>
      </c>
      <c r="S29" s="52">
        <v>0</v>
      </c>
      <c r="T29" s="52">
        <v>0</v>
      </c>
      <c r="U29" s="52">
        <v>0</v>
      </c>
      <c r="V29" s="52">
        <v>0</v>
      </c>
      <c r="W29" s="52">
        <v>0</v>
      </c>
      <c r="X29" s="52">
        <v>0</v>
      </c>
      <c r="Y29" s="52">
        <v>0</v>
      </c>
      <c r="Z29" s="52">
        <v>0</v>
      </c>
      <c r="AA29" s="52">
        <v>0</v>
      </c>
      <c r="AB29" s="52">
        <v>0</v>
      </c>
      <c r="AC29" s="52">
        <v>0</v>
      </c>
      <c r="AD29" s="52">
        <v>0</v>
      </c>
      <c r="AE29" s="52">
        <v>0</v>
      </c>
      <c r="AF29" s="52">
        <v>0</v>
      </c>
      <c r="AG29" s="52">
        <v>0</v>
      </c>
      <c r="AH29" s="52">
        <v>500</v>
      </c>
      <c r="AI29" s="52">
        <v>500</v>
      </c>
      <c r="AJ29" s="52">
        <v>138.1</v>
      </c>
      <c r="AK29" s="52">
        <v>500</v>
      </c>
      <c r="AL29" s="52">
        <v>500</v>
      </c>
      <c r="AM29" s="52">
        <v>138.1</v>
      </c>
      <c r="AN29" s="52">
        <v>500</v>
      </c>
      <c r="AO29" s="52">
        <v>500</v>
      </c>
      <c r="AP29" s="52">
        <v>100</v>
      </c>
      <c r="AQ29" s="52">
        <v>500</v>
      </c>
      <c r="AR29" s="52">
        <v>458</v>
      </c>
      <c r="AS29" s="52">
        <v>100</v>
      </c>
      <c r="AT29" s="52">
        <v>0</v>
      </c>
      <c r="AU29" s="52">
        <v>0</v>
      </c>
      <c r="AV29" s="52">
        <v>0</v>
      </c>
      <c r="AW29" s="52">
        <v>0</v>
      </c>
      <c r="AX29" s="52">
        <v>0</v>
      </c>
      <c r="AY29" s="52">
        <v>0</v>
      </c>
      <c r="AZ29" s="52">
        <v>500</v>
      </c>
      <c r="BA29" s="52">
        <v>500</v>
      </c>
      <c r="BB29" s="52">
        <v>100</v>
      </c>
      <c r="BC29" s="52">
        <v>0</v>
      </c>
      <c r="BD29" s="52">
        <v>0</v>
      </c>
      <c r="BE29" s="52">
        <v>0</v>
      </c>
      <c r="BF29" s="52">
        <v>500</v>
      </c>
      <c r="BG29" s="52">
        <v>500</v>
      </c>
      <c r="BH29" s="52">
        <v>100</v>
      </c>
      <c r="BI29" s="52">
        <v>0</v>
      </c>
      <c r="BJ29" s="52">
        <v>0</v>
      </c>
      <c r="BK29" s="52">
        <v>0</v>
      </c>
      <c r="BL29" s="52">
        <v>500</v>
      </c>
      <c r="BM29" s="52">
        <v>500</v>
      </c>
      <c r="BN29" s="52">
        <v>100</v>
      </c>
      <c r="BO29" s="52">
        <v>0</v>
      </c>
      <c r="BP29" s="52">
        <v>0</v>
      </c>
      <c r="BQ29" s="52">
        <v>0</v>
      </c>
      <c r="BR29" s="52">
        <v>500</v>
      </c>
      <c r="BS29" s="52">
        <v>500</v>
      </c>
      <c r="BT29" s="52">
        <v>100</v>
      </c>
      <c r="BU29" s="52">
        <v>0</v>
      </c>
      <c r="BV29" s="52">
        <v>0</v>
      </c>
      <c r="BW29" s="52">
        <v>0</v>
      </c>
    </row>
    <row r="30" spans="1:75" x14ac:dyDescent="0.3">
      <c r="A30" s="8" t="s">
        <v>89</v>
      </c>
      <c r="B30" s="8" t="s">
        <v>9</v>
      </c>
      <c r="C30" s="8" t="s">
        <v>65</v>
      </c>
      <c r="D30" s="52">
        <v>667.5</v>
      </c>
      <c r="E30" s="52">
        <v>667.5</v>
      </c>
      <c r="F30" s="52">
        <v>667.5</v>
      </c>
      <c r="G30" s="52">
        <v>667.5</v>
      </c>
      <c r="H30" s="52">
        <v>667.5</v>
      </c>
      <c r="I30" s="52">
        <v>667.5</v>
      </c>
      <c r="J30" s="52">
        <v>667.5</v>
      </c>
      <c r="K30" s="52">
        <v>667.5</v>
      </c>
      <c r="L30" s="52">
        <v>667.5</v>
      </c>
      <c r="M30" s="52">
        <v>667.5</v>
      </c>
      <c r="N30" s="52">
        <v>667.5</v>
      </c>
      <c r="O30" s="52">
        <v>667.5</v>
      </c>
      <c r="P30" s="52">
        <v>667.5</v>
      </c>
      <c r="Q30" s="52">
        <v>667.5</v>
      </c>
      <c r="R30" s="52">
        <v>667.5</v>
      </c>
      <c r="S30" s="52">
        <v>667.5</v>
      </c>
      <c r="T30" s="52">
        <v>667.5</v>
      </c>
      <c r="U30" s="52">
        <v>667.5</v>
      </c>
      <c r="V30" s="52">
        <v>667.5</v>
      </c>
      <c r="W30" s="52">
        <v>667.5</v>
      </c>
      <c r="X30" s="52">
        <v>667.5</v>
      </c>
      <c r="Y30" s="52">
        <v>667.5</v>
      </c>
      <c r="Z30" s="52">
        <v>667.5</v>
      </c>
      <c r="AA30" s="52">
        <v>667.5</v>
      </c>
      <c r="AB30" s="52">
        <v>667.5</v>
      </c>
      <c r="AC30" s="52">
        <v>667.5</v>
      </c>
      <c r="AD30" s="52">
        <v>667.5</v>
      </c>
      <c r="AE30" s="52">
        <v>667.5</v>
      </c>
      <c r="AF30" s="52">
        <v>667.5</v>
      </c>
      <c r="AG30" s="52">
        <v>667.5</v>
      </c>
      <c r="AH30" s="52">
        <v>667.5</v>
      </c>
      <c r="AI30" s="52">
        <v>667.5</v>
      </c>
      <c r="AJ30" s="52">
        <v>667.5</v>
      </c>
      <c r="AK30" s="52">
        <v>667.5</v>
      </c>
      <c r="AL30" s="52">
        <v>667.5</v>
      </c>
      <c r="AM30" s="52">
        <v>667.5</v>
      </c>
      <c r="AN30" s="52">
        <v>667.5</v>
      </c>
      <c r="AO30" s="52">
        <v>667.5</v>
      </c>
      <c r="AP30" s="52">
        <v>667.5</v>
      </c>
      <c r="AQ30" s="52">
        <v>667.5</v>
      </c>
      <c r="AR30" s="52">
        <v>667.5</v>
      </c>
      <c r="AS30" s="52">
        <v>667.5</v>
      </c>
      <c r="AT30" s="52">
        <v>667.5</v>
      </c>
      <c r="AU30" s="52">
        <v>667.5</v>
      </c>
      <c r="AV30" s="52">
        <v>667.5</v>
      </c>
      <c r="AW30" s="52">
        <v>667.5</v>
      </c>
      <c r="AX30" s="52">
        <v>667.5</v>
      </c>
      <c r="AY30" s="52">
        <v>667.5</v>
      </c>
      <c r="AZ30" s="52">
        <v>667.5</v>
      </c>
      <c r="BA30" s="52">
        <v>667.5</v>
      </c>
      <c r="BB30" s="52">
        <v>667.5</v>
      </c>
      <c r="BC30" s="52">
        <v>667.5</v>
      </c>
      <c r="BD30" s="52">
        <v>667.5</v>
      </c>
      <c r="BE30" s="52">
        <v>667.5</v>
      </c>
      <c r="BF30" s="52">
        <v>667.5</v>
      </c>
      <c r="BG30" s="52">
        <v>667.5</v>
      </c>
      <c r="BH30" s="52">
        <v>667.5</v>
      </c>
      <c r="BI30" s="52">
        <v>667.5</v>
      </c>
      <c r="BJ30" s="52">
        <v>667.5</v>
      </c>
      <c r="BK30" s="52">
        <v>667.5</v>
      </c>
      <c r="BL30" s="52">
        <v>667.5</v>
      </c>
      <c r="BM30" s="52">
        <v>667.5</v>
      </c>
      <c r="BN30" s="52">
        <v>667.5</v>
      </c>
      <c r="BO30" s="52">
        <v>667.5</v>
      </c>
      <c r="BP30" s="52">
        <v>667.5</v>
      </c>
      <c r="BQ30" s="52">
        <v>667.5</v>
      </c>
      <c r="BR30" s="52">
        <v>667.5</v>
      </c>
      <c r="BS30" s="52">
        <v>667.5</v>
      </c>
      <c r="BT30" s="52">
        <v>667.5</v>
      </c>
      <c r="BU30" s="52">
        <v>667.5</v>
      </c>
      <c r="BV30" s="52">
        <v>667.5</v>
      </c>
      <c r="BW30" s="52">
        <v>667.5</v>
      </c>
    </row>
    <row r="31" spans="1:75" x14ac:dyDescent="0.3">
      <c r="A31" s="8" t="s">
        <v>89</v>
      </c>
      <c r="B31" s="8" t="s">
        <v>9</v>
      </c>
      <c r="C31" s="8" t="s">
        <v>66</v>
      </c>
      <c r="D31" s="52">
        <v>0</v>
      </c>
      <c r="E31" s="52">
        <v>0</v>
      </c>
      <c r="F31" s="52">
        <v>0</v>
      </c>
      <c r="G31" s="52">
        <v>0</v>
      </c>
      <c r="H31" s="52">
        <v>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0</v>
      </c>
      <c r="O31" s="52">
        <v>0</v>
      </c>
      <c r="P31" s="52">
        <v>0</v>
      </c>
      <c r="Q31" s="52">
        <v>0</v>
      </c>
      <c r="R31" s="52">
        <v>0</v>
      </c>
      <c r="S31" s="52">
        <v>0</v>
      </c>
      <c r="T31" s="52">
        <v>0</v>
      </c>
      <c r="U31" s="52">
        <v>0</v>
      </c>
      <c r="V31" s="52">
        <v>0</v>
      </c>
      <c r="W31" s="52">
        <v>0</v>
      </c>
      <c r="X31" s="52">
        <v>0</v>
      </c>
      <c r="Y31" s="52">
        <v>0</v>
      </c>
      <c r="Z31" s="52">
        <v>0</v>
      </c>
      <c r="AA31" s="52">
        <v>0</v>
      </c>
      <c r="AB31" s="52">
        <v>0</v>
      </c>
      <c r="AC31" s="52">
        <v>0</v>
      </c>
      <c r="AD31" s="52">
        <v>0</v>
      </c>
      <c r="AE31" s="52">
        <v>0</v>
      </c>
      <c r="AF31" s="52">
        <v>0</v>
      </c>
      <c r="AG31" s="52">
        <v>0</v>
      </c>
      <c r="AH31" s="52">
        <v>0</v>
      </c>
      <c r="AI31" s="52">
        <v>0</v>
      </c>
      <c r="AJ31" s="52">
        <v>0</v>
      </c>
      <c r="AK31" s="52">
        <v>0</v>
      </c>
      <c r="AL31" s="52">
        <v>0</v>
      </c>
      <c r="AM31" s="52">
        <v>0</v>
      </c>
      <c r="AN31" s="52">
        <v>0</v>
      </c>
      <c r="AO31" s="52">
        <v>0</v>
      </c>
      <c r="AP31" s="52">
        <v>0</v>
      </c>
      <c r="AQ31" s="52">
        <v>0</v>
      </c>
      <c r="AR31" s="52">
        <v>0</v>
      </c>
      <c r="AS31" s="52">
        <v>0</v>
      </c>
      <c r="AT31" s="52">
        <v>0</v>
      </c>
      <c r="AU31" s="52">
        <v>0</v>
      </c>
      <c r="AV31" s="52">
        <v>0</v>
      </c>
      <c r="AW31" s="52">
        <v>0</v>
      </c>
      <c r="AX31" s="52">
        <v>0</v>
      </c>
      <c r="AY31" s="52">
        <v>0</v>
      </c>
      <c r="AZ31" s="52">
        <v>0</v>
      </c>
      <c r="BA31" s="52">
        <v>0</v>
      </c>
      <c r="BB31" s="52">
        <v>0</v>
      </c>
      <c r="BC31" s="52">
        <v>0</v>
      </c>
      <c r="BD31" s="52">
        <v>0</v>
      </c>
      <c r="BE31" s="52">
        <v>0</v>
      </c>
      <c r="BF31" s="52">
        <v>0</v>
      </c>
      <c r="BG31" s="52">
        <v>0</v>
      </c>
      <c r="BH31" s="52">
        <v>0</v>
      </c>
      <c r="BI31" s="52">
        <v>0</v>
      </c>
      <c r="BJ31" s="52">
        <v>0</v>
      </c>
      <c r="BK31" s="52">
        <v>0</v>
      </c>
      <c r="BL31" s="52">
        <v>0</v>
      </c>
      <c r="BM31" s="52">
        <v>0</v>
      </c>
      <c r="BN31" s="52">
        <v>0</v>
      </c>
      <c r="BO31" s="52">
        <v>0</v>
      </c>
      <c r="BP31" s="52">
        <v>0</v>
      </c>
      <c r="BQ31" s="52">
        <v>0</v>
      </c>
      <c r="BR31" s="52">
        <v>0</v>
      </c>
      <c r="BS31" s="52">
        <v>0</v>
      </c>
      <c r="BT31" s="52">
        <v>0</v>
      </c>
      <c r="BU31" s="52">
        <v>0</v>
      </c>
      <c r="BV31" s="52">
        <v>0</v>
      </c>
      <c r="BW31" s="52">
        <v>0</v>
      </c>
    </row>
    <row r="32" spans="1:75" x14ac:dyDescent="0.3">
      <c r="A32" s="8" t="s">
        <v>89</v>
      </c>
      <c r="B32" s="8" t="s">
        <v>9</v>
      </c>
      <c r="C32" s="8" t="s">
        <v>67</v>
      </c>
      <c r="D32" s="52">
        <v>0</v>
      </c>
      <c r="E32" s="52">
        <v>0</v>
      </c>
      <c r="F32" s="52">
        <v>0</v>
      </c>
      <c r="G32" s="52">
        <v>0</v>
      </c>
      <c r="H32" s="52">
        <v>0</v>
      </c>
      <c r="I32" s="52">
        <v>0</v>
      </c>
      <c r="J32" s="52">
        <v>0</v>
      </c>
      <c r="K32" s="52">
        <v>0</v>
      </c>
      <c r="L32" s="52">
        <v>0</v>
      </c>
      <c r="M32" s="52">
        <v>0</v>
      </c>
      <c r="N32" s="52">
        <v>0</v>
      </c>
      <c r="O32" s="52">
        <v>0</v>
      </c>
      <c r="P32" s="52">
        <v>0</v>
      </c>
      <c r="Q32" s="52">
        <v>0</v>
      </c>
      <c r="R32" s="52">
        <v>0</v>
      </c>
      <c r="S32" s="52">
        <v>0</v>
      </c>
      <c r="T32" s="52">
        <v>0</v>
      </c>
      <c r="U32" s="52">
        <v>0</v>
      </c>
      <c r="V32" s="52">
        <v>0</v>
      </c>
      <c r="W32" s="52">
        <v>0</v>
      </c>
      <c r="X32" s="52">
        <v>0</v>
      </c>
      <c r="Y32" s="52">
        <v>0</v>
      </c>
      <c r="Z32" s="52">
        <v>0</v>
      </c>
      <c r="AA32" s="52">
        <v>0</v>
      </c>
      <c r="AB32" s="52">
        <v>0</v>
      </c>
      <c r="AC32" s="52">
        <v>0</v>
      </c>
      <c r="AD32" s="52">
        <v>0</v>
      </c>
      <c r="AE32" s="52">
        <v>0</v>
      </c>
      <c r="AF32" s="52">
        <v>0</v>
      </c>
      <c r="AG32" s="52">
        <v>0</v>
      </c>
      <c r="AH32" s="52">
        <v>0</v>
      </c>
      <c r="AI32" s="52">
        <v>0</v>
      </c>
      <c r="AJ32" s="52">
        <v>0</v>
      </c>
      <c r="AK32" s="52">
        <v>0</v>
      </c>
      <c r="AL32" s="52">
        <v>0</v>
      </c>
      <c r="AM32" s="52">
        <v>0</v>
      </c>
      <c r="AN32" s="52">
        <v>0</v>
      </c>
      <c r="AO32" s="52">
        <v>0</v>
      </c>
      <c r="AP32" s="52">
        <v>0</v>
      </c>
      <c r="AQ32" s="52">
        <v>0</v>
      </c>
      <c r="AR32" s="52">
        <v>0</v>
      </c>
      <c r="AS32" s="52">
        <v>0</v>
      </c>
      <c r="AT32" s="52">
        <v>0</v>
      </c>
      <c r="AU32" s="52">
        <v>0</v>
      </c>
      <c r="AV32" s="52">
        <v>0</v>
      </c>
      <c r="AW32" s="52">
        <v>0</v>
      </c>
      <c r="AX32" s="52">
        <v>0</v>
      </c>
      <c r="AY32" s="52">
        <v>0</v>
      </c>
      <c r="AZ32" s="52">
        <v>0</v>
      </c>
      <c r="BA32" s="52">
        <v>0</v>
      </c>
      <c r="BB32" s="52">
        <v>0</v>
      </c>
      <c r="BC32" s="52">
        <v>0</v>
      </c>
      <c r="BD32" s="52">
        <v>0</v>
      </c>
      <c r="BE32" s="52">
        <v>0</v>
      </c>
      <c r="BF32" s="52">
        <v>0</v>
      </c>
      <c r="BG32" s="52">
        <v>0</v>
      </c>
      <c r="BH32" s="52">
        <v>0</v>
      </c>
      <c r="BI32" s="52">
        <v>0</v>
      </c>
      <c r="BJ32" s="52">
        <v>0</v>
      </c>
      <c r="BK32" s="52">
        <v>0</v>
      </c>
      <c r="BL32" s="52">
        <v>0</v>
      </c>
      <c r="BM32" s="52">
        <v>0</v>
      </c>
      <c r="BN32" s="52">
        <v>0</v>
      </c>
      <c r="BO32" s="52">
        <v>0</v>
      </c>
      <c r="BP32" s="52">
        <v>0</v>
      </c>
      <c r="BQ32" s="52">
        <v>0</v>
      </c>
      <c r="BR32" s="52">
        <v>0</v>
      </c>
      <c r="BS32" s="52">
        <v>0</v>
      </c>
      <c r="BT32" s="52">
        <v>0</v>
      </c>
      <c r="BU32" s="52">
        <v>0</v>
      </c>
      <c r="BV32" s="52">
        <v>0</v>
      </c>
      <c r="BW32" s="52">
        <v>0</v>
      </c>
    </row>
    <row r="33" spans="1:75" x14ac:dyDescent="0.3">
      <c r="A33" s="8" t="s">
        <v>89</v>
      </c>
      <c r="B33" s="8" t="s">
        <v>9</v>
      </c>
      <c r="C33" s="8" t="s">
        <v>68</v>
      </c>
      <c r="D33" s="52">
        <v>0</v>
      </c>
      <c r="E33" s="52">
        <v>0</v>
      </c>
      <c r="F33" s="52">
        <v>0</v>
      </c>
      <c r="G33" s="52">
        <v>0</v>
      </c>
      <c r="H33" s="52">
        <v>0</v>
      </c>
      <c r="I33" s="52">
        <v>0</v>
      </c>
      <c r="J33" s="52">
        <v>0</v>
      </c>
      <c r="K33" s="52">
        <v>0</v>
      </c>
      <c r="L33" s="52">
        <v>0</v>
      </c>
      <c r="M33" s="52">
        <v>0</v>
      </c>
      <c r="N33" s="52">
        <v>0</v>
      </c>
      <c r="O33" s="52">
        <v>0</v>
      </c>
      <c r="P33" s="52">
        <v>0</v>
      </c>
      <c r="Q33" s="52">
        <v>0</v>
      </c>
      <c r="R33" s="52">
        <v>0</v>
      </c>
      <c r="S33" s="52">
        <v>0</v>
      </c>
      <c r="T33" s="52">
        <v>0</v>
      </c>
      <c r="U33" s="52">
        <v>0</v>
      </c>
      <c r="V33" s="52">
        <v>0</v>
      </c>
      <c r="W33" s="52">
        <v>0</v>
      </c>
      <c r="X33" s="52">
        <v>0</v>
      </c>
      <c r="Y33" s="52">
        <v>0</v>
      </c>
      <c r="Z33" s="52">
        <v>0</v>
      </c>
      <c r="AA33" s="52">
        <v>0</v>
      </c>
      <c r="AB33" s="52">
        <v>0</v>
      </c>
      <c r="AC33" s="52">
        <v>0</v>
      </c>
      <c r="AD33" s="52">
        <v>0</v>
      </c>
      <c r="AE33" s="52">
        <v>0</v>
      </c>
      <c r="AF33" s="52">
        <v>0</v>
      </c>
      <c r="AG33" s="52">
        <v>0</v>
      </c>
      <c r="AH33" s="52">
        <v>0</v>
      </c>
      <c r="AI33" s="52">
        <v>0</v>
      </c>
      <c r="AJ33" s="52">
        <v>0</v>
      </c>
      <c r="AK33" s="52">
        <v>0</v>
      </c>
      <c r="AL33" s="52">
        <v>0</v>
      </c>
      <c r="AM33" s="52">
        <v>0</v>
      </c>
      <c r="AN33" s="52">
        <v>0</v>
      </c>
      <c r="AO33" s="52">
        <v>0</v>
      </c>
      <c r="AP33" s="52">
        <v>0</v>
      </c>
      <c r="AQ33" s="52">
        <v>0</v>
      </c>
      <c r="AR33" s="52">
        <v>0</v>
      </c>
      <c r="AS33" s="52">
        <v>0</v>
      </c>
      <c r="AT33" s="52">
        <v>0</v>
      </c>
      <c r="AU33" s="52">
        <v>0</v>
      </c>
      <c r="AV33" s="52">
        <v>0</v>
      </c>
      <c r="AW33" s="52">
        <v>0</v>
      </c>
      <c r="AX33" s="52">
        <v>0</v>
      </c>
      <c r="AY33" s="52">
        <v>0</v>
      </c>
      <c r="AZ33" s="52">
        <v>0</v>
      </c>
      <c r="BA33" s="52">
        <v>0</v>
      </c>
      <c r="BB33" s="52">
        <v>0</v>
      </c>
      <c r="BC33" s="52">
        <v>0</v>
      </c>
      <c r="BD33" s="52">
        <v>0</v>
      </c>
      <c r="BE33" s="52">
        <v>0</v>
      </c>
      <c r="BF33" s="52">
        <v>0</v>
      </c>
      <c r="BG33" s="52">
        <v>0</v>
      </c>
      <c r="BH33" s="52">
        <v>0</v>
      </c>
      <c r="BI33" s="52">
        <v>0</v>
      </c>
      <c r="BJ33" s="52">
        <v>0</v>
      </c>
      <c r="BK33" s="52">
        <v>0</v>
      </c>
      <c r="BL33" s="52">
        <v>0</v>
      </c>
      <c r="BM33" s="52">
        <v>0</v>
      </c>
      <c r="BN33" s="52">
        <v>0</v>
      </c>
      <c r="BO33" s="52">
        <v>0</v>
      </c>
      <c r="BP33" s="52">
        <v>0</v>
      </c>
      <c r="BQ33" s="52">
        <v>0</v>
      </c>
      <c r="BR33" s="52">
        <v>0</v>
      </c>
      <c r="BS33" s="52">
        <v>0</v>
      </c>
      <c r="BT33" s="52">
        <v>0</v>
      </c>
      <c r="BU33" s="52">
        <v>0</v>
      </c>
      <c r="BV33" s="52">
        <v>0</v>
      </c>
      <c r="BW33" s="52">
        <v>0</v>
      </c>
    </row>
    <row r="34" spans="1:75" x14ac:dyDescent="0.3">
      <c r="A34" s="8" t="s">
        <v>89</v>
      </c>
      <c r="B34" s="8" t="s">
        <v>9</v>
      </c>
      <c r="C34" s="8" t="s">
        <v>69</v>
      </c>
      <c r="D34" s="52">
        <v>0</v>
      </c>
      <c r="E34" s="52">
        <v>0</v>
      </c>
      <c r="F34" s="52">
        <v>0</v>
      </c>
      <c r="G34" s="52">
        <v>0</v>
      </c>
      <c r="H34" s="52">
        <v>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0</v>
      </c>
      <c r="P34" s="52">
        <v>0</v>
      </c>
      <c r="Q34" s="52">
        <v>0</v>
      </c>
      <c r="R34" s="52">
        <v>0</v>
      </c>
      <c r="S34" s="52">
        <v>0</v>
      </c>
      <c r="T34" s="52">
        <v>0</v>
      </c>
      <c r="U34" s="52">
        <v>0</v>
      </c>
      <c r="V34" s="52">
        <v>0</v>
      </c>
      <c r="W34" s="52">
        <v>0</v>
      </c>
      <c r="X34" s="52">
        <v>0</v>
      </c>
      <c r="Y34" s="52">
        <v>0</v>
      </c>
      <c r="Z34" s="52">
        <v>0</v>
      </c>
      <c r="AA34" s="52">
        <v>0</v>
      </c>
      <c r="AB34" s="52">
        <v>0</v>
      </c>
      <c r="AC34" s="52">
        <v>0</v>
      </c>
      <c r="AD34" s="52">
        <v>0</v>
      </c>
      <c r="AE34" s="52">
        <v>0</v>
      </c>
      <c r="AF34" s="52">
        <v>0</v>
      </c>
      <c r="AG34" s="52">
        <v>0</v>
      </c>
      <c r="AH34" s="52">
        <v>0</v>
      </c>
      <c r="AI34" s="52">
        <v>0</v>
      </c>
      <c r="AJ34" s="52">
        <v>0</v>
      </c>
      <c r="AK34" s="52">
        <v>0</v>
      </c>
      <c r="AL34" s="52">
        <v>0</v>
      </c>
      <c r="AM34" s="52">
        <v>0</v>
      </c>
      <c r="AN34" s="52">
        <v>0</v>
      </c>
      <c r="AO34" s="52">
        <v>0</v>
      </c>
      <c r="AP34" s="52">
        <v>0</v>
      </c>
      <c r="AQ34" s="52">
        <v>0</v>
      </c>
      <c r="AR34" s="52">
        <v>0</v>
      </c>
      <c r="AS34" s="52">
        <v>0</v>
      </c>
      <c r="AT34" s="52">
        <v>0</v>
      </c>
      <c r="AU34" s="52">
        <v>0</v>
      </c>
      <c r="AV34" s="52">
        <v>0</v>
      </c>
      <c r="AW34" s="52">
        <v>0</v>
      </c>
      <c r="AX34" s="52">
        <v>0</v>
      </c>
      <c r="AY34" s="52">
        <v>0</v>
      </c>
      <c r="AZ34" s="52">
        <v>0</v>
      </c>
      <c r="BA34" s="52">
        <v>0</v>
      </c>
      <c r="BB34" s="52">
        <v>0</v>
      </c>
      <c r="BC34" s="52">
        <v>0</v>
      </c>
      <c r="BD34" s="52">
        <v>0</v>
      </c>
      <c r="BE34" s="52">
        <v>0</v>
      </c>
      <c r="BF34" s="52">
        <v>0</v>
      </c>
      <c r="BG34" s="52">
        <v>0</v>
      </c>
      <c r="BH34" s="52">
        <v>0</v>
      </c>
      <c r="BI34" s="52">
        <v>0</v>
      </c>
      <c r="BJ34" s="52">
        <v>0</v>
      </c>
      <c r="BK34" s="52">
        <v>0</v>
      </c>
      <c r="BL34" s="52">
        <v>0</v>
      </c>
      <c r="BM34" s="52">
        <v>0</v>
      </c>
      <c r="BN34" s="52">
        <v>0</v>
      </c>
      <c r="BO34" s="52">
        <v>0</v>
      </c>
      <c r="BP34" s="52">
        <v>0</v>
      </c>
      <c r="BQ34" s="52">
        <v>0</v>
      </c>
      <c r="BR34" s="52">
        <v>0</v>
      </c>
      <c r="BS34" s="52">
        <v>0</v>
      </c>
      <c r="BT34" s="52">
        <v>0</v>
      </c>
      <c r="BU34" s="52">
        <v>0</v>
      </c>
      <c r="BV34" s="52">
        <v>0</v>
      </c>
      <c r="BW34" s="52">
        <v>0</v>
      </c>
    </row>
    <row r="35" spans="1:75" x14ac:dyDescent="0.3">
      <c r="A35" s="8" t="s">
        <v>89</v>
      </c>
      <c r="B35" s="8" t="s">
        <v>9</v>
      </c>
      <c r="C35" s="8" t="s">
        <v>27</v>
      </c>
      <c r="D35" s="52">
        <v>150</v>
      </c>
      <c r="E35" s="52">
        <v>150</v>
      </c>
      <c r="F35" s="52">
        <v>149.99727272727253</v>
      </c>
      <c r="G35" s="52">
        <v>150</v>
      </c>
      <c r="H35" s="52">
        <v>150</v>
      </c>
      <c r="I35" s="52">
        <v>67.340000000000558</v>
      </c>
      <c r="J35" s="52">
        <v>150</v>
      </c>
      <c r="K35" s="52">
        <v>150</v>
      </c>
      <c r="L35" s="52">
        <v>150</v>
      </c>
      <c r="M35" s="52">
        <v>150</v>
      </c>
      <c r="N35" s="52">
        <v>150</v>
      </c>
      <c r="O35" s="52">
        <v>11.400000000000141</v>
      </c>
      <c r="P35" s="52">
        <v>150</v>
      </c>
      <c r="Q35" s="52">
        <v>150</v>
      </c>
      <c r="R35" s="52">
        <v>102.32621359223306</v>
      </c>
      <c r="S35" s="52">
        <v>150</v>
      </c>
      <c r="T35" s="52">
        <v>150</v>
      </c>
      <c r="U35" s="52">
        <v>102.32621359223306</v>
      </c>
      <c r="V35" s="52">
        <v>150</v>
      </c>
      <c r="W35" s="52">
        <v>150</v>
      </c>
      <c r="X35" s="52">
        <v>35.780104712041997</v>
      </c>
      <c r="Y35" s="52">
        <v>150</v>
      </c>
      <c r="Z35" s="52">
        <v>150</v>
      </c>
      <c r="AA35" s="52">
        <v>35.780104712041997</v>
      </c>
      <c r="AB35" s="52">
        <v>134.60000000000062</v>
      </c>
      <c r="AC35" s="52">
        <v>143.18917647058808</v>
      </c>
      <c r="AD35" s="52">
        <v>0</v>
      </c>
      <c r="AE35" s="52">
        <v>134.60000000000062</v>
      </c>
      <c r="AF35" s="52">
        <v>143.18917647058808</v>
      </c>
      <c r="AG35" s="52">
        <v>0</v>
      </c>
      <c r="AH35" s="52">
        <v>150</v>
      </c>
      <c r="AI35" s="52">
        <v>95.964683809524615</v>
      </c>
      <c r="AJ35" s="52">
        <v>0</v>
      </c>
      <c r="AK35" s="52">
        <v>96.949362962949536</v>
      </c>
      <c r="AL35" s="52">
        <v>46.164683809524654</v>
      </c>
      <c r="AM35" s="52">
        <v>0</v>
      </c>
      <c r="AN35" s="52">
        <v>150</v>
      </c>
      <c r="AO35" s="52">
        <v>122.71590909090904</v>
      </c>
      <c r="AP35" s="52">
        <v>0</v>
      </c>
      <c r="AQ35" s="52">
        <v>73.800000000000409</v>
      </c>
      <c r="AR35" s="52">
        <v>0</v>
      </c>
      <c r="AS35" s="52">
        <v>0</v>
      </c>
      <c r="AT35" s="52">
        <v>150</v>
      </c>
      <c r="AU35" s="52">
        <v>131.78181818181815</v>
      </c>
      <c r="AV35" s="52">
        <v>0</v>
      </c>
      <c r="AW35" s="52">
        <v>0</v>
      </c>
      <c r="AX35" s="52">
        <v>0</v>
      </c>
      <c r="AY35" s="52">
        <v>0</v>
      </c>
      <c r="AZ35" s="52">
        <v>150</v>
      </c>
      <c r="BA35" s="52">
        <v>150</v>
      </c>
      <c r="BB35" s="52">
        <v>0</v>
      </c>
      <c r="BC35" s="52">
        <v>150</v>
      </c>
      <c r="BD35" s="52">
        <v>141.32307692307688</v>
      </c>
      <c r="BE35" s="52">
        <v>0</v>
      </c>
      <c r="BF35" s="52">
        <v>150</v>
      </c>
      <c r="BG35" s="52">
        <v>150</v>
      </c>
      <c r="BH35" s="52">
        <v>50.251327433628333</v>
      </c>
      <c r="BI35" s="52">
        <v>150</v>
      </c>
      <c r="BJ35" s="52">
        <v>150</v>
      </c>
      <c r="BK35" s="52">
        <v>50.251327433628333</v>
      </c>
      <c r="BL35" s="52">
        <v>150</v>
      </c>
      <c r="BM35" s="52">
        <v>150</v>
      </c>
      <c r="BN35" s="52">
        <v>146.43616438356165</v>
      </c>
      <c r="BO35" s="52">
        <v>150</v>
      </c>
      <c r="BP35" s="52">
        <v>150</v>
      </c>
      <c r="BQ35" s="52">
        <v>25.276164383561689</v>
      </c>
      <c r="BR35" s="52">
        <v>150</v>
      </c>
      <c r="BS35" s="52">
        <v>150</v>
      </c>
      <c r="BT35" s="52">
        <v>133.23215686274457</v>
      </c>
      <c r="BU35" s="52">
        <v>150</v>
      </c>
      <c r="BV35" s="52">
        <v>150</v>
      </c>
      <c r="BW35" s="52">
        <v>67.240000000000563</v>
      </c>
    </row>
    <row r="36" spans="1:75" x14ac:dyDescent="0.3">
      <c r="A36" s="8" t="s">
        <v>89</v>
      </c>
      <c r="B36" s="8" t="s">
        <v>9</v>
      </c>
      <c r="C36" s="8" t="s">
        <v>144</v>
      </c>
      <c r="D36" s="52">
        <v>200</v>
      </c>
      <c r="E36" s="52">
        <v>0</v>
      </c>
      <c r="F36" s="52">
        <v>0</v>
      </c>
      <c r="G36" s="52">
        <v>200</v>
      </c>
      <c r="H36" s="52">
        <v>0</v>
      </c>
      <c r="I36" s="52">
        <v>0</v>
      </c>
      <c r="J36" s="52">
        <v>105.63175238094544</v>
      </c>
      <c r="K36" s="52">
        <v>0</v>
      </c>
      <c r="L36" s="52">
        <v>0</v>
      </c>
      <c r="M36" s="52">
        <v>13.331752380943641</v>
      </c>
      <c r="N36" s="52">
        <v>0</v>
      </c>
      <c r="O36" s="52">
        <v>0</v>
      </c>
      <c r="P36" s="52">
        <v>200</v>
      </c>
      <c r="Q36" s="52">
        <v>52.000000000001059</v>
      </c>
      <c r="R36" s="52">
        <v>0</v>
      </c>
      <c r="S36" s="52">
        <v>200</v>
      </c>
      <c r="T36" s="52">
        <v>52.000000000001059</v>
      </c>
      <c r="U36" s="52">
        <v>0</v>
      </c>
      <c r="V36" s="52">
        <v>200</v>
      </c>
      <c r="W36" s="52">
        <v>28.900000000000578</v>
      </c>
      <c r="X36" s="52">
        <v>0</v>
      </c>
      <c r="Y36" s="52">
        <v>58.400000000000119</v>
      </c>
      <c r="Z36" s="52">
        <v>0</v>
      </c>
      <c r="AA36" s="52">
        <v>0</v>
      </c>
      <c r="AB36" s="52">
        <v>200</v>
      </c>
      <c r="AC36" s="52">
        <v>50.510823529411859</v>
      </c>
      <c r="AD36" s="52">
        <v>0</v>
      </c>
      <c r="AE36" s="52">
        <v>200</v>
      </c>
      <c r="AF36" s="52">
        <v>50.510823529411859</v>
      </c>
      <c r="AG36" s="52">
        <v>0</v>
      </c>
      <c r="AH36" s="52">
        <v>184.29999999999936</v>
      </c>
      <c r="AI36" s="52">
        <v>0</v>
      </c>
      <c r="AJ36" s="52">
        <v>0</v>
      </c>
      <c r="AK36" s="52">
        <v>129.55063703704991</v>
      </c>
      <c r="AL36" s="52">
        <v>0</v>
      </c>
      <c r="AM36" s="52">
        <v>0</v>
      </c>
      <c r="AN36" s="52">
        <v>200</v>
      </c>
      <c r="AO36" s="52">
        <v>0</v>
      </c>
      <c r="AP36" s="52">
        <v>0</v>
      </c>
      <c r="AQ36" s="52">
        <v>0</v>
      </c>
      <c r="AR36" s="52">
        <v>0</v>
      </c>
      <c r="AS36" s="52">
        <v>0</v>
      </c>
      <c r="AT36" s="52">
        <v>200</v>
      </c>
      <c r="AU36" s="52">
        <v>92.018181818182882</v>
      </c>
      <c r="AV36" s="52">
        <v>0</v>
      </c>
      <c r="AW36" s="52">
        <v>200</v>
      </c>
      <c r="AX36" s="52">
        <v>0</v>
      </c>
      <c r="AY36" s="52">
        <v>0</v>
      </c>
      <c r="AZ36" s="52">
        <v>200</v>
      </c>
      <c r="BA36" s="52">
        <v>22.699999999999921</v>
      </c>
      <c r="BB36" s="52">
        <v>0</v>
      </c>
      <c r="BC36" s="52">
        <v>72.800000000000054</v>
      </c>
      <c r="BD36" s="52">
        <v>0</v>
      </c>
      <c r="BE36" s="52">
        <v>0</v>
      </c>
      <c r="BF36" s="52">
        <v>58.500000000000462</v>
      </c>
      <c r="BG36" s="52">
        <v>0</v>
      </c>
      <c r="BH36" s="52">
        <v>0</v>
      </c>
      <c r="BI36" s="52">
        <v>58.500000000000462</v>
      </c>
      <c r="BJ36" s="52">
        <v>0</v>
      </c>
      <c r="BK36" s="52">
        <v>0</v>
      </c>
      <c r="BL36" s="52">
        <v>189.29792463767549</v>
      </c>
      <c r="BM36" s="52">
        <v>0</v>
      </c>
      <c r="BN36" s="52">
        <v>0</v>
      </c>
      <c r="BO36" s="52">
        <v>189.29792463767549</v>
      </c>
      <c r="BP36" s="52">
        <v>0</v>
      </c>
      <c r="BQ36" s="52">
        <v>0</v>
      </c>
      <c r="BR36" s="52">
        <v>200</v>
      </c>
      <c r="BS36" s="52">
        <v>0</v>
      </c>
      <c r="BT36" s="52">
        <v>0</v>
      </c>
      <c r="BU36" s="52">
        <v>200</v>
      </c>
      <c r="BV36" s="52">
        <v>0</v>
      </c>
      <c r="BW36" s="52">
        <v>0</v>
      </c>
    </row>
    <row r="37" spans="1:75" x14ac:dyDescent="0.3">
      <c r="A37" s="8" t="s">
        <v>89</v>
      </c>
      <c r="B37" s="8" t="s">
        <v>9</v>
      </c>
      <c r="C37" s="8" t="s">
        <v>145</v>
      </c>
      <c r="D37" s="52">
        <v>92.900000000000205</v>
      </c>
      <c r="E37" s="52">
        <v>0</v>
      </c>
      <c r="F37" s="52">
        <v>0</v>
      </c>
      <c r="G37" s="52">
        <v>78.600000000001515</v>
      </c>
      <c r="H37" s="52">
        <v>0</v>
      </c>
      <c r="I37" s="52">
        <v>0</v>
      </c>
      <c r="J37" s="52">
        <v>129.26824761905718</v>
      </c>
      <c r="K37" s="52">
        <v>0</v>
      </c>
      <c r="L37" s="52">
        <v>0</v>
      </c>
      <c r="M37" s="52">
        <v>129.26824761905718</v>
      </c>
      <c r="N37" s="52">
        <v>0</v>
      </c>
      <c r="O37" s="52">
        <v>0</v>
      </c>
      <c r="P37" s="52">
        <v>200</v>
      </c>
      <c r="Q37" s="52">
        <v>0</v>
      </c>
      <c r="R37" s="52">
        <v>0</v>
      </c>
      <c r="S37" s="52">
        <v>200</v>
      </c>
      <c r="T37" s="52">
        <v>0</v>
      </c>
      <c r="U37" s="52">
        <v>0</v>
      </c>
      <c r="V37" s="52">
        <v>133.30000000000064</v>
      </c>
      <c r="W37" s="52">
        <v>0</v>
      </c>
      <c r="X37" s="52">
        <v>0</v>
      </c>
      <c r="Y37" s="52">
        <v>0</v>
      </c>
      <c r="Z37" s="52">
        <v>0</v>
      </c>
      <c r="AA37" s="52">
        <v>0</v>
      </c>
      <c r="AB37" s="52">
        <v>200</v>
      </c>
      <c r="AC37" s="52">
        <v>0</v>
      </c>
      <c r="AD37" s="52">
        <v>0</v>
      </c>
      <c r="AE37" s="52">
        <v>200</v>
      </c>
      <c r="AF37" s="52">
        <v>0</v>
      </c>
      <c r="AG37" s="52">
        <v>0</v>
      </c>
      <c r="AH37" s="52">
        <v>0</v>
      </c>
      <c r="AI37" s="52">
        <v>0</v>
      </c>
      <c r="AJ37" s="52">
        <v>0</v>
      </c>
      <c r="AK37" s="52">
        <v>0</v>
      </c>
      <c r="AL37" s="52">
        <v>0</v>
      </c>
      <c r="AM37" s="52">
        <v>0</v>
      </c>
      <c r="AN37" s="52">
        <v>65.799999999999969</v>
      </c>
      <c r="AO37" s="52">
        <v>0</v>
      </c>
      <c r="AP37" s="52">
        <v>0</v>
      </c>
      <c r="AQ37" s="52">
        <v>0</v>
      </c>
      <c r="AR37" s="52">
        <v>0</v>
      </c>
      <c r="AS37" s="52">
        <v>0</v>
      </c>
      <c r="AT37" s="52">
        <v>159.39999999999935</v>
      </c>
      <c r="AU37" s="52">
        <v>0</v>
      </c>
      <c r="AV37" s="52">
        <v>0</v>
      </c>
      <c r="AW37" s="52">
        <v>4.3000000000006207</v>
      </c>
      <c r="AX37" s="52">
        <v>0</v>
      </c>
      <c r="AY37" s="52">
        <v>0</v>
      </c>
      <c r="AZ37" s="52">
        <v>125.69999999999945</v>
      </c>
      <c r="BA37" s="52">
        <v>0</v>
      </c>
      <c r="BB37" s="52">
        <v>0</v>
      </c>
      <c r="BC37" s="52">
        <v>0</v>
      </c>
      <c r="BD37" s="52">
        <v>0</v>
      </c>
      <c r="BE37" s="52">
        <v>0</v>
      </c>
      <c r="BF37" s="52">
        <v>0</v>
      </c>
      <c r="BG37" s="52">
        <v>0</v>
      </c>
      <c r="BH37" s="52">
        <v>0</v>
      </c>
      <c r="BI37" s="52">
        <v>0</v>
      </c>
      <c r="BJ37" s="52">
        <v>0</v>
      </c>
      <c r="BK37" s="52">
        <v>0</v>
      </c>
      <c r="BL37" s="52">
        <v>138.8020753623251</v>
      </c>
      <c r="BM37" s="52">
        <v>0</v>
      </c>
      <c r="BN37" s="52">
        <v>0</v>
      </c>
      <c r="BO37" s="52">
        <v>89.602075362324456</v>
      </c>
      <c r="BP37" s="52">
        <v>0</v>
      </c>
      <c r="BQ37" s="52">
        <v>0</v>
      </c>
      <c r="BR37" s="52">
        <v>41.600000000000691</v>
      </c>
      <c r="BS37" s="52">
        <v>0</v>
      </c>
      <c r="BT37" s="52">
        <v>0</v>
      </c>
      <c r="BU37" s="52">
        <v>41.600000000000691</v>
      </c>
      <c r="BV37" s="52">
        <v>0</v>
      </c>
      <c r="BW37" s="52">
        <v>0</v>
      </c>
    </row>
    <row r="38" spans="1:75" x14ac:dyDescent="0.3">
      <c r="A38" s="8" t="s">
        <v>89</v>
      </c>
      <c r="B38" s="8" t="s">
        <v>9</v>
      </c>
      <c r="C38" s="8" t="s">
        <v>146</v>
      </c>
      <c r="D38" s="52">
        <v>200</v>
      </c>
      <c r="E38" s="52">
        <v>131.35022975207033</v>
      </c>
      <c r="F38" s="52">
        <v>0</v>
      </c>
      <c r="G38" s="52">
        <v>200</v>
      </c>
      <c r="H38" s="52">
        <v>0</v>
      </c>
      <c r="I38" s="52">
        <v>0</v>
      </c>
      <c r="J38" s="52">
        <v>200</v>
      </c>
      <c r="K38" s="52">
        <v>98.200000000000514</v>
      </c>
      <c r="L38" s="52">
        <v>0</v>
      </c>
      <c r="M38" s="52">
        <v>200</v>
      </c>
      <c r="N38" s="52">
        <v>0</v>
      </c>
      <c r="O38" s="52">
        <v>0</v>
      </c>
      <c r="P38" s="52">
        <v>200</v>
      </c>
      <c r="Q38" s="52">
        <v>200</v>
      </c>
      <c r="R38" s="52">
        <v>0</v>
      </c>
      <c r="S38" s="52">
        <v>200</v>
      </c>
      <c r="T38" s="52">
        <v>200</v>
      </c>
      <c r="U38" s="52">
        <v>0</v>
      </c>
      <c r="V38" s="52">
        <v>200</v>
      </c>
      <c r="W38" s="52">
        <v>200</v>
      </c>
      <c r="X38" s="52">
        <v>0</v>
      </c>
      <c r="Y38" s="52">
        <v>200</v>
      </c>
      <c r="Z38" s="52">
        <v>0</v>
      </c>
      <c r="AA38" s="52">
        <v>0</v>
      </c>
      <c r="AB38" s="52">
        <v>200</v>
      </c>
      <c r="AC38" s="52">
        <v>200</v>
      </c>
      <c r="AD38" s="52">
        <v>11.000000000000011</v>
      </c>
      <c r="AE38" s="52">
        <v>200</v>
      </c>
      <c r="AF38" s="52">
        <v>200</v>
      </c>
      <c r="AG38" s="52">
        <v>11.000000000000011</v>
      </c>
      <c r="AH38" s="52">
        <v>200</v>
      </c>
      <c r="AI38" s="52">
        <v>63.835316190475503</v>
      </c>
      <c r="AJ38" s="52">
        <v>0</v>
      </c>
      <c r="AK38" s="52">
        <v>200</v>
      </c>
      <c r="AL38" s="52">
        <v>63.835316190475503</v>
      </c>
      <c r="AM38" s="52">
        <v>0</v>
      </c>
      <c r="AN38" s="52">
        <v>200</v>
      </c>
      <c r="AO38" s="52">
        <v>127.48409090909152</v>
      </c>
      <c r="AP38" s="52">
        <v>0</v>
      </c>
      <c r="AQ38" s="52">
        <v>200</v>
      </c>
      <c r="AR38" s="52">
        <v>0</v>
      </c>
      <c r="AS38" s="52">
        <v>0</v>
      </c>
      <c r="AT38" s="52">
        <v>200</v>
      </c>
      <c r="AU38" s="52">
        <v>200</v>
      </c>
      <c r="AV38" s="52">
        <v>0</v>
      </c>
      <c r="AW38" s="52">
        <v>200</v>
      </c>
      <c r="AX38" s="52">
        <v>75.700000000000216</v>
      </c>
      <c r="AY38" s="52">
        <v>0</v>
      </c>
      <c r="AZ38" s="52">
        <v>200</v>
      </c>
      <c r="BA38" s="52">
        <v>200</v>
      </c>
      <c r="BB38" s="52">
        <v>0</v>
      </c>
      <c r="BC38" s="52">
        <v>200</v>
      </c>
      <c r="BD38" s="52">
        <v>0</v>
      </c>
      <c r="BE38" s="52">
        <v>0</v>
      </c>
      <c r="BF38" s="52">
        <v>200</v>
      </c>
      <c r="BG38" s="52">
        <v>0</v>
      </c>
      <c r="BH38" s="52">
        <v>0</v>
      </c>
      <c r="BI38" s="52">
        <v>200</v>
      </c>
      <c r="BJ38" s="52">
        <v>0</v>
      </c>
      <c r="BK38" s="52">
        <v>0</v>
      </c>
      <c r="BL38" s="52">
        <v>200</v>
      </c>
      <c r="BM38" s="52">
        <v>117.40000000000062</v>
      </c>
      <c r="BN38" s="52">
        <v>0</v>
      </c>
      <c r="BO38" s="52">
        <v>200</v>
      </c>
      <c r="BP38" s="52">
        <v>91.800000000000097</v>
      </c>
      <c r="BQ38" s="52">
        <v>0</v>
      </c>
      <c r="BR38" s="52">
        <v>200</v>
      </c>
      <c r="BS38" s="52">
        <v>0</v>
      </c>
      <c r="BT38" s="52">
        <v>0</v>
      </c>
      <c r="BU38" s="52">
        <v>200</v>
      </c>
      <c r="BV38" s="52">
        <v>0</v>
      </c>
      <c r="BW38" s="52">
        <v>0</v>
      </c>
    </row>
    <row r="39" spans="1:75" x14ac:dyDescent="0.3">
      <c r="A39" s="8" t="s">
        <v>89</v>
      </c>
      <c r="B39" s="8" t="s">
        <v>9</v>
      </c>
      <c r="C39" s="8" t="s">
        <v>28</v>
      </c>
      <c r="D39" s="52">
        <v>200</v>
      </c>
      <c r="E39" s="52">
        <v>200</v>
      </c>
      <c r="F39" s="52">
        <v>200</v>
      </c>
      <c r="G39" s="52">
        <v>200</v>
      </c>
      <c r="H39" s="52">
        <v>200</v>
      </c>
      <c r="I39" s="52">
        <v>200</v>
      </c>
      <c r="J39" s="52">
        <v>200</v>
      </c>
      <c r="K39" s="52">
        <v>200</v>
      </c>
      <c r="L39" s="52">
        <v>200</v>
      </c>
      <c r="M39" s="52">
        <v>200</v>
      </c>
      <c r="N39" s="52">
        <v>200</v>
      </c>
      <c r="O39" s="52">
        <v>200</v>
      </c>
      <c r="P39" s="52">
        <v>200</v>
      </c>
      <c r="Q39" s="52">
        <v>200</v>
      </c>
      <c r="R39" s="52">
        <v>200</v>
      </c>
      <c r="S39" s="52">
        <v>200</v>
      </c>
      <c r="T39" s="52">
        <v>200</v>
      </c>
      <c r="U39" s="52">
        <v>200</v>
      </c>
      <c r="V39" s="52">
        <v>200</v>
      </c>
      <c r="W39" s="52">
        <v>200</v>
      </c>
      <c r="X39" s="52">
        <v>200</v>
      </c>
      <c r="Y39" s="52">
        <v>200</v>
      </c>
      <c r="Z39" s="52">
        <v>200</v>
      </c>
      <c r="AA39" s="52">
        <v>200</v>
      </c>
      <c r="AB39" s="52">
        <v>200</v>
      </c>
      <c r="AC39" s="52">
        <v>200</v>
      </c>
      <c r="AD39" s="52">
        <v>200</v>
      </c>
      <c r="AE39" s="52">
        <v>200</v>
      </c>
      <c r="AF39" s="52">
        <v>200</v>
      </c>
      <c r="AG39" s="52">
        <v>200</v>
      </c>
      <c r="AH39" s="52">
        <v>200</v>
      </c>
      <c r="AI39" s="52">
        <v>200</v>
      </c>
      <c r="AJ39" s="52">
        <v>200</v>
      </c>
      <c r="AK39" s="52">
        <v>200</v>
      </c>
      <c r="AL39" s="52">
        <v>200</v>
      </c>
      <c r="AM39" s="52">
        <v>200</v>
      </c>
      <c r="AN39" s="52">
        <v>200</v>
      </c>
      <c r="AO39" s="52">
        <v>200</v>
      </c>
      <c r="AP39" s="52">
        <v>200</v>
      </c>
      <c r="AQ39" s="52">
        <v>200</v>
      </c>
      <c r="AR39" s="52">
        <v>200</v>
      </c>
      <c r="AS39" s="52">
        <v>200</v>
      </c>
      <c r="AT39" s="52">
        <v>200</v>
      </c>
      <c r="AU39" s="52">
        <v>200</v>
      </c>
      <c r="AV39" s="52">
        <v>200</v>
      </c>
      <c r="AW39" s="52">
        <v>200</v>
      </c>
      <c r="AX39" s="52">
        <v>200</v>
      </c>
      <c r="AY39" s="52">
        <v>200</v>
      </c>
      <c r="AZ39" s="52">
        <v>200</v>
      </c>
      <c r="BA39" s="52">
        <v>200</v>
      </c>
      <c r="BB39" s="52">
        <v>200</v>
      </c>
      <c r="BC39" s="52">
        <v>200</v>
      </c>
      <c r="BD39" s="52">
        <v>200</v>
      </c>
      <c r="BE39" s="52">
        <v>200</v>
      </c>
      <c r="BF39" s="52">
        <v>200</v>
      </c>
      <c r="BG39" s="52">
        <v>200</v>
      </c>
      <c r="BH39" s="52">
        <v>200</v>
      </c>
      <c r="BI39" s="52">
        <v>200</v>
      </c>
      <c r="BJ39" s="52">
        <v>200</v>
      </c>
      <c r="BK39" s="52">
        <v>200</v>
      </c>
      <c r="BL39" s="52">
        <v>200</v>
      </c>
      <c r="BM39" s="52">
        <v>200</v>
      </c>
      <c r="BN39" s="52">
        <v>200</v>
      </c>
      <c r="BO39" s="52">
        <v>200</v>
      </c>
      <c r="BP39" s="52">
        <v>200</v>
      </c>
      <c r="BQ39" s="52">
        <v>200</v>
      </c>
      <c r="BR39" s="52">
        <v>200</v>
      </c>
      <c r="BS39" s="52">
        <v>200</v>
      </c>
      <c r="BT39" s="52">
        <v>200</v>
      </c>
      <c r="BU39" s="52">
        <v>200</v>
      </c>
      <c r="BV39" s="52">
        <v>200</v>
      </c>
      <c r="BW39" s="52">
        <v>200</v>
      </c>
    </row>
    <row r="40" spans="1:75" x14ac:dyDescent="0.3">
      <c r="A40" s="8" t="s">
        <v>89</v>
      </c>
      <c r="B40" s="8" t="s">
        <v>10</v>
      </c>
      <c r="C40" s="8" t="s">
        <v>60</v>
      </c>
      <c r="D40" s="52">
        <v>771.6</v>
      </c>
      <c r="E40" s="52">
        <v>771.6</v>
      </c>
      <c r="F40" s="52">
        <v>771.6</v>
      </c>
      <c r="G40" s="52">
        <v>771.6</v>
      </c>
      <c r="H40" s="52">
        <v>771.6</v>
      </c>
      <c r="I40" s="52">
        <v>771.6</v>
      </c>
      <c r="J40" s="52">
        <v>771.6</v>
      </c>
      <c r="K40" s="52">
        <v>771.6</v>
      </c>
      <c r="L40" s="52">
        <v>771.6</v>
      </c>
      <c r="M40" s="52">
        <v>771.6</v>
      </c>
      <c r="N40" s="52">
        <v>771.6</v>
      </c>
      <c r="O40" s="52">
        <v>771.6</v>
      </c>
      <c r="P40" s="52">
        <v>771.6</v>
      </c>
      <c r="Q40" s="52">
        <v>771.6</v>
      </c>
      <c r="R40" s="52">
        <v>771.6</v>
      </c>
      <c r="S40" s="52">
        <v>771.6</v>
      </c>
      <c r="T40" s="52">
        <v>771.6</v>
      </c>
      <c r="U40" s="52">
        <v>771.6</v>
      </c>
      <c r="V40" s="52">
        <v>771.6</v>
      </c>
      <c r="W40" s="52">
        <v>771.6</v>
      </c>
      <c r="X40" s="52">
        <v>771.6</v>
      </c>
      <c r="Y40" s="52">
        <v>771.6</v>
      </c>
      <c r="Z40" s="52">
        <v>771.6</v>
      </c>
      <c r="AA40" s="52">
        <v>771.6</v>
      </c>
      <c r="AB40" s="52">
        <v>771.6</v>
      </c>
      <c r="AC40" s="52">
        <v>771.6</v>
      </c>
      <c r="AD40" s="52">
        <v>771.6</v>
      </c>
      <c r="AE40" s="52">
        <v>771.6</v>
      </c>
      <c r="AF40" s="52">
        <v>771.6</v>
      </c>
      <c r="AG40" s="52">
        <v>771.6</v>
      </c>
      <c r="AH40" s="52">
        <v>771.6</v>
      </c>
      <c r="AI40" s="52">
        <v>771.6</v>
      </c>
      <c r="AJ40" s="52">
        <v>771.6</v>
      </c>
      <c r="AK40" s="52">
        <v>771.6</v>
      </c>
      <c r="AL40" s="52">
        <v>771.6</v>
      </c>
      <c r="AM40" s="52">
        <v>771.6</v>
      </c>
      <c r="AN40" s="52">
        <v>771.6</v>
      </c>
      <c r="AO40" s="52">
        <v>771.6</v>
      </c>
      <c r="AP40" s="52">
        <v>771.6</v>
      </c>
      <c r="AQ40" s="52">
        <v>771.6</v>
      </c>
      <c r="AR40" s="52">
        <v>771.6</v>
      </c>
      <c r="AS40" s="52">
        <v>771.6</v>
      </c>
      <c r="AT40" s="52">
        <v>771.6</v>
      </c>
      <c r="AU40" s="52">
        <v>771.6</v>
      </c>
      <c r="AV40" s="52">
        <v>771.6</v>
      </c>
      <c r="AW40" s="52">
        <v>771.6</v>
      </c>
      <c r="AX40" s="52">
        <v>771.6</v>
      </c>
      <c r="AY40" s="52">
        <v>771.6</v>
      </c>
      <c r="AZ40" s="52">
        <v>771.6</v>
      </c>
      <c r="BA40" s="52">
        <v>771.6</v>
      </c>
      <c r="BB40" s="52">
        <v>771.6</v>
      </c>
      <c r="BC40" s="52">
        <v>771.6</v>
      </c>
      <c r="BD40" s="52">
        <v>771.6</v>
      </c>
      <c r="BE40" s="52">
        <v>771.6</v>
      </c>
      <c r="BF40" s="52">
        <v>771.6</v>
      </c>
      <c r="BG40" s="52">
        <v>771.6</v>
      </c>
      <c r="BH40" s="52">
        <v>771.6</v>
      </c>
      <c r="BI40" s="52">
        <v>771.6</v>
      </c>
      <c r="BJ40" s="52">
        <v>771.6</v>
      </c>
      <c r="BK40" s="52">
        <v>771.6</v>
      </c>
      <c r="BL40" s="52">
        <v>771.6</v>
      </c>
      <c r="BM40" s="52">
        <v>771.6</v>
      </c>
      <c r="BN40" s="52">
        <v>771.6</v>
      </c>
      <c r="BO40" s="52">
        <v>771.6</v>
      </c>
      <c r="BP40" s="52">
        <v>771.6</v>
      </c>
      <c r="BQ40" s="52">
        <v>771.6</v>
      </c>
      <c r="BR40" s="52">
        <v>771.6</v>
      </c>
      <c r="BS40" s="52">
        <v>771.6</v>
      </c>
      <c r="BT40" s="52">
        <v>771.6</v>
      </c>
      <c r="BU40" s="52">
        <v>771.6</v>
      </c>
      <c r="BV40" s="52">
        <v>771.6</v>
      </c>
      <c r="BW40" s="52">
        <v>771.6</v>
      </c>
    </row>
    <row r="41" spans="1:75" x14ac:dyDescent="0.3">
      <c r="A41" s="8" t="s">
        <v>89</v>
      </c>
      <c r="B41" s="8" t="s">
        <v>10</v>
      </c>
      <c r="C41" s="8" t="s">
        <v>150</v>
      </c>
      <c r="D41" s="52">
        <v>328.1000000000011</v>
      </c>
      <c r="E41" s="52">
        <v>235.19999999999996</v>
      </c>
      <c r="F41" s="52">
        <v>235.19999999999996</v>
      </c>
      <c r="G41" s="52">
        <v>313.80000000000143</v>
      </c>
      <c r="H41" s="52">
        <v>235.19999999999996</v>
      </c>
      <c r="I41" s="52">
        <v>235.19999999999996</v>
      </c>
      <c r="J41" s="52">
        <v>462.68788571428701</v>
      </c>
      <c r="K41" s="52">
        <v>235.19999999999996</v>
      </c>
      <c r="L41" s="52">
        <v>235.19999999999996</v>
      </c>
      <c r="M41" s="52">
        <v>370.38788571428569</v>
      </c>
      <c r="N41" s="52">
        <v>235.19999999999996</v>
      </c>
      <c r="O41" s="52">
        <v>235.19999999999996</v>
      </c>
      <c r="P41" s="52">
        <v>235.19999999999996</v>
      </c>
      <c r="Q41" s="52">
        <v>235.19999999999996</v>
      </c>
      <c r="R41" s="52">
        <v>235.19999999999996</v>
      </c>
      <c r="S41" s="52">
        <v>0</v>
      </c>
      <c r="T41" s="52">
        <v>0</v>
      </c>
      <c r="U41" s="52">
        <v>0</v>
      </c>
      <c r="V41" s="52">
        <v>235.19999999999996</v>
      </c>
      <c r="W41" s="52">
        <v>235.19999999999996</v>
      </c>
      <c r="X41" s="52">
        <v>235.19999999999996</v>
      </c>
      <c r="Y41" s="52">
        <v>0</v>
      </c>
      <c r="Z41" s="52">
        <v>0</v>
      </c>
      <c r="AA41" s="52">
        <v>0</v>
      </c>
      <c r="AB41" s="52">
        <v>235.19999999999996</v>
      </c>
      <c r="AC41" s="52">
        <v>271.45199247058883</v>
      </c>
      <c r="AD41" s="52">
        <v>235.19999999999996</v>
      </c>
      <c r="AE41" s="52">
        <v>235.19999999999996</v>
      </c>
      <c r="AF41" s="52">
        <v>271.45199247058883</v>
      </c>
      <c r="AG41" s="52">
        <v>235.19999999999987</v>
      </c>
      <c r="AH41" s="52">
        <v>235.19999999999996</v>
      </c>
      <c r="AI41" s="52">
        <v>260.42880952381097</v>
      </c>
      <c r="AJ41" s="52">
        <v>235.19999999999996</v>
      </c>
      <c r="AK41" s="52">
        <v>235.19999999999996</v>
      </c>
      <c r="AL41" s="52">
        <v>260.42880952381097</v>
      </c>
      <c r="AM41" s="52">
        <v>235.19999999999996</v>
      </c>
      <c r="AN41" s="52">
        <v>235.19999999999996</v>
      </c>
      <c r="AO41" s="52">
        <v>235.19999999999996</v>
      </c>
      <c r="AP41" s="52">
        <v>235.19999999999996</v>
      </c>
      <c r="AQ41" s="52">
        <v>0</v>
      </c>
      <c r="AR41" s="52">
        <v>0</v>
      </c>
      <c r="AS41" s="52">
        <v>0</v>
      </c>
      <c r="AT41" s="52">
        <v>394.60000000000082</v>
      </c>
      <c r="AU41" s="52">
        <v>235.19999999999976</v>
      </c>
      <c r="AV41" s="52">
        <v>235.19999999999976</v>
      </c>
      <c r="AW41" s="52">
        <v>0</v>
      </c>
      <c r="AX41" s="52">
        <v>0</v>
      </c>
      <c r="AY41" s="52">
        <v>0</v>
      </c>
      <c r="AZ41" s="52">
        <v>235.19999999999996</v>
      </c>
      <c r="BA41" s="52">
        <v>235.19999999999996</v>
      </c>
      <c r="BB41" s="52">
        <v>235.19999999999996</v>
      </c>
      <c r="BC41" s="52">
        <v>0</v>
      </c>
      <c r="BD41" s="52">
        <v>0</v>
      </c>
      <c r="BE41" s="52">
        <v>0</v>
      </c>
      <c r="BF41" s="52">
        <v>235.19999999999976</v>
      </c>
      <c r="BG41" s="52">
        <v>235.19999999999976</v>
      </c>
      <c r="BH41" s="52">
        <v>235.19999999999976</v>
      </c>
      <c r="BI41" s="52">
        <v>235.19999999999973</v>
      </c>
      <c r="BJ41" s="52">
        <v>235.19999999999996</v>
      </c>
      <c r="BK41" s="52">
        <v>235.19999999999996</v>
      </c>
      <c r="BL41" s="52">
        <v>366.40000000000214</v>
      </c>
      <c r="BM41" s="52">
        <v>235.19999999999996</v>
      </c>
      <c r="BN41" s="52">
        <v>235.19999999999996</v>
      </c>
      <c r="BO41" s="52">
        <v>235.19999999999996</v>
      </c>
      <c r="BP41" s="52">
        <v>235.19999999999996</v>
      </c>
      <c r="BQ41" s="52">
        <v>235.19999999999996</v>
      </c>
      <c r="BR41" s="52">
        <v>276.80000000000081</v>
      </c>
      <c r="BS41" s="52">
        <v>235.19999999999996</v>
      </c>
      <c r="BT41" s="52">
        <v>235.19999999999996</v>
      </c>
      <c r="BU41" s="52">
        <v>276.80000000000081</v>
      </c>
      <c r="BV41" s="52">
        <v>235.19999999999996</v>
      </c>
      <c r="BW41" s="52">
        <v>235.19999999999996</v>
      </c>
    </row>
    <row r="42" spans="1:75" x14ac:dyDescent="0.3">
      <c r="A42" s="8" t="s">
        <v>89</v>
      </c>
      <c r="B42" s="8" t="s">
        <v>10</v>
      </c>
      <c r="C42" s="8" t="s">
        <v>61</v>
      </c>
      <c r="D42" s="52">
        <v>203.1</v>
      </c>
      <c r="E42" s="52">
        <v>81.239999999999995</v>
      </c>
      <c r="F42" s="52">
        <v>81.239999999999995</v>
      </c>
      <c r="G42" s="52">
        <v>0</v>
      </c>
      <c r="H42" s="52">
        <v>0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0</v>
      </c>
      <c r="P42" s="52">
        <v>0</v>
      </c>
      <c r="Q42" s="52">
        <v>0</v>
      </c>
      <c r="R42" s="52">
        <v>0</v>
      </c>
      <c r="S42" s="52">
        <v>0</v>
      </c>
      <c r="T42" s="52">
        <v>0</v>
      </c>
      <c r="U42" s="52">
        <v>0</v>
      </c>
      <c r="V42" s="52">
        <v>0</v>
      </c>
      <c r="W42" s="52">
        <v>0</v>
      </c>
      <c r="X42" s="52">
        <v>0</v>
      </c>
      <c r="Y42" s="52">
        <v>0</v>
      </c>
      <c r="Z42" s="52">
        <v>0</v>
      </c>
      <c r="AA42" s="52">
        <v>0</v>
      </c>
      <c r="AB42" s="52">
        <v>0</v>
      </c>
      <c r="AC42" s="52">
        <v>0</v>
      </c>
      <c r="AD42" s="52">
        <v>0</v>
      </c>
      <c r="AE42" s="52">
        <v>0</v>
      </c>
      <c r="AF42" s="52">
        <v>0</v>
      </c>
      <c r="AG42" s="52">
        <v>0</v>
      </c>
      <c r="AH42" s="52">
        <v>203.1</v>
      </c>
      <c r="AI42" s="52">
        <v>93.799999999999585</v>
      </c>
      <c r="AJ42" s="52">
        <v>81.239999999999995</v>
      </c>
      <c r="AK42" s="52">
        <v>0</v>
      </c>
      <c r="AL42" s="52">
        <v>0</v>
      </c>
      <c r="AM42" s="52">
        <v>0</v>
      </c>
      <c r="AN42" s="52">
        <v>0</v>
      </c>
      <c r="AO42" s="52">
        <v>0</v>
      </c>
      <c r="AP42" s="52">
        <v>0</v>
      </c>
      <c r="AQ42" s="52">
        <v>0</v>
      </c>
      <c r="AR42" s="52">
        <v>0</v>
      </c>
      <c r="AS42" s="52">
        <v>0</v>
      </c>
      <c r="AT42" s="52">
        <v>0</v>
      </c>
      <c r="AU42" s="52">
        <v>0</v>
      </c>
      <c r="AV42" s="52">
        <v>0</v>
      </c>
      <c r="AW42" s="52">
        <v>0</v>
      </c>
      <c r="AX42" s="52">
        <v>0</v>
      </c>
      <c r="AY42" s="52">
        <v>0</v>
      </c>
      <c r="AZ42" s="52">
        <v>0</v>
      </c>
      <c r="BA42" s="52">
        <v>0</v>
      </c>
      <c r="BB42" s="52">
        <v>0</v>
      </c>
      <c r="BC42" s="52">
        <v>0</v>
      </c>
      <c r="BD42" s="52">
        <v>0</v>
      </c>
      <c r="BE42" s="52">
        <v>0</v>
      </c>
      <c r="BF42" s="52">
        <v>0</v>
      </c>
      <c r="BG42" s="52">
        <v>0</v>
      </c>
      <c r="BH42" s="52">
        <v>0</v>
      </c>
      <c r="BI42" s="52">
        <v>0</v>
      </c>
      <c r="BJ42" s="52">
        <v>0</v>
      </c>
      <c r="BK42" s="52">
        <v>0</v>
      </c>
      <c r="BL42" s="52">
        <v>0</v>
      </c>
      <c r="BM42" s="52">
        <v>0</v>
      </c>
      <c r="BN42" s="52">
        <v>0</v>
      </c>
      <c r="BO42" s="52">
        <v>0</v>
      </c>
      <c r="BP42" s="52">
        <v>0</v>
      </c>
      <c r="BQ42" s="52">
        <v>0</v>
      </c>
      <c r="BR42" s="52">
        <v>143.10000000000193</v>
      </c>
      <c r="BS42" s="52">
        <v>81.239999999999583</v>
      </c>
      <c r="BT42" s="52">
        <v>81.239999999999583</v>
      </c>
      <c r="BU42" s="52">
        <v>0</v>
      </c>
      <c r="BV42" s="52">
        <v>0</v>
      </c>
      <c r="BW42" s="52">
        <v>0</v>
      </c>
    </row>
    <row r="43" spans="1:75" x14ac:dyDescent="0.3">
      <c r="A43" s="8" t="s">
        <v>89</v>
      </c>
      <c r="B43" s="8" t="s">
        <v>10</v>
      </c>
      <c r="C43" s="8" t="s">
        <v>152</v>
      </c>
      <c r="D43" s="52">
        <v>0</v>
      </c>
      <c r="E43" s="52">
        <v>0</v>
      </c>
      <c r="F43" s="52">
        <v>0</v>
      </c>
      <c r="G43" s="52">
        <v>0</v>
      </c>
      <c r="H43" s="52">
        <v>0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0</v>
      </c>
      <c r="O43" s="52">
        <v>0</v>
      </c>
      <c r="P43" s="52">
        <v>0</v>
      </c>
      <c r="Q43" s="52">
        <v>0</v>
      </c>
      <c r="R43" s="52">
        <v>0</v>
      </c>
      <c r="S43" s="52">
        <v>0</v>
      </c>
      <c r="T43" s="52">
        <v>0</v>
      </c>
      <c r="U43" s="52">
        <v>0</v>
      </c>
      <c r="V43" s="52">
        <v>0</v>
      </c>
      <c r="W43" s="52">
        <v>0</v>
      </c>
      <c r="X43" s="52">
        <v>0</v>
      </c>
      <c r="Y43" s="52">
        <v>0</v>
      </c>
      <c r="Z43" s="52">
        <v>0</v>
      </c>
      <c r="AA43" s="52">
        <v>0</v>
      </c>
      <c r="AB43" s="52">
        <v>0</v>
      </c>
      <c r="AC43" s="52">
        <v>0</v>
      </c>
      <c r="AD43" s="52">
        <v>0</v>
      </c>
      <c r="AE43" s="52">
        <v>0</v>
      </c>
      <c r="AF43" s="52">
        <v>0</v>
      </c>
      <c r="AG43" s="52">
        <v>0</v>
      </c>
      <c r="AH43" s="52">
        <v>99.099999999999639</v>
      </c>
      <c r="AI43" s="52">
        <v>150.4</v>
      </c>
      <c r="AJ43" s="52">
        <v>60.159999999999911</v>
      </c>
      <c r="AK43" s="52">
        <v>0</v>
      </c>
      <c r="AL43" s="52">
        <v>0</v>
      </c>
      <c r="AM43" s="52">
        <v>0</v>
      </c>
      <c r="AN43" s="52">
        <v>0</v>
      </c>
      <c r="AO43" s="52">
        <v>0</v>
      </c>
      <c r="AP43" s="52">
        <v>0</v>
      </c>
      <c r="AQ43" s="52">
        <v>0</v>
      </c>
      <c r="AR43" s="52">
        <v>0</v>
      </c>
      <c r="AS43" s="52">
        <v>0</v>
      </c>
      <c r="AT43" s="52">
        <v>0</v>
      </c>
      <c r="AU43" s="52">
        <v>0</v>
      </c>
      <c r="AV43" s="52">
        <v>0</v>
      </c>
      <c r="AW43" s="52">
        <v>0</v>
      </c>
      <c r="AX43" s="52">
        <v>0</v>
      </c>
      <c r="AY43" s="52">
        <v>0</v>
      </c>
      <c r="AZ43" s="52">
        <v>0</v>
      </c>
      <c r="BA43" s="52">
        <v>0</v>
      </c>
      <c r="BB43" s="52">
        <v>0</v>
      </c>
      <c r="BC43" s="52">
        <v>0</v>
      </c>
      <c r="BD43" s="52">
        <v>0</v>
      </c>
      <c r="BE43" s="52">
        <v>0</v>
      </c>
      <c r="BF43" s="52">
        <v>145.00000000000003</v>
      </c>
      <c r="BG43" s="52">
        <v>138.4000000000004</v>
      </c>
      <c r="BH43" s="52">
        <v>60.159999999999989</v>
      </c>
      <c r="BI43" s="52">
        <v>0</v>
      </c>
      <c r="BJ43" s="52">
        <v>0</v>
      </c>
      <c r="BK43" s="52">
        <v>0</v>
      </c>
      <c r="BL43" s="52">
        <v>0</v>
      </c>
      <c r="BM43" s="52">
        <v>0</v>
      </c>
      <c r="BN43" s="52">
        <v>0</v>
      </c>
      <c r="BO43" s="52">
        <v>0</v>
      </c>
      <c r="BP43" s="52">
        <v>0</v>
      </c>
      <c r="BQ43" s="52">
        <v>0</v>
      </c>
      <c r="BR43" s="52">
        <v>150.4</v>
      </c>
      <c r="BS43" s="52">
        <v>60.159999999999989</v>
      </c>
      <c r="BT43" s="52">
        <v>60.159999999999989</v>
      </c>
      <c r="BU43" s="52">
        <v>0</v>
      </c>
      <c r="BV43" s="52">
        <v>0</v>
      </c>
      <c r="BW43" s="52">
        <v>0</v>
      </c>
    </row>
    <row r="44" spans="1:75" x14ac:dyDescent="0.3">
      <c r="A44" s="8" t="s">
        <v>89</v>
      </c>
      <c r="B44" s="8" t="s">
        <v>10</v>
      </c>
      <c r="C44" s="8" t="s">
        <v>151</v>
      </c>
      <c r="D44" s="52">
        <v>194.4</v>
      </c>
      <c r="E44" s="52">
        <v>167.85768311688483</v>
      </c>
      <c r="F44" s="52">
        <v>77.760000000000005</v>
      </c>
      <c r="G44" s="52">
        <v>194.4</v>
      </c>
      <c r="H44" s="52">
        <v>77.760000000000005</v>
      </c>
      <c r="I44" s="52">
        <v>77.760000000000005</v>
      </c>
      <c r="J44" s="52">
        <v>0</v>
      </c>
      <c r="K44" s="52">
        <v>0</v>
      </c>
      <c r="L44" s="52">
        <v>0</v>
      </c>
      <c r="M44" s="52">
        <v>0</v>
      </c>
      <c r="N44" s="52">
        <v>0</v>
      </c>
      <c r="O44" s="52">
        <v>0</v>
      </c>
      <c r="P44" s="52">
        <v>0</v>
      </c>
      <c r="Q44" s="52">
        <v>0</v>
      </c>
      <c r="R44" s="52">
        <v>0</v>
      </c>
      <c r="S44" s="52">
        <v>0</v>
      </c>
      <c r="T44" s="52">
        <v>0</v>
      </c>
      <c r="U44" s="52">
        <v>0</v>
      </c>
      <c r="V44" s="52">
        <v>194.4</v>
      </c>
      <c r="W44" s="52">
        <v>194.4</v>
      </c>
      <c r="X44" s="52">
        <v>77.760000000000005</v>
      </c>
      <c r="Y44" s="52">
        <v>194.4</v>
      </c>
      <c r="Z44" s="52">
        <v>194.4</v>
      </c>
      <c r="AA44" s="52">
        <v>77.760000000000005</v>
      </c>
      <c r="AB44" s="52">
        <v>137.39999999999958</v>
      </c>
      <c r="AC44" s="52">
        <v>174.79999999999961</v>
      </c>
      <c r="AD44" s="52">
        <v>77.759999999999991</v>
      </c>
      <c r="AE44" s="52">
        <v>0</v>
      </c>
      <c r="AF44" s="52">
        <v>0</v>
      </c>
      <c r="AG44" s="52">
        <v>0</v>
      </c>
      <c r="AH44" s="52">
        <v>194.4</v>
      </c>
      <c r="AI44" s="52">
        <v>194.4</v>
      </c>
      <c r="AJ44" s="52">
        <v>77.760000000000005</v>
      </c>
      <c r="AK44" s="52">
        <v>194.4</v>
      </c>
      <c r="AL44" s="52">
        <v>194.4</v>
      </c>
      <c r="AM44" s="52">
        <v>77.760000000000005</v>
      </c>
      <c r="AN44" s="52">
        <v>77.760000000000005</v>
      </c>
      <c r="AO44" s="52">
        <v>77.760000000000005</v>
      </c>
      <c r="AP44" s="52">
        <v>77.760000000000005</v>
      </c>
      <c r="AQ44" s="52">
        <v>0</v>
      </c>
      <c r="AR44" s="52">
        <v>0</v>
      </c>
      <c r="AS44" s="52">
        <v>0</v>
      </c>
      <c r="AT44" s="52">
        <v>194.4</v>
      </c>
      <c r="AU44" s="52">
        <v>194.4</v>
      </c>
      <c r="AV44" s="52">
        <v>77.760000000000005</v>
      </c>
      <c r="AW44" s="52">
        <v>194.4</v>
      </c>
      <c r="AX44" s="52">
        <v>77.760000000000005</v>
      </c>
      <c r="AY44" s="52">
        <v>77.760000000000005</v>
      </c>
      <c r="AZ44" s="52">
        <v>0</v>
      </c>
      <c r="BA44" s="52">
        <v>0</v>
      </c>
      <c r="BB44" s="52">
        <v>0</v>
      </c>
      <c r="BC44" s="52">
        <v>0</v>
      </c>
      <c r="BD44" s="52">
        <v>0</v>
      </c>
      <c r="BE44" s="52">
        <v>0</v>
      </c>
      <c r="BF44" s="52">
        <v>194.4</v>
      </c>
      <c r="BG44" s="52">
        <v>194.4</v>
      </c>
      <c r="BH44" s="52">
        <v>77.760000000000005</v>
      </c>
      <c r="BI44" s="52">
        <v>194.4</v>
      </c>
      <c r="BJ44" s="52">
        <v>119.69999999999969</v>
      </c>
      <c r="BK44" s="52">
        <v>77.760000000000005</v>
      </c>
      <c r="BL44" s="52">
        <v>0</v>
      </c>
      <c r="BM44" s="52">
        <v>0</v>
      </c>
      <c r="BN44" s="52">
        <v>0</v>
      </c>
      <c r="BO44" s="52">
        <v>0</v>
      </c>
      <c r="BP44" s="52">
        <v>0</v>
      </c>
      <c r="BQ44" s="52">
        <v>0</v>
      </c>
      <c r="BR44" s="52">
        <v>194.4</v>
      </c>
      <c r="BS44" s="52">
        <v>77.760000000000005</v>
      </c>
      <c r="BT44" s="52">
        <v>77.760000000000005</v>
      </c>
      <c r="BU44" s="52">
        <v>194.4</v>
      </c>
      <c r="BV44" s="52">
        <v>77.760000000000005</v>
      </c>
      <c r="BW44" s="52">
        <v>77.760000000000005</v>
      </c>
    </row>
    <row r="45" spans="1:75" x14ac:dyDescent="0.3">
      <c r="A45" s="8" t="s">
        <v>89</v>
      </c>
      <c r="B45" s="8" t="s">
        <v>10</v>
      </c>
      <c r="C45" s="8" t="s">
        <v>62</v>
      </c>
      <c r="D45" s="52">
        <v>500</v>
      </c>
      <c r="E45" s="52">
        <v>500</v>
      </c>
      <c r="F45" s="52">
        <v>500</v>
      </c>
      <c r="G45" s="52">
        <v>500</v>
      </c>
      <c r="H45" s="52">
        <v>500</v>
      </c>
      <c r="I45" s="52">
        <v>500</v>
      </c>
      <c r="J45" s="52">
        <v>500</v>
      </c>
      <c r="K45" s="52">
        <v>500</v>
      </c>
      <c r="L45" s="52">
        <v>500</v>
      </c>
      <c r="M45" s="52">
        <v>500</v>
      </c>
      <c r="N45" s="52">
        <v>500</v>
      </c>
      <c r="O45" s="52">
        <v>500</v>
      </c>
      <c r="P45" s="52">
        <v>500</v>
      </c>
      <c r="Q45" s="52">
        <v>500</v>
      </c>
      <c r="R45" s="52">
        <v>500</v>
      </c>
      <c r="S45" s="52">
        <v>500</v>
      </c>
      <c r="T45" s="52">
        <v>500</v>
      </c>
      <c r="U45" s="52">
        <v>500</v>
      </c>
      <c r="V45" s="52">
        <v>500</v>
      </c>
      <c r="W45" s="52">
        <v>500</v>
      </c>
      <c r="X45" s="52">
        <v>500</v>
      </c>
      <c r="Y45" s="52">
        <v>500</v>
      </c>
      <c r="Z45" s="52">
        <v>500</v>
      </c>
      <c r="AA45" s="52">
        <v>500</v>
      </c>
      <c r="AB45" s="52">
        <v>500</v>
      </c>
      <c r="AC45" s="52">
        <v>500</v>
      </c>
      <c r="AD45" s="52">
        <v>500</v>
      </c>
      <c r="AE45" s="52">
        <v>500</v>
      </c>
      <c r="AF45" s="52">
        <v>500</v>
      </c>
      <c r="AG45" s="52">
        <v>500</v>
      </c>
      <c r="AH45" s="52">
        <v>500</v>
      </c>
      <c r="AI45" s="52">
        <v>500</v>
      </c>
      <c r="AJ45" s="52">
        <v>500</v>
      </c>
      <c r="AK45" s="52">
        <v>500</v>
      </c>
      <c r="AL45" s="52">
        <v>500</v>
      </c>
      <c r="AM45" s="52">
        <v>500</v>
      </c>
      <c r="AN45" s="52">
        <v>500</v>
      </c>
      <c r="AO45" s="52">
        <v>500</v>
      </c>
      <c r="AP45" s="52">
        <v>500</v>
      </c>
      <c r="AQ45" s="52">
        <v>500</v>
      </c>
      <c r="AR45" s="52">
        <v>500</v>
      </c>
      <c r="AS45" s="52">
        <v>500</v>
      </c>
      <c r="AT45" s="52">
        <v>500</v>
      </c>
      <c r="AU45" s="52">
        <v>500</v>
      </c>
      <c r="AV45" s="52">
        <v>500</v>
      </c>
      <c r="AW45" s="52">
        <v>500</v>
      </c>
      <c r="AX45" s="52">
        <v>500</v>
      </c>
      <c r="AY45" s="52">
        <v>500</v>
      </c>
      <c r="AZ45" s="52">
        <v>500</v>
      </c>
      <c r="BA45" s="52">
        <v>500</v>
      </c>
      <c r="BB45" s="52">
        <v>500</v>
      </c>
      <c r="BC45" s="52">
        <v>500</v>
      </c>
      <c r="BD45" s="52">
        <v>500</v>
      </c>
      <c r="BE45" s="52">
        <v>500</v>
      </c>
      <c r="BF45" s="52">
        <v>500</v>
      </c>
      <c r="BG45" s="52">
        <v>500</v>
      </c>
      <c r="BH45" s="52">
        <v>441.24902654867253</v>
      </c>
      <c r="BI45" s="52">
        <v>500</v>
      </c>
      <c r="BJ45" s="52">
        <v>500</v>
      </c>
      <c r="BK45" s="52">
        <v>399.60902654867283</v>
      </c>
      <c r="BL45" s="52">
        <v>500</v>
      </c>
      <c r="BM45" s="52">
        <v>500</v>
      </c>
      <c r="BN45" s="52">
        <v>500</v>
      </c>
      <c r="BO45" s="52">
        <v>500</v>
      </c>
      <c r="BP45" s="52">
        <v>500</v>
      </c>
      <c r="BQ45" s="52">
        <v>461.90000000000089</v>
      </c>
      <c r="BR45" s="52">
        <v>500</v>
      </c>
      <c r="BS45" s="52">
        <v>500</v>
      </c>
      <c r="BT45" s="52">
        <v>369.94000000000102</v>
      </c>
      <c r="BU45" s="52">
        <v>500</v>
      </c>
      <c r="BV45" s="52">
        <v>500</v>
      </c>
      <c r="BW45" s="52">
        <v>217.24000000000143</v>
      </c>
    </row>
    <row r="46" spans="1:75" x14ac:dyDescent="0.3">
      <c r="A46" s="8" t="s">
        <v>89</v>
      </c>
      <c r="B46" s="8" t="s">
        <v>10</v>
      </c>
      <c r="C46" s="8" t="s">
        <v>63</v>
      </c>
      <c r="D46" s="52">
        <v>500</v>
      </c>
      <c r="E46" s="52">
        <v>500</v>
      </c>
      <c r="F46" s="52">
        <v>100</v>
      </c>
      <c r="G46" s="52">
        <v>500</v>
      </c>
      <c r="H46" s="52">
        <v>387.84</v>
      </c>
      <c r="I46" s="52">
        <v>100</v>
      </c>
      <c r="J46" s="52">
        <v>500</v>
      </c>
      <c r="K46" s="52">
        <v>500</v>
      </c>
      <c r="L46" s="52">
        <v>100</v>
      </c>
      <c r="M46" s="52">
        <v>500</v>
      </c>
      <c r="N46" s="52">
        <v>463.70000000000078</v>
      </c>
      <c r="O46" s="52">
        <v>100</v>
      </c>
      <c r="P46" s="52">
        <v>500</v>
      </c>
      <c r="Q46" s="52">
        <v>500</v>
      </c>
      <c r="R46" s="52">
        <v>100</v>
      </c>
      <c r="S46" s="52">
        <v>500</v>
      </c>
      <c r="T46" s="52">
        <v>500</v>
      </c>
      <c r="U46" s="52">
        <v>100</v>
      </c>
      <c r="V46" s="52">
        <v>433.29999999999944</v>
      </c>
      <c r="W46" s="52">
        <v>361.90000000000043</v>
      </c>
      <c r="X46" s="52">
        <v>100</v>
      </c>
      <c r="Y46" s="52">
        <v>0</v>
      </c>
      <c r="Z46" s="52">
        <v>0</v>
      </c>
      <c r="AA46" s="52">
        <v>0</v>
      </c>
      <c r="AB46" s="52">
        <v>500</v>
      </c>
      <c r="AC46" s="52">
        <v>500</v>
      </c>
      <c r="AD46" s="52">
        <v>100</v>
      </c>
      <c r="AE46" s="52">
        <v>0</v>
      </c>
      <c r="AF46" s="52">
        <v>0</v>
      </c>
      <c r="AG46" s="52">
        <v>0</v>
      </c>
      <c r="AH46" s="52">
        <v>500</v>
      </c>
      <c r="AI46" s="52">
        <v>500</v>
      </c>
      <c r="AJ46" s="52">
        <v>100</v>
      </c>
      <c r="AK46" s="52">
        <v>0</v>
      </c>
      <c r="AL46" s="52">
        <v>0</v>
      </c>
      <c r="AM46" s="52">
        <v>0</v>
      </c>
      <c r="AN46" s="52">
        <v>500</v>
      </c>
      <c r="AO46" s="52">
        <v>500</v>
      </c>
      <c r="AP46" s="52">
        <v>361.713867448683</v>
      </c>
      <c r="AQ46" s="52">
        <v>500</v>
      </c>
      <c r="AR46" s="52">
        <v>500</v>
      </c>
      <c r="AS46" s="52">
        <v>361.713867448683</v>
      </c>
      <c r="AT46" s="52">
        <v>500</v>
      </c>
      <c r="AU46" s="52">
        <v>500</v>
      </c>
      <c r="AV46" s="52">
        <v>231.13999999999993</v>
      </c>
      <c r="AW46" s="52">
        <v>500</v>
      </c>
      <c r="AX46" s="52">
        <v>500</v>
      </c>
      <c r="AY46" s="52">
        <v>231.13999999999993</v>
      </c>
      <c r="AZ46" s="52">
        <v>500</v>
      </c>
      <c r="BA46" s="52">
        <v>500</v>
      </c>
      <c r="BB46" s="52">
        <v>318.88181818181852</v>
      </c>
      <c r="BC46" s="52">
        <v>500</v>
      </c>
      <c r="BD46" s="52">
        <v>500</v>
      </c>
      <c r="BE46" s="52">
        <v>318.88181818181852</v>
      </c>
      <c r="BF46" s="52">
        <v>500</v>
      </c>
      <c r="BG46" s="52">
        <v>500</v>
      </c>
      <c r="BH46" s="52">
        <v>100</v>
      </c>
      <c r="BI46" s="52">
        <v>0</v>
      </c>
      <c r="BJ46" s="52">
        <v>0</v>
      </c>
      <c r="BK46" s="52">
        <v>0</v>
      </c>
      <c r="BL46" s="52">
        <v>500</v>
      </c>
      <c r="BM46" s="52">
        <v>500</v>
      </c>
      <c r="BN46" s="52">
        <v>133.09041187384051</v>
      </c>
      <c r="BO46" s="52">
        <v>500</v>
      </c>
      <c r="BP46" s="52">
        <v>391.80000000000047</v>
      </c>
      <c r="BQ46" s="52">
        <v>100</v>
      </c>
      <c r="BR46" s="52">
        <v>500</v>
      </c>
      <c r="BS46" s="52">
        <v>500</v>
      </c>
      <c r="BT46" s="52">
        <v>100</v>
      </c>
      <c r="BU46" s="52">
        <v>500</v>
      </c>
      <c r="BV46" s="52">
        <v>364.60407032966953</v>
      </c>
      <c r="BW46" s="52">
        <v>100</v>
      </c>
    </row>
    <row r="47" spans="1:75" x14ac:dyDescent="0.3">
      <c r="A47" s="8" t="s">
        <v>89</v>
      </c>
      <c r="B47" s="8" t="s">
        <v>10</v>
      </c>
      <c r="C47" s="8" t="s">
        <v>64</v>
      </c>
      <c r="D47" s="52">
        <v>500</v>
      </c>
      <c r="E47" s="52">
        <v>500</v>
      </c>
      <c r="F47" s="52">
        <v>100</v>
      </c>
      <c r="G47" s="52">
        <v>0</v>
      </c>
      <c r="H47" s="52">
        <v>0</v>
      </c>
      <c r="I47" s="52">
        <v>0</v>
      </c>
      <c r="J47" s="52">
        <v>500</v>
      </c>
      <c r="K47" s="52">
        <v>500</v>
      </c>
      <c r="L47" s="52">
        <v>100</v>
      </c>
      <c r="M47" s="52">
        <v>0</v>
      </c>
      <c r="N47" s="52">
        <v>0</v>
      </c>
      <c r="O47" s="52">
        <v>0</v>
      </c>
      <c r="P47" s="52">
        <v>404.29999999999978</v>
      </c>
      <c r="Q47" s="52">
        <v>426.19999999999902</v>
      </c>
      <c r="R47" s="52">
        <v>100</v>
      </c>
      <c r="S47" s="52">
        <v>0</v>
      </c>
      <c r="T47" s="52">
        <v>0</v>
      </c>
      <c r="U47" s="52">
        <v>0</v>
      </c>
      <c r="V47" s="52">
        <v>0</v>
      </c>
      <c r="W47" s="52">
        <v>0</v>
      </c>
      <c r="X47" s="52">
        <v>0</v>
      </c>
      <c r="Y47" s="52">
        <v>0</v>
      </c>
      <c r="Z47" s="52">
        <v>0</v>
      </c>
      <c r="AA47" s="52">
        <v>0</v>
      </c>
      <c r="AB47" s="52">
        <v>0</v>
      </c>
      <c r="AC47" s="52">
        <v>0</v>
      </c>
      <c r="AD47" s="52">
        <v>0</v>
      </c>
      <c r="AE47" s="52">
        <v>0</v>
      </c>
      <c r="AF47" s="52">
        <v>0</v>
      </c>
      <c r="AG47" s="52">
        <v>0</v>
      </c>
      <c r="AH47" s="52">
        <v>0</v>
      </c>
      <c r="AI47" s="52">
        <v>0</v>
      </c>
      <c r="AJ47" s="52">
        <v>0</v>
      </c>
      <c r="AK47" s="52">
        <v>0</v>
      </c>
      <c r="AL47" s="52">
        <v>0</v>
      </c>
      <c r="AM47" s="52">
        <v>0</v>
      </c>
      <c r="AN47" s="52">
        <v>482.43999999999937</v>
      </c>
      <c r="AO47" s="52">
        <v>408.84000000000174</v>
      </c>
      <c r="AP47" s="52">
        <v>100</v>
      </c>
      <c r="AQ47" s="52">
        <v>0</v>
      </c>
      <c r="AR47" s="52">
        <v>0</v>
      </c>
      <c r="AS47" s="52">
        <v>0</v>
      </c>
      <c r="AT47" s="52">
        <v>0</v>
      </c>
      <c r="AU47" s="52">
        <v>0</v>
      </c>
      <c r="AV47" s="52">
        <v>0</v>
      </c>
      <c r="AW47" s="52">
        <v>0</v>
      </c>
      <c r="AX47" s="52">
        <v>0</v>
      </c>
      <c r="AY47" s="52">
        <v>0</v>
      </c>
      <c r="AZ47" s="52">
        <v>500</v>
      </c>
      <c r="BA47" s="52">
        <v>481.89999999999958</v>
      </c>
      <c r="BB47" s="52">
        <v>100</v>
      </c>
      <c r="BC47" s="52">
        <v>0</v>
      </c>
      <c r="BD47" s="52">
        <v>0</v>
      </c>
      <c r="BE47" s="52">
        <v>0</v>
      </c>
      <c r="BF47" s="52">
        <v>0</v>
      </c>
      <c r="BG47" s="52">
        <v>0</v>
      </c>
      <c r="BH47" s="52">
        <v>0</v>
      </c>
      <c r="BI47" s="52">
        <v>0</v>
      </c>
      <c r="BJ47" s="52">
        <v>0</v>
      </c>
      <c r="BK47" s="52">
        <v>0</v>
      </c>
      <c r="BL47" s="52">
        <v>500</v>
      </c>
      <c r="BM47" s="52">
        <v>434.77630476190427</v>
      </c>
      <c r="BN47" s="52">
        <v>100</v>
      </c>
      <c r="BO47" s="52">
        <v>0</v>
      </c>
      <c r="BP47" s="52">
        <v>0</v>
      </c>
      <c r="BQ47" s="52">
        <v>0</v>
      </c>
      <c r="BR47" s="52">
        <v>500</v>
      </c>
      <c r="BS47" s="52">
        <v>361.84000000000037</v>
      </c>
      <c r="BT47" s="52">
        <v>100</v>
      </c>
      <c r="BU47" s="52">
        <v>0</v>
      </c>
      <c r="BV47" s="52">
        <v>0</v>
      </c>
      <c r="BW47" s="52">
        <v>0</v>
      </c>
    </row>
    <row r="48" spans="1:75" x14ac:dyDescent="0.3">
      <c r="A48" s="8" t="s">
        <v>89</v>
      </c>
      <c r="B48" s="8" t="s">
        <v>10</v>
      </c>
      <c r="C48" s="8" t="s">
        <v>65</v>
      </c>
      <c r="D48" s="52">
        <v>667.5</v>
      </c>
      <c r="E48" s="52">
        <v>667.5</v>
      </c>
      <c r="F48" s="52">
        <v>667.5</v>
      </c>
      <c r="G48" s="52">
        <v>667.5</v>
      </c>
      <c r="H48" s="52">
        <v>667.5</v>
      </c>
      <c r="I48" s="52">
        <v>667.5</v>
      </c>
      <c r="J48" s="52">
        <v>667.5</v>
      </c>
      <c r="K48" s="52">
        <v>667.5</v>
      </c>
      <c r="L48" s="52">
        <v>667.5</v>
      </c>
      <c r="M48" s="52">
        <v>667.5</v>
      </c>
      <c r="N48" s="52">
        <v>667.5</v>
      </c>
      <c r="O48" s="52">
        <v>667.5</v>
      </c>
      <c r="P48" s="52">
        <v>667.5</v>
      </c>
      <c r="Q48" s="52">
        <v>667.5</v>
      </c>
      <c r="R48" s="52">
        <v>667.5</v>
      </c>
      <c r="S48" s="52">
        <v>667.5</v>
      </c>
      <c r="T48" s="52">
        <v>667.5</v>
      </c>
      <c r="U48" s="52">
        <v>667.5</v>
      </c>
      <c r="V48" s="52">
        <v>667.5</v>
      </c>
      <c r="W48" s="52">
        <v>667.5</v>
      </c>
      <c r="X48" s="52">
        <v>667.5</v>
      </c>
      <c r="Y48" s="52">
        <v>667.5</v>
      </c>
      <c r="Z48" s="52">
        <v>667.5</v>
      </c>
      <c r="AA48" s="52">
        <v>667.5</v>
      </c>
      <c r="AB48" s="52">
        <v>667.5</v>
      </c>
      <c r="AC48" s="52">
        <v>667.5</v>
      </c>
      <c r="AD48" s="52">
        <v>667.5</v>
      </c>
      <c r="AE48" s="52">
        <v>667.5</v>
      </c>
      <c r="AF48" s="52">
        <v>667.5</v>
      </c>
      <c r="AG48" s="52">
        <v>667.5</v>
      </c>
      <c r="AH48" s="52">
        <v>667.5</v>
      </c>
      <c r="AI48" s="52">
        <v>667.5</v>
      </c>
      <c r="AJ48" s="52">
        <v>667.5</v>
      </c>
      <c r="AK48" s="52">
        <v>667.5</v>
      </c>
      <c r="AL48" s="52">
        <v>667.5</v>
      </c>
      <c r="AM48" s="52">
        <v>667.5</v>
      </c>
      <c r="AN48" s="52">
        <v>667.5</v>
      </c>
      <c r="AO48" s="52">
        <v>667.5</v>
      </c>
      <c r="AP48" s="52">
        <v>667.5</v>
      </c>
      <c r="AQ48" s="52">
        <v>667.5</v>
      </c>
      <c r="AR48" s="52">
        <v>667.5</v>
      </c>
      <c r="AS48" s="52">
        <v>667.5</v>
      </c>
      <c r="AT48" s="52">
        <v>667.5</v>
      </c>
      <c r="AU48" s="52">
        <v>667.5</v>
      </c>
      <c r="AV48" s="52">
        <v>667.5</v>
      </c>
      <c r="AW48" s="52">
        <v>667.5</v>
      </c>
      <c r="AX48" s="52">
        <v>667.5</v>
      </c>
      <c r="AY48" s="52">
        <v>667.5</v>
      </c>
      <c r="AZ48" s="52">
        <v>667.5</v>
      </c>
      <c r="BA48" s="52">
        <v>667.5</v>
      </c>
      <c r="BB48" s="52">
        <v>667.5</v>
      </c>
      <c r="BC48" s="52">
        <v>667.5</v>
      </c>
      <c r="BD48" s="52">
        <v>667.5</v>
      </c>
      <c r="BE48" s="52">
        <v>667.5</v>
      </c>
      <c r="BF48" s="52">
        <v>667.5</v>
      </c>
      <c r="BG48" s="52">
        <v>667.5</v>
      </c>
      <c r="BH48" s="52">
        <v>667.5</v>
      </c>
      <c r="BI48" s="52">
        <v>667.5</v>
      </c>
      <c r="BJ48" s="52">
        <v>667.5</v>
      </c>
      <c r="BK48" s="52">
        <v>667.5</v>
      </c>
      <c r="BL48" s="52">
        <v>667.5</v>
      </c>
      <c r="BM48" s="52">
        <v>667.5</v>
      </c>
      <c r="BN48" s="52">
        <v>667.5</v>
      </c>
      <c r="BO48" s="52">
        <v>667.5</v>
      </c>
      <c r="BP48" s="52">
        <v>667.5</v>
      </c>
      <c r="BQ48" s="52">
        <v>667.5</v>
      </c>
      <c r="BR48" s="52">
        <v>667.5</v>
      </c>
      <c r="BS48" s="52">
        <v>667.5</v>
      </c>
      <c r="BT48" s="52">
        <v>667.5</v>
      </c>
      <c r="BU48" s="52">
        <v>667.5</v>
      </c>
      <c r="BV48" s="52">
        <v>667.5</v>
      </c>
      <c r="BW48" s="52">
        <v>667.5</v>
      </c>
    </row>
    <row r="49" spans="1:75" x14ac:dyDescent="0.3">
      <c r="A49" s="8" t="s">
        <v>89</v>
      </c>
      <c r="B49" s="8" t="s">
        <v>10</v>
      </c>
      <c r="C49" s="8" t="s">
        <v>66</v>
      </c>
      <c r="D49" s="52">
        <v>0</v>
      </c>
      <c r="E49" s="52">
        <v>0</v>
      </c>
      <c r="F49" s="52">
        <v>0</v>
      </c>
      <c r="G49" s="52">
        <v>0</v>
      </c>
      <c r="H49" s="52">
        <v>0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v>0</v>
      </c>
      <c r="O49" s="52">
        <v>0</v>
      </c>
      <c r="P49" s="52">
        <v>0</v>
      </c>
      <c r="Q49" s="52">
        <v>0</v>
      </c>
      <c r="R49" s="52">
        <v>0</v>
      </c>
      <c r="S49" s="52">
        <v>0</v>
      </c>
      <c r="T49" s="52">
        <v>0</v>
      </c>
      <c r="U49" s="52">
        <v>0</v>
      </c>
      <c r="V49" s="52">
        <v>0</v>
      </c>
      <c r="W49" s="52">
        <v>0</v>
      </c>
      <c r="X49" s="52">
        <v>0</v>
      </c>
      <c r="Y49" s="52">
        <v>0</v>
      </c>
      <c r="Z49" s="52">
        <v>0</v>
      </c>
      <c r="AA49" s="52">
        <v>0</v>
      </c>
      <c r="AB49" s="52">
        <v>0</v>
      </c>
      <c r="AC49" s="52">
        <v>0</v>
      </c>
      <c r="AD49" s="52">
        <v>0</v>
      </c>
      <c r="AE49" s="52">
        <v>0</v>
      </c>
      <c r="AF49" s="52">
        <v>0</v>
      </c>
      <c r="AG49" s="52">
        <v>0</v>
      </c>
      <c r="AH49" s="52">
        <v>0</v>
      </c>
      <c r="AI49" s="52">
        <v>0</v>
      </c>
      <c r="AJ49" s="52">
        <v>0</v>
      </c>
      <c r="AK49" s="52">
        <v>0</v>
      </c>
      <c r="AL49" s="52">
        <v>0</v>
      </c>
      <c r="AM49" s="52">
        <v>0</v>
      </c>
      <c r="AN49" s="52">
        <v>0</v>
      </c>
      <c r="AO49" s="52">
        <v>0</v>
      </c>
      <c r="AP49" s="52">
        <v>0</v>
      </c>
      <c r="AQ49" s="52">
        <v>0</v>
      </c>
      <c r="AR49" s="52">
        <v>0</v>
      </c>
      <c r="AS49" s="52">
        <v>0</v>
      </c>
      <c r="AT49" s="52">
        <v>0</v>
      </c>
      <c r="AU49" s="52">
        <v>0</v>
      </c>
      <c r="AV49" s="52">
        <v>0</v>
      </c>
      <c r="AW49" s="52">
        <v>0</v>
      </c>
      <c r="AX49" s="52">
        <v>0</v>
      </c>
      <c r="AY49" s="52">
        <v>0</v>
      </c>
      <c r="AZ49" s="52">
        <v>0</v>
      </c>
      <c r="BA49" s="52">
        <v>0</v>
      </c>
      <c r="BB49" s="52">
        <v>0</v>
      </c>
      <c r="BC49" s="52">
        <v>0</v>
      </c>
      <c r="BD49" s="52">
        <v>0</v>
      </c>
      <c r="BE49" s="52">
        <v>0</v>
      </c>
      <c r="BF49" s="52">
        <v>0</v>
      </c>
      <c r="BG49" s="52">
        <v>0</v>
      </c>
      <c r="BH49" s="52">
        <v>0</v>
      </c>
      <c r="BI49" s="52">
        <v>0</v>
      </c>
      <c r="BJ49" s="52">
        <v>0</v>
      </c>
      <c r="BK49" s="52">
        <v>0</v>
      </c>
      <c r="BL49" s="52">
        <v>0</v>
      </c>
      <c r="BM49" s="52">
        <v>0</v>
      </c>
      <c r="BN49" s="52">
        <v>0</v>
      </c>
      <c r="BO49" s="52">
        <v>0</v>
      </c>
      <c r="BP49" s="52">
        <v>0</v>
      </c>
      <c r="BQ49" s="52">
        <v>0</v>
      </c>
      <c r="BR49" s="52">
        <v>0</v>
      </c>
      <c r="BS49" s="52">
        <v>0</v>
      </c>
      <c r="BT49" s="52">
        <v>0</v>
      </c>
      <c r="BU49" s="52">
        <v>0</v>
      </c>
      <c r="BV49" s="52">
        <v>0</v>
      </c>
      <c r="BW49" s="52">
        <v>0</v>
      </c>
    </row>
    <row r="50" spans="1:75" x14ac:dyDescent="0.3">
      <c r="A50" s="8" t="s">
        <v>89</v>
      </c>
      <c r="B50" s="8" t="s">
        <v>10</v>
      </c>
      <c r="C50" s="8" t="s">
        <v>67</v>
      </c>
      <c r="D50" s="52">
        <v>0</v>
      </c>
      <c r="E50" s="52">
        <v>0</v>
      </c>
      <c r="F50" s="52">
        <v>0</v>
      </c>
      <c r="G50" s="52">
        <v>0</v>
      </c>
      <c r="H50" s="52">
        <v>0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2">
        <v>0</v>
      </c>
      <c r="O50" s="52">
        <v>0</v>
      </c>
      <c r="P50" s="52">
        <v>0</v>
      </c>
      <c r="Q50" s="52">
        <v>0</v>
      </c>
      <c r="R50" s="52">
        <v>0</v>
      </c>
      <c r="S50" s="52">
        <v>0</v>
      </c>
      <c r="T50" s="52">
        <v>0</v>
      </c>
      <c r="U50" s="52">
        <v>0</v>
      </c>
      <c r="V50" s="52">
        <v>0</v>
      </c>
      <c r="W50" s="52">
        <v>0</v>
      </c>
      <c r="X50" s="52">
        <v>0</v>
      </c>
      <c r="Y50" s="52">
        <v>0</v>
      </c>
      <c r="Z50" s="52">
        <v>0</v>
      </c>
      <c r="AA50" s="52">
        <v>0</v>
      </c>
      <c r="AB50" s="52">
        <v>0</v>
      </c>
      <c r="AC50" s="52">
        <v>0</v>
      </c>
      <c r="AD50" s="52">
        <v>0</v>
      </c>
      <c r="AE50" s="52">
        <v>0</v>
      </c>
      <c r="AF50" s="52">
        <v>0</v>
      </c>
      <c r="AG50" s="52">
        <v>0</v>
      </c>
      <c r="AH50" s="52">
        <v>0</v>
      </c>
      <c r="AI50" s="52">
        <v>0</v>
      </c>
      <c r="AJ50" s="52">
        <v>0</v>
      </c>
      <c r="AK50" s="52">
        <v>0</v>
      </c>
      <c r="AL50" s="52">
        <v>0</v>
      </c>
      <c r="AM50" s="52">
        <v>0</v>
      </c>
      <c r="AN50" s="52">
        <v>0</v>
      </c>
      <c r="AO50" s="52">
        <v>0</v>
      </c>
      <c r="AP50" s="52">
        <v>0</v>
      </c>
      <c r="AQ50" s="52">
        <v>0</v>
      </c>
      <c r="AR50" s="52">
        <v>0</v>
      </c>
      <c r="AS50" s="52">
        <v>0</v>
      </c>
      <c r="AT50" s="52">
        <v>0</v>
      </c>
      <c r="AU50" s="52">
        <v>0</v>
      </c>
      <c r="AV50" s="52">
        <v>0</v>
      </c>
      <c r="AW50" s="52">
        <v>0</v>
      </c>
      <c r="AX50" s="52">
        <v>0</v>
      </c>
      <c r="AY50" s="52">
        <v>0</v>
      </c>
      <c r="AZ50" s="52">
        <v>0</v>
      </c>
      <c r="BA50" s="52">
        <v>0</v>
      </c>
      <c r="BB50" s="52">
        <v>0</v>
      </c>
      <c r="BC50" s="52">
        <v>0</v>
      </c>
      <c r="BD50" s="52">
        <v>0</v>
      </c>
      <c r="BE50" s="52">
        <v>0</v>
      </c>
      <c r="BF50" s="52">
        <v>0</v>
      </c>
      <c r="BG50" s="52">
        <v>0</v>
      </c>
      <c r="BH50" s="52">
        <v>0</v>
      </c>
      <c r="BI50" s="52">
        <v>0</v>
      </c>
      <c r="BJ50" s="52">
        <v>0</v>
      </c>
      <c r="BK50" s="52">
        <v>0</v>
      </c>
      <c r="BL50" s="52">
        <v>0</v>
      </c>
      <c r="BM50" s="52">
        <v>0</v>
      </c>
      <c r="BN50" s="52">
        <v>0</v>
      </c>
      <c r="BO50" s="52">
        <v>0</v>
      </c>
      <c r="BP50" s="52">
        <v>0</v>
      </c>
      <c r="BQ50" s="52">
        <v>0</v>
      </c>
      <c r="BR50" s="52">
        <v>0</v>
      </c>
      <c r="BS50" s="52">
        <v>0</v>
      </c>
      <c r="BT50" s="52">
        <v>0</v>
      </c>
      <c r="BU50" s="52">
        <v>0</v>
      </c>
      <c r="BV50" s="52">
        <v>0</v>
      </c>
      <c r="BW50" s="52">
        <v>0</v>
      </c>
    </row>
    <row r="51" spans="1:75" x14ac:dyDescent="0.3">
      <c r="A51" s="8" t="s">
        <v>89</v>
      </c>
      <c r="B51" s="8" t="s">
        <v>10</v>
      </c>
      <c r="C51" s="8" t="s">
        <v>68</v>
      </c>
      <c r="D51" s="52">
        <v>0</v>
      </c>
      <c r="E51" s="52">
        <v>0</v>
      </c>
      <c r="F51" s="52">
        <v>0</v>
      </c>
      <c r="G51" s="52">
        <v>0</v>
      </c>
      <c r="H51" s="52">
        <v>0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2">
        <v>0</v>
      </c>
      <c r="O51" s="52">
        <v>0</v>
      </c>
      <c r="P51" s="52">
        <v>0</v>
      </c>
      <c r="Q51" s="52">
        <v>0</v>
      </c>
      <c r="R51" s="52">
        <v>0</v>
      </c>
      <c r="S51" s="52">
        <v>0</v>
      </c>
      <c r="T51" s="52">
        <v>0</v>
      </c>
      <c r="U51" s="52">
        <v>0</v>
      </c>
      <c r="V51" s="52">
        <v>0</v>
      </c>
      <c r="W51" s="52">
        <v>0</v>
      </c>
      <c r="X51" s="52">
        <v>0</v>
      </c>
      <c r="Y51" s="52">
        <v>0</v>
      </c>
      <c r="Z51" s="52">
        <v>0</v>
      </c>
      <c r="AA51" s="52">
        <v>0</v>
      </c>
      <c r="AB51" s="52">
        <v>0</v>
      </c>
      <c r="AC51" s="52">
        <v>0</v>
      </c>
      <c r="AD51" s="52">
        <v>0</v>
      </c>
      <c r="AE51" s="52">
        <v>0</v>
      </c>
      <c r="AF51" s="52">
        <v>0</v>
      </c>
      <c r="AG51" s="52">
        <v>0</v>
      </c>
      <c r="AH51" s="52">
        <v>0</v>
      </c>
      <c r="AI51" s="52">
        <v>0</v>
      </c>
      <c r="AJ51" s="52">
        <v>0</v>
      </c>
      <c r="AK51" s="52">
        <v>0</v>
      </c>
      <c r="AL51" s="52">
        <v>0</v>
      </c>
      <c r="AM51" s="52">
        <v>0</v>
      </c>
      <c r="AN51" s="52">
        <v>0</v>
      </c>
      <c r="AO51" s="52">
        <v>0</v>
      </c>
      <c r="AP51" s="52">
        <v>0</v>
      </c>
      <c r="AQ51" s="52">
        <v>0</v>
      </c>
      <c r="AR51" s="52">
        <v>0</v>
      </c>
      <c r="AS51" s="52">
        <v>0</v>
      </c>
      <c r="AT51" s="52">
        <v>0</v>
      </c>
      <c r="AU51" s="52">
        <v>0</v>
      </c>
      <c r="AV51" s="52">
        <v>0</v>
      </c>
      <c r="AW51" s="52">
        <v>0</v>
      </c>
      <c r="AX51" s="52">
        <v>0</v>
      </c>
      <c r="AY51" s="52">
        <v>0</v>
      </c>
      <c r="AZ51" s="52">
        <v>0</v>
      </c>
      <c r="BA51" s="52">
        <v>0</v>
      </c>
      <c r="BB51" s="52">
        <v>0</v>
      </c>
      <c r="BC51" s="52">
        <v>0</v>
      </c>
      <c r="BD51" s="52">
        <v>0</v>
      </c>
      <c r="BE51" s="52">
        <v>0</v>
      </c>
      <c r="BF51" s="52">
        <v>0</v>
      </c>
      <c r="BG51" s="52">
        <v>0</v>
      </c>
      <c r="BH51" s="52">
        <v>0</v>
      </c>
      <c r="BI51" s="52">
        <v>0</v>
      </c>
      <c r="BJ51" s="52">
        <v>0</v>
      </c>
      <c r="BK51" s="52">
        <v>0</v>
      </c>
      <c r="BL51" s="52">
        <v>0</v>
      </c>
      <c r="BM51" s="52">
        <v>0</v>
      </c>
      <c r="BN51" s="52">
        <v>0</v>
      </c>
      <c r="BO51" s="52">
        <v>0</v>
      </c>
      <c r="BP51" s="52">
        <v>0</v>
      </c>
      <c r="BQ51" s="52">
        <v>0</v>
      </c>
      <c r="BR51" s="52">
        <v>0</v>
      </c>
      <c r="BS51" s="52">
        <v>0</v>
      </c>
      <c r="BT51" s="52">
        <v>0</v>
      </c>
      <c r="BU51" s="52">
        <v>0</v>
      </c>
      <c r="BV51" s="52">
        <v>0</v>
      </c>
      <c r="BW51" s="52">
        <v>0</v>
      </c>
    </row>
    <row r="52" spans="1:75" x14ac:dyDescent="0.3">
      <c r="A52" s="8" t="s">
        <v>89</v>
      </c>
      <c r="B52" s="8" t="s">
        <v>10</v>
      </c>
      <c r="C52" s="8" t="s">
        <v>69</v>
      </c>
      <c r="D52" s="52">
        <v>0</v>
      </c>
      <c r="E52" s="52">
        <v>0</v>
      </c>
      <c r="F52" s="52">
        <v>0</v>
      </c>
      <c r="G52" s="52">
        <v>0</v>
      </c>
      <c r="H52" s="52">
        <v>0</v>
      </c>
      <c r="I52" s="52">
        <v>0</v>
      </c>
      <c r="J52" s="52">
        <v>0</v>
      </c>
      <c r="K52" s="52">
        <v>0</v>
      </c>
      <c r="L52" s="52">
        <v>0</v>
      </c>
      <c r="M52" s="52">
        <v>0</v>
      </c>
      <c r="N52" s="52">
        <v>0</v>
      </c>
      <c r="O52" s="52">
        <v>0</v>
      </c>
      <c r="P52" s="52">
        <v>0</v>
      </c>
      <c r="Q52" s="52">
        <v>0</v>
      </c>
      <c r="R52" s="52">
        <v>0</v>
      </c>
      <c r="S52" s="52">
        <v>0</v>
      </c>
      <c r="T52" s="52">
        <v>0</v>
      </c>
      <c r="U52" s="52">
        <v>0</v>
      </c>
      <c r="V52" s="52">
        <v>0</v>
      </c>
      <c r="W52" s="52">
        <v>0</v>
      </c>
      <c r="X52" s="52">
        <v>0</v>
      </c>
      <c r="Y52" s="52">
        <v>0</v>
      </c>
      <c r="Z52" s="52">
        <v>0</v>
      </c>
      <c r="AA52" s="52">
        <v>0</v>
      </c>
      <c r="AB52" s="52">
        <v>0</v>
      </c>
      <c r="AC52" s="52">
        <v>0</v>
      </c>
      <c r="AD52" s="52">
        <v>0</v>
      </c>
      <c r="AE52" s="52">
        <v>0</v>
      </c>
      <c r="AF52" s="52">
        <v>0</v>
      </c>
      <c r="AG52" s="52">
        <v>0</v>
      </c>
      <c r="AH52" s="52">
        <v>0</v>
      </c>
      <c r="AI52" s="52">
        <v>0</v>
      </c>
      <c r="AJ52" s="52">
        <v>0</v>
      </c>
      <c r="AK52" s="52">
        <v>0</v>
      </c>
      <c r="AL52" s="52">
        <v>0</v>
      </c>
      <c r="AM52" s="52">
        <v>0</v>
      </c>
      <c r="AN52" s="52">
        <v>0</v>
      </c>
      <c r="AO52" s="52">
        <v>0</v>
      </c>
      <c r="AP52" s="52">
        <v>0</v>
      </c>
      <c r="AQ52" s="52">
        <v>0</v>
      </c>
      <c r="AR52" s="52">
        <v>0</v>
      </c>
      <c r="AS52" s="52">
        <v>0</v>
      </c>
      <c r="AT52" s="52">
        <v>0</v>
      </c>
      <c r="AU52" s="52">
        <v>0</v>
      </c>
      <c r="AV52" s="52">
        <v>0</v>
      </c>
      <c r="AW52" s="52">
        <v>0</v>
      </c>
      <c r="AX52" s="52">
        <v>0</v>
      </c>
      <c r="AY52" s="52">
        <v>0</v>
      </c>
      <c r="AZ52" s="52">
        <v>0</v>
      </c>
      <c r="BA52" s="52">
        <v>0</v>
      </c>
      <c r="BB52" s="52">
        <v>0</v>
      </c>
      <c r="BC52" s="52">
        <v>0</v>
      </c>
      <c r="BD52" s="52">
        <v>0</v>
      </c>
      <c r="BE52" s="52">
        <v>0</v>
      </c>
      <c r="BF52" s="52">
        <v>0</v>
      </c>
      <c r="BG52" s="52">
        <v>0</v>
      </c>
      <c r="BH52" s="52">
        <v>0</v>
      </c>
      <c r="BI52" s="52">
        <v>0</v>
      </c>
      <c r="BJ52" s="52">
        <v>0</v>
      </c>
      <c r="BK52" s="52">
        <v>0</v>
      </c>
      <c r="BL52" s="52">
        <v>0</v>
      </c>
      <c r="BM52" s="52">
        <v>0</v>
      </c>
      <c r="BN52" s="52">
        <v>0</v>
      </c>
      <c r="BO52" s="52">
        <v>0</v>
      </c>
      <c r="BP52" s="52">
        <v>0</v>
      </c>
      <c r="BQ52" s="52">
        <v>0</v>
      </c>
      <c r="BR52" s="52">
        <v>0</v>
      </c>
      <c r="BS52" s="52">
        <v>0</v>
      </c>
      <c r="BT52" s="52">
        <v>0</v>
      </c>
      <c r="BU52" s="52">
        <v>0</v>
      </c>
      <c r="BV52" s="52">
        <v>0</v>
      </c>
      <c r="BW52" s="52">
        <v>0</v>
      </c>
    </row>
    <row r="53" spans="1:75" x14ac:dyDescent="0.3">
      <c r="A53" s="8" t="s">
        <v>89</v>
      </c>
      <c r="B53" s="8" t="s">
        <v>10</v>
      </c>
      <c r="C53" s="8" t="s">
        <v>27</v>
      </c>
      <c r="D53" s="52">
        <v>150</v>
      </c>
      <c r="E53" s="52">
        <v>150</v>
      </c>
      <c r="F53" s="52">
        <v>150</v>
      </c>
      <c r="G53" s="52">
        <v>150</v>
      </c>
      <c r="H53" s="52">
        <v>150</v>
      </c>
      <c r="I53" s="52">
        <v>67.333333333333471</v>
      </c>
      <c r="J53" s="52">
        <v>150</v>
      </c>
      <c r="K53" s="52">
        <v>150</v>
      </c>
      <c r="L53" s="52">
        <v>150</v>
      </c>
      <c r="M53" s="52">
        <v>150</v>
      </c>
      <c r="N53" s="52">
        <v>150</v>
      </c>
      <c r="O53" s="52">
        <v>150</v>
      </c>
      <c r="P53" s="52">
        <v>150</v>
      </c>
      <c r="Q53" s="52">
        <v>150</v>
      </c>
      <c r="R53" s="52">
        <v>150</v>
      </c>
      <c r="S53" s="52">
        <v>150</v>
      </c>
      <c r="T53" s="52">
        <v>150</v>
      </c>
      <c r="U53" s="52">
        <v>150</v>
      </c>
      <c r="V53" s="52">
        <v>150</v>
      </c>
      <c r="W53" s="52">
        <v>150</v>
      </c>
      <c r="X53" s="52">
        <v>83.277486910994767</v>
      </c>
      <c r="Y53" s="52">
        <v>150</v>
      </c>
      <c r="Z53" s="52">
        <v>150</v>
      </c>
      <c r="AA53" s="52">
        <v>83.277486910994767</v>
      </c>
      <c r="AB53" s="52">
        <v>150</v>
      </c>
      <c r="AC53" s="52">
        <v>150</v>
      </c>
      <c r="AD53" s="52">
        <v>25.527272727272756</v>
      </c>
      <c r="AE53" s="52">
        <v>150</v>
      </c>
      <c r="AF53" s="52">
        <v>150</v>
      </c>
      <c r="AG53" s="52">
        <v>0</v>
      </c>
      <c r="AH53" s="52">
        <v>150</v>
      </c>
      <c r="AI53" s="52">
        <v>89.957142857142841</v>
      </c>
      <c r="AJ53" s="52">
        <v>0</v>
      </c>
      <c r="AK53" s="52">
        <v>150</v>
      </c>
      <c r="AL53" s="52">
        <v>89.957142857142856</v>
      </c>
      <c r="AM53" s="52">
        <v>0</v>
      </c>
      <c r="AN53" s="52">
        <v>150</v>
      </c>
      <c r="AO53" s="52">
        <v>91.529230769230765</v>
      </c>
      <c r="AP53" s="52">
        <v>0</v>
      </c>
      <c r="AQ53" s="52">
        <v>150</v>
      </c>
      <c r="AR53" s="52">
        <v>91.52923076923075</v>
      </c>
      <c r="AS53" s="52">
        <v>0</v>
      </c>
      <c r="AT53" s="52">
        <v>150</v>
      </c>
      <c r="AU53" s="52">
        <v>150</v>
      </c>
      <c r="AV53" s="52">
        <v>0</v>
      </c>
      <c r="AW53" s="52">
        <v>5.4222222222221452</v>
      </c>
      <c r="AX53" s="52">
        <v>0</v>
      </c>
      <c r="AY53" s="52">
        <v>0</v>
      </c>
      <c r="AZ53" s="52">
        <v>150</v>
      </c>
      <c r="BA53" s="52">
        <v>150</v>
      </c>
      <c r="BB53" s="52">
        <v>30.218181818181819</v>
      </c>
      <c r="BC53" s="52">
        <v>150</v>
      </c>
      <c r="BD53" s="52">
        <v>150</v>
      </c>
      <c r="BE53" s="52">
        <v>30.218181818181819</v>
      </c>
      <c r="BF53" s="52">
        <v>150</v>
      </c>
      <c r="BG53" s="52">
        <v>150</v>
      </c>
      <c r="BH53" s="52">
        <v>91.730973451327415</v>
      </c>
      <c r="BI53" s="52">
        <v>150</v>
      </c>
      <c r="BJ53" s="52">
        <v>150</v>
      </c>
      <c r="BK53" s="52">
        <v>91.730973451327401</v>
      </c>
      <c r="BL53" s="52">
        <v>150</v>
      </c>
      <c r="BM53" s="52">
        <v>150</v>
      </c>
      <c r="BN53" s="52">
        <v>150</v>
      </c>
      <c r="BO53" s="52">
        <v>150</v>
      </c>
      <c r="BP53" s="52">
        <v>150</v>
      </c>
      <c r="BQ53" s="52">
        <v>150</v>
      </c>
      <c r="BR53" s="52">
        <v>150</v>
      </c>
      <c r="BS53" s="52">
        <v>150</v>
      </c>
      <c r="BT53" s="52">
        <v>150</v>
      </c>
      <c r="BU53" s="52">
        <v>150</v>
      </c>
      <c r="BV53" s="52">
        <v>150</v>
      </c>
      <c r="BW53" s="52">
        <v>150</v>
      </c>
    </row>
    <row r="54" spans="1:75" x14ac:dyDescent="0.3">
      <c r="A54" s="8" t="s">
        <v>89</v>
      </c>
      <c r="B54" s="8" t="s">
        <v>10</v>
      </c>
      <c r="C54" s="8" t="s">
        <v>144</v>
      </c>
      <c r="D54" s="52">
        <v>200</v>
      </c>
      <c r="E54" s="52">
        <v>9.8023168831152336</v>
      </c>
      <c r="F54" s="52">
        <v>0</v>
      </c>
      <c r="G54" s="52">
        <v>200</v>
      </c>
      <c r="H54" s="52">
        <v>0</v>
      </c>
      <c r="I54" s="52">
        <v>0</v>
      </c>
      <c r="J54" s="52">
        <v>200</v>
      </c>
      <c r="K54" s="52">
        <v>92.600000000000236</v>
      </c>
      <c r="L54" s="52">
        <v>0</v>
      </c>
      <c r="M54" s="52">
        <v>200</v>
      </c>
      <c r="N54" s="52">
        <v>0</v>
      </c>
      <c r="O54" s="52">
        <v>0</v>
      </c>
      <c r="P54" s="52">
        <v>200</v>
      </c>
      <c r="Q54" s="52">
        <v>52.000000000001044</v>
      </c>
      <c r="R54" s="52">
        <v>0</v>
      </c>
      <c r="S54" s="52">
        <v>200</v>
      </c>
      <c r="T54" s="52">
        <v>52.000000000001044</v>
      </c>
      <c r="U54" s="52">
        <v>0</v>
      </c>
      <c r="V54" s="52">
        <v>200</v>
      </c>
      <c r="W54" s="52">
        <v>167.00000000000003</v>
      </c>
      <c r="X54" s="52">
        <v>0</v>
      </c>
      <c r="Y54" s="52">
        <v>200</v>
      </c>
      <c r="Z54" s="52">
        <v>167.00000000000003</v>
      </c>
      <c r="AA54" s="52">
        <v>0</v>
      </c>
      <c r="AB54" s="52">
        <v>184.60000000000065</v>
      </c>
      <c r="AC54" s="52">
        <v>7.4480075294115604</v>
      </c>
      <c r="AD54" s="52">
        <v>0</v>
      </c>
      <c r="AE54" s="52">
        <v>184.60000000000065</v>
      </c>
      <c r="AF54" s="52">
        <v>7.4480075294115604</v>
      </c>
      <c r="AG54" s="52">
        <v>0</v>
      </c>
      <c r="AH54" s="52">
        <v>200</v>
      </c>
      <c r="AI54" s="52">
        <v>0</v>
      </c>
      <c r="AJ54" s="52">
        <v>0</v>
      </c>
      <c r="AK54" s="52">
        <v>200</v>
      </c>
      <c r="AL54" s="52">
        <v>0</v>
      </c>
      <c r="AM54" s="52">
        <v>0</v>
      </c>
      <c r="AN54" s="52">
        <v>200</v>
      </c>
      <c r="AO54" s="52">
        <v>166.47076923076926</v>
      </c>
      <c r="AP54" s="52">
        <v>0</v>
      </c>
      <c r="AQ54" s="52">
        <v>200</v>
      </c>
      <c r="AR54" s="52">
        <v>166.47076923076926</v>
      </c>
      <c r="AS54" s="52">
        <v>0</v>
      </c>
      <c r="AT54" s="52">
        <v>200</v>
      </c>
      <c r="AU54" s="52">
        <v>16.221689510489117</v>
      </c>
      <c r="AV54" s="52">
        <v>0</v>
      </c>
      <c r="AW54" s="52">
        <v>198.87777777777808</v>
      </c>
      <c r="AX54" s="52">
        <v>0</v>
      </c>
      <c r="AY54" s="52">
        <v>0</v>
      </c>
      <c r="AZ54" s="52">
        <v>200</v>
      </c>
      <c r="BA54" s="52">
        <v>0</v>
      </c>
      <c r="BB54" s="52">
        <v>0</v>
      </c>
      <c r="BC54" s="52">
        <v>200</v>
      </c>
      <c r="BD54" s="52">
        <v>0</v>
      </c>
      <c r="BE54" s="52">
        <v>0</v>
      </c>
      <c r="BF54" s="52">
        <v>193.87280000000067</v>
      </c>
      <c r="BG54" s="52">
        <v>0</v>
      </c>
      <c r="BH54" s="52">
        <v>0</v>
      </c>
      <c r="BI54" s="52">
        <v>193.87280000000067</v>
      </c>
      <c r="BJ54" s="52">
        <v>0</v>
      </c>
      <c r="BK54" s="52">
        <v>0</v>
      </c>
      <c r="BL54" s="52">
        <v>200</v>
      </c>
      <c r="BM54" s="52">
        <v>175.52270476190469</v>
      </c>
      <c r="BN54" s="52">
        <v>0</v>
      </c>
      <c r="BO54" s="52">
        <v>78.899999999999991</v>
      </c>
      <c r="BP54" s="52">
        <v>0</v>
      </c>
      <c r="BQ54" s="52">
        <v>0</v>
      </c>
      <c r="BR54" s="52">
        <v>200</v>
      </c>
      <c r="BS54" s="52">
        <v>200</v>
      </c>
      <c r="BT54" s="52">
        <v>0</v>
      </c>
      <c r="BU54" s="52">
        <v>200</v>
      </c>
      <c r="BV54" s="52">
        <v>44.035929670329629</v>
      </c>
      <c r="BW54" s="52">
        <v>0</v>
      </c>
    </row>
    <row r="55" spans="1:75" x14ac:dyDescent="0.3">
      <c r="A55" s="8" t="s">
        <v>89</v>
      </c>
      <c r="B55" s="8" t="s">
        <v>10</v>
      </c>
      <c r="C55" s="8" t="s">
        <v>145</v>
      </c>
      <c r="D55" s="52">
        <v>0</v>
      </c>
      <c r="E55" s="52">
        <v>0</v>
      </c>
      <c r="F55" s="52">
        <v>0</v>
      </c>
      <c r="G55" s="52">
        <v>0</v>
      </c>
      <c r="H55" s="52">
        <v>0</v>
      </c>
      <c r="I55" s="52">
        <v>0</v>
      </c>
      <c r="J55" s="52">
        <v>1.8121142857140708</v>
      </c>
      <c r="K55" s="52">
        <v>0</v>
      </c>
      <c r="L55" s="52">
        <v>0</v>
      </c>
      <c r="M55" s="52">
        <v>1.8121142857140713</v>
      </c>
      <c r="N55" s="52">
        <v>0</v>
      </c>
      <c r="O55" s="52">
        <v>0</v>
      </c>
      <c r="P55" s="52">
        <v>200</v>
      </c>
      <c r="Q55" s="52">
        <v>0</v>
      </c>
      <c r="R55" s="52">
        <v>0</v>
      </c>
      <c r="S55" s="52">
        <v>200</v>
      </c>
      <c r="T55" s="52">
        <v>0</v>
      </c>
      <c r="U55" s="52">
        <v>0</v>
      </c>
      <c r="V55" s="52">
        <v>200</v>
      </c>
      <c r="W55" s="52">
        <v>0</v>
      </c>
      <c r="X55" s="52">
        <v>0</v>
      </c>
      <c r="Y55" s="52">
        <v>200</v>
      </c>
      <c r="Z55" s="52">
        <v>0</v>
      </c>
      <c r="AA55" s="52">
        <v>0</v>
      </c>
      <c r="AB55" s="52">
        <v>200</v>
      </c>
      <c r="AC55" s="52">
        <v>0</v>
      </c>
      <c r="AD55" s="52">
        <v>0</v>
      </c>
      <c r="AE55" s="52">
        <v>200</v>
      </c>
      <c r="AF55" s="52">
        <v>0</v>
      </c>
      <c r="AG55" s="52">
        <v>0</v>
      </c>
      <c r="AH55" s="52">
        <v>182.10000000000036</v>
      </c>
      <c r="AI55" s="52">
        <v>100.41404761904641</v>
      </c>
      <c r="AJ55" s="52">
        <v>0</v>
      </c>
      <c r="AK55" s="52">
        <v>182.10000000000036</v>
      </c>
      <c r="AL55" s="52">
        <v>100.41404761904641</v>
      </c>
      <c r="AM55" s="52">
        <v>0</v>
      </c>
      <c r="AN55" s="52">
        <v>200</v>
      </c>
      <c r="AO55" s="52">
        <v>0</v>
      </c>
      <c r="AP55" s="52">
        <v>0</v>
      </c>
      <c r="AQ55" s="52">
        <v>200</v>
      </c>
      <c r="AR55" s="52">
        <v>0</v>
      </c>
      <c r="AS55" s="52">
        <v>0</v>
      </c>
      <c r="AT55" s="52">
        <v>0</v>
      </c>
      <c r="AU55" s="52">
        <v>57.578310489511701</v>
      </c>
      <c r="AV55" s="52">
        <v>0</v>
      </c>
      <c r="AW55" s="52">
        <v>0</v>
      </c>
      <c r="AX55" s="52">
        <v>0</v>
      </c>
      <c r="AY55" s="52">
        <v>0</v>
      </c>
      <c r="AZ55" s="52">
        <v>84.899999999999935</v>
      </c>
      <c r="BA55" s="52">
        <v>0</v>
      </c>
      <c r="BB55" s="52">
        <v>0</v>
      </c>
      <c r="BC55" s="52">
        <v>67.200000000000884</v>
      </c>
      <c r="BD55" s="52">
        <v>0</v>
      </c>
      <c r="BE55" s="52">
        <v>0</v>
      </c>
      <c r="BF55" s="52">
        <v>129.42719999999994</v>
      </c>
      <c r="BG55" s="52">
        <v>0</v>
      </c>
      <c r="BH55" s="52">
        <v>0</v>
      </c>
      <c r="BI55" s="52">
        <v>129.42719999999997</v>
      </c>
      <c r="BJ55" s="52">
        <v>0</v>
      </c>
      <c r="BK55" s="52">
        <v>0</v>
      </c>
      <c r="BL55" s="52">
        <v>200</v>
      </c>
      <c r="BM55" s="52">
        <v>10.200990476190482</v>
      </c>
      <c r="BN55" s="52">
        <v>0</v>
      </c>
      <c r="BO55" s="52">
        <v>200</v>
      </c>
      <c r="BP55" s="52">
        <v>0</v>
      </c>
      <c r="BQ55" s="52">
        <v>0</v>
      </c>
      <c r="BR55" s="52">
        <v>0</v>
      </c>
      <c r="BS55" s="52">
        <v>0</v>
      </c>
      <c r="BT55" s="52">
        <v>0</v>
      </c>
      <c r="BU55" s="52">
        <v>0</v>
      </c>
      <c r="BV55" s="52">
        <v>0</v>
      </c>
      <c r="BW55" s="52">
        <v>0</v>
      </c>
    </row>
    <row r="56" spans="1:75" x14ac:dyDescent="0.3">
      <c r="A56" s="8" t="s">
        <v>89</v>
      </c>
      <c r="B56" s="8" t="s">
        <v>10</v>
      </c>
      <c r="C56" s="8" t="s">
        <v>146</v>
      </c>
      <c r="D56" s="52">
        <v>200</v>
      </c>
      <c r="E56" s="52">
        <v>200</v>
      </c>
      <c r="F56" s="52">
        <v>104.39999999999938</v>
      </c>
      <c r="G56" s="52">
        <v>200</v>
      </c>
      <c r="H56" s="52">
        <v>200</v>
      </c>
      <c r="I56" s="52">
        <v>6.6666666660442075E-3</v>
      </c>
      <c r="J56" s="52">
        <v>200</v>
      </c>
      <c r="K56" s="52">
        <v>200</v>
      </c>
      <c r="L56" s="52">
        <v>161.39999999999932</v>
      </c>
      <c r="M56" s="52">
        <v>200</v>
      </c>
      <c r="N56" s="52">
        <v>200</v>
      </c>
      <c r="O56" s="52">
        <v>19.899999999999473</v>
      </c>
      <c r="P56" s="52">
        <v>200</v>
      </c>
      <c r="Q56" s="52">
        <v>200</v>
      </c>
      <c r="R56" s="52">
        <v>182.90000000000094</v>
      </c>
      <c r="S56" s="52">
        <v>200</v>
      </c>
      <c r="T56" s="52">
        <v>200</v>
      </c>
      <c r="U56" s="52">
        <v>182.90000000000094</v>
      </c>
      <c r="V56" s="52">
        <v>200</v>
      </c>
      <c r="W56" s="52">
        <v>200</v>
      </c>
      <c r="X56" s="52">
        <v>135.66251308900502</v>
      </c>
      <c r="Y56" s="52">
        <v>200</v>
      </c>
      <c r="Z56" s="52">
        <v>200</v>
      </c>
      <c r="AA56" s="52">
        <v>135.66251308900502</v>
      </c>
      <c r="AB56" s="52">
        <v>200</v>
      </c>
      <c r="AC56" s="52">
        <v>200</v>
      </c>
      <c r="AD56" s="52">
        <v>24.812727272727543</v>
      </c>
      <c r="AE56" s="52">
        <v>200</v>
      </c>
      <c r="AF56" s="52">
        <v>200</v>
      </c>
      <c r="AG56" s="52">
        <v>11.000000000000011</v>
      </c>
      <c r="AH56" s="52">
        <v>200</v>
      </c>
      <c r="AI56" s="52">
        <v>200</v>
      </c>
      <c r="AJ56" s="52">
        <v>83.13999999999966</v>
      </c>
      <c r="AK56" s="52">
        <v>200</v>
      </c>
      <c r="AL56" s="52">
        <v>200</v>
      </c>
      <c r="AM56" s="52">
        <v>60.33999999999962</v>
      </c>
      <c r="AN56" s="52">
        <v>200</v>
      </c>
      <c r="AO56" s="52">
        <v>200</v>
      </c>
      <c r="AP56" s="52">
        <v>98.486132551317112</v>
      </c>
      <c r="AQ56" s="52">
        <v>200</v>
      </c>
      <c r="AR56" s="52">
        <v>200</v>
      </c>
      <c r="AS56" s="52">
        <v>98.486132551317112</v>
      </c>
      <c r="AT56" s="52">
        <v>200</v>
      </c>
      <c r="AU56" s="52">
        <v>200</v>
      </c>
      <c r="AV56" s="52">
        <v>0</v>
      </c>
      <c r="AW56" s="52">
        <v>200</v>
      </c>
      <c r="AX56" s="52">
        <v>192.33999999999989</v>
      </c>
      <c r="AY56" s="52">
        <v>0</v>
      </c>
      <c r="AZ56" s="52">
        <v>200</v>
      </c>
      <c r="BA56" s="52">
        <v>200</v>
      </c>
      <c r="BB56" s="52">
        <v>0</v>
      </c>
      <c r="BC56" s="52">
        <v>200</v>
      </c>
      <c r="BD56" s="52">
        <v>120.29999999999997</v>
      </c>
      <c r="BE56" s="52">
        <v>0</v>
      </c>
      <c r="BF56" s="52">
        <v>200</v>
      </c>
      <c r="BG56" s="52">
        <v>200</v>
      </c>
      <c r="BH56" s="52">
        <v>0</v>
      </c>
      <c r="BI56" s="52">
        <v>200</v>
      </c>
      <c r="BJ56" s="52">
        <v>200</v>
      </c>
      <c r="BK56" s="52">
        <v>0</v>
      </c>
      <c r="BL56" s="52">
        <v>200</v>
      </c>
      <c r="BM56" s="52">
        <v>200</v>
      </c>
      <c r="BN56" s="52">
        <v>131.2095881261591</v>
      </c>
      <c r="BO56" s="52">
        <v>200</v>
      </c>
      <c r="BP56" s="52">
        <v>200</v>
      </c>
      <c r="BQ56" s="52">
        <v>0</v>
      </c>
      <c r="BR56" s="52">
        <v>200</v>
      </c>
      <c r="BS56" s="52">
        <v>200</v>
      </c>
      <c r="BT56" s="52">
        <v>200</v>
      </c>
      <c r="BU56" s="52">
        <v>200</v>
      </c>
      <c r="BV56" s="52">
        <v>200</v>
      </c>
      <c r="BW56" s="52">
        <v>200</v>
      </c>
    </row>
    <row r="57" spans="1:75" x14ac:dyDescent="0.3">
      <c r="A57" s="8" t="s">
        <v>89</v>
      </c>
      <c r="B57" s="8" t="s">
        <v>10</v>
      </c>
      <c r="C57" s="8" t="s">
        <v>28</v>
      </c>
      <c r="D57" s="52">
        <v>200</v>
      </c>
      <c r="E57" s="52">
        <v>200</v>
      </c>
      <c r="F57" s="52">
        <v>200</v>
      </c>
      <c r="G57" s="52">
        <v>200</v>
      </c>
      <c r="H57" s="52">
        <v>200</v>
      </c>
      <c r="I57" s="52">
        <v>200</v>
      </c>
      <c r="J57" s="52">
        <v>200</v>
      </c>
      <c r="K57" s="52">
        <v>200</v>
      </c>
      <c r="L57" s="52">
        <v>200</v>
      </c>
      <c r="M57" s="52">
        <v>200</v>
      </c>
      <c r="N57" s="52">
        <v>200</v>
      </c>
      <c r="O57" s="52">
        <v>200</v>
      </c>
      <c r="P57" s="52">
        <v>200</v>
      </c>
      <c r="Q57" s="52">
        <v>200</v>
      </c>
      <c r="R57" s="52">
        <v>200</v>
      </c>
      <c r="S57" s="52">
        <v>200</v>
      </c>
      <c r="T57" s="52">
        <v>200</v>
      </c>
      <c r="U57" s="52">
        <v>200</v>
      </c>
      <c r="V57" s="52">
        <v>200</v>
      </c>
      <c r="W57" s="52">
        <v>200</v>
      </c>
      <c r="X57" s="52">
        <v>200</v>
      </c>
      <c r="Y57" s="52">
        <v>200</v>
      </c>
      <c r="Z57" s="52">
        <v>200</v>
      </c>
      <c r="AA57" s="52">
        <v>200</v>
      </c>
      <c r="AB57" s="52">
        <v>200</v>
      </c>
      <c r="AC57" s="52">
        <v>200</v>
      </c>
      <c r="AD57" s="52">
        <v>200</v>
      </c>
      <c r="AE57" s="52">
        <v>200</v>
      </c>
      <c r="AF57" s="52">
        <v>200</v>
      </c>
      <c r="AG57" s="52">
        <v>200</v>
      </c>
      <c r="AH57" s="52">
        <v>200</v>
      </c>
      <c r="AI57" s="52">
        <v>200</v>
      </c>
      <c r="AJ57" s="52">
        <v>200</v>
      </c>
      <c r="AK57" s="52">
        <v>200</v>
      </c>
      <c r="AL57" s="52">
        <v>200</v>
      </c>
      <c r="AM57" s="52">
        <v>200</v>
      </c>
      <c r="AN57" s="52">
        <v>200</v>
      </c>
      <c r="AO57" s="52">
        <v>200</v>
      </c>
      <c r="AP57" s="52">
        <v>200</v>
      </c>
      <c r="AQ57" s="52">
        <v>200</v>
      </c>
      <c r="AR57" s="52">
        <v>200</v>
      </c>
      <c r="AS57" s="52">
        <v>200</v>
      </c>
      <c r="AT57" s="52">
        <v>200</v>
      </c>
      <c r="AU57" s="52">
        <v>200</v>
      </c>
      <c r="AV57" s="52">
        <v>200</v>
      </c>
      <c r="AW57" s="52">
        <v>200</v>
      </c>
      <c r="AX57" s="52">
        <v>200</v>
      </c>
      <c r="AY57" s="52">
        <v>200</v>
      </c>
      <c r="AZ57" s="52">
        <v>200</v>
      </c>
      <c r="BA57" s="52">
        <v>200</v>
      </c>
      <c r="BB57" s="52">
        <v>200</v>
      </c>
      <c r="BC57" s="52">
        <v>200</v>
      </c>
      <c r="BD57" s="52">
        <v>200</v>
      </c>
      <c r="BE57" s="52">
        <v>200</v>
      </c>
      <c r="BF57" s="52">
        <v>200</v>
      </c>
      <c r="BG57" s="52">
        <v>200</v>
      </c>
      <c r="BH57" s="52">
        <v>200</v>
      </c>
      <c r="BI57" s="52">
        <v>200</v>
      </c>
      <c r="BJ57" s="52">
        <v>200</v>
      </c>
      <c r="BK57" s="52">
        <v>200</v>
      </c>
      <c r="BL57" s="52">
        <v>200</v>
      </c>
      <c r="BM57" s="52">
        <v>200</v>
      </c>
      <c r="BN57" s="52">
        <v>200</v>
      </c>
      <c r="BO57" s="52">
        <v>200</v>
      </c>
      <c r="BP57" s="52">
        <v>200</v>
      </c>
      <c r="BQ57" s="52">
        <v>200</v>
      </c>
      <c r="BR57" s="52">
        <v>200</v>
      </c>
      <c r="BS57" s="52">
        <v>200</v>
      </c>
      <c r="BT57" s="52">
        <v>200</v>
      </c>
      <c r="BU57" s="52">
        <v>200</v>
      </c>
      <c r="BV57" s="52">
        <v>200</v>
      </c>
      <c r="BW57" s="52">
        <v>200</v>
      </c>
    </row>
    <row r="58" spans="1:75" x14ac:dyDescent="0.3">
      <c r="A58" s="8" t="s">
        <v>102</v>
      </c>
      <c r="B58" s="8" t="s">
        <v>8</v>
      </c>
      <c r="C58" s="8" t="s">
        <v>60</v>
      </c>
      <c r="D58" s="52">
        <v>771.6</v>
      </c>
      <c r="E58" s="52">
        <v>771.6</v>
      </c>
      <c r="F58" s="52">
        <v>771.6</v>
      </c>
      <c r="G58" s="52">
        <v>771.6</v>
      </c>
      <c r="H58" s="52">
        <v>771.6</v>
      </c>
      <c r="I58" s="52">
        <v>771.6</v>
      </c>
      <c r="J58" s="52">
        <v>771.6</v>
      </c>
      <c r="K58" s="52">
        <v>771.6</v>
      </c>
      <c r="L58" s="52">
        <v>771.6</v>
      </c>
      <c r="M58" s="52">
        <v>771.6</v>
      </c>
      <c r="N58" s="52">
        <v>771.6</v>
      </c>
      <c r="O58" s="52">
        <v>771.6</v>
      </c>
      <c r="P58" s="52">
        <v>771.6</v>
      </c>
      <c r="Q58" s="52">
        <v>771.6</v>
      </c>
      <c r="R58" s="52">
        <v>771.6</v>
      </c>
      <c r="S58" s="52">
        <v>771.6</v>
      </c>
      <c r="T58" s="52">
        <v>771.6</v>
      </c>
      <c r="U58" s="52">
        <v>771.6</v>
      </c>
      <c r="V58" s="52">
        <v>771.6</v>
      </c>
      <c r="W58" s="52">
        <v>771.6</v>
      </c>
      <c r="X58" s="52">
        <v>771.6</v>
      </c>
      <c r="Y58" s="52">
        <v>771.6</v>
      </c>
      <c r="Z58" s="52">
        <v>771.6</v>
      </c>
      <c r="AA58" s="52">
        <v>771.6</v>
      </c>
      <c r="AB58" s="52">
        <v>771.6</v>
      </c>
      <c r="AC58" s="52">
        <v>771.6</v>
      </c>
      <c r="AD58" s="52">
        <v>771.6</v>
      </c>
      <c r="AE58" s="52">
        <v>771.6</v>
      </c>
      <c r="AF58" s="52">
        <v>771.6</v>
      </c>
      <c r="AG58" s="52">
        <v>771.6</v>
      </c>
      <c r="AH58" s="52">
        <v>771.6</v>
      </c>
      <c r="AI58" s="52">
        <v>771.6</v>
      </c>
      <c r="AJ58" s="52">
        <v>771.6</v>
      </c>
      <c r="AK58" s="52">
        <v>771.6</v>
      </c>
      <c r="AL58" s="52">
        <v>771.6</v>
      </c>
      <c r="AM58" s="52">
        <v>771.6</v>
      </c>
      <c r="AN58" s="52">
        <v>771.6</v>
      </c>
      <c r="AO58" s="52">
        <v>771.6</v>
      </c>
      <c r="AP58" s="52">
        <v>771.6</v>
      </c>
      <c r="AQ58" s="52">
        <v>771.6</v>
      </c>
      <c r="AR58" s="52">
        <v>771.6</v>
      </c>
      <c r="AS58" s="52">
        <v>771.6</v>
      </c>
      <c r="AT58" s="52">
        <v>771.6</v>
      </c>
      <c r="AU58" s="52">
        <v>771.6</v>
      </c>
      <c r="AV58" s="52">
        <v>771.6</v>
      </c>
      <c r="AW58" s="52">
        <v>771.6</v>
      </c>
      <c r="AX58" s="52">
        <v>771.6</v>
      </c>
      <c r="AY58" s="52">
        <v>771.6</v>
      </c>
      <c r="AZ58" s="52">
        <v>771.6</v>
      </c>
      <c r="BA58" s="52">
        <v>771.6</v>
      </c>
      <c r="BB58" s="52">
        <v>771.6</v>
      </c>
      <c r="BC58" s="52">
        <v>771.6</v>
      </c>
      <c r="BD58" s="52">
        <v>771.6</v>
      </c>
      <c r="BE58" s="52">
        <v>771.6</v>
      </c>
      <c r="BF58" s="52">
        <v>771.6</v>
      </c>
      <c r="BG58" s="52">
        <v>771.6</v>
      </c>
      <c r="BH58" s="52">
        <v>771.6</v>
      </c>
      <c r="BI58" s="52">
        <v>771.6</v>
      </c>
      <c r="BJ58" s="52">
        <v>771.6</v>
      </c>
      <c r="BK58" s="52">
        <v>771.6</v>
      </c>
      <c r="BL58" s="52">
        <v>771.6</v>
      </c>
      <c r="BM58" s="52">
        <v>771.6</v>
      </c>
      <c r="BN58" s="52">
        <v>771.6</v>
      </c>
      <c r="BO58" s="52">
        <v>771.6</v>
      </c>
      <c r="BP58" s="52">
        <v>771.6</v>
      </c>
      <c r="BQ58" s="52">
        <v>771.6</v>
      </c>
      <c r="BR58" s="52">
        <v>771.6</v>
      </c>
      <c r="BS58" s="52">
        <v>771.6</v>
      </c>
      <c r="BT58" s="52">
        <v>771.6</v>
      </c>
      <c r="BU58" s="52">
        <v>771.6</v>
      </c>
      <c r="BV58" s="52">
        <v>771.6</v>
      </c>
      <c r="BW58" s="52">
        <v>771.6</v>
      </c>
    </row>
    <row r="59" spans="1:75" x14ac:dyDescent="0.3">
      <c r="A59" s="8" t="s">
        <v>102</v>
      </c>
      <c r="B59" s="8" t="s">
        <v>8</v>
      </c>
      <c r="C59" s="8" t="s">
        <v>150</v>
      </c>
      <c r="D59" s="52">
        <v>256.67399999999827</v>
      </c>
      <c r="E59" s="52">
        <v>235.19999999999996</v>
      </c>
      <c r="F59" s="52">
        <v>235.19999999999996</v>
      </c>
      <c r="G59" s="52">
        <v>235.19999999999996</v>
      </c>
      <c r="H59" s="52">
        <v>235.19999999999996</v>
      </c>
      <c r="I59" s="52">
        <v>235.19999999999996</v>
      </c>
      <c r="J59" s="52">
        <v>235.19999999999996</v>
      </c>
      <c r="K59" s="52">
        <v>235.19999999999996</v>
      </c>
      <c r="L59" s="52">
        <v>235.19999999999996</v>
      </c>
      <c r="M59" s="52">
        <v>235.19999999999996</v>
      </c>
      <c r="N59" s="52">
        <v>235.19999999999968</v>
      </c>
      <c r="O59" s="52">
        <v>235.19999999999968</v>
      </c>
      <c r="P59" s="52">
        <v>327.66599999999949</v>
      </c>
      <c r="Q59" s="52">
        <v>235.19999999999996</v>
      </c>
      <c r="R59" s="52">
        <v>235.19999999999996</v>
      </c>
      <c r="S59" s="52">
        <v>235.19999999999996</v>
      </c>
      <c r="T59" s="52">
        <v>235.19999999999996</v>
      </c>
      <c r="U59" s="52">
        <v>235.19999999999996</v>
      </c>
      <c r="V59" s="52">
        <v>250.40099999999987</v>
      </c>
      <c r="W59" s="52">
        <v>235.19999999999996</v>
      </c>
      <c r="X59" s="52">
        <v>235.19999999999996</v>
      </c>
      <c r="Y59" s="52">
        <v>235.19999999999985</v>
      </c>
      <c r="Z59" s="52">
        <v>235.19999999999985</v>
      </c>
      <c r="AA59" s="52">
        <v>235.19999999999985</v>
      </c>
      <c r="AB59" s="52">
        <v>404.87424822135546</v>
      </c>
      <c r="AC59" s="52">
        <v>235.19999999999996</v>
      </c>
      <c r="AD59" s="52">
        <v>235.19999999999996</v>
      </c>
      <c r="AE59" s="52">
        <v>404.87424822135546</v>
      </c>
      <c r="AF59" s="52">
        <v>235.19999999999996</v>
      </c>
      <c r="AG59" s="52">
        <v>235.19999999999996</v>
      </c>
      <c r="AH59" s="52">
        <v>235.19999999999996</v>
      </c>
      <c r="AI59" s="52">
        <v>235.19999999999996</v>
      </c>
      <c r="AJ59" s="52">
        <v>235.19999999999996</v>
      </c>
      <c r="AK59" s="52">
        <v>0</v>
      </c>
      <c r="AL59" s="52">
        <v>0</v>
      </c>
      <c r="AM59" s="52">
        <v>0</v>
      </c>
      <c r="AN59" s="52">
        <v>235.19999999999996</v>
      </c>
      <c r="AO59" s="52">
        <v>235.19999999999996</v>
      </c>
      <c r="AP59" s="52">
        <v>235.19999999999996</v>
      </c>
      <c r="AQ59" s="52">
        <v>0</v>
      </c>
      <c r="AR59" s="52">
        <v>0</v>
      </c>
      <c r="AS59" s="52">
        <v>0</v>
      </c>
      <c r="AT59" s="52">
        <v>351.30299999999903</v>
      </c>
      <c r="AU59" s="52">
        <v>235.19999999999996</v>
      </c>
      <c r="AV59" s="52">
        <v>235.19999999999996</v>
      </c>
      <c r="AW59" s="52">
        <v>0</v>
      </c>
      <c r="AX59" s="52">
        <v>0</v>
      </c>
      <c r="AY59" s="52">
        <v>0</v>
      </c>
      <c r="AZ59" s="52">
        <v>235.19999999999976</v>
      </c>
      <c r="BA59" s="52">
        <v>235.19999999999976</v>
      </c>
      <c r="BB59" s="52">
        <v>235.19999999999976</v>
      </c>
      <c r="BC59" s="52">
        <v>0</v>
      </c>
      <c r="BD59" s="52">
        <v>0</v>
      </c>
      <c r="BE59" s="52">
        <v>0</v>
      </c>
      <c r="BF59" s="52">
        <v>235.19999999999996</v>
      </c>
      <c r="BG59" s="52">
        <v>235.19999999999996</v>
      </c>
      <c r="BH59" s="52">
        <v>235.19999999999996</v>
      </c>
      <c r="BI59" s="52">
        <v>235.19999999999925</v>
      </c>
      <c r="BJ59" s="52">
        <v>235.19999999999925</v>
      </c>
      <c r="BK59" s="52">
        <v>235.19999999999925</v>
      </c>
      <c r="BL59" s="52">
        <v>408.95500000000072</v>
      </c>
      <c r="BM59" s="52">
        <v>238.58656334776123</v>
      </c>
      <c r="BN59" s="52">
        <v>235.19999999999996</v>
      </c>
      <c r="BO59" s="52">
        <v>0</v>
      </c>
      <c r="BP59" s="52">
        <v>0</v>
      </c>
      <c r="BQ59" s="52">
        <v>0</v>
      </c>
      <c r="BR59" s="52">
        <v>313.40300000000076</v>
      </c>
      <c r="BS59" s="52">
        <v>235.19999999999996</v>
      </c>
      <c r="BT59" s="52">
        <v>235.19999999999996</v>
      </c>
      <c r="BU59" s="52">
        <v>313.40300000000076</v>
      </c>
      <c r="BV59" s="52">
        <v>235.19999999999959</v>
      </c>
      <c r="BW59" s="52">
        <v>235.19999999999959</v>
      </c>
    </row>
    <row r="60" spans="1:75" x14ac:dyDescent="0.3">
      <c r="A60" s="8" t="s">
        <v>102</v>
      </c>
      <c r="B60" s="8" t="s">
        <v>8</v>
      </c>
      <c r="C60" s="8" t="s">
        <v>61</v>
      </c>
      <c r="D60" s="52">
        <v>203.1</v>
      </c>
      <c r="E60" s="52">
        <v>81.239999999999995</v>
      </c>
      <c r="F60" s="52">
        <v>81.239999999999995</v>
      </c>
      <c r="G60" s="52">
        <v>0</v>
      </c>
      <c r="H60" s="52">
        <v>0</v>
      </c>
      <c r="I60" s="52">
        <v>0</v>
      </c>
      <c r="J60" s="52">
        <v>0</v>
      </c>
      <c r="K60" s="52">
        <v>0</v>
      </c>
      <c r="L60" s="52">
        <v>0</v>
      </c>
      <c r="M60" s="52">
        <v>0</v>
      </c>
      <c r="N60" s="52">
        <v>0</v>
      </c>
      <c r="O60" s="52">
        <v>0</v>
      </c>
      <c r="P60" s="52">
        <v>0</v>
      </c>
      <c r="Q60" s="52">
        <v>0</v>
      </c>
      <c r="R60" s="52">
        <v>0</v>
      </c>
      <c r="S60" s="52">
        <v>0</v>
      </c>
      <c r="T60" s="52">
        <v>0</v>
      </c>
      <c r="U60" s="52">
        <v>0</v>
      </c>
      <c r="V60" s="52">
        <v>0</v>
      </c>
      <c r="W60" s="52">
        <v>0</v>
      </c>
      <c r="X60" s="52">
        <v>0</v>
      </c>
      <c r="Y60" s="52">
        <v>0</v>
      </c>
      <c r="Z60" s="52">
        <v>0</v>
      </c>
      <c r="AA60" s="52">
        <v>0</v>
      </c>
      <c r="AB60" s="52">
        <v>0</v>
      </c>
      <c r="AC60" s="52">
        <v>0</v>
      </c>
      <c r="AD60" s="52">
        <v>0</v>
      </c>
      <c r="AE60" s="52">
        <v>0</v>
      </c>
      <c r="AF60" s="52">
        <v>0</v>
      </c>
      <c r="AG60" s="52">
        <v>0</v>
      </c>
      <c r="AH60" s="52">
        <v>0</v>
      </c>
      <c r="AI60" s="52">
        <v>0</v>
      </c>
      <c r="AJ60" s="52">
        <v>0</v>
      </c>
      <c r="AK60" s="52">
        <v>0</v>
      </c>
      <c r="AL60" s="52">
        <v>0</v>
      </c>
      <c r="AM60" s="52">
        <v>0</v>
      </c>
      <c r="AN60" s="52">
        <v>0</v>
      </c>
      <c r="AO60" s="52">
        <v>0</v>
      </c>
      <c r="AP60" s="52">
        <v>0</v>
      </c>
      <c r="AQ60" s="52">
        <v>0</v>
      </c>
      <c r="AR60" s="52">
        <v>0</v>
      </c>
      <c r="AS60" s="52">
        <v>0</v>
      </c>
      <c r="AT60" s="52">
        <v>0</v>
      </c>
      <c r="AU60" s="52">
        <v>0</v>
      </c>
      <c r="AV60" s="52">
        <v>0</v>
      </c>
      <c r="AW60" s="52">
        <v>0</v>
      </c>
      <c r="AX60" s="52">
        <v>0</v>
      </c>
      <c r="AY60" s="52">
        <v>0</v>
      </c>
      <c r="AZ60" s="52">
        <v>0</v>
      </c>
      <c r="BA60" s="52">
        <v>0</v>
      </c>
      <c r="BB60" s="52">
        <v>0</v>
      </c>
      <c r="BC60" s="52">
        <v>0</v>
      </c>
      <c r="BD60" s="52">
        <v>0</v>
      </c>
      <c r="BE60" s="52">
        <v>0</v>
      </c>
      <c r="BF60" s="52">
        <v>0</v>
      </c>
      <c r="BG60" s="52">
        <v>0</v>
      </c>
      <c r="BH60" s="52">
        <v>0</v>
      </c>
      <c r="BI60" s="52">
        <v>0</v>
      </c>
      <c r="BJ60" s="52">
        <v>0</v>
      </c>
      <c r="BK60" s="52">
        <v>0</v>
      </c>
      <c r="BL60" s="52">
        <v>0</v>
      </c>
      <c r="BM60" s="52">
        <v>0</v>
      </c>
      <c r="BN60" s="52">
        <v>0</v>
      </c>
      <c r="BO60" s="52">
        <v>0</v>
      </c>
      <c r="BP60" s="52">
        <v>0</v>
      </c>
      <c r="BQ60" s="52">
        <v>0</v>
      </c>
      <c r="BR60" s="52">
        <v>203.1</v>
      </c>
      <c r="BS60" s="52">
        <v>81.239999999999455</v>
      </c>
      <c r="BT60" s="52">
        <v>81.239999999999455</v>
      </c>
      <c r="BU60" s="52">
        <v>0</v>
      </c>
      <c r="BV60" s="52">
        <v>0</v>
      </c>
      <c r="BW60" s="52">
        <v>0</v>
      </c>
    </row>
    <row r="61" spans="1:75" x14ac:dyDescent="0.3">
      <c r="A61" s="8" t="s">
        <v>102</v>
      </c>
      <c r="B61" s="8" t="s">
        <v>8</v>
      </c>
      <c r="C61" s="8" t="s">
        <v>152</v>
      </c>
      <c r="D61" s="52">
        <v>0</v>
      </c>
      <c r="E61" s="52">
        <v>0</v>
      </c>
      <c r="F61" s="52">
        <v>0</v>
      </c>
      <c r="G61" s="52">
        <v>0</v>
      </c>
      <c r="H61" s="52">
        <v>0</v>
      </c>
      <c r="I61" s="52">
        <v>0</v>
      </c>
      <c r="J61" s="52">
        <v>0</v>
      </c>
      <c r="K61" s="52">
        <v>0</v>
      </c>
      <c r="L61" s="52">
        <v>0</v>
      </c>
      <c r="M61" s="52">
        <v>0</v>
      </c>
      <c r="N61" s="52">
        <v>0</v>
      </c>
      <c r="O61" s="52">
        <v>0</v>
      </c>
      <c r="P61" s="52">
        <v>0</v>
      </c>
      <c r="Q61" s="52">
        <v>0</v>
      </c>
      <c r="R61" s="52">
        <v>0</v>
      </c>
      <c r="S61" s="52">
        <v>0</v>
      </c>
      <c r="T61" s="52">
        <v>0</v>
      </c>
      <c r="U61" s="52">
        <v>0</v>
      </c>
      <c r="V61" s="52">
        <v>0</v>
      </c>
      <c r="W61" s="52">
        <v>0</v>
      </c>
      <c r="X61" s="52">
        <v>0</v>
      </c>
      <c r="Y61" s="52">
        <v>0</v>
      </c>
      <c r="Z61" s="52">
        <v>0</v>
      </c>
      <c r="AA61" s="52">
        <v>0</v>
      </c>
      <c r="AB61" s="52">
        <v>0</v>
      </c>
      <c r="AC61" s="52">
        <v>0</v>
      </c>
      <c r="AD61" s="52">
        <v>0</v>
      </c>
      <c r="AE61" s="52">
        <v>0</v>
      </c>
      <c r="AF61" s="52">
        <v>0</v>
      </c>
      <c r="AG61" s="52">
        <v>0</v>
      </c>
      <c r="AH61" s="52">
        <v>0</v>
      </c>
      <c r="AI61" s="52">
        <v>0</v>
      </c>
      <c r="AJ61" s="52">
        <v>0</v>
      </c>
      <c r="AK61" s="52">
        <v>0</v>
      </c>
      <c r="AL61" s="52">
        <v>0</v>
      </c>
      <c r="AM61" s="52">
        <v>0</v>
      </c>
      <c r="AN61" s="52">
        <v>0</v>
      </c>
      <c r="AO61" s="52">
        <v>0</v>
      </c>
      <c r="AP61" s="52">
        <v>0</v>
      </c>
      <c r="AQ61" s="52">
        <v>0</v>
      </c>
      <c r="AR61" s="52">
        <v>0</v>
      </c>
      <c r="AS61" s="52">
        <v>0</v>
      </c>
      <c r="AT61" s="52">
        <v>0</v>
      </c>
      <c r="AU61" s="52">
        <v>0</v>
      </c>
      <c r="AV61" s="52">
        <v>0</v>
      </c>
      <c r="AW61" s="52">
        <v>0</v>
      </c>
      <c r="AX61" s="52">
        <v>0</v>
      </c>
      <c r="AY61" s="52">
        <v>0</v>
      </c>
      <c r="AZ61" s="52">
        <v>0</v>
      </c>
      <c r="BA61" s="52">
        <v>0</v>
      </c>
      <c r="BB61" s="52">
        <v>0</v>
      </c>
      <c r="BC61" s="52">
        <v>0</v>
      </c>
      <c r="BD61" s="52">
        <v>0</v>
      </c>
      <c r="BE61" s="52">
        <v>0</v>
      </c>
      <c r="BF61" s="52">
        <v>150.4</v>
      </c>
      <c r="BG61" s="52">
        <v>150.4</v>
      </c>
      <c r="BH61" s="52">
        <v>60.159999999999989</v>
      </c>
      <c r="BI61" s="52">
        <v>0</v>
      </c>
      <c r="BJ61" s="52">
        <v>0</v>
      </c>
      <c r="BK61" s="52">
        <v>0</v>
      </c>
      <c r="BL61" s="52">
        <v>0</v>
      </c>
      <c r="BM61" s="52">
        <v>0</v>
      </c>
      <c r="BN61" s="52">
        <v>0</v>
      </c>
      <c r="BO61" s="52">
        <v>0</v>
      </c>
      <c r="BP61" s="52">
        <v>0</v>
      </c>
      <c r="BQ61" s="52">
        <v>0</v>
      </c>
      <c r="BR61" s="52">
        <v>98.334999999999511</v>
      </c>
      <c r="BS61" s="52">
        <v>60.159999999999677</v>
      </c>
      <c r="BT61" s="52">
        <v>60.159999999999677</v>
      </c>
      <c r="BU61" s="52">
        <v>0</v>
      </c>
      <c r="BV61" s="52">
        <v>0</v>
      </c>
      <c r="BW61" s="52">
        <v>0</v>
      </c>
    </row>
    <row r="62" spans="1:75" x14ac:dyDescent="0.3">
      <c r="A62" s="8" t="s">
        <v>102</v>
      </c>
      <c r="B62" s="8" t="s">
        <v>8</v>
      </c>
      <c r="C62" s="8" t="s">
        <v>151</v>
      </c>
      <c r="D62" s="52">
        <v>194.4</v>
      </c>
      <c r="E62" s="52">
        <v>194.4</v>
      </c>
      <c r="F62" s="52">
        <v>77.760000000000005</v>
      </c>
      <c r="G62" s="52">
        <v>194.4</v>
      </c>
      <c r="H62" s="52">
        <v>77.760000000000005</v>
      </c>
      <c r="I62" s="52">
        <v>77.760000000000005</v>
      </c>
      <c r="J62" s="52">
        <v>98.223000000000667</v>
      </c>
      <c r="K62" s="52">
        <v>96.534033333334321</v>
      </c>
      <c r="L62" s="52">
        <v>77.759999999999806</v>
      </c>
      <c r="M62" s="52">
        <v>0</v>
      </c>
      <c r="N62" s="52">
        <v>0</v>
      </c>
      <c r="O62" s="52">
        <v>0</v>
      </c>
      <c r="P62" s="52">
        <v>0</v>
      </c>
      <c r="Q62" s="52">
        <v>0</v>
      </c>
      <c r="R62" s="52">
        <v>0</v>
      </c>
      <c r="S62" s="52">
        <v>0</v>
      </c>
      <c r="T62" s="52">
        <v>0</v>
      </c>
      <c r="U62" s="52">
        <v>0</v>
      </c>
      <c r="V62" s="52">
        <v>194.4</v>
      </c>
      <c r="W62" s="52">
        <v>146.1785543290074</v>
      </c>
      <c r="X62" s="52">
        <v>77.760000000000005</v>
      </c>
      <c r="Y62" s="52">
        <v>194.4</v>
      </c>
      <c r="Z62" s="52">
        <v>146.1785543290074</v>
      </c>
      <c r="AA62" s="52">
        <v>77.759999999999991</v>
      </c>
      <c r="AB62" s="52">
        <v>143.77399999999946</v>
      </c>
      <c r="AC62" s="52">
        <v>181.54800000000003</v>
      </c>
      <c r="AD62" s="52">
        <v>77.760000000000005</v>
      </c>
      <c r="AE62" s="52">
        <v>0</v>
      </c>
      <c r="AF62" s="52">
        <v>0</v>
      </c>
      <c r="AG62" s="52">
        <v>0</v>
      </c>
      <c r="AH62" s="52">
        <v>194.4</v>
      </c>
      <c r="AI62" s="52">
        <v>194.4</v>
      </c>
      <c r="AJ62" s="52">
        <v>77.760000000000005</v>
      </c>
      <c r="AK62" s="52">
        <v>194.4</v>
      </c>
      <c r="AL62" s="52">
        <v>194.4</v>
      </c>
      <c r="AM62" s="52">
        <v>77.760000000000005</v>
      </c>
      <c r="AN62" s="52">
        <v>194.4</v>
      </c>
      <c r="AO62" s="52">
        <v>194.4</v>
      </c>
      <c r="AP62" s="52">
        <v>77.760000000000005</v>
      </c>
      <c r="AQ62" s="52">
        <v>0</v>
      </c>
      <c r="AR62" s="52">
        <v>0</v>
      </c>
      <c r="AS62" s="52">
        <v>0</v>
      </c>
      <c r="AT62" s="52">
        <v>194.4</v>
      </c>
      <c r="AU62" s="52">
        <v>194.4</v>
      </c>
      <c r="AV62" s="52">
        <v>77.760000000000005</v>
      </c>
      <c r="AW62" s="52">
        <v>0</v>
      </c>
      <c r="AX62" s="52">
        <v>0</v>
      </c>
      <c r="AY62" s="52">
        <v>0</v>
      </c>
      <c r="AZ62" s="52">
        <v>0</v>
      </c>
      <c r="BA62" s="52">
        <v>0</v>
      </c>
      <c r="BB62" s="52">
        <v>0</v>
      </c>
      <c r="BC62" s="52">
        <v>0</v>
      </c>
      <c r="BD62" s="52">
        <v>0</v>
      </c>
      <c r="BE62" s="52">
        <v>0</v>
      </c>
      <c r="BF62" s="52">
        <v>194.4</v>
      </c>
      <c r="BG62" s="52">
        <v>194.4</v>
      </c>
      <c r="BH62" s="52">
        <v>77.760000000000005</v>
      </c>
      <c r="BI62" s="52">
        <v>194.4</v>
      </c>
      <c r="BJ62" s="52">
        <v>194.4</v>
      </c>
      <c r="BK62" s="52">
        <v>77.760000000000005</v>
      </c>
      <c r="BL62" s="52">
        <v>0</v>
      </c>
      <c r="BM62" s="52">
        <v>0</v>
      </c>
      <c r="BN62" s="52">
        <v>0</v>
      </c>
      <c r="BO62" s="52">
        <v>0</v>
      </c>
      <c r="BP62" s="52">
        <v>0</v>
      </c>
      <c r="BQ62" s="52">
        <v>0</v>
      </c>
      <c r="BR62" s="52">
        <v>194.4</v>
      </c>
      <c r="BS62" s="52">
        <v>131.6152184873965</v>
      </c>
      <c r="BT62" s="52">
        <v>77.759999999999707</v>
      </c>
      <c r="BU62" s="52">
        <v>194.4</v>
      </c>
      <c r="BV62" s="52">
        <v>77.760000000000005</v>
      </c>
      <c r="BW62" s="52">
        <v>77.760000000000005</v>
      </c>
    </row>
    <row r="63" spans="1:75" x14ac:dyDescent="0.3">
      <c r="A63" s="8" t="s">
        <v>102</v>
      </c>
      <c r="B63" s="8" t="s">
        <v>8</v>
      </c>
      <c r="C63" s="8" t="s">
        <v>62</v>
      </c>
      <c r="D63" s="52">
        <v>500</v>
      </c>
      <c r="E63" s="52">
        <v>500</v>
      </c>
      <c r="F63" s="52">
        <v>500</v>
      </c>
      <c r="G63" s="52">
        <v>500</v>
      </c>
      <c r="H63" s="52">
        <v>500</v>
      </c>
      <c r="I63" s="52">
        <v>500</v>
      </c>
      <c r="J63" s="52">
        <v>500</v>
      </c>
      <c r="K63" s="52">
        <v>500</v>
      </c>
      <c r="L63" s="52">
        <v>500</v>
      </c>
      <c r="M63" s="52">
        <v>500</v>
      </c>
      <c r="N63" s="52">
        <v>500</v>
      </c>
      <c r="O63" s="52">
        <v>500</v>
      </c>
      <c r="P63" s="52">
        <v>500</v>
      </c>
      <c r="Q63" s="52">
        <v>500</v>
      </c>
      <c r="R63" s="52">
        <v>500</v>
      </c>
      <c r="S63" s="52">
        <v>500</v>
      </c>
      <c r="T63" s="52">
        <v>500</v>
      </c>
      <c r="U63" s="52">
        <v>500</v>
      </c>
      <c r="V63" s="52">
        <v>500</v>
      </c>
      <c r="W63" s="52">
        <v>500</v>
      </c>
      <c r="X63" s="52">
        <v>500</v>
      </c>
      <c r="Y63" s="52">
        <v>500</v>
      </c>
      <c r="Z63" s="52">
        <v>500</v>
      </c>
      <c r="AA63" s="52">
        <v>500</v>
      </c>
      <c r="AB63" s="52">
        <v>500</v>
      </c>
      <c r="AC63" s="52">
        <v>500</v>
      </c>
      <c r="AD63" s="52">
        <v>500</v>
      </c>
      <c r="AE63" s="52">
        <v>500</v>
      </c>
      <c r="AF63" s="52">
        <v>500</v>
      </c>
      <c r="AG63" s="52">
        <v>500</v>
      </c>
      <c r="AH63" s="52">
        <v>500</v>
      </c>
      <c r="AI63" s="52">
        <v>500</v>
      </c>
      <c r="AJ63" s="52">
        <v>500</v>
      </c>
      <c r="AK63" s="52">
        <v>500</v>
      </c>
      <c r="AL63" s="52">
        <v>500</v>
      </c>
      <c r="AM63" s="52">
        <v>500</v>
      </c>
      <c r="AN63" s="52">
        <v>500</v>
      </c>
      <c r="AO63" s="52">
        <v>500</v>
      </c>
      <c r="AP63" s="52">
        <v>500</v>
      </c>
      <c r="AQ63" s="52">
        <v>500</v>
      </c>
      <c r="AR63" s="52">
        <v>500</v>
      </c>
      <c r="AS63" s="52">
        <v>500</v>
      </c>
      <c r="AT63" s="52">
        <v>500</v>
      </c>
      <c r="AU63" s="52">
        <v>500</v>
      </c>
      <c r="AV63" s="52">
        <v>500</v>
      </c>
      <c r="AW63" s="52">
        <v>500</v>
      </c>
      <c r="AX63" s="52">
        <v>500</v>
      </c>
      <c r="AY63" s="52">
        <v>500</v>
      </c>
      <c r="AZ63" s="52">
        <v>500</v>
      </c>
      <c r="BA63" s="52">
        <v>500</v>
      </c>
      <c r="BB63" s="52">
        <v>500</v>
      </c>
      <c r="BC63" s="52">
        <v>500</v>
      </c>
      <c r="BD63" s="52">
        <v>500</v>
      </c>
      <c r="BE63" s="52">
        <v>500</v>
      </c>
      <c r="BF63" s="52">
        <v>500</v>
      </c>
      <c r="BG63" s="52">
        <v>500</v>
      </c>
      <c r="BH63" s="52">
        <v>474.53210619469098</v>
      </c>
      <c r="BI63" s="52">
        <v>500</v>
      </c>
      <c r="BJ63" s="52">
        <v>500</v>
      </c>
      <c r="BK63" s="52">
        <v>474.53210619469098</v>
      </c>
      <c r="BL63" s="52">
        <v>500</v>
      </c>
      <c r="BM63" s="52">
        <v>500</v>
      </c>
      <c r="BN63" s="52">
        <v>500</v>
      </c>
      <c r="BO63" s="52">
        <v>500</v>
      </c>
      <c r="BP63" s="52">
        <v>500</v>
      </c>
      <c r="BQ63" s="52">
        <v>500</v>
      </c>
      <c r="BR63" s="52">
        <v>500</v>
      </c>
      <c r="BS63" s="52">
        <v>500</v>
      </c>
      <c r="BT63" s="52">
        <v>500</v>
      </c>
      <c r="BU63" s="52">
        <v>500</v>
      </c>
      <c r="BV63" s="52">
        <v>500</v>
      </c>
      <c r="BW63" s="52">
        <v>488.98402040816416</v>
      </c>
    </row>
    <row r="64" spans="1:75" x14ac:dyDescent="0.3">
      <c r="A64" s="8" t="s">
        <v>102</v>
      </c>
      <c r="B64" s="8" t="s">
        <v>8</v>
      </c>
      <c r="C64" s="8" t="s">
        <v>63</v>
      </c>
      <c r="D64" s="52">
        <v>500</v>
      </c>
      <c r="E64" s="52">
        <v>500</v>
      </c>
      <c r="F64" s="52">
        <v>234.27699999999928</v>
      </c>
      <c r="G64" s="52">
        <v>500</v>
      </c>
      <c r="H64" s="52">
        <v>500</v>
      </c>
      <c r="I64" s="52">
        <v>126.20066666666673</v>
      </c>
      <c r="J64" s="52">
        <v>500</v>
      </c>
      <c r="K64" s="52">
        <v>500</v>
      </c>
      <c r="L64" s="52">
        <v>212.49700000000027</v>
      </c>
      <c r="M64" s="52">
        <v>500</v>
      </c>
      <c r="N64" s="52">
        <v>500</v>
      </c>
      <c r="O64" s="52">
        <v>209.34199999999953</v>
      </c>
      <c r="P64" s="52">
        <v>500</v>
      </c>
      <c r="Q64" s="52">
        <v>500</v>
      </c>
      <c r="R64" s="52">
        <v>226.72800000000007</v>
      </c>
      <c r="S64" s="52">
        <v>500</v>
      </c>
      <c r="T64" s="52">
        <v>500</v>
      </c>
      <c r="U64" s="52">
        <v>129.21999999999989</v>
      </c>
      <c r="V64" s="52">
        <v>500</v>
      </c>
      <c r="W64" s="52">
        <v>500</v>
      </c>
      <c r="X64" s="52">
        <v>102.19585964912397</v>
      </c>
      <c r="Y64" s="52">
        <v>0</v>
      </c>
      <c r="Z64" s="52">
        <v>0</v>
      </c>
      <c r="AA64" s="52">
        <v>0</v>
      </c>
      <c r="AB64" s="52">
        <v>500</v>
      </c>
      <c r="AC64" s="52">
        <v>500</v>
      </c>
      <c r="AD64" s="52">
        <v>141.51100000000051</v>
      </c>
      <c r="AE64" s="52">
        <v>0</v>
      </c>
      <c r="AF64" s="52">
        <v>0</v>
      </c>
      <c r="AG64" s="52">
        <v>0</v>
      </c>
      <c r="AH64" s="52">
        <v>500</v>
      </c>
      <c r="AI64" s="52">
        <v>500</v>
      </c>
      <c r="AJ64" s="52">
        <v>320.66400000000084</v>
      </c>
      <c r="AK64" s="52">
        <v>500</v>
      </c>
      <c r="AL64" s="52">
        <v>500</v>
      </c>
      <c r="AM64" s="52">
        <v>320.66400000000084</v>
      </c>
      <c r="AN64" s="52">
        <v>500</v>
      </c>
      <c r="AO64" s="52">
        <v>500</v>
      </c>
      <c r="AP64" s="52">
        <v>386.19300000000112</v>
      </c>
      <c r="AQ64" s="52">
        <v>500</v>
      </c>
      <c r="AR64" s="52">
        <v>500</v>
      </c>
      <c r="AS64" s="52">
        <v>386.19300000000112</v>
      </c>
      <c r="AT64" s="52">
        <v>0</v>
      </c>
      <c r="AU64" s="52">
        <v>0</v>
      </c>
      <c r="AV64" s="52">
        <v>0</v>
      </c>
      <c r="AW64" s="52">
        <v>0</v>
      </c>
      <c r="AX64" s="52">
        <v>0</v>
      </c>
      <c r="AY64" s="52">
        <v>0</v>
      </c>
      <c r="AZ64" s="52">
        <v>500</v>
      </c>
      <c r="BA64" s="52">
        <v>500</v>
      </c>
      <c r="BB64" s="52">
        <v>361.43654545454609</v>
      </c>
      <c r="BC64" s="52">
        <v>500</v>
      </c>
      <c r="BD64" s="52">
        <v>500</v>
      </c>
      <c r="BE64" s="52">
        <v>361.43654545454609</v>
      </c>
      <c r="BF64" s="52">
        <v>500</v>
      </c>
      <c r="BG64" s="52">
        <v>500</v>
      </c>
      <c r="BH64" s="52">
        <v>100</v>
      </c>
      <c r="BI64" s="52">
        <v>0</v>
      </c>
      <c r="BJ64" s="52">
        <v>0</v>
      </c>
      <c r="BK64" s="52">
        <v>0</v>
      </c>
      <c r="BL64" s="52">
        <v>500</v>
      </c>
      <c r="BM64" s="52">
        <v>500</v>
      </c>
      <c r="BN64" s="52">
        <v>312.91202739726077</v>
      </c>
      <c r="BO64" s="52">
        <v>500</v>
      </c>
      <c r="BP64" s="52">
        <v>500</v>
      </c>
      <c r="BQ64" s="52">
        <v>242.68802739725933</v>
      </c>
      <c r="BR64" s="52">
        <v>500</v>
      </c>
      <c r="BS64" s="52">
        <v>500</v>
      </c>
      <c r="BT64" s="52">
        <v>200.074000000002</v>
      </c>
      <c r="BU64" s="52">
        <v>500</v>
      </c>
      <c r="BV64" s="52">
        <v>500</v>
      </c>
      <c r="BW64" s="52">
        <v>100</v>
      </c>
    </row>
    <row r="65" spans="1:75" x14ac:dyDescent="0.3">
      <c r="A65" s="8" t="s">
        <v>102</v>
      </c>
      <c r="B65" s="8" t="s">
        <v>8</v>
      </c>
      <c r="C65" s="8" t="s">
        <v>64</v>
      </c>
      <c r="D65" s="52">
        <v>500</v>
      </c>
      <c r="E65" s="52">
        <v>500</v>
      </c>
      <c r="F65" s="52">
        <v>100</v>
      </c>
      <c r="G65" s="52">
        <v>0</v>
      </c>
      <c r="H65" s="52">
        <v>0</v>
      </c>
      <c r="I65" s="52">
        <v>0</v>
      </c>
      <c r="J65" s="52">
        <v>500</v>
      </c>
      <c r="K65" s="52">
        <v>500</v>
      </c>
      <c r="L65" s="52">
        <v>100</v>
      </c>
      <c r="M65" s="52">
        <v>0</v>
      </c>
      <c r="N65" s="52">
        <v>0</v>
      </c>
      <c r="O65" s="52">
        <v>0</v>
      </c>
      <c r="P65" s="52">
        <v>500</v>
      </c>
      <c r="Q65" s="52">
        <v>500</v>
      </c>
      <c r="R65" s="52">
        <v>100</v>
      </c>
      <c r="S65" s="52">
        <v>0</v>
      </c>
      <c r="T65" s="52">
        <v>0</v>
      </c>
      <c r="U65" s="52">
        <v>0</v>
      </c>
      <c r="V65" s="52">
        <v>0</v>
      </c>
      <c r="W65" s="52">
        <v>0</v>
      </c>
      <c r="X65" s="52">
        <v>0</v>
      </c>
      <c r="Y65" s="52">
        <v>0</v>
      </c>
      <c r="Z65" s="52">
        <v>0</v>
      </c>
      <c r="AA65" s="52">
        <v>0</v>
      </c>
      <c r="AB65" s="52">
        <v>0</v>
      </c>
      <c r="AC65" s="52">
        <v>0</v>
      </c>
      <c r="AD65" s="52">
        <v>0</v>
      </c>
      <c r="AE65" s="52">
        <v>0</v>
      </c>
      <c r="AF65" s="52">
        <v>0</v>
      </c>
      <c r="AG65" s="52">
        <v>0</v>
      </c>
      <c r="AH65" s="52">
        <v>500</v>
      </c>
      <c r="AI65" s="52">
        <v>500</v>
      </c>
      <c r="AJ65" s="52">
        <v>100</v>
      </c>
      <c r="AK65" s="52">
        <v>0</v>
      </c>
      <c r="AL65" s="52">
        <v>0</v>
      </c>
      <c r="AM65" s="52">
        <v>0</v>
      </c>
      <c r="AN65" s="52">
        <v>500</v>
      </c>
      <c r="AO65" s="52">
        <v>500</v>
      </c>
      <c r="AP65" s="52">
        <v>100</v>
      </c>
      <c r="AQ65" s="52">
        <v>500</v>
      </c>
      <c r="AR65" s="52">
        <v>488.97100000000052</v>
      </c>
      <c r="AS65" s="52">
        <v>100</v>
      </c>
      <c r="AT65" s="52">
        <v>500</v>
      </c>
      <c r="AU65" s="52">
        <v>500</v>
      </c>
      <c r="AV65" s="52">
        <v>333.38</v>
      </c>
      <c r="AW65" s="52">
        <v>500</v>
      </c>
      <c r="AX65" s="52">
        <v>500</v>
      </c>
      <c r="AY65" s="52">
        <v>333.38</v>
      </c>
      <c r="AZ65" s="52">
        <v>500</v>
      </c>
      <c r="BA65" s="52">
        <v>500</v>
      </c>
      <c r="BB65" s="52">
        <v>100</v>
      </c>
      <c r="BC65" s="52">
        <v>0</v>
      </c>
      <c r="BD65" s="52">
        <v>0</v>
      </c>
      <c r="BE65" s="52">
        <v>0</v>
      </c>
      <c r="BF65" s="52">
        <v>0</v>
      </c>
      <c r="BG65" s="52">
        <v>0</v>
      </c>
      <c r="BH65" s="52">
        <v>0</v>
      </c>
      <c r="BI65" s="52">
        <v>0</v>
      </c>
      <c r="BJ65" s="52">
        <v>0</v>
      </c>
      <c r="BK65" s="52">
        <v>0</v>
      </c>
      <c r="BL65" s="52">
        <v>500</v>
      </c>
      <c r="BM65" s="52">
        <v>500</v>
      </c>
      <c r="BN65" s="52">
        <v>100</v>
      </c>
      <c r="BO65" s="52">
        <v>500</v>
      </c>
      <c r="BP65" s="52">
        <v>358.16099999999989</v>
      </c>
      <c r="BQ65" s="52">
        <v>100</v>
      </c>
      <c r="BR65" s="52">
        <v>500</v>
      </c>
      <c r="BS65" s="52">
        <v>500</v>
      </c>
      <c r="BT65" s="52">
        <v>100</v>
      </c>
      <c r="BU65" s="52">
        <v>0</v>
      </c>
      <c r="BV65" s="52">
        <v>0</v>
      </c>
      <c r="BW65" s="52">
        <v>0</v>
      </c>
    </row>
    <row r="66" spans="1:75" x14ac:dyDescent="0.3">
      <c r="A66" s="8" t="s">
        <v>102</v>
      </c>
      <c r="B66" s="8" t="s">
        <v>8</v>
      </c>
      <c r="C66" s="8" t="s">
        <v>65</v>
      </c>
      <c r="D66" s="52">
        <v>667.5</v>
      </c>
      <c r="E66" s="52">
        <v>667.5</v>
      </c>
      <c r="F66" s="52">
        <v>667.5</v>
      </c>
      <c r="G66" s="52">
        <v>667.5</v>
      </c>
      <c r="H66" s="52">
        <v>667.5</v>
      </c>
      <c r="I66" s="52">
        <v>667.5</v>
      </c>
      <c r="J66" s="52">
        <v>667.5</v>
      </c>
      <c r="K66" s="52">
        <v>667.5</v>
      </c>
      <c r="L66" s="52">
        <v>667.5</v>
      </c>
      <c r="M66" s="52">
        <v>667.5</v>
      </c>
      <c r="N66" s="52">
        <v>667.5</v>
      </c>
      <c r="O66" s="52">
        <v>667.5</v>
      </c>
      <c r="P66" s="52">
        <v>667.5</v>
      </c>
      <c r="Q66" s="52">
        <v>667.5</v>
      </c>
      <c r="R66" s="52">
        <v>667.5</v>
      </c>
      <c r="S66" s="52">
        <v>667.5</v>
      </c>
      <c r="T66" s="52">
        <v>667.5</v>
      </c>
      <c r="U66" s="52">
        <v>667.5</v>
      </c>
      <c r="V66" s="52">
        <v>667.5</v>
      </c>
      <c r="W66" s="52">
        <v>667.5</v>
      </c>
      <c r="X66" s="52">
        <v>667.5</v>
      </c>
      <c r="Y66" s="52">
        <v>667.5</v>
      </c>
      <c r="Z66" s="52">
        <v>667.5</v>
      </c>
      <c r="AA66" s="52">
        <v>667.5</v>
      </c>
      <c r="AB66" s="52">
        <v>667.5</v>
      </c>
      <c r="AC66" s="52">
        <v>667.5</v>
      </c>
      <c r="AD66" s="52">
        <v>667.5</v>
      </c>
      <c r="AE66" s="52">
        <v>667.5</v>
      </c>
      <c r="AF66" s="52">
        <v>667.5</v>
      </c>
      <c r="AG66" s="52">
        <v>667.5</v>
      </c>
      <c r="AH66" s="52">
        <v>667.5</v>
      </c>
      <c r="AI66" s="52">
        <v>667.5</v>
      </c>
      <c r="AJ66" s="52">
        <v>667.5</v>
      </c>
      <c r="AK66" s="52">
        <v>667.5</v>
      </c>
      <c r="AL66" s="52">
        <v>667.5</v>
      </c>
      <c r="AM66" s="52">
        <v>667.5</v>
      </c>
      <c r="AN66" s="52">
        <v>667.5</v>
      </c>
      <c r="AO66" s="52">
        <v>667.5</v>
      </c>
      <c r="AP66" s="52">
        <v>667.5</v>
      </c>
      <c r="AQ66" s="52">
        <v>667.5</v>
      </c>
      <c r="AR66" s="52">
        <v>667.5</v>
      </c>
      <c r="AS66" s="52">
        <v>667.5</v>
      </c>
      <c r="AT66" s="52">
        <v>667.5</v>
      </c>
      <c r="AU66" s="52">
        <v>667.5</v>
      </c>
      <c r="AV66" s="52">
        <v>667.5</v>
      </c>
      <c r="AW66" s="52">
        <v>667.5</v>
      </c>
      <c r="AX66" s="52">
        <v>667.5</v>
      </c>
      <c r="AY66" s="52">
        <v>667.5</v>
      </c>
      <c r="AZ66" s="52">
        <v>667.5</v>
      </c>
      <c r="BA66" s="52">
        <v>667.5</v>
      </c>
      <c r="BB66" s="52">
        <v>667.5</v>
      </c>
      <c r="BC66" s="52">
        <v>667.5</v>
      </c>
      <c r="BD66" s="52">
        <v>667.5</v>
      </c>
      <c r="BE66" s="52">
        <v>667.5</v>
      </c>
      <c r="BF66" s="52">
        <v>667.5</v>
      </c>
      <c r="BG66" s="52">
        <v>667.5</v>
      </c>
      <c r="BH66" s="52">
        <v>667.5</v>
      </c>
      <c r="BI66" s="52">
        <v>667.5</v>
      </c>
      <c r="BJ66" s="52">
        <v>667.5</v>
      </c>
      <c r="BK66" s="52">
        <v>667.5</v>
      </c>
      <c r="BL66" s="52">
        <v>667.5</v>
      </c>
      <c r="BM66" s="52">
        <v>667.5</v>
      </c>
      <c r="BN66" s="52">
        <v>667.5</v>
      </c>
      <c r="BO66" s="52">
        <v>667.5</v>
      </c>
      <c r="BP66" s="52">
        <v>667.5</v>
      </c>
      <c r="BQ66" s="52">
        <v>667.5</v>
      </c>
      <c r="BR66" s="52">
        <v>667.5</v>
      </c>
      <c r="BS66" s="52">
        <v>667.5</v>
      </c>
      <c r="BT66" s="52">
        <v>667.5</v>
      </c>
      <c r="BU66" s="52">
        <v>667.5</v>
      </c>
      <c r="BV66" s="52">
        <v>667.5</v>
      </c>
      <c r="BW66" s="52">
        <v>667.5</v>
      </c>
    </row>
    <row r="67" spans="1:75" x14ac:dyDescent="0.3">
      <c r="A67" s="8" t="s">
        <v>102</v>
      </c>
      <c r="B67" s="8" t="s">
        <v>8</v>
      </c>
      <c r="C67" s="8" t="s">
        <v>66</v>
      </c>
      <c r="D67" s="52">
        <v>0</v>
      </c>
      <c r="E67" s="52">
        <v>0</v>
      </c>
      <c r="F67" s="52">
        <v>0</v>
      </c>
      <c r="G67" s="52">
        <v>0</v>
      </c>
      <c r="H67" s="52">
        <v>0</v>
      </c>
      <c r="I67" s="52">
        <v>0</v>
      </c>
      <c r="J67" s="52">
        <v>0</v>
      </c>
      <c r="K67" s="52">
        <v>0</v>
      </c>
      <c r="L67" s="52">
        <v>0</v>
      </c>
      <c r="M67" s="52">
        <v>0</v>
      </c>
      <c r="N67" s="52">
        <v>0</v>
      </c>
      <c r="O67" s="52">
        <v>0</v>
      </c>
      <c r="P67" s="52">
        <v>0</v>
      </c>
      <c r="Q67" s="52">
        <v>0</v>
      </c>
      <c r="R67" s="52">
        <v>0</v>
      </c>
      <c r="S67" s="52">
        <v>0</v>
      </c>
      <c r="T67" s="52">
        <v>0</v>
      </c>
      <c r="U67" s="52">
        <v>0</v>
      </c>
      <c r="V67" s="52">
        <v>0</v>
      </c>
      <c r="W67" s="52">
        <v>0</v>
      </c>
      <c r="X67" s="52">
        <v>0</v>
      </c>
      <c r="Y67" s="52">
        <v>0</v>
      </c>
      <c r="Z67" s="52">
        <v>0</v>
      </c>
      <c r="AA67" s="52">
        <v>0</v>
      </c>
      <c r="AB67" s="52">
        <v>0</v>
      </c>
      <c r="AC67" s="52">
        <v>0</v>
      </c>
      <c r="AD67" s="52">
        <v>0</v>
      </c>
      <c r="AE67" s="52">
        <v>0</v>
      </c>
      <c r="AF67" s="52">
        <v>0</v>
      </c>
      <c r="AG67" s="52">
        <v>0</v>
      </c>
      <c r="AH67" s="52">
        <v>0</v>
      </c>
      <c r="AI67" s="52">
        <v>0</v>
      </c>
      <c r="AJ67" s="52">
        <v>0</v>
      </c>
      <c r="AK67" s="52">
        <v>0</v>
      </c>
      <c r="AL67" s="52">
        <v>0</v>
      </c>
      <c r="AM67" s="52">
        <v>0</v>
      </c>
      <c r="AN67" s="52">
        <v>0</v>
      </c>
      <c r="AO67" s="52">
        <v>0</v>
      </c>
      <c r="AP67" s="52">
        <v>0</v>
      </c>
      <c r="AQ67" s="52">
        <v>0</v>
      </c>
      <c r="AR67" s="52">
        <v>0</v>
      </c>
      <c r="AS67" s="52">
        <v>0</v>
      </c>
      <c r="AT67" s="52">
        <v>0</v>
      </c>
      <c r="AU67" s="52">
        <v>0</v>
      </c>
      <c r="AV67" s="52">
        <v>0</v>
      </c>
      <c r="AW67" s="52">
        <v>0</v>
      </c>
      <c r="AX67" s="52">
        <v>0</v>
      </c>
      <c r="AY67" s="52">
        <v>0</v>
      </c>
      <c r="AZ67" s="52">
        <v>0</v>
      </c>
      <c r="BA67" s="52">
        <v>0</v>
      </c>
      <c r="BB67" s="52">
        <v>0</v>
      </c>
      <c r="BC67" s="52">
        <v>0</v>
      </c>
      <c r="BD67" s="52">
        <v>0</v>
      </c>
      <c r="BE67" s="52">
        <v>0</v>
      </c>
      <c r="BF67" s="52">
        <v>0</v>
      </c>
      <c r="BG67" s="52">
        <v>0</v>
      </c>
      <c r="BH67" s="52">
        <v>0</v>
      </c>
      <c r="BI67" s="52">
        <v>0</v>
      </c>
      <c r="BJ67" s="52">
        <v>0</v>
      </c>
      <c r="BK67" s="52">
        <v>0</v>
      </c>
      <c r="BL67" s="52">
        <v>0</v>
      </c>
      <c r="BM67" s="52">
        <v>0</v>
      </c>
      <c r="BN67" s="52">
        <v>0</v>
      </c>
      <c r="BO67" s="52">
        <v>0</v>
      </c>
      <c r="BP67" s="52">
        <v>0</v>
      </c>
      <c r="BQ67" s="52">
        <v>0</v>
      </c>
      <c r="BR67" s="52">
        <v>0</v>
      </c>
      <c r="BS67" s="52">
        <v>0</v>
      </c>
      <c r="BT67" s="52">
        <v>0</v>
      </c>
      <c r="BU67" s="52">
        <v>0</v>
      </c>
      <c r="BV67" s="52">
        <v>0</v>
      </c>
      <c r="BW67" s="52">
        <v>0</v>
      </c>
    </row>
    <row r="68" spans="1:75" x14ac:dyDescent="0.3">
      <c r="A68" s="8" t="s">
        <v>102</v>
      </c>
      <c r="B68" s="8" t="s">
        <v>8</v>
      </c>
      <c r="C68" s="8" t="s">
        <v>67</v>
      </c>
      <c r="D68" s="52">
        <v>0</v>
      </c>
      <c r="E68" s="52">
        <v>0</v>
      </c>
      <c r="F68" s="52">
        <v>0</v>
      </c>
      <c r="G68" s="52">
        <v>0</v>
      </c>
      <c r="H68" s="52">
        <v>0</v>
      </c>
      <c r="I68" s="52">
        <v>0</v>
      </c>
      <c r="J68" s="52">
        <v>0</v>
      </c>
      <c r="K68" s="52">
        <v>0</v>
      </c>
      <c r="L68" s="52">
        <v>0</v>
      </c>
      <c r="M68" s="52">
        <v>0</v>
      </c>
      <c r="N68" s="52">
        <v>0</v>
      </c>
      <c r="O68" s="52">
        <v>0</v>
      </c>
      <c r="P68" s="52">
        <v>0</v>
      </c>
      <c r="Q68" s="52">
        <v>0</v>
      </c>
      <c r="R68" s="52">
        <v>0</v>
      </c>
      <c r="S68" s="52">
        <v>0</v>
      </c>
      <c r="T68" s="52">
        <v>0</v>
      </c>
      <c r="U68" s="52">
        <v>0</v>
      </c>
      <c r="V68" s="52">
        <v>0</v>
      </c>
      <c r="W68" s="52">
        <v>0</v>
      </c>
      <c r="X68" s="52">
        <v>0</v>
      </c>
      <c r="Y68" s="52">
        <v>0</v>
      </c>
      <c r="Z68" s="52">
        <v>0</v>
      </c>
      <c r="AA68" s="52">
        <v>0</v>
      </c>
      <c r="AB68" s="52">
        <v>0</v>
      </c>
      <c r="AC68" s="52">
        <v>0</v>
      </c>
      <c r="AD68" s="52">
        <v>0</v>
      </c>
      <c r="AE68" s="52">
        <v>0</v>
      </c>
      <c r="AF68" s="52">
        <v>0</v>
      </c>
      <c r="AG68" s="52">
        <v>0</v>
      </c>
      <c r="AH68" s="52">
        <v>0</v>
      </c>
      <c r="AI68" s="52">
        <v>0</v>
      </c>
      <c r="AJ68" s="52">
        <v>0</v>
      </c>
      <c r="AK68" s="52">
        <v>0</v>
      </c>
      <c r="AL68" s="52">
        <v>0</v>
      </c>
      <c r="AM68" s="52">
        <v>0</v>
      </c>
      <c r="AN68" s="52">
        <v>0</v>
      </c>
      <c r="AO68" s="52">
        <v>0</v>
      </c>
      <c r="AP68" s="52">
        <v>0</v>
      </c>
      <c r="AQ68" s="52">
        <v>0</v>
      </c>
      <c r="AR68" s="52">
        <v>0</v>
      </c>
      <c r="AS68" s="52">
        <v>0</v>
      </c>
      <c r="AT68" s="52">
        <v>0</v>
      </c>
      <c r="AU68" s="52">
        <v>0</v>
      </c>
      <c r="AV68" s="52">
        <v>0</v>
      </c>
      <c r="AW68" s="52">
        <v>0</v>
      </c>
      <c r="AX68" s="52">
        <v>0</v>
      </c>
      <c r="AY68" s="52">
        <v>0</v>
      </c>
      <c r="AZ68" s="52">
        <v>0</v>
      </c>
      <c r="BA68" s="52">
        <v>0</v>
      </c>
      <c r="BB68" s="52">
        <v>0</v>
      </c>
      <c r="BC68" s="52">
        <v>0</v>
      </c>
      <c r="BD68" s="52">
        <v>0</v>
      </c>
      <c r="BE68" s="52">
        <v>0</v>
      </c>
      <c r="BF68" s="52">
        <v>0</v>
      </c>
      <c r="BG68" s="52">
        <v>0</v>
      </c>
      <c r="BH68" s="52">
        <v>0</v>
      </c>
      <c r="BI68" s="52">
        <v>0</v>
      </c>
      <c r="BJ68" s="52">
        <v>0</v>
      </c>
      <c r="BK68" s="52">
        <v>0</v>
      </c>
      <c r="BL68" s="52">
        <v>0</v>
      </c>
      <c r="BM68" s="52">
        <v>0</v>
      </c>
      <c r="BN68" s="52">
        <v>0</v>
      </c>
      <c r="BO68" s="52">
        <v>0</v>
      </c>
      <c r="BP68" s="52">
        <v>0</v>
      </c>
      <c r="BQ68" s="52">
        <v>0</v>
      </c>
      <c r="BR68" s="52">
        <v>0</v>
      </c>
      <c r="BS68" s="52">
        <v>0</v>
      </c>
      <c r="BT68" s="52">
        <v>0</v>
      </c>
      <c r="BU68" s="52">
        <v>0</v>
      </c>
      <c r="BV68" s="52">
        <v>0</v>
      </c>
      <c r="BW68" s="52">
        <v>0</v>
      </c>
    </row>
    <row r="69" spans="1:75" x14ac:dyDescent="0.3">
      <c r="A69" s="8" t="s">
        <v>102</v>
      </c>
      <c r="B69" s="8" t="s">
        <v>8</v>
      </c>
      <c r="C69" s="8" t="s">
        <v>68</v>
      </c>
      <c r="D69" s="52">
        <v>0</v>
      </c>
      <c r="E69" s="52">
        <v>0</v>
      </c>
      <c r="F69" s="52">
        <v>0</v>
      </c>
      <c r="G69" s="52">
        <v>0</v>
      </c>
      <c r="H69" s="52">
        <v>0</v>
      </c>
      <c r="I69" s="52">
        <v>0</v>
      </c>
      <c r="J69" s="52">
        <v>0</v>
      </c>
      <c r="K69" s="52">
        <v>0</v>
      </c>
      <c r="L69" s="52">
        <v>0</v>
      </c>
      <c r="M69" s="52">
        <v>0</v>
      </c>
      <c r="N69" s="52">
        <v>0</v>
      </c>
      <c r="O69" s="52">
        <v>0</v>
      </c>
      <c r="P69" s="52">
        <v>0</v>
      </c>
      <c r="Q69" s="52">
        <v>0</v>
      </c>
      <c r="R69" s="52">
        <v>0</v>
      </c>
      <c r="S69" s="52">
        <v>0</v>
      </c>
      <c r="T69" s="52">
        <v>0</v>
      </c>
      <c r="U69" s="52">
        <v>0</v>
      </c>
      <c r="V69" s="52">
        <v>0</v>
      </c>
      <c r="W69" s="52">
        <v>0</v>
      </c>
      <c r="X69" s="52">
        <v>0</v>
      </c>
      <c r="Y69" s="52">
        <v>0</v>
      </c>
      <c r="Z69" s="52">
        <v>0</v>
      </c>
      <c r="AA69" s="52">
        <v>0</v>
      </c>
      <c r="AB69" s="52">
        <v>0</v>
      </c>
      <c r="AC69" s="52">
        <v>0</v>
      </c>
      <c r="AD69" s="52">
        <v>0</v>
      </c>
      <c r="AE69" s="52">
        <v>0</v>
      </c>
      <c r="AF69" s="52">
        <v>0</v>
      </c>
      <c r="AG69" s="52">
        <v>0</v>
      </c>
      <c r="AH69" s="52">
        <v>0</v>
      </c>
      <c r="AI69" s="52">
        <v>0</v>
      </c>
      <c r="AJ69" s="52">
        <v>0</v>
      </c>
      <c r="AK69" s="52">
        <v>0</v>
      </c>
      <c r="AL69" s="52">
        <v>0</v>
      </c>
      <c r="AM69" s="52">
        <v>0</v>
      </c>
      <c r="AN69" s="52">
        <v>0</v>
      </c>
      <c r="AO69" s="52">
        <v>0</v>
      </c>
      <c r="AP69" s="52">
        <v>0</v>
      </c>
      <c r="AQ69" s="52">
        <v>0</v>
      </c>
      <c r="AR69" s="52">
        <v>0</v>
      </c>
      <c r="AS69" s="52">
        <v>0</v>
      </c>
      <c r="AT69" s="52">
        <v>0</v>
      </c>
      <c r="AU69" s="52">
        <v>0</v>
      </c>
      <c r="AV69" s="52">
        <v>0</v>
      </c>
      <c r="AW69" s="52">
        <v>0</v>
      </c>
      <c r="AX69" s="52">
        <v>0</v>
      </c>
      <c r="AY69" s="52">
        <v>0</v>
      </c>
      <c r="AZ69" s="52">
        <v>0</v>
      </c>
      <c r="BA69" s="52">
        <v>0</v>
      </c>
      <c r="BB69" s="52">
        <v>0</v>
      </c>
      <c r="BC69" s="52">
        <v>0</v>
      </c>
      <c r="BD69" s="52">
        <v>0</v>
      </c>
      <c r="BE69" s="52">
        <v>0</v>
      </c>
      <c r="BF69" s="52">
        <v>0</v>
      </c>
      <c r="BG69" s="52">
        <v>0</v>
      </c>
      <c r="BH69" s="52">
        <v>0</v>
      </c>
      <c r="BI69" s="52">
        <v>0</v>
      </c>
      <c r="BJ69" s="52">
        <v>0</v>
      </c>
      <c r="BK69" s="52">
        <v>0</v>
      </c>
      <c r="BL69" s="52">
        <v>0</v>
      </c>
      <c r="BM69" s="52">
        <v>0</v>
      </c>
      <c r="BN69" s="52">
        <v>0</v>
      </c>
      <c r="BO69" s="52">
        <v>0</v>
      </c>
      <c r="BP69" s="52">
        <v>0</v>
      </c>
      <c r="BQ69" s="52">
        <v>0</v>
      </c>
      <c r="BR69" s="52">
        <v>0</v>
      </c>
      <c r="BS69" s="52">
        <v>0</v>
      </c>
      <c r="BT69" s="52">
        <v>0</v>
      </c>
      <c r="BU69" s="52">
        <v>0</v>
      </c>
      <c r="BV69" s="52">
        <v>0</v>
      </c>
      <c r="BW69" s="52">
        <v>0</v>
      </c>
    </row>
    <row r="70" spans="1:75" x14ac:dyDescent="0.3">
      <c r="A70" s="8" t="s">
        <v>102</v>
      </c>
      <c r="B70" s="8" t="s">
        <v>8</v>
      </c>
      <c r="C70" s="8" t="s">
        <v>69</v>
      </c>
      <c r="D70" s="52">
        <v>0</v>
      </c>
      <c r="E70" s="52">
        <v>0</v>
      </c>
      <c r="F70" s="52">
        <v>0</v>
      </c>
      <c r="G70" s="52">
        <v>0</v>
      </c>
      <c r="H70" s="52">
        <v>0</v>
      </c>
      <c r="I70" s="52">
        <v>0</v>
      </c>
      <c r="J70" s="52">
        <v>0</v>
      </c>
      <c r="K70" s="52">
        <v>0</v>
      </c>
      <c r="L70" s="52">
        <v>0</v>
      </c>
      <c r="M70" s="52">
        <v>0</v>
      </c>
      <c r="N70" s="52">
        <v>0</v>
      </c>
      <c r="O70" s="52">
        <v>0</v>
      </c>
      <c r="P70" s="52">
        <v>0</v>
      </c>
      <c r="Q70" s="52">
        <v>0</v>
      </c>
      <c r="R70" s="52">
        <v>0</v>
      </c>
      <c r="S70" s="52">
        <v>0</v>
      </c>
      <c r="T70" s="52">
        <v>0</v>
      </c>
      <c r="U70" s="52">
        <v>0</v>
      </c>
      <c r="V70" s="52">
        <v>0</v>
      </c>
      <c r="W70" s="52">
        <v>0</v>
      </c>
      <c r="X70" s="52">
        <v>0</v>
      </c>
      <c r="Y70" s="52">
        <v>0</v>
      </c>
      <c r="Z70" s="52">
        <v>0</v>
      </c>
      <c r="AA70" s="52">
        <v>0</v>
      </c>
      <c r="AB70" s="52">
        <v>0</v>
      </c>
      <c r="AC70" s="52">
        <v>0</v>
      </c>
      <c r="AD70" s="52">
        <v>0</v>
      </c>
      <c r="AE70" s="52">
        <v>0</v>
      </c>
      <c r="AF70" s="52">
        <v>0</v>
      </c>
      <c r="AG70" s="52">
        <v>0</v>
      </c>
      <c r="AH70" s="52">
        <v>0</v>
      </c>
      <c r="AI70" s="52">
        <v>0</v>
      </c>
      <c r="AJ70" s="52">
        <v>0</v>
      </c>
      <c r="AK70" s="52">
        <v>0</v>
      </c>
      <c r="AL70" s="52">
        <v>0</v>
      </c>
      <c r="AM70" s="52">
        <v>0</v>
      </c>
      <c r="AN70" s="52">
        <v>0</v>
      </c>
      <c r="AO70" s="52">
        <v>0</v>
      </c>
      <c r="AP70" s="52">
        <v>0</v>
      </c>
      <c r="AQ70" s="52">
        <v>0</v>
      </c>
      <c r="AR70" s="52">
        <v>0</v>
      </c>
      <c r="AS70" s="52">
        <v>0</v>
      </c>
      <c r="AT70" s="52">
        <v>0</v>
      </c>
      <c r="AU70" s="52">
        <v>0</v>
      </c>
      <c r="AV70" s="52">
        <v>0</v>
      </c>
      <c r="AW70" s="52">
        <v>0</v>
      </c>
      <c r="AX70" s="52">
        <v>0</v>
      </c>
      <c r="AY70" s="52">
        <v>0</v>
      </c>
      <c r="AZ70" s="52">
        <v>0</v>
      </c>
      <c r="BA70" s="52">
        <v>0</v>
      </c>
      <c r="BB70" s="52">
        <v>0</v>
      </c>
      <c r="BC70" s="52">
        <v>0</v>
      </c>
      <c r="BD70" s="52">
        <v>0</v>
      </c>
      <c r="BE70" s="52">
        <v>0</v>
      </c>
      <c r="BF70" s="52">
        <v>0</v>
      </c>
      <c r="BG70" s="52">
        <v>0</v>
      </c>
      <c r="BH70" s="52">
        <v>0</v>
      </c>
      <c r="BI70" s="52">
        <v>0</v>
      </c>
      <c r="BJ70" s="52">
        <v>0</v>
      </c>
      <c r="BK70" s="52">
        <v>0</v>
      </c>
      <c r="BL70" s="52">
        <v>0</v>
      </c>
      <c r="BM70" s="52">
        <v>0</v>
      </c>
      <c r="BN70" s="52">
        <v>0</v>
      </c>
      <c r="BO70" s="52">
        <v>0</v>
      </c>
      <c r="BP70" s="52">
        <v>0</v>
      </c>
      <c r="BQ70" s="52">
        <v>0</v>
      </c>
      <c r="BR70" s="52">
        <v>0</v>
      </c>
      <c r="BS70" s="52">
        <v>0</v>
      </c>
      <c r="BT70" s="52">
        <v>0</v>
      </c>
      <c r="BU70" s="52">
        <v>0</v>
      </c>
      <c r="BV70" s="52">
        <v>0</v>
      </c>
      <c r="BW70" s="52">
        <v>0</v>
      </c>
    </row>
    <row r="71" spans="1:75" x14ac:dyDescent="0.3">
      <c r="A71" s="8" t="s">
        <v>102</v>
      </c>
      <c r="B71" s="8" t="s">
        <v>8</v>
      </c>
      <c r="C71" s="8" t="s">
        <v>27</v>
      </c>
      <c r="D71" s="52">
        <v>150</v>
      </c>
      <c r="E71" s="52">
        <v>150</v>
      </c>
      <c r="F71" s="52">
        <v>150</v>
      </c>
      <c r="G71" s="52">
        <v>150</v>
      </c>
      <c r="H71" s="52">
        <v>150</v>
      </c>
      <c r="I71" s="52">
        <v>67.333333333333471</v>
      </c>
      <c r="J71" s="52">
        <v>150</v>
      </c>
      <c r="K71" s="52">
        <v>150</v>
      </c>
      <c r="L71" s="52">
        <v>150</v>
      </c>
      <c r="M71" s="52">
        <v>150</v>
      </c>
      <c r="N71" s="52">
        <v>150</v>
      </c>
      <c r="O71" s="52">
        <v>87.000000000000242</v>
      </c>
      <c r="P71" s="52">
        <v>150</v>
      </c>
      <c r="Q71" s="52">
        <v>150</v>
      </c>
      <c r="R71" s="52">
        <v>150</v>
      </c>
      <c r="S71" s="52">
        <v>150</v>
      </c>
      <c r="T71" s="52">
        <v>150</v>
      </c>
      <c r="U71" s="52">
        <v>94.200000000000188</v>
      </c>
      <c r="V71" s="52">
        <v>150</v>
      </c>
      <c r="W71" s="52">
        <v>150</v>
      </c>
      <c r="X71" s="52">
        <v>94.267140350876431</v>
      </c>
      <c r="Y71" s="52">
        <v>150</v>
      </c>
      <c r="Z71" s="52">
        <v>150</v>
      </c>
      <c r="AA71" s="52">
        <v>8.0980000000011376</v>
      </c>
      <c r="AB71" s="52">
        <v>144.3652173913043</v>
      </c>
      <c r="AC71" s="52">
        <v>150</v>
      </c>
      <c r="AD71" s="52">
        <v>0</v>
      </c>
      <c r="AE71" s="52">
        <v>144.3652173913043</v>
      </c>
      <c r="AF71" s="52">
        <v>150</v>
      </c>
      <c r="AG71" s="52">
        <v>0</v>
      </c>
      <c r="AH71" s="52">
        <v>150</v>
      </c>
      <c r="AI71" s="52">
        <v>88.718314285714371</v>
      </c>
      <c r="AJ71" s="52">
        <v>0</v>
      </c>
      <c r="AK71" s="52">
        <v>150</v>
      </c>
      <c r="AL71" s="52">
        <v>72.276314285714136</v>
      </c>
      <c r="AM71" s="52">
        <v>0</v>
      </c>
      <c r="AN71" s="52">
        <v>150</v>
      </c>
      <c r="AO71" s="52">
        <v>129.37089772727271</v>
      </c>
      <c r="AP71" s="52">
        <v>0</v>
      </c>
      <c r="AQ71" s="52">
        <v>107.92900000000044</v>
      </c>
      <c r="AR71" s="52">
        <v>0</v>
      </c>
      <c r="AS71" s="52">
        <v>0</v>
      </c>
      <c r="AT71" s="52">
        <v>31.07800000000077</v>
      </c>
      <c r="AU71" s="52">
        <v>131.10432867132866</v>
      </c>
      <c r="AV71" s="52">
        <v>0</v>
      </c>
      <c r="AW71" s="52">
        <v>31.07800000000077</v>
      </c>
      <c r="AX71" s="52">
        <v>99.19199999999995</v>
      </c>
      <c r="AY71" s="52">
        <v>0</v>
      </c>
      <c r="AZ71" s="52">
        <v>150</v>
      </c>
      <c r="BA71" s="52">
        <v>150</v>
      </c>
      <c r="BB71" s="52">
        <v>12.545454545454536</v>
      </c>
      <c r="BC71" s="52">
        <v>150</v>
      </c>
      <c r="BD71" s="52">
        <v>150</v>
      </c>
      <c r="BE71" s="52">
        <v>12.545454545454536</v>
      </c>
      <c r="BF71" s="52">
        <v>150</v>
      </c>
      <c r="BG71" s="52">
        <v>150</v>
      </c>
      <c r="BH71" s="52">
        <v>84.899893805309688</v>
      </c>
      <c r="BI71" s="52">
        <v>150</v>
      </c>
      <c r="BJ71" s="52">
        <v>150</v>
      </c>
      <c r="BK71" s="52">
        <v>41.241893805309729</v>
      </c>
      <c r="BL71" s="52">
        <v>150</v>
      </c>
      <c r="BM71" s="52">
        <v>150</v>
      </c>
      <c r="BN71" s="52">
        <v>130.27397260273978</v>
      </c>
      <c r="BO71" s="52">
        <v>150</v>
      </c>
      <c r="BP71" s="52">
        <v>150</v>
      </c>
      <c r="BQ71" s="52">
        <v>130.27397260273978</v>
      </c>
      <c r="BR71" s="52">
        <v>150</v>
      </c>
      <c r="BS71" s="52">
        <v>150</v>
      </c>
      <c r="BT71" s="52">
        <v>150</v>
      </c>
      <c r="BU71" s="52">
        <v>150</v>
      </c>
      <c r="BV71" s="52">
        <v>150</v>
      </c>
      <c r="BW71" s="52">
        <v>104.44897959183683</v>
      </c>
    </row>
    <row r="72" spans="1:75" x14ac:dyDescent="0.3">
      <c r="A72" s="8" t="s">
        <v>102</v>
      </c>
      <c r="B72" s="8" t="s">
        <v>8</v>
      </c>
      <c r="C72" s="8" t="s">
        <v>144</v>
      </c>
      <c r="D72" s="52">
        <v>200</v>
      </c>
      <c r="E72" s="52">
        <v>23.092000000000112</v>
      </c>
      <c r="F72" s="52">
        <v>0</v>
      </c>
      <c r="G72" s="52">
        <v>200</v>
      </c>
      <c r="H72" s="52">
        <v>0</v>
      </c>
      <c r="I72" s="52">
        <v>0</v>
      </c>
      <c r="J72" s="52">
        <v>200</v>
      </c>
      <c r="K72" s="52">
        <v>34.234966666665386</v>
      </c>
      <c r="L72" s="52">
        <v>0</v>
      </c>
      <c r="M72" s="52">
        <v>200</v>
      </c>
      <c r="N72" s="52">
        <v>0</v>
      </c>
      <c r="O72" s="52">
        <v>0</v>
      </c>
      <c r="P72" s="52">
        <v>200</v>
      </c>
      <c r="Q72" s="52">
        <v>15.225000000001113</v>
      </c>
      <c r="R72" s="52">
        <v>0</v>
      </c>
      <c r="S72" s="52">
        <v>200</v>
      </c>
      <c r="T72" s="52">
        <v>0</v>
      </c>
      <c r="U72" s="52">
        <v>0</v>
      </c>
      <c r="V72" s="52">
        <v>200</v>
      </c>
      <c r="W72" s="52">
        <v>126.78165238095235</v>
      </c>
      <c r="X72" s="52">
        <v>0</v>
      </c>
      <c r="Y72" s="52">
        <v>200</v>
      </c>
      <c r="Z72" s="52">
        <v>23.710652380952379</v>
      </c>
      <c r="AA72" s="52">
        <v>0</v>
      </c>
      <c r="AB72" s="52">
        <v>200</v>
      </c>
      <c r="AC72" s="52">
        <v>71.38000000000055</v>
      </c>
      <c r="AD72" s="52">
        <v>0</v>
      </c>
      <c r="AE72" s="52">
        <v>200</v>
      </c>
      <c r="AF72" s="52">
        <v>71.38000000000055</v>
      </c>
      <c r="AG72" s="52">
        <v>0</v>
      </c>
      <c r="AH72" s="52">
        <v>25.330000000000076</v>
      </c>
      <c r="AI72" s="52">
        <v>0</v>
      </c>
      <c r="AJ72" s="52">
        <v>0</v>
      </c>
      <c r="AK72" s="52">
        <v>0</v>
      </c>
      <c r="AL72" s="52">
        <v>0</v>
      </c>
      <c r="AM72" s="52">
        <v>0</v>
      </c>
      <c r="AN72" s="52">
        <v>133.53437685949578</v>
      </c>
      <c r="AO72" s="52">
        <v>0</v>
      </c>
      <c r="AP72" s="52">
        <v>0</v>
      </c>
      <c r="AQ72" s="52">
        <v>0</v>
      </c>
      <c r="AR72" s="52">
        <v>0</v>
      </c>
      <c r="AS72" s="52">
        <v>0</v>
      </c>
      <c r="AT72" s="52">
        <v>200</v>
      </c>
      <c r="AU72" s="52">
        <v>127.62067132867213</v>
      </c>
      <c r="AV72" s="52">
        <v>0</v>
      </c>
      <c r="AW72" s="52">
        <v>200</v>
      </c>
      <c r="AX72" s="52">
        <v>0</v>
      </c>
      <c r="AY72" s="52">
        <v>0</v>
      </c>
      <c r="AZ72" s="52">
        <v>200</v>
      </c>
      <c r="BA72" s="52">
        <v>18.962000000000145</v>
      </c>
      <c r="BB72" s="52">
        <v>0</v>
      </c>
      <c r="BC72" s="52">
        <v>200</v>
      </c>
      <c r="BD72" s="52">
        <v>0</v>
      </c>
      <c r="BE72" s="52">
        <v>0</v>
      </c>
      <c r="BF72" s="52">
        <v>200</v>
      </c>
      <c r="BG72" s="52">
        <v>23.571000000000009</v>
      </c>
      <c r="BH72" s="52">
        <v>0</v>
      </c>
      <c r="BI72" s="52">
        <v>198.95000000000019</v>
      </c>
      <c r="BJ72" s="52">
        <v>0</v>
      </c>
      <c r="BK72" s="52">
        <v>0</v>
      </c>
      <c r="BL72" s="52">
        <v>200</v>
      </c>
      <c r="BM72" s="52">
        <v>155.56143665223783</v>
      </c>
      <c r="BN72" s="52">
        <v>0</v>
      </c>
      <c r="BO72" s="52">
        <v>49.132000000000232</v>
      </c>
      <c r="BP72" s="52">
        <v>0</v>
      </c>
      <c r="BQ72" s="52">
        <v>0</v>
      </c>
      <c r="BR72" s="52">
        <v>200</v>
      </c>
      <c r="BS72" s="52">
        <v>48.037781512605022</v>
      </c>
      <c r="BT72" s="52">
        <v>0</v>
      </c>
      <c r="BU72" s="52">
        <v>200</v>
      </c>
      <c r="BV72" s="52">
        <v>0</v>
      </c>
      <c r="BW72" s="52">
        <v>0</v>
      </c>
    </row>
    <row r="73" spans="1:75" x14ac:dyDescent="0.3">
      <c r="A73" s="8" t="s">
        <v>102</v>
      </c>
      <c r="B73" s="8" t="s">
        <v>8</v>
      </c>
      <c r="C73" s="8" t="s">
        <v>145</v>
      </c>
      <c r="D73" s="52">
        <v>115.57300000000082</v>
      </c>
      <c r="E73" s="52">
        <v>0</v>
      </c>
      <c r="F73" s="52">
        <v>0</v>
      </c>
      <c r="G73" s="52">
        <v>115.57300000000082</v>
      </c>
      <c r="H73" s="52">
        <v>0</v>
      </c>
      <c r="I73" s="52">
        <v>0</v>
      </c>
      <c r="J73" s="52">
        <v>172.61300000000023</v>
      </c>
      <c r="K73" s="52">
        <v>0</v>
      </c>
      <c r="L73" s="52">
        <v>0</v>
      </c>
      <c r="M73" s="52">
        <v>172.61300000000023</v>
      </c>
      <c r="N73" s="52">
        <v>0</v>
      </c>
      <c r="O73" s="52">
        <v>0</v>
      </c>
      <c r="P73" s="52">
        <v>52.120000000000388</v>
      </c>
      <c r="Q73" s="52">
        <v>0</v>
      </c>
      <c r="R73" s="52">
        <v>0</v>
      </c>
      <c r="S73" s="52">
        <v>52.120000000000388</v>
      </c>
      <c r="T73" s="52">
        <v>0</v>
      </c>
      <c r="U73" s="52">
        <v>0</v>
      </c>
      <c r="V73" s="52">
        <v>155.61900000000085</v>
      </c>
      <c r="W73" s="52">
        <v>0</v>
      </c>
      <c r="X73" s="52">
        <v>0</v>
      </c>
      <c r="Y73" s="52">
        <v>155.61900000000085</v>
      </c>
      <c r="Z73" s="52">
        <v>0</v>
      </c>
      <c r="AA73" s="52">
        <v>0</v>
      </c>
      <c r="AB73" s="52">
        <v>51.649534387340736</v>
      </c>
      <c r="AC73" s="52">
        <v>0</v>
      </c>
      <c r="AD73" s="52">
        <v>0</v>
      </c>
      <c r="AE73" s="52">
        <v>51.649534387340736</v>
      </c>
      <c r="AF73" s="52">
        <v>0</v>
      </c>
      <c r="AG73" s="52">
        <v>0</v>
      </c>
      <c r="AH73" s="52">
        <v>200</v>
      </c>
      <c r="AI73" s="52">
        <v>0</v>
      </c>
      <c r="AJ73" s="52">
        <v>0</v>
      </c>
      <c r="AK73" s="52">
        <v>150.30800000000033</v>
      </c>
      <c r="AL73" s="52">
        <v>0</v>
      </c>
      <c r="AM73" s="52">
        <v>0</v>
      </c>
      <c r="AN73" s="52">
        <v>174.11062314050372</v>
      </c>
      <c r="AO73" s="52">
        <v>0</v>
      </c>
      <c r="AP73" s="52">
        <v>0</v>
      </c>
      <c r="AQ73" s="52">
        <v>0</v>
      </c>
      <c r="AR73" s="52">
        <v>0</v>
      </c>
      <c r="AS73" s="52">
        <v>0</v>
      </c>
      <c r="AT73" s="52">
        <v>200</v>
      </c>
      <c r="AU73" s="52">
        <v>0</v>
      </c>
      <c r="AV73" s="52">
        <v>0</v>
      </c>
      <c r="AW73" s="52">
        <v>200</v>
      </c>
      <c r="AX73" s="52">
        <v>0</v>
      </c>
      <c r="AY73" s="52">
        <v>0</v>
      </c>
      <c r="AZ73" s="52">
        <v>124.99199999999999</v>
      </c>
      <c r="BA73" s="52">
        <v>0</v>
      </c>
      <c r="BB73" s="52">
        <v>0</v>
      </c>
      <c r="BC73" s="52">
        <v>99.763000000000687</v>
      </c>
      <c r="BD73" s="52">
        <v>0</v>
      </c>
      <c r="BE73" s="52">
        <v>0</v>
      </c>
      <c r="BF73" s="52">
        <v>156.77000000000098</v>
      </c>
      <c r="BG73" s="52">
        <v>0</v>
      </c>
      <c r="BH73" s="52">
        <v>0</v>
      </c>
      <c r="BI73" s="52">
        <v>156.77000000000098</v>
      </c>
      <c r="BJ73" s="52">
        <v>0</v>
      </c>
      <c r="BK73" s="52">
        <v>0</v>
      </c>
      <c r="BL73" s="52">
        <v>200</v>
      </c>
      <c r="BM73" s="52">
        <v>0</v>
      </c>
      <c r="BN73" s="52">
        <v>0</v>
      </c>
      <c r="BO73" s="52">
        <v>0</v>
      </c>
      <c r="BP73" s="52">
        <v>0</v>
      </c>
      <c r="BQ73" s="52">
        <v>0</v>
      </c>
      <c r="BR73" s="52">
        <v>0</v>
      </c>
      <c r="BS73" s="52">
        <v>0</v>
      </c>
      <c r="BT73" s="52">
        <v>0</v>
      </c>
      <c r="BU73" s="52">
        <v>0</v>
      </c>
      <c r="BV73" s="52">
        <v>0</v>
      </c>
      <c r="BW73" s="52">
        <v>0</v>
      </c>
    </row>
    <row r="74" spans="1:75" x14ac:dyDescent="0.3">
      <c r="A74" s="8" t="s">
        <v>102</v>
      </c>
      <c r="B74" s="8" t="s">
        <v>8</v>
      </c>
      <c r="C74" s="8" t="s">
        <v>146</v>
      </c>
      <c r="D74" s="52">
        <v>200</v>
      </c>
      <c r="E74" s="52">
        <v>200</v>
      </c>
      <c r="F74" s="52">
        <v>0</v>
      </c>
      <c r="G74" s="52">
        <v>200</v>
      </c>
      <c r="H74" s="52">
        <v>119.73900000000064</v>
      </c>
      <c r="I74" s="52">
        <v>0</v>
      </c>
      <c r="J74" s="52">
        <v>200</v>
      </c>
      <c r="K74" s="52">
        <v>200</v>
      </c>
      <c r="L74" s="52">
        <v>0</v>
      </c>
      <c r="M74" s="52">
        <v>200</v>
      </c>
      <c r="N74" s="52">
        <v>195.58000000000075</v>
      </c>
      <c r="O74" s="52">
        <v>0</v>
      </c>
      <c r="P74" s="52">
        <v>200</v>
      </c>
      <c r="Q74" s="52">
        <v>200</v>
      </c>
      <c r="R74" s="52">
        <v>0</v>
      </c>
      <c r="S74" s="52">
        <v>200</v>
      </c>
      <c r="T74" s="52">
        <v>47.211000000000503</v>
      </c>
      <c r="U74" s="52">
        <v>0</v>
      </c>
      <c r="V74" s="52">
        <v>200</v>
      </c>
      <c r="W74" s="52">
        <v>184.81579329004055</v>
      </c>
      <c r="X74" s="52">
        <v>0</v>
      </c>
      <c r="Y74" s="52">
        <v>200</v>
      </c>
      <c r="Z74" s="52">
        <v>184.81579329004055</v>
      </c>
      <c r="AA74" s="52">
        <v>0</v>
      </c>
      <c r="AB74" s="52">
        <v>200</v>
      </c>
      <c r="AC74" s="52">
        <v>200</v>
      </c>
      <c r="AD74" s="52">
        <v>34.853000000000023</v>
      </c>
      <c r="AE74" s="52">
        <v>200</v>
      </c>
      <c r="AF74" s="52">
        <v>200</v>
      </c>
      <c r="AG74" s="52">
        <v>34.853000000000023</v>
      </c>
      <c r="AH74" s="52">
        <v>200</v>
      </c>
      <c r="AI74" s="52">
        <v>108.36668571428602</v>
      </c>
      <c r="AJ74" s="52">
        <v>0</v>
      </c>
      <c r="AK74" s="52">
        <v>200</v>
      </c>
      <c r="AL74" s="52">
        <v>108.36668571428602</v>
      </c>
      <c r="AM74" s="52">
        <v>0</v>
      </c>
      <c r="AN74" s="52">
        <v>200</v>
      </c>
      <c r="AO74" s="52">
        <v>159.01810227272796</v>
      </c>
      <c r="AP74" s="52">
        <v>0</v>
      </c>
      <c r="AQ74" s="52">
        <v>200</v>
      </c>
      <c r="AR74" s="52">
        <v>0</v>
      </c>
      <c r="AS74" s="52">
        <v>0</v>
      </c>
      <c r="AT74" s="52">
        <v>200</v>
      </c>
      <c r="AU74" s="52">
        <v>200</v>
      </c>
      <c r="AV74" s="52">
        <v>0</v>
      </c>
      <c r="AW74" s="52">
        <v>200</v>
      </c>
      <c r="AX74" s="52">
        <v>200</v>
      </c>
      <c r="AY74" s="52">
        <v>0</v>
      </c>
      <c r="AZ74" s="52">
        <v>200</v>
      </c>
      <c r="BA74" s="52">
        <v>200</v>
      </c>
      <c r="BB74" s="52">
        <v>0</v>
      </c>
      <c r="BC74" s="52">
        <v>200</v>
      </c>
      <c r="BD74" s="52">
        <v>149.39400000000069</v>
      </c>
      <c r="BE74" s="52">
        <v>0</v>
      </c>
      <c r="BF74" s="52">
        <v>200</v>
      </c>
      <c r="BG74" s="52">
        <v>200</v>
      </c>
      <c r="BH74" s="52">
        <v>0</v>
      </c>
      <c r="BI74" s="52">
        <v>200</v>
      </c>
      <c r="BJ74" s="52">
        <v>153.74000000000066</v>
      </c>
      <c r="BK74" s="52">
        <v>0</v>
      </c>
      <c r="BL74" s="52">
        <v>200</v>
      </c>
      <c r="BM74" s="52">
        <v>200</v>
      </c>
      <c r="BN74" s="52">
        <v>0</v>
      </c>
      <c r="BO74" s="52">
        <v>200</v>
      </c>
      <c r="BP74" s="52">
        <v>0</v>
      </c>
      <c r="BQ74" s="52">
        <v>0</v>
      </c>
      <c r="BR74" s="52">
        <v>200</v>
      </c>
      <c r="BS74" s="52">
        <v>200</v>
      </c>
      <c r="BT74" s="52">
        <v>0</v>
      </c>
      <c r="BU74" s="52">
        <v>200</v>
      </c>
      <c r="BV74" s="52">
        <v>140.7470000000005</v>
      </c>
      <c r="BW74" s="52">
        <v>0</v>
      </c>
    </row>
    <row r="75" spans="1:75" x14ac:dyDescent="0.3">
      <c r="A75" s="8" t="s">
        <v>102</v>
      </c>
      <c r="B75" s="8" t="s">
        <v>8</v>
      </c>
      <c r="C75" s="8" t="s">
        <v>28</v>
      </c>
      <c r="D75" s="52">
        <v>200</v>
      </c>
      <c r="E75" s="52">
        <v>200</v>
      </c>
      <c r="F75" s="52">
        <v>200</v>
      </c>
      <c r="G75" s="52">
        <v>200</v>
      </c>
      <c r="H75" s="52">
        <v>200</v>
      </c>
      <c r="I75" s="52">
        <v>200</v>
      </c>
      <c r="J75" s="52">
        <v>200</v>
      </c>
      <c r="K75" s="52">
        <v>200</v>
      </c>
      <c r="L75" s="52">
        <v>200</v>
      </c>
      <c r="M75" s="52">
        <v>200</v>
      </c>
      <c r="N75" s="52">
        <v>200</v>
      </c>
      <c r="O75" s="52">
        <v>200</v>
      </c>
      <c r="P75" s="52">
        <v>200</v>
      </c>
      <c r="Q75" s="52">
        <v>200</v>
      </c>
      <c r="R75" s="52">
        <v>200</v>
      </c>
      <c r="S75" s="52">
        <v>200</v>
      </c>
      <c r="T75" s="52">
        <v>200</v>
      </c>
      <c r="U75" s="52">
        <v>200</v>
      </c>
      <c r="V75" s="52">
        <v>200</v>
      </c>
      <c r="W75" s="52">
        <v>200</v>
      </c>
      <c r="X75" s="52">
        <v>200</v>
      </c>
      <c r="Y75" s="52">
        <v>200</v>
      </c>
      <c r="Z75" s="52">
        <v>200</v>
      </c>
      <c r="AA75" s="52">
        <v>200</v>
      </c>
      <c r="AB75" s="52">
        <v>200</v>
      </c>
      <c r="AC75" s="52">
        <v>200</v>
      </c>
      <c r="AD75" s="52">
        <v>200</v>
      </c>
      <c r="AE75" s="52">
        <v>200</v>
      </c>
      <c r="AF75" s="52">
        <v>200</v>
      </c>
      <c r="AG75" s="52">
        <v>200</v>
      </c>
      <c r="AH75" s="52">
        <v>200</v>
      </c>
      <c r="AI75" s="52">
        <v>200</v>
      </c>
      <c r="AJ75" s="52">
        <v>200</v>
      </c>
      <c r="AK75" s="52">
        <v>200</v>
      </c>
      <c r="AL75" s="52">
        <v>200</v>
      </c>
      <c r="AM75" s="52">
        <v>200</v>
      </c>
      <c r="AN75" s="52">
        <v>200</v>
      </c>
      <c r="AO75" s="52">
        <v>200</v>
      </c>
      <c r="AP75" s="52">
        <v>200</v>
      </c>
      <c r="AQ75" s="52">
        <v>200</v>
      </c>
      <c r="AR75" s="52">
        <v>200</v>
      </c>
      <c r="AS75" s="52">
        <v>200</v>
      </c>
      <c r="AT75" s="52">
        <v>200</v>
      </c>
      <c r="AU75" s="52">
        <v>200</v>
      </c>
      <c r="AV75" s="52">
        <v>200</v>
      </c>
      <c r="AW75" s="52">
        <v>200</v>
      </c>
      <c r="AX75" s="52">
        <v>200</v>
      </c>
      <c r="AY75" s="52">
        <v>200</v>
      </c>
      <c r="AZ75" s="52">
        <v>200</v>
      </c>
      <c r="BA75" s="52">
        <v>200</v>
      </c>
      <c r="BB75" s="52">
        <v>200</v>
      </c>
      <c r="BC75" s="52">
        <v>200</v>
      </c>
      <c r="BD75" s="52">
        <v>200</v>
      </c>
      <c r="BE75" s="52">
        <v>200</v>
      </c>
      <c r="BF75" s="52">
        <v>200</v>
      </c>
      <c r="BG75" s="52">
        <v>200</v>
      </c>
      <c r="BH75" s="52">
        <v>200</v>
      </c>
      <c r="BI75" s="52">
        <v>200</v>
      </c>
      <c r="BJ75" s="52">
        <v>200</v>
      </c>
      <c r="BK75" s="52">
        <v>200</v>
      </c>
      <c r="BL75" s="52">
        <v>200</v>
      </c>
      <c r="BM75" s="52">
        <v>200</v>
      </c>
      <c r="BN75" s="52">
        <v>200</v>
      </c>
      <c r="BO75" s="52">
        <v>200</v>
      </c>
      <c r="BP75" s="52">
        <v>200</v>
      </c>
      <c r="BQ75" s="52">
        <v>200</v>
      </c>
      <c r="BR75" s="52">
        <v>200</v>
      </c>
      <c r="BS75" s="52">
        <v>200</v>
      </c>
      <c r="BT75" s="52">
        <v>200</v>
      </c>
      <c r="BU75" s="52">
        <v>200</v>
      </c>
      <c r="BV75" s="52">
        <v>200</v>
      </c>
      <c r="BW75" s="52">
        <v>200</v>
      </c>
    </row>
    <row r="76" spans="1:75" x14ac:dyDescent="0.3">
      <c r="A76" s="8" t="s">
        <v>102</v>
      </c>
      <c r="B76" s="8" t="s">
        <v>9</v>
      </c>
      <c r="C76" s="8" t="s">
        <v>60</v>
      </c>
      <c r="D76" s="52">
        <v>771.6</v>
      </c>
      <c r="E76" s="52">
        <v>771.6</v>
      </c>
      <c r="F76" s="52">
        <v>771.6</v>
      </c>
      <c r="G76" s="52">
        <v>771.6</v>
      </c>
      <c r="H76" s="52">
        <v>771.6</v>
      </c>
      <c r="I76" s="52">
        <v>771.6</v>
      </c>
      <c r="J76" s="52">
        <v>771.6</v>
      </c>
      <c r="K76" s="52">
        <v>771.6</v>
      </c>
      <c r="L76" s="52">
        <v>771.6</v>
      </c>
      <c r="M76" s="52">
        <v>771.6</v>
      </c>
      <c r="N76" s="52">
        <v>771.6</v>
      </c>
      <c r="O76" s="52">
        <v>771.6</v>
      </c>
      <c r="P76" s="52">
        <v>771.6</v>
      </c>
      <c r="Q76" s="52">
        <v>771.6</v>
      </c>
      <c r="R76" s="52">
        <v>771.6</v>
      </c>
      <c r="S76" s="52">
        <v>771.6</v>
      </c>
      <c r="T76" s="52">
        <v>771.6</v>
      </c>
      <c r="U76" s="52">
        <v>771.6</v>
      </c>
      <c r="V76" s="52">
        <v>771.6</v>
      </c>
      <c r="W76" s="52">
        <v>771.6</v>
      </c>
      <c r="X76" s="52">
        <v>771.6</v>
      </c>
      <c r="Y76" s="52">
        <v>771.6</v>
      </c>
      <c r="Z76" s="52">
        <v>771.6</v>
      </c>
      <c r="AA76" s="52">
        <v>771.6</v>
      </c>
      <c r="AB76" s="52">
        <v>771.6</v>
      </c>
      <c r="AC76" s="52">
        <v>771.6</v>
      </c>
      <c r="AD76" s="52">
        <v>771.6</v>
      </c>
      <c r="AE76" s="52">
        <v>771.6</v>
      </c>
      <c r="AF76" s="52">
        <v>771.6</v>
      </c>
      <c r="AG76" s="52">
        <v>771.6</v>
      </c>
      <c r="AH76" s="52">
        <v>771.6</v>
      </c>
      <c r="AI76" s="52">
        <v>771.6</v>
      </c>
      <c r="AJ76" s="52">
        <v>771.6</v>
      </c>
      <c r="AK76" s="52">
        <v>771.6</v>
      </c>
      <c r="AL76" s="52">
        <v>771.6</v>
      </c>
      <c r="AM76" s="52">
        <v>771.6</v>
      </c>
      <c r="AN76" s="52">
        <v>771.6</v>
      </c>
      <c r="AO76" s="52">
        <v>771.6</v>
      </c>
      <c r="AP76" s="52">
        <v>771.6</v>
      </c>
      <c r="AQ76" s="52">
        <v>771.6</v>
      </c>
      <c r="AR76" s="52">
        <v>771.6</v>
      </c>
      <c r="AS76" s="52">
        <v>771.6</v>
      </c>
      <c r="AT76" s="52">
        <v>771.6</v>
      </c>
      <c r="AU76" s="52">
        <v>771.6</v>
      </c>
      <c r="AV76" s="52">
        <v>771.6</v>
      </c>
      <c r="AW76" s="52">
        <v>771.6</v>
      </c>
      <c r="AX76" s="52">
        <v>771.6</v>
      </c>
      <c r="AY76" s="52">
        <v>771.6</v>
      </c>
      <c r="AZ76" s="52">
        <v>771.6</v>
      </c>
      <c r="BA76" s="52">
        <v>771.6</v>
      </c>
      <c r="BB76" s="52">
        <v>771.6</v>
      </c>
      <c r="BC76" s="52">
        <v>771.6</v>
      </c>
      <c r="BD76" s="52">
        <v>771.6</v>
      </c>
      <c r="BE76" s="52">
        <v>771.6</v>
      </c>
      <c r="BF76" s="52">
        <v>771.6</v>
      </c>
      <c r="BG76" s="52">
        <v>771.6</v>
      </c>
      <c r="BH76" s="52">
        <v>771.6</v>
      </c>
      <c r="BI76" s="52">
        <v>771.6</v>
      </c>
      <c r="BJ76" s="52">
        <v>771.6</v>
      </c>
      <c r="BK76" s="52">
        <v>771.6</v>
      </c>
      <c r="BL76" s="52">
        <v>771.6</v>
      </c>
      <c r="BM76" s="52">
        <v>771.6</v>
      </c>
      <c r="BN76" s="52">
        <v>771.6</v>
      </c>
      <c r="BO76" s="52">
        <v>771.6</v>
      </c>
      <c r="BP76" s="52">
        <v>771.6</v>
      </c>
      <c r="BQ76" s="52">
        <v>771.6</v>
      </c>
      <c r="BR76" s="52">
        <v>771.6</v>
      </c>
      <c r="BS76" s="52">
        <v>771.6</v>
      </c>
      <c r="BT76" s="52">
        <v>771.6</v>
      </c>
      <c r="BU76" s="52">
        <v>771.6</v>
      </c>
      <c r="BV76" s="52">
        <v>771.6</v>
      </c>
      <c r="BW76" s="52">
        <v>771.6</v>
      </c>
    </row>
    <row r="77" spans="1:75" x14ac:dyDescent="0.3">
      <c r="A77" s="8" t="s">
        <v>102</v>
      </c>
      <c r="B77" s="8" t="s">
        <v>9</v>
      </c>
      <c r="C77" s="8" t="s">
        <v>150</v>
      </c>
      <c r="D77" s="52">
        <v>235.19999999999962</v>
      </c>
      <c r="E77" s="52">
        <v>235.19999999999996</v>
      </c>
      <c r="F77" s="52">
        <v>235.19999999999996</v>
      </c>
      <c r="G77" s="52">
        <v>235.19999999999962</v>
      </c>
      <c r="H77" s="52">
        <v>235.19999999999962</v>
      </c>
      <c r="I77" s="52">
        <v>235.19999999999962</v>
      </c>
      <c r="J77" s="52">
        <v>235.19999999999996</v>
      </c>
      <c r="K77" s="52">
        <v>235.19999999999996</v>
      </c>
      <c r="L77" s="52">
        <v>235.19999999999996</v>
      </c>
      <c r="M77" s="52">
        <v>235.19999999999996</v>
      </c>
      <c r="N77" s="52">
        <v>235.19999999999996</v>
      </c>
      <c r="O77" s="52">
        <v>235.19999999999996</v>
      </c>
      <c r="P77" s="52">
        <v>235.19999999999996</v>
      </c>
      <c r="Q77" s="52">
        <v>235.19999999999996</v>
      </c>
      <c r="R77" s="52">
        <v>235.19999999999996</v>
      </c>
      <c r="S77" s="52">
        <v>235.1999999999999</v>
      </c>
      <c r="T77" s="52">
        <v>235.1999999999999</v>
      </c>
      <c r="U77" s="52">
        <v>235.1999999999999</v>
      </c>
      <c r="V77" s="52">
        <v>235.19999999999996</v>
      </c>
      <c r="W77" s="52">
        <v>235.19999999999996</v>
      </c>
      <c r="X77" s="52">
        <v>235.19999999999996</v>
      </c>
      <c r="Y77" s="52">
        <v>235.19999999999996</v>
      </c>
      <c r="Z77" s="52">
        <v>235.19999999999996</v>
      </c>
      <c r="AA77" s="52">
        <v>235.19999999999996</v>
      </c>
      <c r="AB77" s="52">
        <v>235.19999999999996</v>
      </c>
      <c r="AC77" s="52">
        <v>235.19999999999996</v>
      </c>
      <c r="AD77" s="52">
        <v>235.19999999999996</v>
      </c>
      <c r="AE77" s="52">
        <v>0</v>
      </c>
      <c r="AF77" s="52">
        <v>0</v>
      </c>
      <c r="AG77" s="52">
        <v>0</v>
      </c>
      <c r="AH77" s="52">
        <v>235.19999999999996</v>
      </c>
      <c r="AI77" s="52">
        <v>235.19999999999996</v>
      </c>
      <c r="AJ77" s="52">
        <v>235.19999999999996</v>
      </c>
      <c r="AK77" s="52">
        <v>235.19999999999996</v>
      </c>
      <c r="AL77" s="52">
        <v>235.19999999999996</v>
      </c>
      <c r="AM77" s="52">
        <v>235.19999999999996</v>
      </c>
      <c r="AN77" s="52">
        <v>235.19999999999996</v>
      </c>
      <c r="AO77" s="52">
        <v>235.19999999999996</v>
      </c>
      <c r="AP77" s="52">
        <v>235.19999999999996</v>
      </c>
      <c r="AQ77" s="52">
        <v>0</v>
      </c>
      <c r="AR77" s="52">
        <v>0</v>
      </c>
      <c r="AS77" s="52">
        <v>0</v>
      </c>
      <c r="AT77" s="52">
        <v>0</v>
      </c>
      <c r="AU77" s="52">
        <v>0</v>
      </c>
      <c r="AV77" s="52">
        <v>0</v>
      </c>
      <c r="AW77" s="52">
        <v>0</v>
      </c>
      <c r="AX77" s="52">
        <v>0</v>
      </c>
      <c r="AY77" s="52">
        <v>0</v>
      </c>
      <c r="AZ77" s="52">
        <v>235.19999999999996</v>
      </c>
      <c r="BA77" s="52">
        <v>235.19999999999996</v>
      </c>
      <c r="BB77" s="52">
        <v>235.19999999999996</v>
      </c>
      <c r="BC77" s="52">
        <v>235.19999999999996</v>
      </c>
      <c r="BD77" s="52">
        <v>235.19999999999996</v>
      </c>
      <c r="BE77" s="52">
        <v>235.19999999999996</v>
      </c>
      <c r="BF77" s="52">
        <v>235.19999999999996</v>
      </c>
      <c r="BG77" s="52">
        <v>235.19999999999996</v>
      </c>
      <c r="BH77" s="52">
        <v>235.19999999999996</v>
      </c>
      <c r="BI77" s="52">
        <v>235.19999999999996</v>
      </c>
      <c r="BJ77" s="52">
        <v>235.19999999999996</v>
      </c>
      <c r="BK77" s="52">
        <v>235.19999999999996</v>
      </c>
      <c r="BL77" s="52">
        <v>235.19999999999996</v>
      </c>
      <c r="BM77" s="52">
        <v>235.19999999999996</v>
      </c>
      <c r="BN77" s="52">
        <v>235.19999999999996</v>
      </c>
      <c r="BO77" s="52">
        <v>235.19999999999987</v>
      </c>
      <c r="BP77" s="52">
        <v>235.19999999999996</v>
      </c>
      <c r="BQ77" s="52">
        <v>235.19999999999987</v>
      </c>
      <c r="BR77" s="52">
        <v>235.19999999999996</v>
      </c>
      <c r="BS77" s="52">
        <v>235.19999999999996</v>
      </c>
      <c r="BT77" s="52">
        <v>235.19999999999996</v>
      </c>
      <c r="BU77" s="52">
        <v>235.19999999999996</v>
      </c>
      <c r="BV77" s="52">
        <v>235.19999999999996</v>
      </c>
      <c r="BW77" s="52">
        <v>235.19999999999996</v>
      </c>
    </row>
    <row r="78" spans="1:75" x14ac:dyDescent="0.3">
      <c r="A78" s="8" t="s">
        <v>102</v>
      </c>
      <c r="B78" s="8" t="s">
        <v>9</v>
      </c>
      <c r="C78" s="8" t="s">
        <v>61</v>
      </c>
      <c r="D78" s="52">
        <v>164.41399999999913</v>
      </c>
      <c r="E78" s="52">
        <v>147.38496505313037</v>
      </c>
      <c r="F78" s="52">
        <v>81.239999999999995</v>
      </c>
      <c r="G78" s="52">
        <v>0</v>
      </c>
      <c r="H78" s="52">
        <v>0</v>
      </c>
      <c r="I78" s="52">
        <v>0</v>
      </c>
      <c r="J78" s="52">
        <v>0</v>
      </c>
      <c r="K78" s="52">
        <v>0</v>
      </c>
      <c r="L78" s="52">
        <v>0</v>
      </c>
      <c r="M78" s="52">
        <v>0</v>
      </c>
      <c r="N78" s="52">
        <v>0</v>
      </c>
      <c r="O78" s="52">
        <v>0</v>
      </c>
      <c r="P78" s="52">
        <v>0</v>
      </c>
      <c r="Q78" s="52">
        <v>0</v>
      </c>
      <c r="R78" s="52">
        <v>0</v>
      </c>
      <c r="S78" s="52">
        <v>0</v>
      </c>
      <c r="T78" s="52">
        <v>0</v>
      </c>
      <c r="U78" s="52">
        <v>0</v>
      </c>
      <c r="V78" s="52">
        <v>0</v>
      </c>
      <c r="W78" s="52">
        <v>0</v>
      </c>
      <c r="X78" s="52">
        <v>0</v>
      </c>
      <c r="Y78" s="52">
        <v>0</v>
      </c>
      <c r="Z78" s="52">
        <v>0</v>
      </c>
      <c r="AA78" s="52">
        <v>0</v>
      </c>
      <c r="AB78" s="52">
        <v>0</v>
      </c>
      <c r="AC78" s="52">
        <v>0</v>
      </c>
      <c r="AD78" s="52">
        <v>0</v>
      </c>
      <c r="AE78" s="52">
        <v>0</v>
      </c>
      <c r="AF78" s="52">
        <v>0</v>
      </c>
      <c r="AG78" s="52">
        <v>0</v>
      </c>
      <c r="AH78" s="52">
        <v>0</v>
      </c>
      <c r="AI78" s="52">
        <v>0</v>
      </c>
      <c r="AJ78" s="52">
        <v>0</v>
      </c>
      <c r="AK78" s="52">
        <v>0</v>
      </c>
      <c r="AL78" s="52">
        <v>0</v>
      </c>
      <c r="AM78" s="52">
        <v>0</v>
      </c>
      <c r="AN78" s="52">
        <v>0</v>
      </c>
      <c r="AO78" s="52">
        <v>0</v>
      </c>
      <c r="AP78" s="52">
        <v>0</v>
      </c>
      <c r="AQ78" s="52">
        <v>0</v>
      </c>
      <c r="AR78" s="52">
        <v>0</v>
      </c>
      <c r="AS78" s="52">
        <v>0</v>
      </c>
      <c r="AT78" s="52">
        <v>0</v>
      </c>
      <c r="AU78" s="52">
        <v>0</v>
      </c>
      <c r="AV78" s="52">
        <v>0</v>
      </c>
      <c r="AW78" s="52">
        <v>0</v>
      </c>
      <c r="AX78" s="52">
        <v>0</v>
      </c>
      <c r="AY78" s="52">
        <v>0</v>
      </c>
      <c r="AZ78" s="52">
        <v>0</v>
      </c>
      <c r="BA78" s="52">
        <v>0</v>
      </c>
      <c r="BB78" s="52">
        <v>0</v>
      </c>
      <c r="BC78" s="52">
        <v>0</v>
      </c>
      <c r="BD78" s="52">
        <v>0</v>
      </c>
      <c r="BE78" s="52">
        <v>0</v>
      </c>
      <c r="BF78" s="52">
        <v>0</v>
      </c>
      <c r="BG78" s="52">
        <v>0</v>
      </c>
      <c r="BH78" s="52">
        <v>0</v>
      </c>
      <c r="BI78" s="52">
        <v>0</v>
      </c>
      <c r="BJ78" s="52">
        <v>0</v>
      </c>
      <c r="BK78" s="52">
        <v>0</v>
      </c>
      <c r="BL78" s="52">
        <v>0</v>
      </c>
      <c r="BM78" s="52">
        <v>0</v>
      </c>
      <c r="BN78" s="52">
        <v>0</v>
      </c>
      <c r="BO78" s="52">
        <v>0</v>
      </c>
      <c r="BP78" s="52">
        <v>0</v>
      </c>
      <c r="BQ78" s="52">
        <v>0</v>
      </c>
      <c r="BR78" s="52">
        <v>203.1</v>
      </c>
      <c r="BS78" s="52">
        <v>203.1</v>
      </c>
      <c r="BT78" s="52">
        <v>81.239999999999995</v>
      </c>
      <c r="BU78" s="52">
        <v>0</v>
      </c>
      <c r="BV78" s="52">
        <v>0</v>
      </c>
      <c r="BW78" s="52">
        <v>0</v>
      </c>
    </row>
    <row r="79" spans="1:75" x14ac:dyDescent="0.3">
      <c r="A79" s="8" t="s">
        <v>102</v>
      </c>
      <c r="B79" s="8" t="s">
        <v>9</v>
      </c>
      <c r="C79" s="8" t="s">
        <v>152</v>
      </c>
      <c r="D79" s="52">
        <v>60.159999999999989</v>
      </c>
      <c r="E79" s="52">
        <v>60.159999999999989</v>
      </c>
      <c r="F79" s="52">
        <v>60.159999999999989</v>
      </c>
      <c r="G79" s="52">
        <v>0</v>
      </c>
      <c r="H79" s="52">
        <v>0</v>
      </c>
      <c r="I79" s="52">
        <v>0</v>
      </c>
      <c r="J79" s="52">
        <v>0</v>
      </c>
      <c r="K79" s="52">
        <v>0</v>
      </c>
      <c r="L79" s="52">
        <v>0</v>
      </c>
      <c r="M79" s="52">
        <v>0</v>
      </c>
      <c r="N79" s="52">
        <v>0</v>
      </c>
      <c r="O79" s="52">
        <v>0</v>
      </c>
      <c r="P79" s="52">
        <v>0</v>
      </c>
      <c r="Q79" s="52">
        <v>0</v>
      </c>
      <c r="R79" s="52">
        <v>0</v>
      </c>
      <c r="S79" s="52">
        <v>0</v>
      </c>
      <c r="T79" s="52">
        <v>0</v>
      </c>
      <c r="U79" s="52">
        <v>0</v>
      </c>
      <c r="V79" s="52">
        <v>0</v>
      </c>
      <c r="W79" s="52">
        <v>0</v>
      </c>
      <c r="X79" s="52">
        <v>0</v>
      </c>
      <c r="Y79" s="52">
        <v>0</v>
      </c>
      <c r="Z79" s="52">
        <v>0</v>
      </c>
      <c r="AA79" s="52">
        <v>0</v>
      </c>
      <c r="AB79" s="52">
        <v>0</v>
      </c>
      <c r="AC79" s="52">
        <v>0</v>
      </c>
      <c r="AD79" s="52">
        <v>0</v>
      </c>
      <c r="AE79" s="52">
        <v>0</v>
      </c>
      <c r="AF79" s="52">
        <v>0</v>
      </c>
      <c r="AG79" s="52">
        <v>0</v>
      </c>
      <c r="AH79" s="52">
        <v>0</v>
      </c>
      <c r="AI79" s="52">
        <v>0</v>
      </c>
      <c r="AJ79" s="52">
        <v>0</v>
      </c>
      <c r="AK79" s="52">
        <v>0</v>
      </c>
      <c r="AL79" s="52">
        <v>0</v>
      </c>
      <c r="AM79" s="52">
        <v>0</v>
      </c>
      <c r="AN79" s="52">
        <v>0</v>
      </c>
      <c r="AO79" s="52">
        <v>0</v>
      </c>
      <c r="AP79" s="52">
        <v>0</v>
      </c>
      <c r="AQ79" s="52">
        <v>0</v>
      </c>
      <c r="AR79" s="52">
        <v>0</v>
      </c>
      <c r="AS79" s="52">
        <v>0</v>
      </c>
      <c r="AT79" s="52">
        <v>150.4</v>
      </c>
      <c r="AU79" s="52">
        <v>91.652451048951704</v>
      </c>
      <c r="AV79" s="52">
        <v>60.159999999999989</v>
      </c>
      <c r="AW79" s="52">
        <v>150.4</v>
      </c>
      <c r="AX79" s="52">
        <v>60.159999999999989</v>
      </c>
      <c r="AY79" s="52">
        <v>60.159999999999989</v>
      </c>
      <c r="AZ79" s="52">
        <v>0</v>
      </c>
      <c r="BA79" s="52">
        <v>0</v>
      </c>
      <c r="BB79" s="52">
        <v>0</v>
      </c>
      <c r="BC79" s="52">
        <v>0</v>
      </c>
      <c r="BD79" s="52">
        <v>0</v>
      </c>
      <c r="BE79" s="52">
        <v>0</v>
      </c>
      <c r="BF79" s="52">
        <v>150.4</v>
      </c>
      <c r="BG79" s="52">
        <v>150.4</v>
      </c>
      <c r="BH79" s="52">
        <v>60.159999999999989</v>
      </c>
      <c r="BI79" s="52">
        <v>0</v>
      </c>
      <c r="BJ79" s="52">
        <v>0</v>
      </c>
      <c r="BK79" s="52">
        <v>0</v>
      </c>
      <c r="BL79" s="52">
        <v>65.42300000000067</v>
      </c>
      <c r="BM79" s="52">
        <v>60.159999999999989</v>
      </c>
      <c r="BN79" s="52">
        <v>60.159999999999989</v>
      </c>
      <c r="BO79" s="52">
        <v>0</v>
      </c>
      <c r="BP79" s="52">
        <v>0</v>
      </c>
      <c r="BQ79" s="52">
        <v>0</v>
      </c>
      <c r="BR79" s="52">
        <v>98.335000000000122</v>
      </c>
      <c r="BS79" s="52">
        <v>99.44600000000095</v>
      </c>
      <c r="BT79" s="52">
        <v>60.159999999999137</v>
      </c>
      <c r="BU79" s="52">
        <v>0</v>
      </c>
      <c r="BV79" s="52">
        <v>0</v>
      </c>
      <c r="BW79" s="52">
        <v>0</v>
      </c>
    </row>
    <row r="80" spans="1:75" x14ac:dyDescent="0.3">
      <c r="A80" s="8" t="s">
        <v>102</v>
      </c>
      <c r="B80" s="8" t="s">
        <v>9</v>
      </c>
      <c r="C80" s="8" t="s">
        <v>151</v>
      </c>
      <c r="D80" s="52">
        <v>194.4</v>
      </c>
      <c r="E80" s="52">
        <v>194.4</v>
      </c>
      <c r="F80" s="52">
        <v>77.760000000000005</v>
      </c>
      <c r="G80" s="52">
        <v>194.4</v>
      </c>
      <c r="H80" s="52">
        <v>194.4</v>
      </c>
      <c r="I80" s="52">
        <v>77.760000000000005</v>
      </c>
      <c r="J80" s="52">
        <v>194.4</v>
      </c>
      <c r="K80" s="52">
        <v>194.4</v>
      </c>
      <c r="L80" s="52">
        <v>77.759999999999962</v>
      </c>
      <c r="M80" s="52">
        <v>194.4</v>
      </c>
      <c r="N80" s="52">
        <v>194.4</v>
      </c>
      <c r="O80" s="52">
        <v>77.760000000000005</v>
      </c>
      <c r="P80" s="52">
        <v>0</v>
      </c>
      <c r="Q80" s="52">
        <v>0</v>
      </c>
      <c r="R80" s="52">
        <v>0</v>
      </c>
      <c r="S80" s="52">
        <v>0</v>
      </c>
      <c r="T80" s="52">
        <v>0</v>
      </c>
      <c r="U80" s="52">
        <v>0</v>
      </c>
      <c r="V80" s="52">
        <v>194.4</v>
      </c>
      <c r="W80" s="52">
        <v>194.4</v>
      </c>
      <c r="X80" s="52">
        <v>77.759999999999877</v>
      </c>
      <c r="Y80" s="52">
        <v>194.4</v>
      </c>
      <c r="Z80" s="52">
        <v>194.4</v>
      </c>
      <c r="AA80" s="52">
        <v>77.760000000000005</v>
      </c>
      <c r="AB80" s="52">
        <v>194.4</v>
      </c>
      <c r="AC80" s="52">
        <v>194.4</v>
      </c>
      <c r="AD80" s="52">
        <v>77.760000000000005</v>
      </c>
      <c r="AE80" s="52">
        <v>194.4</v>
      </c>
      <c r="AF80" s="52">
        <v>77.759999999999977</v>
      </c>
      <c r="AG80" s="52">
        <v>77.760000000000005</v>
      </c>
      <c r="AH80" s="52">
        <v>194.4</v>
      </c>
      <c r="AI80" s="52">
        <v>194.4</v>
      </c>
      <c r="AJ80" s="52">
        <v>77.760000000000005</v>
      </c>
      <c r="AK80" s="52">
        <v>0</v>
      </c>
      <c r="AL80" s="52">
        <v>0</v>
      </c>
      <c r="AM80" s="52">
        <v>0</v>
      </c>
      <c r="AN80" s="52">
        <v>194.4</v>
      </c>
      <c r="AO80" s="52">
        <v>194.4</v>
      </c>
      <c r="AP80" s="52">
        <v>77.760000000000005</v>
      </c>
      <c r="AQ80" s="52">
        <v>0</v>
      </c>
      <c r="AR80" s="52">
        <v>0</v>
      </c>
      <c r="AS80" s="52">
        <v>0</v>
      </c>
      <c r="AT80" s="52">
        <v>194.4</v>
      </c>
      <c r="AU80" s="52">
        <v>194.4</v>
      </c>
      <c r="AV80" s="52">
        <v>77.760000000000005</v>
      </c>
      <c r="AW80" s="52">
        <v>194.4</v>
      </c>
      <c r="AX80" s="52">
        <v>194.4</v>
      </c>
      <c r="AY80" s="52">
        <v>77.760000000000005</v>
      </c>
      <c r="AZ80" s="52">
        <v>0</v>
      </c>
      <c r="BA80" s="52">
        <v>0</v>
      </c>
      <c r="BB80" s="52">
        <v>0</v>
      </c>
      <c r="BC80" s="52">
        <v>0</v>
      </c>
      <c r="BD80" s="52">
        <v>0</v>
      </c>
      <c r="BE80" s="52">
        <v>0</v>
      </c>
      <c r="BF80" s="52">
        <v>194.4</v>
      </c>
      <c r="BG80" s="52">
        <v>194.4</v>
      </c>
      <c r="BH80" s="52">
        <v>77.760000000000005</v>
      </c>
      <c r="BI80" s="52">
        <v>194.4</v>
      </c>
      <c r="BJ80" s="52">
        <v>194.4</v>
      </c>
      <c r="BK80" s="52">
        <v>77.760000000000005</v>
      </c>
      <c r="BL80" s="52">
        <v>194.4</v>
      </c>
      <c r="BM80" s="52">
        <v>175.82700000000051</v>
      </c>
      <c r="BN80" s="52">
        <v>77.759999999999607</v>
      </c>
      <c r="BO80" s="52">
        <v>0</v>
      </c>
      <c r="BP80" s="52">
        <v>0</v>
      </c>
      <c r="BQ80" s="52">
        <v>0</v>
      </c>
      <c r="BR80" s="52">
        <v>194.4</v>
      </c>
      <c r="BS80" s="52">
        <v>194.4</v>
      </c>
      <c r="BT80" s="52">
        <v>77.760000000000005</v>
      </c>
      <c r="BU80" s="52">
        <v>194.4</v>
      </c>
      <c r="BV80" s="52">
        <v>194.4</v>
      </c>
      <c r="BW80" s="52">
        <v>77.760000000000005</v>
      </c>
    </row>
    <row r="81" spans="1:75" x14ac:dyDescent="0.3">
      <c r="A81" s="8" t="s">
        <v>102</v>
      </c>
      <c r="B81" s="8" t="s">
        <v>9</v>
      </c>
      <c r="C81" s="8" t="s">
        <v>62</v>
      </c>
      <c r="D81" s="52">
        <v>500</v>
      </c>
      <c r="E81" s="52">
        <v>500</v>
      </c>
      <c r="F81" s="52">
        <v>500</v>
      </c>
      <c r="G81" s="52">
        <v>500</v>
      </c>
      <c r="H81" s="52">
        <v>500</v>
      </c>
      <c r="I81" s="52">
        <v>500</v>
      </c>
      <c r="J81" s="52">
        <v>500</v>
      </c>
      <c r="K81" s="52">
        <v>500</v>
      </c>
      <c r="L81" s="52">
        <v>500</v>
      </c>
      <c r="M81" s="52">
        <v>500</v>
      </c>
      <c r="N81" s="52">
        <v>500</v>
      </c>
      <c r="O81" s="52">
        <v>500</v>
      </c>
      <c r="P81" s="52">
        <v>500</v>
      </c>
      <c r="Q81" s="52">
        <v>500</v>
      </c>
      <c r="R81" s="52">
        <v>500</v>
      </c>
      <c r="S81" s="52">
        <v>500</v>
      </c>
      <c r="T81" s="52">
        <v>500</v>
      </c>
      <c r="U81" s="52">
        <v>500</v>
      </c>
      <c r="V81" s="52">
        <v>500</v>
      </c>
      <c r="W81" s="52">
        <v>500</v>
      </c>
      <c r="X81" s="52">
        <v>500</v>
      </c>
      <c r="Y81" s="52">
        <v>500</v>
      </c>
      <c r="Z81" s="52">
        <v>500</v>
      </c>
      <c r="AA81" s="52">
        <v>500</v>
      </c>
      <c r="AB81" s="52">
        <v>500</v>
      </c>
      <c r="AC81" s="52">
        <v>500</v>
      </c>
      <c r="AD81" s="52">
        <v>500</v>
      </c>
      <c r="AE81" s="52">
        <v>500</v>
      </c>
      <c r="AF81" s="52">
        <v>500</v>
      </c>
      <c r="AG81" s="52">
        <v>500</v>
      </c>
      <c r="AH81" s="52">
        <v>500</v>
      </c>
      <c r="AI81" s="52">
        <v>500</v>
      </c>
      <c r="AJ81" s="52">
        <v>500</v>
      </c>
      <c r="AK81" s="52">
        <v>500</v>
      </c>
      <c r="AL81" s="52">
        <v>500</v>
      </c>
      <c r="AM81" s="52">
        <v>500</v>
      </c>
      <c r="AN81" s="52">
        <v>500</v>
      </c>
      <c r="AO81" s="52">
        <v>500</v>
      </c>
      <c r="AP81" s="52">
        <v>500</v>
      </c>
      <c r="AQ81" s="52">
        <v>500</v>
      </c>
      <c r="AR81" s="52">
        <v>500</v>
      </c>
      <c r="AS81" s="52">
        <v>500</v>
      </c>
      <c r="AT81" s="52">
        <v>500</v>
      </c>
      <c r="AU81" s="52">
        <v>500</v>
      </c>
      <c r="AV81" s="52">
        <v>500</v>
      </c>
      <c r="AW81" s="52">
        <v>500</v>
      </c>
      <c r="AX81" s="52">
        <v>500</v>
      </c>
      <c r="AY81" s="52">
        <v>500</v>
      </c>
      <c r="AZ81" s="52">
        <v>500</v>
      </c>
      <c r="BA81" s="52">
        <v>500</v>
      </c>
      <c r="BB81" s="52">
        <v>500</v>
      </c>
      <c r="BC81" s="52">
        <v>500</v>
      </c>
      <c r="BD81" s="52">
        <v>500</v>
      </c>
      <c r="BE81" s="52">
        <v>500</v>
      </c>
      <c r="BF81" s="52">
        <v>500</v>
      </c>
      <c r="BG81" s="52">
        <v>500</v>
      </c>
      <c r="BH81" s="52">
        <v>495.27192920354008</v>
      </c>
      <c r="BI81" s="52">
        <v>500</v>
      </c>
      <c r="BJ81" s="52">
        <v>500</v>
      </c>
      <c r="BK81" s="52">
        <v>495.27192920354008</v>
      </c>
      <c r="BL81" s="52">
        <v>500</v>
      </c>
      <c r="BM81" s="52">
        <v>500</v>
      </c>
      <c r="BN81" s="52">
        <v>500</v>
      </c>
      <c r="BO81" s="52">
        <v>500</v>
      </c>
      <c r="BP81" s="52">
        <v>500</v>
      </c>
      <c r="BQ81" s="52">
        <v>500</v>
      </c>
      <c r="BR81" s="52">
        <v>500</v>
      </c>
      <c r="BS81" s="52">
        <v>500</v>
      </c>
      <c r="BT81" s="52">
        <v>500</v>
      </c>
      <c r="BU81" s="52">
        <v>500</v>
      </c>
      <c r="BV81" s="52">
        <v>500</v>
      </c>
      <c r="BW81" s="52">
        <v>500</v>
      </c>
    </row>
    <row r="82" spans="1:75" x14ac:dyDescent="0.3">
      <c r="A82" s="8" t="s">
        <v>102</v>
      </c>
      <c r="B82" s="8" t="s">
        <v>9</v>
      </c>
      <c r="C82" s="8" t="s">
        <v>63</v>
      </c>
      <c r="D82" s="52">
        <v>500</v>
      </c>
      <c r="E82" s="52">
        <v>500</v>
      </c>
      <c r="F82" s="52">
        <v>174.11700000000008</v>
      </c>
      <c r="G82" s="52">
        <v>500</v>
      </c>
      <c r="H82" s="52">
        <v>500</v>
      </c>
      <c r="I82" s="52">
        <v>126.20066666666696</v>
      </c>
      <c r="J82" s="52">
        <v>500</v>
      </c>
      <c r="K82" s="52">
        <v>500</v>
      </c>
      <c r="L82" s="52">
        <v>212.49699999999999</v>
      </c>
      <c r="M82" s="52">
        <v>500</v>
      </c>
      <c r="N82" s="52">
        <v>500</v>
      </c>
      <c r="O82" s="52">
        <v>207.18199999999908</v>
      </c>
      <c r="P82" s="52">
        <v>500</v>
      </c>
      <c r="Q82" s="52">
        <v>500</v>
      </c>
      <c r="R82" s="52">
        <v>274.40178640776639</v>
      </c>
      <c r="S82" s="52">
        <v>500</v>
      </c>
      <c r="T82" s="52">
        <v>500</v>
      </c>
      <c r="U82" s="52">
        <v>121.09378640776775</v>
      </c>
      <c r="V82" s="52">
        <v>500</v>
      </c>
      <c r="W82" s="52">
        <v>500</v>
      </c>
      <c r="X82" s="52">
        <v>141.98533333333407</v>
      </c>
      <c r="Y82" s="52">
        <v>0</v>
      </c>
      <c r="Z82" s="52">
        <v>0</v>
      </c>
      <c r="AA82" s="52">
        <v>0</v>
      </c>
      <c r="AB82" s="52">
        <v>500</v>
      </c>
      <c r="AC82" s="52">
        <v>500</v>
      </c>
      <c r="AD82" s="52">
        <v>192.29300000000052</v>
      </c>
      <c r="AE82" s="52">
        <v>500</v>
      </c>
      <c r="AF82" s="52">
        <v>468.69692307692412</v>
      </c>
      <c r="AG82" s="52">
        <v>192.29300000000052</v>
      </c>
      <c r="AH82" s="52">
        <v>500</v>
      </c>
      <c r="AI82" s="52">
        <v>500</v>
      </c>
      <c r="AJ82" s="52">
        <v>189.0819999999994</v>
      </c>
      <c r="AK82" s="52">
        <v>0</v>
      </c>
      <c r="AL82" s="52">
        <v>0</v>
      </c>
      <c r="AM82" s="52">
        <v>0</v>
      </c>
      <c r="AN82" s="52">
        <v>500</v>
      </c>
      <c r="AO82" s="52">
        <v>500</v>
      </c>
      <c r="AP82" s="52">
        <v>386.19300000000067</v>
      </c>
      <c r="AQ82" s="52">
        <v>500</v>
      </c>
      <c r="AR82" s="52">
        <v>500</v>
      </c>
      <c r="AS82" s="52">
        <v>386.19300000000067</v>
      </c>
      <c r="AT82" s="52">
        <v>500</v>
      </c>
      <c r="AU82" s="52">
        <v>500</v>
      </c>
      <c r="AV82" s="52">
        <v>316.14499999999981</v>
      </c>
      <c r="AW82" s="52">
        <v>500</v>
      </c>
      <c r="AX82" s="52">
        <v>500</v>
      </c>
      <c r="AY82" s="52">
        <v>195.45999999999975</v>
      </c>
      <c r="AZ82" s="52">
        <v>500</v>
      </c>
      <c r="BA82" s="52">
        <v>500</v>
      </c>
      <c r="BB82" s="52">
        <v>279.35314285714367</v>
      </c>
      <c r="BC82" s="52">
        <v>500</v>
      </c>
      <c r="BD82" s="52">
        <v>500</v>
      </c>
      <c r="BE82" s="52">
        <v>138.78200000000041</v>
      </c>
      <c r="BF82" s="52">
        <v>500</v>
      </c>
      <c r="BG82" s="52">
        <v>500</v>
      </c>
      <c r="BH82" s="52">
        <v>100</v>
      </c>
      <c r="BI82" s="52">
        <v>0</v>
      </c>
      <c r="BJ82" s="52">
        <v>0</v>
      </c>
      <c r="BK82" s="52">
        <v>0</v>
      </c>
      <c r="BL82" s="52">
        <v>500</v>
      </c>
      <c r="BM82" s="52">
        <v>500</v>
      </c>
      <c r="BN82" s="52">
        <v>176.47016438356209</v>
      </c>
      <c r="BO82" s="52">
        <v>500</v>
      </c>
      <c r="BP82" s="52">
        <v>500</v>
      </c>
      <c r="BQ82" s="52">
        <v>176.47016438356209</v>
      </c>
      <c r="BR82" s="52">
        <v>500</v>
      </c>
      <c r="BS82" s="52">
        <v>500</v>
      </c>
      <c r="BT82" s="52">
        <v>200.07400000000121</v>
      </c>
      <c r="BU82" s="52">
        <v>500</v>
      </c>
      <c r="BV82" s="52">
        <v>500</v>
      </c>
      <c r="BW82" s="52">
        <v>143.64524489795915</v>
      </c>
    </row>
    <row r="83" spans="1:75" x14ac:dyDescent="0.3">
      <c r="A83" s="8" t="s">
        <v>102</v>
      </c>
      <c r="B83" s="8" t="s">
        <v>9</v>
      </c>
      <c r="C83" s="8" t="s">
        <v>64</v>
      </c>
      <c r="D83" s="52">
        <v>500</v>
      </c>
      <c r="E83" s="52">
        <v>500</v>
      </c>
      <c r="F83" s="52">
        <v>100</v>
      </c>
      <c r="G83" s="52">
        <v>0</v>
      </c>
      <c r="H83" s="52">
        <v>0</v>
      </c>
      <c r="I83" s="52">
        <v>0</v>
      </c>
      <c r="J83" s="52">
        <v>500</v>
      </c>
      <c r="K83" s="52">
        <v>500</v>
      </c>
      <c r="L83" s="52">
        <v>100</v>
      </c>
      <c r="M83" s="52">
        <v>0</v>
      </c>
      <c r="N83" s="52">
        <v>0</v>
      </c>
      <c r="O83" s="52">
        <v>0</v>
      </c>
      <c r="P83" s="52">
        <v>500</v>
      </c>
      <c r="Q83" s="52">
        <v>500</v>
      </c>
      <c r="R83" s="52">
        <v>100</v>
      </c>
      <c r="S83" s="52">
        <v>0</v>
      </c>
      <c r="T83" s="52">
        <v>0</v>
      </c>
      <c r="U83" s="52">
        <v>0</v>
      </c>
      <c r="V83" s="52">
        <v>0</v>
      </c>
      <c r="W83" s="52">
        <v>0</v>
      </c>
      <c r="X83" s="52">
        <v>0</v>
      </c>
      <c r="Y83" s="52">
        <v>0</v>
      </c>
      <c r="Z83" s="52">
        <v>0</v>
      </c>
      <c r="AA83" s="52">
        <v>0</v>
      </c>
      <c r="AB83" s="52">
        <v>0</v>
      </c>
      <c r="AC83" s="52">
        <v>0</v>
      </c>
      <c r="AD83" s="52">
        <v>0</v>
      </c>
      <c r="AE83" s="52">
        <v>0</v>
      </c>
      <c r="AF83" s="52">
        <v>0</v>
      </c>
      <c r="AG83" s="52">
        <v>0</v>
      </c>
      <c r="AH83" s="52">
        <v>500</v>
      </c>
      <c r="AI83" s="52">
        <v>500</v>
      </c>
      <c r="AJ83" s="52">
        <v>163.22400000000036</v>
      </c>
      <c r="AK83" s="52">
        <v>500</v>
      </c>
      <c r="AL83" s="52">
        <v>500</v>
      </c>
      <c r="AM83" s="52">
        <v>163.22400000000036</v>
      </c>
      <c r="AN83" s="52">
        <v>500</v>
      </c>
      <c r="AO83" s="52">
        <v>500</v>
      </c>
      <c r="AP83" s="52">
        <v>100</v>
      </c>
      <c r="AQ83" s="52">
        <v>500</v>
      </c>
      <c r="AR83" s="52">
        <v>488.97100000000052</v>
      </c>
      <c r="AS83" s="52">
        <v>100</v>
      </c>
      <c r="AT83" s="52">
        <v>500</v>
      </c>
      <c r="AU83" s="52">
        <v>500</v>
      </c>
      <c r="AV83" s="52">
        <v>100</v>
      </c>
      <c r="AW83" s="52">
        <v>0</v>
      </c>
      <c r="AX83" s="52">
        <v>0</v>
      </c>
      <c r="AY83" s="52">
        <v>0</v>
      </c>
      <c r="AZ83" s="52">
        <v>500</v>
      </c>
      <c r="BA83" s="52">
        <v>500</v>
      </c>
      <c r="BB83" s="52">
        <v>100</v>
      </c>
      <c r="BC83" s="52">
        <v>0</v>
      </c>
      <c r="BD83" s="52">
        <v>0</v>
      </c>
      <c r="BE83" s="52">
        <v>0</v>
      </c>
      <c r="BF83" s="52">
        <v>0</v>
      </c>
      <c r="BG83" s="52">
        <v>0</v>
      </c>
      <c r="BH83" s="52">
        <v>0</v>
      </c>
      <c r="BI83" s="52">
        <v>0</v>
      </c>
      <c r="BJ83" s="52">
        <v>0</v>
      </c>
      <c r="BK83" s="52">
        <v>0</v>
      </c>
      <c r="BL83" s="52">
        <v>500</v>
      </c>
      <c r="BM83" s="52">
        <v>500</v>
      </c>
      <c r="BN83" s="52">
        <v>100</v>
      </c>
      <c r="BO83" s="52">
        <v>0</v>
      </c>
      <c r="BP83" s="52">
        <v>0</v>
      </c>
      <c r="BQ83" s="52">
        <v>0</v>
      </c>
      <c r="BR83" s="52">
        <v>500</v>
      </c>
      <c r="BS83" s="52">
        <v>500</v>
      </c>
      <c r="BT83" s="52">
        <v>100</v>
      </c>
      <c r="BU83" s="52">
        <v>0</v>
      </c>
      <c r="BV83" s="52">
        <v>0</v>
      </c>
      <c r="BW83" s="52">
        <v>0</v>
      </c>
    </row>
    <row r="84" spans="1:75" x14ac:dyDescent="0.3">
      <c r="A84" s="8" t="s">
        <v>102</v>
      </c>
      <c r="B84" s="8" t="s">
        <v>9</v>
      </c>
      <c r="C84" s="8" t="s">
        <v>65</v>
      </c>
      <c r="D84" s="52">
        <v>667.5</v>
      </c>
      <c r="E84" s="52">
        <v>667.5</v>
      </c>
      <c r="F84" s="52">
        <v>667.5</v>
      </c>
      <c r="G84" s="52">
        <v>667.5</v>
      </c>
      <c r="H84" s="52">
        <v>667.5</v>
      </c>
      <c r="I84" s="52">
        <v>667.5</v>
      </c>
      <c r="J84" s="52">
        <v>667.5</v>
      </c>
      <c r="K84" s="52">
        <v>667.5</v>
      </c>
      <c r="L84" s="52">
        <v>667.5</v>
      </c>
      <c r="M84" s="52">
        <v>667.5</v>
      </c>
      <c r="N84" s="52">
        <v>667.5</v>
      </c>
      <c r="O84" s="52">
        <v>667.5</v>
      </c>
      <c r="P84" s="52">
        <v>667.5</v>
      </c>
      <c r="Q84" s="52">
        <v>667.5</v>
      </c>
      <c r="R84" s="52">
        <v>667.5</v>
      </c>
      <c r="S84" s="52">
        <v>667.5</v>
      </c>
      <c r="T84" s="52">
        <v>667.5</v>
      </c>
      <c r="U84" s="52">
        <v>667.5</v>
      </c>
      <c r="V84" s="52">
        <v>667.5</v>
      </c>
      <c r="W84" s="52">
        <v>667.5</v>
      </c>
      <c r="X84" s="52">
        <v>667.5</v>
      </c>
      <c r="Y84" s="52">
        <v>667.5</v>
      </c>
      <c r="Z84" s="52">
        <v>667.5</v>
      </c>
      <c r="AA84" s="52">
        <v>667.5</v>
      </c>
      <c r="AB84" s="52">
        <v>667.5</v>
      </c>
      <c r="AC84" s="52">
        <v>667.5</v>
      </c>
      <c r="AD84" s="52">
        <v>667.5</v>
      </c>
      <c r="AE84" s="52">
        <v>667.5</v>
      </c>
      <c r="AF84" s="52">
        <v>667.5</v>
      </c>
      <c r="AG84" s="52">
        <v>667.5</v>
      </c>
      <c r="AH84" s="52">
        <v>667.5</v>
      </c>
      <c r="AI84" s="52">
        <v>667.5</v>
      </c>
      <c r="AJ84" s="52">
        <v>667.5</v>
      </c>
      <c r="AK84" s="52">
        <v>667.5</v>
      </c>
      <c r="AL84" s="52">
        <v>667.5</v>
      </c>
      <c r="AM84" s="52">
        <v>667.5</v>
      </c>
      <c r="AN84" s="52">
        <v>667.5</v>
      </c>
      <c r="AO84" s="52">
        <v>667.5</v>
      </c>
      <c r="AP84" s="52">
        <v>667.5</v>
      </c>
      <c r="AQ84" s="52">
        <v>667.5</v>
      </c>
      <c r="AR84" s="52">
        <v>667.5</v>
      </c>
      <c r="AS84" s="52">
        <v>667.5</v>
      </c>
      <c r="AT84" s="52">
        <v>667.5</v>
      </c>
      <c r="AU84" s="52">
        <v>667.5</v>
      </c>
      <c r="AV84" s="52">
        <v>667.5</v>
      </c>
      <c r="AW84" s="52">
        <v>667.5</v>
      </c>
      <c r="AX84" s="52">
        <v>667.5</v>
      </c>
      <c r="AY84" s="52">
        <v>667.5</v>
      </c>
      <c r="AZ84" s="52">
        <v>667.5</v>
      </c>
      <c r="BA84" s="52">
        <v>667.5</v>
      </c>
      <c r="BB84" s="52">
        <v>667.5</v>
      </c>
      <c r="BC84" s="52">
        <v>667.5</v>
      </c>
      <c r="BD84" s="52">
        <v>667.5</v>
      </c>
      <c r="BE84" s="52">
        <v>667.5</v>
      </c>
      <c r="BF84" s="52">
        <v>667.5</v>
      </c>
      <c r="BG84" s="52">
        <v>667.5</v>
      </c>
      <c r="BH84" s="52">
        <v>667.5</v>
      </c>
      <c r="BI84" s="52">
        <v>667.5</v>
      </c>
      <c r="BJ84" s="52">
        <v>667.5</v>
      </c>
      <c r="BK84" s="52">
        <v>667.5</v>
      </c>
      <c r="BL84" s="52">
        <v>667.5</v>
      </c>
      <c r="BM84" s="52">
        <v>667.5</v>
      </c>
      <c r="BN84" s="52">
        <v>667.5</v>
      </c>
      <c r="BO84" s="52">
        <v>667.5</v>
      </c>
      <c r="BP84" s="52">
        <v>667.5</v>
      </c>
      <c r="BQ84" s="52">
        <v>667.5</v>
      </c>
      <c r="BR84" s="52">
        <v>667.5</v>
      </c>
      <c r="BS84" s="52">
        <v>667.5</v>
      </c>
      <c r="BT84" s="52">
        <v>667.5</v>
      </c>
      <c r="BU84" s="52">
        <v>667.5</v>
      </c>
      <c r="BV84" s="52">
        <v>667.5</v>
      </c>
      <c r="BW84" s="52">
        <v>667.5</v>
      </c>
    </row>
    <row r="85" spans="1:75" x14ac:dyDescent="0.3">
      <c r="A85" s="8" t="s">
        <v>102</v>
      </c>
      <c r="B85" s="8" t="s">
        <v>9</v>
      </c>
      <c r="C85" s="8" t="s">
        <v>66</v>
      </c>
      <c r="D85" s="52">
        <v>0</v>
      </c>
      <c r="E85" s="52">
        <v>0</v>
      </c>
      <c r="F85" s="52">
        <v>0</v>
      </c>
      <c r="G85" s="52">
        <v>0</v>
      </c>
      <c r="H85" s="52">
        <v>0</v>
      </c>
      <c r="I85" s="52">
        <v>0</v>
      </c>
      <c r="J85" s="52">
        <v>0</v>
      </c>
      <c r="K85" s="52">
        <v>0</v>
      </c>
      <c r="L85" s="52">
        <v>0</v>
      </c>
      <c r="M85" s="52">
        <v>0</v>
      </c>
      <c r="N85" s="52">
        <v>0</v>
      </c>
      <c r="O85" s="52">
        <v>0</v>
      </c>
      <c r="P85" s="52">
        <v>0</v>
      </c>
      <c r="Q85" s="52">
        <v>0</v>
      </c>
      <c r="R85" s="52">
        <v>0</v>
      </c>
      <c r="S85" s="52">
        <v>0</v>
      </c>
      <c r="T85" s="52">
        <v>0</v>
      </c>
      <c r="U85" s="52">
        <v>0</v>
      </c>
      <c r="V85" s="52">
        <v>0</v>
      </c>
      <c r="W85" s="52">
        <v>0</v>
      </c>
      <c r="X85" s="52">
        <v>0</v>
      </c>
      <c r="Y85" s="52">
        <v>0</v>
      </c>
      <c r="Z85" s="52">
        <v>0</v>
      </c>
      <c r="AA85" s="52">
        <v>0</v>
      </c>
      <c r="AB85" s="52">
        <v>0</v>
      </c>
      <c r="AC85" s="52">
        <v>0</v>
      </c>
      <c r="AD85" s="52">
        <v>0</v>
      </c>
      <c r="AE85" s="52">
        <v>0</v>
      </c>
      <c r="AF85" s="52">
        <v>0</v>
      </c>
      <c r="AG85" s="52">
        <v>0</v>
      </c>
      <c r="AH85" s="52">
        <v>0</v>
      </c>
      <c r="AI85" s="52">
        <v>0</v>
      </c>
      <c r="AJ85" s="52">
        <v>0</v>
      </c>
      <c r="AK85" s="52">
        <v>0</v>
      </c>
      <c r="AL85" s="52">
        <v>0</v>
      </c>
      <c r="AM85" s="52">
        <v>0</v>
      </c>
      <c r="AN85" s="52">
        <v>0</v>
      </c>
      <c r="AO85" s="52">
        <v>0</v>
      </c>
      <c r="AP85" s="52">
        <v>0</v>
      </c>
      <c r="AQ85" s="52">
        <v>0</v>
      </c>
      <c r="AR85" s="52">
        <v>0</v>
      </c>
      <c r="AS85" s="52">
        <v>0</v>
      </c>
      <c r="AT85" s="52">
        <v>0</v>
      </c>
      <c r="AU85" s="52">
        <v>0</v>
      </c>
      <c r="AV85" s="52">
        <v>0</v>
      </c>
      <c r="AW85" s="52">
        <v>0</v>
      </c>
      <c r="AX85" s="52">
        <v>0</v>
      </c>
      <c r="AY85" s="52">
        <v>0</v>
      </c>
      <c r="AZ85" s="52">
        <v>0</v>
      </c>
      <c r="BA85" s="52">
        <v>0</v>
      </c>
      <c r="BB85" s="52">
        <v>0</v>
      </c>
      <c r="BC85" s="52">
        <v>0</v>
      </c>
      <c r="BD85" s="52">
        <v>0</v>
      </c>
      <c r="BE85" s="52">
        <v>0</v>
      </c>
      <c r="BF85" s="52">
        <v>0</v>
      </c>
      <c r="BG85" s="52">
        <v>0</v>
      </c>
      <c r="BH85" s="52">
        <v>0</v>
      </c>
      <c r="BI85" s="52">
        <v>0</v>
      </c>
      <c r="BJ85" s="52">
        <v>0</v>
      </c>
      <c r="BK85" s="52">
        <v>0</v>
      </c>
      <c r="BL85" s="52">
        <v>0</v>
      </c>
      <c r="BM85" s="52">
        <v>0</v>
      </c>
      <c r="BN85" s="52">
        <v>0</v>
      </c>
      <c r="BO85" s="52">
        <v>0</v>
      </c>
      <c r="BP85" s="52">
        <v>0</v>
      </c>
      <c r="BQ85" s="52">
        <v>0</v>
      </c>
      <c r="BR85" s="52">
        <v>0</v>
      </c>
      <c r="BS85" s="52">
        <v>0</v>
      </c>
      <c r="BT85" s="52">
        <v>0</v>
      </c>
      <c r="BU85" s="52">
        <v>0</v>
      </c>
      <c r="BV85" s="52">
        <v>0</v>
      </c>
      <c r="BW85" s="52">
        <v>0</v>
      </c>
    </row>
    <row r="86" spans="1:75" x14ac:dyDescent="0.3">
      <c r="A86" s="8" t="s">
        <v>102</v>
      </c>
      <c r="B86" s="8" t="s">
        <v>9</v>
      </c>
      <c r="C86" s="8" t="s">
        <v>67</v>
      </c>
      <c r="D86" s="52">
        <v>0</v>
      </c>
      <c r="E86" s="52">
        <v>0</v>
      </c>
      <c r="F86" s="52">
        <v>0</v>
      </c>
      <c r="G86" s="52">
        <v>0</v>
      </c>
      <c r="H86" s="52">
        <v>0</v>
      </c>
      <c r="I86" s="52">
        <v>0</v>
      </c>
      <c r="J86" s="52">
        <v>0</v>
      </c>
      <c r="K86" s="52">
        <v>0</v>
      </c>
      <c r="L86" s="52">
        <v>0</v>
      </c>
      <c r="M86" s="52">
        <v>0</v>
      </c>
      <c r="N86" s="52">
        <v>0</v>
      </c>
      <c r="O86" s="52">
        <v>0</v>
      </c>
      <c r="P86" s="52">
        <v>0</v>
      </c>
      <c r="Q86" s="52">
        <v>0</v>
      </c>
      <c r="R86" s="52">
        <v>0</v>
      </c>
      <c r="S86" s="52">
        <v>0</v>
      </c>
      <c r="T86" s="52">
        <v>0</v>
      </c>
      <c r="U86" s="52">
        <v>0</v>
      </c>
      <c r="V86" s="52">
        <v>0</v>
      </c>
      <c r="W86" s="52">
        <v>0</v>
      </c>
      <c r="X86" s="52">
        <v>0</v>
      </c>
      <c r="Y86" s="52">
        <v>0</v>
      </c>
      <c r="Z86" s="52">
        <v>0</v>
      </c>
      <c r="AA86" s="52">
        <v>0</v>
      </c>
      <c r="AB86" s="52">
        <v>0</v>
      </c>
      <c r="AC86" s="52">
        <v>0</v>
      </c>
      <c r="AD86" s="52">
        <v>0</v>
      </c>
      <c r="AE86" s="52">
        <v>0</v>
      </c>
      <c r="AF86" s="52">
        <v>0</v>
      </c>
      <c r="AG86" s="52">
        <v>0</v>
      </c>
      <c r="AH86" s="52">
        <v>0</v>
      </c>
      <c r="AI86" s="52">
        <v>0</v>
      </c>
      <c r="AJ86" s="52">
        <v>0</v>
      </c>
      <c r="AK86" s="52">
        <v>0</v>
      </c>
      <c r="AL86" s="52">
        <v>0</v>
      </c>
      <c r="AM86" s="52">
        <v>0</v>
      </c>
      <c r="AN86" s="52">
        <v>0</v>
      </c>
      <c r="AO86" s="52">
        <v>0</v>
      </c>
      <c r="AP86" s="52">
        <v>0</v>
      </c>
      <c r="AQ86" s="52">
        <v>0</v>
      </c>
      <c r="AR86" s="52">
        <v>0</v>
      </c>
      <c r="AS86" s="52">
        <v>0</v>
      </c>
      <c r="AT86" s="52">
        <v>0</v>
      </c>
      <c r="AU86" s="52">
        <v>0</v>
      </c>
      <c r="AV86" s="52">
        <v>0</v>
      </c>
      <c r="AW86" s="52">
        <v>0</v>
      </c>
      <c r="AX86" s="52">
        <v>0</v>
      </c>
      <c r="AY86" s="52">
        <v>0</v>
      </c>
      <c r="AZ86" s="52">
        <v>0</v>
      </c>
      <c r="BA86" s="52">
        <v>0</v>
      </c>
      <c r="BB86" s="52">
        <v>0</v>
      </c>
      <c r="BC86" s="52">
        <v>0</v>
      </c>
      <c r="BD86" s="52">
        <v>0</v>
      </c>
      <c r="BE86" s="52">
        <v>0</v>
      </c>
      <c r="BF86" s="52">
        <v>0</v>
      </c>
      <c r="BG86" s="52">
        <v>0</v>
      </c>
      <c r="BH86" s="52">
        <v>0</v>
      </c>
      <c r="BI86" s="52">
        <v>0</v>
      </c>
      <c r="BJ86" s="52">
        <v>0</v>
      </c>
      <c r="BK86" s="52">
        <v>0</v>
      </c>
      <c r="BL86" s="52">
        <v>0</v>
      </c>
      <c r="BM86" s="52">
        <v>0</v>
      </c>
      <c r="BN86" s="52">
        <v>0</v>
      </c>
      <c r="BO86" s="52">
        <v>0</v>
      </c>
      <c r="BP86" s="52">
        <v>0</v>
      </c>
      <c r="BQ86" s="52">
        <v>0</v>
      </c>
      <c r="BR86" s="52">
        <v>0</v>
      </c>
      <c r="BS86" s="52">
        <v>0</v>
      </c>
      <c r="BT86" s="52">
        <v>0</v>
      </c>
      <c r="BU86" s="52">
        <v>0</v>
      </c>
      <c r="BV86" s="52">
        <v>0</v>
      </c>
      <c r="BW86" s="52">
        <v>0</v>
      </c>
    </row>
    <row r="87" spans="1:75" x14ac:dyDescent="0.3">
      <c r="A87" s="8" t="s">
        <v>102</v>
      </c>
      <c r="B87" s="8" t="s">
        <v>9</v>
      </c>
      <c r="C87" s="8" t="s">
        <v>68</v>
      </c>
      <c r="D87" s="52">
        <v>0</v>
      </c>
      <c r="E87" s="52">
        <v>0</v>
      </c>
      <c r="F87" s="52">
        <v>0</v>
      </c>
      <c r="G87" s="52">
        <v>0</v>
      </c>
      <c r="H87" s="52">
        <v>0</v>
      </c>
      <c r="I87" s="52">
        <v>0</v>
      </c>
      <c r="J87" s="52">
        <v>0</v>
      </c>
      <c r="K87" s="52">
        <v>0</v>
      </c>
      <c r="L87" s="52">
        <v>0</v>
      </c>
      <c r="M87" s="52">
        <v>0</v>
      </c>
      <c r="N87" s="52">
        <v>0</v>
      </c>
      <c r="O87" s="52">
        <v>0</v>
      </c>
      <c r="P87" s="52">
        <v>0</v>
      </c>
      <c r="Q87" s="52">
        <v>0</v>
      </c>
      <c r="R87" s="52">
        <v>0</v>
      </c>
      <c r="S87" s="52">
        <v>0</v>
      </c>
      <c r="T87" s="52">
        <v>0</v>
      </c>
      <c r="U87" s="52">
        <v>0</v>
      </c>
      <c r="V87" s="52">
        <v>0</v>
      </c>
      <c r="W87" s="52">
        <v>0</v>
      </c>
      <c r="X87" s="52">
        <v>0</v>
      </c>
      <c r="Y87" s="52">
        <v>0</v>
      </c>
      <c r="Z87" s="52">
        <v>0</v>
      </c>
      <c r="AA87" s="52">
        <v>0</v>
      </c>
      <c r="AB87" s="52">
        <v>0</v>
      </c>
      <c r="AC87" s="52">
        <v>0</v>
      </c>
      <c r="AD87" s="52">
        <v>0</v>
      </c>
      <c r="AE87" s="52">
        <v>0</v>
      </c>
      <c r="AF87" s="52">
        <v>0</v>
      </c>
      <c r="AG87" s="52">
        <v>0</v>
      </c>
      <c r="AH87" s="52">
        <v>0</v>
      </c>
      <c r="AI87" s="52">
        <v>0</v>
      </c>
      <c r="AJ87" s="52">
        <v>0</v>
      </c>
      <c r="AK87" s="52">
        <v>0</v>
      </c>
      <c r="AL87" s="52">
        <v>0</v>
      </c>
      <c r="AM87" s="52">
        <v>0</v>
      </c>
      <c r="AN87" s="52">
        <v>0</v>
      </c>
      <c r="AO87" s="52">
        <v>0</v>
      </c>
      <c r="AP87" s="52">
        <v>0</v>
      </c>
      <c r="AQ87" s="52">
        <v>0</v>
      </c>
      <c r="AR87" s="52">
        <v>0</v>
      </c>
      <c r="AS87" s="52">
        <v>0</v>
      </c>
      <c r="AT87" s="52">
        <v>0</v>
      </c>
      <c r="AU87" s="52">
        <v>0</v>
      </c>
      <c r="AV87" s="52">
        <v>0</v>
      </c>
      <c r="AW87" s="52">
        <v>0</v>
      </c>
      <c r="AX87" s="52">
        <v>0</v>
      </c>
      <c r="AY87" s="52">
        <v>0</v>
      </c>
      <c r="AZ87" s="52">
        <v>0</v>
      </c>
      <c r="BA87" s="52">
        <v>0</v>
      </c>
      <c r="BB87" s="52">
        <v>0</v>
      </c>
      <c r="BC87" s="52">
        <v>0</v>
      </c>
      <c r="BD87" s="52">
        <v>0</v>
      </c>
      <c r="BE87" s="52">
        <v>0</v>
      </c>
      <c r="BF87" s="52">
        <v>0</v>
      </c>
      <c r="BG87" s="52">
        <v>0</v>
      </c>
      <c r="BH87" s="52">
        <v>0</v>
      </c>
      <c r="BI87" s="52">
        <v>0</v>
      </c>
      <c r="BJ87" s="52">
        <v>0</v>
      </c>
      <c r="BK87" s="52">
        <v>0</v>
      </c>
      <c r="BL87" s="52">
        <v>0</v>
      </c>
      <c r="BM87" s="52">
        <v>0</v>
      </c>
      <c r="BN87" s="52">
        <v>0</v>
      </c>
      <c r="BO87" s="52">
        <v>0</v>
      </c>
      <c r="BP87" s="52">
        <v>0</v>
      </c>
      <c r="BQ87" s="52">
        <v>0</v>
      </c>
      <c r="BR87" s="52">
        <v>0</v>
      </c>
      <c r="BS87" s="52">
        <v>0</v>
      </c>
      <c r="BT87" s="52">
        <v>0</v>
      </c>
      <c r="BU87" s="52">
        <v>0</v>
      </c>
      <c r="BV87" s="52">
        <v>0</v>
      </c>
      <c r="BW87" s="52">
        <v>0</v>
      </c>
    </row>
    <row r="88" spans="1:75" x14ac:dyDescent="0.3">
      <c r="A88" s="8" t="s">
        <v>102</v>
      </c>
      <c r="B88" s="8" t="s">
        <v>9</v>
      </c>
      <c r="C88" s="8" t="s">
        <v>69</v>
      </c>
      <c r="D88" s="52">
        <v>0</v>
      </c>
      <c r="E88" s="52">
        <v>0</v>
      </c>
      <c r="F88" s="52">
        <v>0</v>
      </c>
      <c r="G88" s="52">
        <v>0</v>
      </c>
      <c r="H88" s="52">
        <v>0</v>
      </c>
      <c r="I88" s="52">
        <v>0</v>
      </c>
      <c r="J88" s="52">
        <v>0</v>
      </c>
      <c r="K88" s="52">
        <v>0</v>
      </c>
      <c r="L88" s="52">
        <v>0</v>
      </c>
      <c r="M88" s="52">
        <v>0</v>
      </c>
      <c r="N88" s="52">
        <v>0</v>
      </c>
      <c r="O88" s="52">
        <v>0</v>
      </c>
      <c r="P88" s="52">
        <v>0</v>
      </c>
      <c r="Q88" s="52">
        <v>0</v>
      </c>
      <c r="R88" s="52">
        <v>0</v>
      </c>
      <c r="S88" s="52">
        <v>0</v>
      </c>
      <c r="T88" s="52">
        <v>0</v>
      </c>
      <c r="U88" s="52">
        <v>0</v>
      </c>
      <c r="V88" s="52">
        <v>0</v>
      </c>
      <c r="W88" s="52">
        <v>0</v>
      </c>
      <c r="X88" s="52">
        <v>0</v>
      </c>
      <c r="Y88" s="52">
        <v>0</v>
      </c>
      <c r="Z88" s="52">
        <v>0</v>
      </c>
      <c r="AA88" s="52">
        <v>0</v>
      </c>
      <c r="AB88" s="52">
        <v>0</v>
      </c>
      <c r="AC88" s="52">
        <v>0</v>
      </c>
      <c r="AD88" s="52">
        <v>0</v>
      </c>
      <c r="AE88" s="52">
        <v>0</v>
      </c>
      <c r="AF88" s="52">
        <v>0</v>
      </c>
      <c r="AG88" s="52">
        <v>0</v>
      </c>
      <c r="AH88" s="52">
        <v>0</v>
      </c>
      <c r="AI88" s="52">
        <v>0</v>
      </c>
      <c r="AJ88" s="52">
        <v>0</v>
      </c>
      <c r="AK88" s="52">
        <v>0</v>
      </c>
      <c r="AL88" s="52">
        <v>0</v>
      </c>
      <c r="AM88" s="52">
        <v>0</v>
      </c>
      <c r="AN88" s="52">
        <v>0</v>
      </c>
      <c r="AO88" s="52">
        <v>0</v>
      </c>
      <c r="AP88" s="52">
        <v>0</v>
      </c>
      <c r="AQ88" s="52">
        <v>0</v>
      </c>
      <c r="AR88" s="52">
        <v>0</v>
      </c>
      <c r="AS88" s="52">
        <v>0</v>
      </c>
      <c r="AT88" s="52">
        <v>0</v>
      </c>
      <c r="AU88" s="52">
        <v>0</v>
      </c>
      <c r="AV88" s="52">
        <v>0</v>
      </c>
      <c r="AW88" s="52">
        <v>0</v>
      </c>
      <c r="AX88" s="52">
        <v>0</v>
      </c>
      <c r="AY88" s="52">
        <v>0</v>
      </c>
      <c r="AZ88" s="52">
        <v>0</v>
      </c>
      <c r="BA88" s="52">
        <v>0</v>
      </c>
      <c r="BB88" s="52">
        <v>0</v>
      </c>
      <c r="BC88" s="52">
        <v>0</v>
      </c>
      <c r="BD88" s="52">
        <v>0</v>
      </c>
      <c r="BE88" s="52">
        <v>0</v>
      </c>
      <c r="BF88" s="52">
        <v>0</v>
      </c>
      <c r="BG88" s="52">
        <v>0</v>
      </c>
      <c r="BH88" s="52">
        <v>0</v>
      </c>
      <c r="BI88" s="52">
        <v>0</v>
      </c>
      <c r="BJ88" s="52">
        <v>0</v>
      </c>
      <c r="BK88" s="52">
        <v>0</v>
      </c>
      <c r="BL88" s="52">
        <v>0</v>
      </c>
      <c r="BM88" s="52">
        <v>0</v>
      </c>
      <c r="BN88" s="52">
        <v>0</v>
      </c>
      <c r="BO88" s="52">
        <v>0</v>
      </c>
      <c r="BP88" s="52">
        <v>0</v>
      </c>
      <c r="BQ88" s="52">
        <v>0</v>
      </c>
      <c r="BR88" s="52">
        <v>0</v>
      </c>
      <c r="BS88" s="52">
        <v>0</v>
      </c>
      <c r="BT88" s="52">
        <v>0</v>
      </c>
      <c r="BU88" s="52">
        <v>0</v>
      </c>
      <c r="BV88" s="52">
        <v>0</v>
      </c>
      <c r="BW88" s="52">
        <v>0</v>
      </c>
    </row>
    <row r="89" spans="1:75" x14ac:dyDescent="0.3">
      <c r="A89" s="8" t="s">
        <v>102</v>
      </c>
      <c r="B89" s="8" t="s">
        <v>9</v>
      </c>
      <c r="C89" s="8" t="s">
        <v>27</v>
      </c>
      <c r="D89" s="52">
        <v>150</v>
      </c>
      <c r="E89" s="52">
        <v>150</v>
      </c>
      <c r="F89" s="52">
        <v>150</v>
      </c>
      <c r="G89" s="52">
        <v>150</v>
      </c>
      <c r="H89" s="52">
        <v>150</v>
      </c>
      <c r="I89" s="52">
        <v>67.333333333333471</v>
      </c>
      <c r="J89" s="52">
        <v>150</v>
      </c>
      <c r="K89" s="52">
        <v>150</v>
      </c>
      <c r="L89" s="52">
        <v>150</v>
      </c>
      <c r="M89" s="52">
        <v>150</v>
      </c>
      <c r="N89" s="52">
        <v>150</v>
      </c>
      <c r="O89" s="52">
        <v>11.400000000000141</v>
      </c>
      <c r="P89" s="52">
        <v>150</v>
      </c>
      <c r="Q89" s="52">
        <v>150</v>
      </c>
      <c r="R89" s="52">
        <v>102.32621359223306</v>
      </c>
      <c r="S89" s="52">
        <v>150</v>
      </c>
      <c r="T89" s="52">
        <v>150</v>
      </c>
      <c r="U89" s="52">
        <v>102.32621359223306</v>
      </c>
      <c r="V89" s="52">
        <v>150</v>
      </c>
      <c r="W89" s="52">
        <v>150</v>
      </c>
      <c r="X89" s="52">
        <v>54.477666666666444</v>
      </c>
      <c r="Y89" s="52">
        <v>150</v>
      </c>
      <c r="Z89" s="52">
        <v>150</v>
      </c>
      <c r="AA89" s="52">
        <v>8.0980000000005976</v>
      </c>
      <c r="AB89" s="52">
        <v>150</v>
      </c>
      <c r="AC89" s="52">
        <v>150</v>
      </c>
      <c r="AD89" s="52">
        <v>0</v>
      </c>
      <c r="AE89" s="52">
        <v>150</v>
      </c>
      <c r="AF89" s="52">
        <v>110.12307692307688</v>
      </c>
      <c r="AG89" s="52">
        <v>0</v>
      </c>
      <c r="AH89" s="52">
        <v>150</v>
      </c>
      <c r="AI89" s="52">
        <v>94.786885714285887</v>
      </c>
      <c r="AJ89" s="52">
        <v>0</v>
      </c>
      <c r="AK89" s="52">
        <v>150</v>
      </c>
      <c r="AL89" s="52">
        <v>37.544885714285343</v>
      </c>
      <c r="AM89" s="52">
        <v>0</v>
      </c>
      <c r="AN89" s="52">
        <v>150</v>
      </c>
      <c r="AO89" s="52">
        <v>121.5812348484814</v>
      </c>
      <c r="AP89" s="52">
        <v>0</v>
      </c>
      <c r="AQ89" s="52">
        <v>84.894592592626182</v>
      </c>
      <c r="AR89" s="52">
        <v>0</v>
      </c>
      <c r="AS89" s="52">
        <v>0</v>
      </c>
      <c r="AT89" s="52">
        <v>150</v>
      </c>
      <c r="AU89" s="52">
        <v>102.27254895104898</v>
      </c>
      <c r="AV89" s="52">
        <v>0</v>
      </c>
      <c r="AW89" s="52">
        <v>104.29700000000081</v>
      </c>
      <c r="AX89" s="52">
        <v>44.631999999999891</v>
      </c>
      <c r="AY89" s="52">
        <v>0</v>
      </c>
      <c r="AZ89" s="52">
        <v>150</v>
      </c>
      <c r="BA89" s="52">
        <v>150</v>
      </c>
      <c r="BB89" s="52">
        <v>71.61985714285683</v>
      </c>
      <c r="BC89" s="52">
        <v>150</v>
      </c>
      <c r="BD89" s="52">
        <v>64.194000000000287</v>
      </c>
      <c r="BE89" s="52">
        <v>0</v>
      </c>
      <c r="BF89" s="52">
        <v>150</v>
      </c>
      <c r="BG89" s="52">
        <v>150</v>
      </c>
      <c r="BH89" s="52">
        <v>64.160070796460275</v>
      </c>
      <c r="BI89" s="52">
        <v>150</v>
      </c>
      <c r="BJ89" s="52">
        <v>150</v>
      </c>
      <c r="BK89" s="52">
        <v>20.502070796460014</v>
      </c>
      <c r="BL89" s="52">
        <v>150</v>
      </c>
      <c r="BM89" s="52">
        <v>150</v>
      </c>
      <c r="BN89" s="52">
        <v>128.7958356164385</v>
      </c>
      <c r="BO89" s="52">
        <v>150</v>
      </c>
      <c r="BP89" s="52">
        <v>150</v>
      </c>
      <c r="BQ89" s="52">
        <v>61.291835616438085</v>
      </c>
      <c r="BR89" s="52">
        <v>150</v>
      </c>
      <c r="BS89" s="52">
        <v>150</v>
      </c>
      <c r="BT89" s="52">
        <v>150</v>
      </c>
      <c r="BU89" s="52">
        <v>150</v>
      </c>
      <c r="BV89" s="52">
        <v>150</v>
      </c>
      <c r="BW89" s="52">
        <v>49.787755102040819</v>
      </c>
    </row>
    <row r="90" spans="1:75" x14ac:dyDescent="0.3">
      <c r="A90" s="8" t="s">
        <v>102</v>
      </c>
      <c r="B90" s="8" t="s">
        <v>9</v>
      </c>
      <c r="C90" s="8" t="s">
        <v>144</v>
      </c>
      <c r="D90" s="52">
        <v>200</v>
      </c>
      <c r="E90" s="52">
        <v>0</v>
      </c>
      <c r="F90" s="52">
        <v>0</v>
      </c>
      <c r="G90" s="52">
        <v>200</v>
      </c>
      <c r="H90" s="52">
        <v>0</v>
      </c>
      <c r="I90" s="52">
        <v>0</v>
      </c>
      <c r="J90" s="52">
        <v>200</v>
      </c>
      <c r="K90" s="52">
        <v>0</v>
      </c>
      <c r="L90" s="52">
        <v>0</v>
      </c>
      <c r="M90" s="52">
        <v>178.21300000000096</v>
      </c>
      <c r="N90" s="52">
        <v>0</v>
      </c>
      <c r="O90" s="52">
        <v>0</v>
      </c>
      <c r="P90" s="52">
        <v>200</v>
      </c>
      <c r="Q90" s="52">
        <v>15.225000000001113</v>
      </c>
      <c r="R90" s="52">
        <v>0</v>
      </c>
      <c r="S90" s="52">
        <v>200</v>
      </c>
      <c r="T90" s="52">
        <v>0</v>
      </c>
      <c r="U90" s="52">
        <v>0</v>
      </c>
      <c r="V90" s="52">
        <v>200</v>
      </c>
      <c r="W90" s="52">
        <v>63.376000000000602</v>
      </c>
      <c r="X90" s="52">
        <v>0</v>
      </c>
      <c r="Y90" s="52">
        <v>200</v>
      </c>
      <c r="Z90" s="52">
        <v>0</v>
      </c>
      <c r="AA90" s="52">
        <v>0</v>
      </c>
      <c r="AB90" s="52">
        <v>200</v>
      </c>
      <c r="AC90" s="52">
        <v>58.528000000001107</v>
      </c>
      <c r="AD90" s="52">
        <v>0</v>
      </c>
      <c r="AE90" s="52">
        <v>0</v>
      </c>
      <c r="AF90" s="52">
        <v>0</v>
      </c>
      <c r="AG90" s="52">
        <v>0</v>
      </c>
      <c r="AH90" s="52">
        <v>200</v>
      </c>
      <c r="AI90" s="52">
        <v>0</v>
      </c>
      <c r="AJ90" s="52">
        <v>0</v>
      </c>
      <c r="AK90" s="52">
        <v>84.17800000000048</v>
      </c>
      <c r="AL90" s="52">
        <v>0</v>
      </c>
      <c r="AM90" s="52">
        <v>0</v>
      </c>
      <c r="AN90" s="52">
        <v>200</v>
      </c>
      <c r="AO90" s="52">
        <v>0</v>
      </c>
      <c r="AP90" s="52">
        <v>0</v>
      </c>
      <c r="AQ90" s="52">
        <v>0</v>
      </c>
      <c r="AR90" s="52">
        <v>0</v>
      </c>
      <c r="AS90" s="52">
        <v>0</v>
      </c>
      <c r="AT90" s="52">
        <v>181.98099999999994</v>
      </c>
      <c r="AU90" s="52">
        <v>0</v>
      </c>
      <c r="AV90" s="52">
        <v>0</v>
      </c>
      <c r="AW90" s="52">
        <v>181.98099999999994</v>
      </c>
      <c r="AX90" s="52">
        <v>0</v>
      </c>
      <c r="AY90" s="52">
        <v>0</v>
      </c>
      <c r="AZ90" s="52">
        <v>200</v>
      </c>
      <c r="BA90" s="52">
        <v>18.962000000000852</v>
      </c>
      <c r="BB90" s="52">
        <v>0</v>
      </c>
      <c r="BC90" s="52">
        <v>64.563000000001423</v>
      </c>
      <c r="BD90" s="52">
        <v>0</v>
      </c>
      <c r="BE90" s="52">
        <v>0</v>
      </c>
      <c r="BF90" s="52">
        <v>200</v>
      </c>
      <c r="BG90" s="52">
        <v>23.57100000000084</v>
      </c>
      <c r="BH90" s="52">
        <v>0</v>
      </c>
      <c r="BI90" s="52">
        <v>200</v>
      </c>
      <c r="BJ90" s="52">
        <v>23.57100000000084</v>
      </c>
      <c r="BK90" s="52">
        <v>0</v>
      </c>
      <c r="BL90" s="52">
        <v>200</v>
      </c>
      <c r="BM90" s="52">
        <v>8.8931883838382557</v>
      </c>
      <c r="BN90" s="52">
        <v>0</v>
      </c>
      <c r="BO90" s="52">
        <v>200</v>
      </c>
      <c r="BP90" s="52">
        <v>8.8931883838382557</v>
      </c>
      <c r="BQ90" s="52">
        <v>0</v>
      </c>
      <c r="BR90" s="52">
        <v>200</v>
      </c>
      <c r="BS90" s="52">
        <v>11.028728138527955</v>
      </c>
      <c r="BT90" s="52">
        <v>0</v>
      </c>
      <c r="BU90" s="52">
        <v>200</v>
      </c>
      <c r="BV90" s="52">
        <v>11.028728138527955</v>
      </c>
      <c r="BW90" s="52">
        <v>0</v>
      </c>
    </row>
    <row r="91" spans="1:75" x14ac:dyDescent="0.3">
      <c r="A91" s="8" t="s">
        <v>102</v>
      </c>
      <c r="B91" s="8" t="s">
        <v>9</v>
      </c>
      <c r="C91" s="8" t="s">
        <v>145</v>
      </c>
      <c r="D91" s="52">
        <v>115.5730000000016</v>
      </c>
      <c r="E91" s="52">
        <v>0</v>
      </c>
      <c r="F91" s="52">
        <v>0</v>
      </c>
      <c r="G91" s="52">
        <v>115.5730000000016</v>
      </c>
      <c r="H91" s="52">
        <v>0</v>
      </c>
      <c r="I91" s="52">
        <v>0</v>
      </c>
      <c r="J91" s="52">
        <v>76.436000000002096</v>
      </c>
      <c r="K91" s="52">
        <v>0</v>
      </c>
      <c r="L91" s="52">
        <v>0</v>
      </c>
      <c r="M91" s="52">
        <v>0</v>
      </c>
      <c r="N91" s="52">
        <v>0</v>
      </c>
      <c r="O91" s="52">
        <v>0</v>
      </c>
      <c r="P91" s="52">
        <v>144.5859999999997</v>
      </c>
      <c r="Q91" s="52">
        <v>0</v>
      </c>
      <c r="R91" s="52">
        <v>0</v>
      </c>
      <c r="S91" s="52">
        <v>52.120000000000566</v>
      </c>
      <c r="T91" s="52">
        <v>0</v>
      </c>
      <c r="U91" s="52">
        <v>0</v>
      </c>
      <c r="V91" s="52">
        <v>170.82000000000096</v>
      </c>
      <c r="W91" s="52">
        <v>0</v>
      </c>
      <c r="X91" s="52">
        <v>0</v>
      </c>
      <c r="Y91" s="52">
        <v>155.61900000000114</v>
      </c>
      <c r="Z91" s="52">
        <v>0</v>
      </c>
      <c r="AA91" s="52">
        <v>0</v>
      </c>
      <c r="AB91" s="52">
        <v>165.06299999999996</v>
      </c>
      <c r="AC91" s="52">
        <v>0</v>
      </c>
      <c r="AD91" s="52">
        <v>0</v>
      </c>
      <c r="AE91" s="52">
        <v>0</v>
      </c>
      <c r="AF91" s="52">
        <v>0</v>
      </c>
      <c r="AG91" s="52">
        <v>0</v>
      </c>
      <c r="AH91" s="52">
        <v>25.330000000000076</v>
      </c>
      <c r="AI91" s="52">
        <v>0</v>
      </c>
      <c r="AJ91" s="52">
        <v>0</v>
      </c>
      <c r="AK91" s="52">
        <v>25.330000000000076</v>
      </c>
      <c r="AL91" s="52">
        <v>0</v>
      </c>
      <c r="AM91" s="52">
        <v>0</v>
      </c>
      <c r="AN91" s="52">
        <v>107.64500000000052</v>
      </c>
      <c r="AO91" s="52">
        <v>0</v>
      </c>
      <c r="AP91" s="52">
        <v>0</v>
      </c>
      <c r="AQ91" s="52">
        <v>23.034407407373823</v>
      </c>
      <c r="AR91" s="52">
        <v>0</v>
      </c>
      <c r="AS91" s="52">
        <v>0</v>
      </c>
      <c r="AT91" s="52">
        <v>0</v>
      </c>
      <c r="AU91" s="52">
        <v>0</v>
      </c>
      <c r="AV91" s="52">
        <v>0</v>
      </c>
      <c r="AW91" s="52">
        <v>0</v>
      </c>
      <c r="AX91" s="52">
        <v>0</v>
      </c>
      <c r="AY91" s="52">
        <v>0</v>
      </c>
      <c r="AZ91" s="52">
        <v>124.9919999999999</v>
      </c>
      <c r="BA91" s="52">
        <v>0</v>
      </c>
      <c r="BB91" s="52">
        <v>0</v>
      </c>
      <c r="BC91" s="52">
        <v>0</v>
      </c>
      <c r="BD91" s="52">
        <v>0</v>
      </c>
      <c r="BE91" s="52">
        <v>0</v>
      </c>
      <c r="BF91" s="52">
        <v>156.77000000000163</v>
      </c>
      <c r="BG91" s="52">
        <v>0</v>
      </c>
      <c r="BH91" s="52">
        <v>0</v>
      </c>
      <c r="BI91" s="52">
        <v>155.72000000000125</v>
      </c>
      <c r="BJ91" s="52">
        <v>0</v>
      </c>
      <c r="BK91" s="52">
        <v>0</v>
      </c>
      <c r="BL91" s="52">
        <v>113.93200000000036</v>
      </c>
      <c r="BM91" s="52">
        <v>0</v>
      </c>
      <c r="BN91" s="52">
        <v>0</v>
      </c>
      <c r="BO91" s="52">
        <v>113.93200000000036</v>
      </c>
      <c r="BP91" s="52">
        <v>0</v>
      </c>
      <c r="BQ91" s="52">
        <v>0</v>
      </c>
      <c r="BR91" s="52">
        <v>78.203000000000458</v>
      </c>
      <c r="BS91" s="52">
        <v>0</v>
      </c>
      <c r="BT91" s="52">
        <v>0</v>
      </c>
      <c r="BU91" s="52">
        <v>78.203000000000458</v>
      </c>
      <c r="BV91" s="52">
        <v>0</v>
      </c>
      <c r="BW91" s="52">
        <v>0</v>
      </c>
    </row>
    <row r="92" spans="1:75" x14ac:dyDescent="0.3">
      <c r="A92" s="8" t="s">
        <v>102</v>
      </c>
      <c r="B92" s="8" t="s">
        <v>9</v>
      </c>
      <c r="C92" s="8" t="s">
        <v>146</v>
      </c>
      <c r="D92" s="52">
        <v>200</v>
      </c>
      <c r="E92" s="52">
        <v>96.787034946869682</v>
      </c>
      <c r="F92" s="52">
        <v>0</v>
      </c>
      <c r="G92" s="52">
        <v>200</v>
      </c>
      <c r="H92" s="52">
        <v>3.0990000000007516</v>
      </c>
      <c r="I92" s="52">
        <v>0</v>
      </c>
      <c r="J92" s="52">
        <v>200</v>
      </c>
      <c r="K92" s="52">
        <v>136.3690000000004</v>
      </c>
      <c r="L92" s="52">
        <v>0</v>
      </c>
      <c r="M92" s="52">
        <v>200</v>
      </c>
      <c r="N92" s="52">
        <v>1.180000000000514</v>
      </c>
      <c r="O92" s="52">
        <v>0</v>
      </c>
      <c r="P92" s="52">
        <v>200</v>
      </c>
      <c r="Q92" s="52">
        <v>200</v>
      </c>
      <c r="R92" s="52">
        <v>0</v>
      </c>
      <c r="S92" s="52">
        <v>200</v>
      </c>
      <c r="T92" s="52">
        <v>47.21100000000078</v>
      </c>
      <c r="U92" s="52">
        <v>0</v>
      </c>
      <c r="V92" s="52">
        <v>200</v>
      </c>
      <c r="W92" s="52">
        <v>200</v>
      </c>
      <c r="X92" s="52">
        <v>0</v>
      </c>
      <c r="Y92" s="52">
        <v>200</v>
      </c>
      <c r="Z92" s="52">
        <v>160.30500000000015</v>
      </c>
      <c r="AA92" s="52">
        <v>0</v>
      </c>
      <c r="AB92" s="52">
        <v>200</v>
      </c>
      <c r="AC92" s="52">
        <v>200</v>
      </c>
      <c r="AD92" s="52">
        <v>0</v>
      </c>
      <c r="AE92" s="52">
        <v>156.48900000000077</v>
      </c>
      <c r="AF92" s="52">
        <v>0</v>
      </c>
      <c r="AG92" s="52">
        <v>0</v>
      </c>
      <c r="AH92" s="52">
        <v>200</v>
      </c>
      <c r="AI92" s="52">
        <v>102.298114285715</v>
      </c>
      <c r="AJ92" s="52">
        <v>0</v>
      </c>
      <c r="AK92" s="52">
        <v>200</v>
      </c>
      <c r="AL92" s="52">
        <v>102.298114285715</v>
      </c>
      <c r="AM92" s="52">
        <v>0</v>
      </c>
      <c r="AN92" s="52">
        <v>200</v>
      </c>
      <c r="AO92" s="52">
        <v>166.80776515151896</v>
      </c>
      <c r="AP92" s="52">
        <v>0</v>
      </c>
      <c r="AQ92" s="52">
        <v>200</v>
      </c>
      <c r="AR92" s="52">
        <v>0</v>
      </c>
      <c r="AS92" s="52">
        <v>0</v>
      </c>
      <c r="AT92" s="52">
        <v>0</v>
      </c>
      <c r="AU92" s="52">
        <v>0</v>
      </c>
      <c r="AV92" s="52">
        <v>0</v>
      </c>
      <c r="AW92" s="52">
        <v>0</v>
      </c>
      <c r="AX92" s="52">
        <v>0</v>
      </c>
      <c r="AY92" s="52">
        <v>0</v>
      </c>
      <c r="AZ92" s="52">
        <v>200</v>
      </c>
      <c r="BA92" s="52">
        <v>200</v>
      </c>
      <c r="BB92" s="52">
        <v>0</v>
      </c>
      <c r="BC92" s="52">
        <v>200</v>
      </c>
      <c r="BD92" s="52">
        <v>0</v>
      </c>
      <c r="BE92" s="52">
        <v>0</v>
      </c>
      <c r="BF92" s="52">
        <v>200</v>
      </c>
      <c r="BG92" s="52">
        <v>200</v>
      </c>
      <c r="BH92" s="52">
        <v>0</v>
      </c>
      <c r="BI92" s="52">
        <v>200</v>
      </c>
      <c r="BJ92" s="52">
        <v>130.16899999999842</v>
      </c>
      <c r="BK92" s="52">
        <v>0</v>
      </c>
      <c r="BL92" s="52">
        <v>200</v>
      </c>
      <c r="BM92" s="52">
        <v>114.06781161616183</v>
      </c>
      <c r="BN92" s="52">
        <v>0</v>
      </c>
      <c r="BO92" s="52">
        <v>200</v>
      </c>
      <c r="BP92" s="52">
        <v>114.06781161616183</v>
      </c>
      <c r="BQ92" s="52">
        <v>0</v>
      </c>
      <c r="BR92" s="52">
        <v>200</v>
      </c>
      <c r="BS92" s="52">
        <v>13.078271861471809</v>
      </c>
      <c r="BT92" s="52">
        <v>0</v>
      </c>
      <c r="BU92" s="52">
        <v>200</v>
      </c>
      <c r="BV92" s="52">
        <v>13.078271861471809</v>
      </c>
      <c r="BW92" s="52">
        <v>0</v>
      </c>
    </row>
    <row r="93" spans="1:75" x14ac:dyDescent="0.3">
      <c r="A93" s="8" t="s">
        <v>102</v>
      </c>
      <c r="B93" s="8" t="s">
        <v>9</v>
      </c>
      <c r="C93" s="8" t="s">
        <v>28</v>
      </c>
      <c r="D93" s="52">
        <v>200</v>
      </c>
      <c r="E93" s="52">
        <v>200</v>
      </c>
      <c r="F93" s="52">
        <v>200</v>
      </c>
      <c r="G93" s="52">
        <v>200</v>
      </c>
      <c r="H93" s="52">
        <v>200</v>
      </c>
      <c r="I93" s="52">
        <v>200</v>
      </c>
      <c r="J93" s="52">
        <v>200</v>
      </c>
      <c r="K93" s="52">
        <v>200</v>
      </c>
      <c r="L93" s="52">
        <v>200</v>
      </c>
      <c r="M93" s="52">
        <v>200</v>
      </c>
      <c r="N93" s="52">
        <v>200</v>
      </c>
      <c r="O93" s="52">
        <v>200</v>
      </c>
      <c r="P93" s="52">
        <v>200</v>
      </c>
      <c r="Q93" s="52">
        <v>200</v>
      </c>
      <c r="R93" s="52">
        <v>200</v>
      </c>
      <c r="S93" s="52">
        <v>200</v>
      </c>
      <c r="T93" s="52">
        <v>200</v>
      </c>
      <c r="U93" s="52">
        <v>200</v>
      </c>
      <c r="V93" s="52">
        <v>200</v>
      </c>
      <c r="W93" s="52">
        <v>200</v>
      </c>
      <c r="X93" s="52">
        <v>200</v>
      </c>
      <c r="Y93" s="52">
        <v>200</v>
      </c>
      <c r="Z93" s="52">
        <v>200</v>
      </c>
      <c r="AA93" s="52">
        <v>200</v>
      </c>
      <c r="AB93" s="52">
        <v>200</v>
      </c>
      <c r="AC93" s="52">
        <v>200</v>
      </c>
      <c r="AD93" s="52">
        <v>200</v>
      </c>
      <c r="AE93" s="52">
        <v>200</v>
      </c>
      <c r="AF93" s="52">
        <v>200</v>
      </c>
      <c r="AG93" s="52">
        <v>200</v>
      </c>
      <c r="AH93" s="52">
        <v>200</v>
      </c>
      <c r="AI93" s="52">
        <v>200</v>
      </c>
      <c r="AJ93" s="52">
        <v>200</v>
      </c>
      <c r="AK93" s="52">
        <v>200</v>
      </c>
      <c r="AL93" s="52">
        <v>200</v>
      </c>
      <c r="AM93" s="52">
        <v>200</v>
      </c>
      <c r="AN93" s="52">
        <v>200</v>
      </c>
      <c r="AO93" s="52">
        <v>200</v>
      </c>
      <c r="AP93" s="52">
        <v>200</v>
      </c>
      <c r="AQ93" s="52">
        <v>200</v>
      </c>
      <c r="AR93" s="52">
        <v>200</v>
      </c>
      <c r="AS93" s="52">
        <v>200</v>
      </c>
      <c r="AT93" s="52">
        <v>200</v>
      </c>
      <c r="AU93" s="52">
        <v>200</v>
      </c>
      <c r="AV93" s="52">
        <v>200</v>
      </c>
      <c r="AW93" s="52">
        <v>200</v>
      </c>
      <c r="AX93" s="52">
        <v>200</v>
      </c>
      <c r="AY93" s="52">
        <v>200</v>
      </c>
      <c r="AZ93" s="52">
        <v>200</v>
      </c>
      <c r="BA93" s="52">
        <v>200</v>
      </c>
      <c r="BB93" s="52">
        <v>200</v>
      </c>
      <c r="BC93" s="52">
        <v>200</v>
      </c>
      <c r="BD93" s="52">
        <v>200</v>
      </c>
      <c r="BE93" s="52">
        <v>200</v>
      </c>
      <c r="BF93" s="52">
        <v>200</v>
      </c>
      <c r="BG93" s="52">
        <v>200</v>
      </c>
      <c r="BH93" s="52">
        <v>200</v>
      </c>
      <c r="BI93" s="52">
        <v>200</v>
      </c>
      <c r="BJ93" s="52">
        <v>200</v>
      </c>
      <c r="BK93" s="52">
        <v>200</v>
      </c>
      <c r="BL93" s="52">
        <v>200</v>
      </c>
      <c r="BM93" s="52">
        <v>200</v>
      </c>
      <c r="BN93" s="52">
        <v>200</v>
      </c>
      <c r="BO93" s="52">
        <v>200</v>
      </c>
      <c r="BP93" s="52">
        <v>200</v>
      </c>
      <c r="BQ93" s="52">
        <v>200</v>
      </c>
      <c r="BR93" s="52">
        <v>200</v>
      </c>
      <c r="BS93" s="52">
        <v>200</v>
      </c>
      <c r="BT93" s="52">
        <v>200</v>
      </c>
      <c r="BU93" s="52">
        <v>200</v>
      </c>
      <c r="BV93" s="52">
        <v>200</v>
      </c>
      <c r="BW93" s="52">
        <v>200</v>
      </c>
    </row>
    <row r="94" spans="1:75" x14ac:dyDescent="0.3">
      <c r="A94" s="8" t="s">
        <v>102</v>
      </c>
      <c r="B94" s="8" t="s">
        <v>10</v>
      </c>
      <c r="C94" s="8" t="s">
        <v>60</v>
      </c>
      <c r="D94" s="52">
        <v>771.6</v>
      </c>
      <c r="E94" s="52">
        <v>771.6</v>
      </c>
      <c r="F94" s="52">
        <v>771.6</v>
      </c>
      <c r="G94" s="52">
        <v>771.6</v>
      </c>
      <c r="H94" s="52">
        <v>771.6</v>
      </c>
      <c r="I94" s="52">
        <v>771.6</v>
      </c>
      <c r="J94" s="52">
        <v>771.6</v>
      </c>
      <c r="K94" s="52">
        <v>771.6</v>
      </c>
      <c r="L94" s="52">
        <v>771.6</v>
      </c>
      <c r="M94" s="52">
        <v>771.6</v>
      </c>
      <c r="N94" s="52">
        <v>771.6</v>
      </c>
      <c r="O94" s="52">
        <v>771.6</v>
      </c>
      <c r="P94" s="52">
        <v>771.6</v>
      </c>
      <c r="Q94" s="52">
        <v>771.6</v>
      </c>
      <c r="R94" s="52">
        <v>771.6</v>
      </c>
      <c r="S94" s="52">
        <v>771.6</v>
      </c>
      <c r="T94" s="52">
        <v>771.6</v>
      </c>
      <c r="U94" s="52">
        <v>771.6</v>
      </c>
      <c r="V94" s="52">
        <v>771.6</v>
      </c>
      <c r="W94" s="52">
        <v>771.6</v>
      </c>
      <c r="X94" s="52">
        <v>771.6</v>
      </c>
      <c r="Y94" s="52">
        <v>771.6</v>
      </c>
      <c r="Z94" s="52">
        <v>771.6</v>
      </c>
      <c r="AA94" s="52">
        <v>771.6</v>
      </c>
      <c r="AB94" s="52">
        <v>771.6</v>
      </c>
      <c r="AC94" s="52">
        <v>771.6</v>
      </c>
      <c r="AD94" s="52">
        <v>771.6</v>
      </c>
      <c r="AE94" s="52">
        <v>771.6</v>
      </c>
      <c r="AF94" s="52">
        <v>771.6</v>
      </c>
      <c r="AG94" s="52">
        <v>771.6</v>
      </c>
      <c r="AH94" s="52">
        <v>771.6</v>
      </c>
      <c r="AI94" s="52">
        <v>771.6</v>
      </c>
      <c r="AJ94" s="52">
        <v>771.6</v>
      </c>
      <c r="AK94" s="52">
        <v>771.6</v>
      </c>
      <c r="AL94" s="52">
        <v>771.6</v>
      </c>
      <c r="AM94" s="52">
        <v>771.6</v>
      </c>
      <c r="AN94" s="52">
        <v>771.6</v>
      </c>
      <c r="AO94" s="52">
        <v>771.6</v>
      </c>
      <c r="AP94" s="52">
        <v>771.6</v>
      </c>
      <c r="AQ94" s="52">
        <v>771.6</v>
      </c>
      <c r="AR94" s="52">
        <v>771.6</v>
      </c>
      <c r="AS94" s="52">
        <v>771.6</v>
      </c>
      <c r="AT94" s="52">
        <v>771.6</v>
      </c>
      <c r="AU94" s="52">
        <v>771.6</v>
      </c>
      <c r="AV94" s="52">
        <v>771.6</v>
      </c>
      <c r="AW94" s="52">
        <v>771.6</v>
      </c>
      <c r="AX94" s="52">
        <v>771.6</v>
      </c>
      <c r="AY94" s="52">
        <v>771.6</v>
      </c>
      <c r="AZ94" s="52">
        <v>771.6</v>
      </c>
      <c r="BA94" s="52">
        <v>771.6</v>
      </c>
      <c r="BB94" s="52">
        <v>771.6</v>
      </c>
      <c r="BC94" s="52">
        <v>771.6</v>
      </c>
      <c r="BD94" s="52">
        <v>771.6</v>
      </c>
      <c r="BE94" s="52">
        <v>771.6</v>
      </c>
      <c r="BF94" s="52">
        <v>771.6</v>
      </c>
      <c r="BG94" s="52">
        <v>771.6</v>
      </c>
      <c r="BH94" s="52">
        <v>771.6</v>
      </c>
      <c r="BI94" s="52">
        <v>771.6</v>
      </c>
      <c r="BJ94" s="52">
        <v>771.6</v>
      </c>
      <c r="BK94" s="52">
        <v>771.6</v>
      </c>
      <c r="BL94" s="52">
        <v>771.6</v>
      </c>
      <c r="BM94" s="52">
        <v>771.6</v>
      </c>
      <c r="BN94" s="52">
        <v>771.6</v>
      </c>
      <c r="BO94" s="52">
        <v>771.6</v>
      </c>
      <c r="BP94" s="52">
        <v>771.6</v>
      </c>
      <c r="BQ94" s="52">
        <v>771.6</v>
      </c>
      <c r="BR94" s="52">
        <v>771.6</v>
      </c>
      <c r="BS94" s="52">
        <v>771.6</v>
      </c>
      <c r="BT94" s="52">
        <v>771.6</v>
      </c>
      <c r="BU94" s="52">
        <v>771.6</v>
      </c>
      <c r="BV94" s="52">
        <v>771.6</v>
      </c>
      <c r="BW94" s="52">
        <v>771.6</v>
      </c>
    </row>
    <row r="95" spans="1:75" x14ac:dyDescent="0.3">
      <c r="A95" s="8" t="s">
        <v>102</v>
      </c>
      <c r="B95" s="8" t="s">
        <v>10</v>
      </c>
      <c r="C95" s="8" t="s">
        <v>150</v>
      </c>
      <c r="D95" s="52">
        <v>350.77300000000025</v>
      </c>
      <c r="E95" s="52">
        <v>235.19999999999996</v>
      </c>
      <c r="F95" s="52">
        <v>235.19999999999996</v>
      </c>
      <c r="G95" s="52">
        <v>350.77300000000025</v>
      </c>
      <c r="H95" s="52">
        <v>235.19999999999996</v>
      </c>
      <c r="I95" s="52">
        <v>235.19999999999996</v>
      </c>
      <c r="J95" s="52">
        <v>235.19999999999996</v>
      </c>
      <c r="K95" s="52">
        <v>235.19999999999996</v>
      </c>
      <c r="L95" s="52">
        <v>235.19999999999996</v>
      </c>
      <c r="M95" s="52">
        <v>235.19999999999996</v>
      </c>
      <c r="N95" s="52">
        <v>235.19999999999996</v>
      </c>
      <c r="O95" s="52">
        <v>235.19999999999996</v>
      </c>
      <c r="P95" s="52">
        <v>327.66599999999949</v>
      </c>
      <c r="Q95" s="52">
        <v>235.19999999999996</v>
      </c>
      <c r="R95" s="52">
        <v>235.19999999999996</v>
      </c>
      <c r="S95" s="52">
        <v>235.19999999999996</v>
      </c>
      <c r="T95" s="52">
        <v>235.19999999999996</v>
      </c>
      <c r="U95" s="52">
        <v>235.19999999999996</v>
      </c>
      <c r="V95" s="52">
        <v>385.21900000000039</v>
      </c>
      <c r="W95" s="52">
        <v>235.19999999999996</v>
      </c>
      <c r="X95" s="52">
        <v>235.19999999999996</v>
      </c>
      <c r="Y95" s="52">
        <v>385.21900000000039</v>
      </c>
      <c r="Z95" s="52">
        <v>235.19999999999996</v>
      </c>
      <c r="AA95" s="52">
        <v>235.19999999999996</v>
      </c>
      <c r="AB95" s="52">
        <v>250.88900000000081</v>
      </c>
      <c r="AC95" s="52">
        <v>235.19999999999996</v>
      </c>
      <c r="AD95" s="52">
        <v>235.19999999999996</v>
      </c>
      <c r="AE95" s="52">
        <v>250.88900000000081</v>
      </c>
      <c r="AF95" s="52">
        <v>235.19999999999996</v>
      </c>
      <c r="AG95" s="52">
        <v>235.1999999999999</v>
      </c>
      <c r="AH95" s="52">
        <v>280.80006027846071</v>
      </c>
      <c r="AI95" s="52">
        <v>235.19999999999996</v>
      </c>
      <c r="AJ95" s="52">
        <v>235.19999999999996</v>
      </c>
      <c r="AK95" s="52">
        <v>280.80006027846071</v>
      </c>
      <c r="AL95" s="52">
        <v>235.19999999999996</v>
      </c>
      <c r="AM95" s="52">
        <v>235.19999999999996</v>
      </c>
      <c r="AN95" s="52">
        <v>305.54370462810431</v>
      </c>
      <c r="AO95" s="52">
        <v>235.19999999999996</v>
      </c>
      <c r="AP95" s="52">
        <v>235.19999999999996</v>
      </c>
      <c r="AQ95" s="52">
        <v>235.19999999999996</v>
      </c>
      <c r="AR95" s="52">
        <v>235.19999999999996</v>
      </c>
      <c r="AS95" s="52">
        <v>235.19999999999996</v>
      </c>
      <c r="AT95" s="52">
        <v>235.19999999999996</v>
      </c>
      <c r="AU95" s="52">
        <v>235.19999999999996</v>
      </c>
      <c r="AV95" s="52">
        <v>235.19999999999996</v>
      </c>
      <c r="AW95" s="52">
        <v>0</v>
      </c>
      <c r="AX95" s="52">
        <v>0</v>
      </c>
      <c r="AY95" s="52">
        <v>0</v>
      </c>
      <c r="AZ95" s="52">
        <v>235.19999999999996</v>
      </c>
      <c r="BA95" s="52">
        <v>235.19999999999996</v>
      </c>
      <c r="BB95" s="52">
        <v>235.19999999999996</v>
      </c>
      <c r="BC95" s="52">
        <v>0</v>
      </c>
      <c r="BD95" s="52">
        <v>0</v>
      </c>
      <c r="BE95" s="52">
        <v>0</v>
      </c>
      <c r="BF95" s="52">
        <v>235.19999999999996</v>
      </c>
      <c r="BG95" s="52">
        <v>235.19999999999996</v>
      </c>
      <c r="BH95" s="52">
        <v>235.19999999999996</v>
      </c>
      <c r="BI95" s="52">
        <v>235.19999999999996</v>
      </c>
      <c r="BJ95" s="52">
        <v>235.19999999999996</v>
      </c>
      <c r="BK95" s="52">
        <v>235.19999999999996</v>
      </c>
      <c r="BL95" s="52">
        <v>408.95500000000072</v>
      </c>
      <c r="BM95" s="52">
        <v>235.19999999999996</v>
      </c>
      <c r="BN95" s="52">
        <v>235.19999999999996</v>
      </c>
      <c r="BO95" s="52">
        <v>235.19999999999979</v>
      </c>
      <c r="BP95" s="52">
        <v>235.19999999999979</v>
      </c>
      <c r="BQ95" s="52">
        <v>235.19999999999979</v>
      </c>
      <c r="BR95" s="52">
        <v>313.40300000000076</v>
      </c>
      <c r="BS95" s="52">
        <v>235.19999999999996</v>
      </c>
      <c r="BT95" s="52">
        <v>235.19999999999996</v>
      </c>
      <c r="BU95" s="52">
        <v>313.40300000000076</v>
      </c>
      <c r="BV95" s="52">
        <v>235.19999999999996</v>
      </c>
      <c r="BW95" s="52">
        <v>235.19999999999996</v>
      </c>
    </row>
    <row r="96" spans="1:75" x14ac:dyDescent="0.3">
      <c r="A96" s="8" t="s">
        <v>102</v>
      </c>
      <c r="B96" s="8" t="s">
        <v>10</v>
      </c>
      <c r="C96" s="8" t="s">
        <v>61</v>
      </c>
      <c r="D96" s="52">
        <v>81.239999999999995</v>
      </c>
      <c r="E96" s="52">
        <v>81.239999999999995</v>
      </c>
      <c r="F96" s="52">
        <v>81.239999999999995</v>
      </c>
      <c r="G96" s="52">
        <v>0</v>
      </c>
      <c r="H96" s="52">
        <v>0</v>
      </c>
      <c r="I96" s="52">
        <v>0</v>
      </c>
      <c r="J96" s="52">
        <v>0</v>
      </c>
      <c r="K96" s="52">
        <v>0</v>
      </c>
      <c r="L96" s="52">
        <v>0</v>
      </c>
      <c r="M96" s="52">
        <v>0</v>
      </c>
      <c r="N96" s="52">
        <v>0</v>
      </c>
      <c r="O96" s="52">
        <v>0</v>
      </c>
      <c r="P96" s="52">
        <v>0</v>
      </c>
      <c r="Q96" s="52">
        <v>0</v>
      </c>
      <c r="R96" s="52">
        <v>0</v>
      </c>
      <c r="S96" s="52">
        <v>0</v>
      </c>
      <c r="T96" s="52">
        <v>0</v>
      </c>
      <c r="U96" s="52">
        <v>0</v>
      </c>
      <c r="V96" s="52">
        <v>0</v>
      </c>
      <c r="W96" s="52">
        <v>0</v>
      </c>
      <c r="X96" s="52">
        <v>0</v>
      </c>
      <c r="Y96" s="52">
        <v>0</v>
      </c>
      <c r="Z96" s="52">
        <v>0</v>
      </c>
      <c r="AA96" s="52">
        <v>0</v>
      </c>
      <c r="AB96" s="52">
        <v>0</v>
      </c>
      <c r="AC96" s="52">
        <v>0</v>
      </c>
      <c r="AD96" s="52">
        <v>0</v>
      </c>
      <c r="AE96" s="52">
        <v>0</v>
      </c>
      <c r="AF96" s="52">
        <v>0</v>
      </c>
      <c r="AG96" s="52">
        <v>0</v>
      </c>
      <c r="AH96" s="52">
        <v>0</v>
      </c>
      <c r="AI96" s="52">
        <v>0</v>
      </c>
      <c r="AJ96" s="52">
        <v>0</v>
      </c>
      <c r="AK96" s="52">
        <v>0</v>
      </c>
      <c r="AL96" s="52">
        <v>0</v>
      </c>
      <c r="AM96" s="52">
        <v>0</v>
      </c>
      <c r="AN96" s="52">
        <v>0</v>
      </c>
      <c r="AO96" s="52">
        <v>0</v>
      </c>
      <c r="AP96" s="52">
        <v>0</v>
      </c>
      <c r="AQ96" s="52">
        <v>0</v>
      </c>
      <c r="AR96" s="52">
        <v>0</v>
      </c>
      <c r="AS96" s="52">
        <v>0</v>
      </c>
      <c r="AT96" s="52">
        <v>203.1</v>
      </c>
      <c r="AU96" s="52">
        <v>203.1</v>
      </c>
      <c r="AV96" s="52">
        <v>81.239999999999995</v>
      </c>
      <c r="AW96" s="52">
        <v>203.1</v>
      </c>
      <c r="AX96" s="52">
        <v>99.192000000000249</v>
      </c>
      <c r="AY96" s="52">
        <v>81.239999999999995</v>
      </c>
      <c r="AZ96" s="52">
        <v>0</v>
      </c>
      <c r="BA96" s="52">
        <v>0</v>
      </c>
      <c r="BB96" s="52">
        <v>0</v>
      </c>
      <c r="BC96" s="52">
        <v>0</v>
      </c>
      <c r="BD96" s="52">
        <v>0</v>
      </c>
      <c r="BE96" s="52">
        <v>0</v>
      </c>
      <c r="BF96" s="52">
        <v>0</v>
      </c>
      <c r="BG96" s="52">
        <v>0</v>
      </c>
      <c r="BH96" s="52">
        <v>0</v>
      </c>
      <c r="BI96" s="52">
        <v>0</v>
      </c>
      <c r="BJ96" s="52">
        <v>0</v>
      </c>
      <c r="BK96" s="52">
        <v>0</v>
      </c>
      <c r="BL96" s="52">
        <v>0</v>
      </c>
      <c r="BM96" s="52">
        <v>0</v>
      </c>
      <c r="BN96" s="52">
        <v>0</v>
      </c>
      <c r="BO96" s="52">
        <v>0</v>
      </c>
      <c r="BP96" s="52">
        <v>0</v>
      </c>
      <c r="BQ96" s="52">
        <v>0</v>
      </c>
      <c r="BR96" s="52">
        <v>203.1</v>
      </c>
      <c r="BS96" s="52">
        <v>81.239999999999995</v>
      </c>
      <c r="BT96" s="52">
        <v>81.239999999999995</v>
      </c>
      <c r="BU96" s="52">
        <v>0</v>
      </c>
      <c r="BV96" s="52">
        <v>0</v>
      </c>
      <c r="BW96" s="52">
        <v>0</v>
      </c>
    </row>
    <row r="97" spans="1:75" x14ac:dyDescent="0.3">
      <c r="A97" s="8" t="s">
        <v>102</v>
      </c>
      <c r="B97" s="8" t="s">
        <v>10</v>
      </c>
      <c r="C97" s="8" t="s">
        <v>152</v>
      </c>
      <c r="D97" s="52">
        <v>143.33399999999949</v>
      </c>
      <c r="E97" s="52">
        <v>60.159999999999989</v>
      </c>
      <c r="F97" s="52">
        <v>60.159999999999989</v>
      </c>
      <c r="G97" s="52">
        <v>0</v>
      </c>
      <c r="H97" s="52">
        <v>0</v>
      </c>
      <c r="I97" s="52">
        <v>0</v>
      </c>
      <c r="J97" s="52">
        <v>0</v>
      </c>
      <c r="K97" s="52">
        <v>0</v>
      </c>
      <c r="L97" s="52">
        <v>0</v>
      </c>
      <c r="M97" s="52">
        <v>0</v>
      </c>
      <c r="N97" s="52">
        <v>0</v>
      </c>
      <c r="O97" s="52">
        <v>0</v>
      </c>
      <c r="P97" s="52">
        <v>0</v>
      </c>
      <c r="Q97" s="52">
        <v>0</v>
      </c>
      <c r="R97" s="52">
        <v>0</v>
      </c>
      <c r="S97" s="52">
        <v>0</v>
      </c>
      <c r="T97" s="52">
        <v>0</v>
      </c>
      <c r="U97" s="52">
        <v>0</v>
      </c>
      <c r="V97" s="52">
        <v>0</v>
      </c>
      <c r="W97" s="52">
        <v>0</v>
      </c>
      <c r="X97" s="52">
        <v>0</v>
      </c>
      <c r="Y97" s="52">
        <v>0</v>
      </c>
      <c r="Z97" s="52">
        <v>0</v>
      </c>
      <c r="AA97" s="52">
        <v>0</v>
      </c>
      <c r="AB97" s="52">
        <v>0</v>
      </c>
      <c r="AC97" s="52">
        <v>0</v>
      </c>
      <c r="AD97" s="52">
        <v>0</v>
      </c>
      <c r="AE97" s="52">
        <v>0</v>
      </c>
      <c r="AF97" s="52">
        <v>0</v>
      </c>
      <c r="AG97" s="52">
        <v>0</v>
      </c>
      <c r="AH97" s="52">
        <v>0</v>
      </c>
      <c r="AI97" s="52">
        <v>0</v>
      </c>
      <c r="AJ97" s="52">
        <v>0</v>
      </c>
      <c r="AK97" s="52">
        <v>0</v>
      </c>
      <c r="AL97" s="52">
        <v>0</v>
      </c>
      <c r="AM97" s="52">
        <v>0</v>
      </c>
      <c r="AN97" s="52">
        <v>0</v>
      </c>
      <c r="AO97" s="52">
        <v>0</v>
      </c>
      <c r="AP97" s="52">
        <v>0</v>
      </c>
      <c r="AQ97" s="52">
        <v>0</v>
      </c>
      <c r="AR97" s="52">
        <v>0</v>
      </c>
      <c r="AS97" s="52">
        <v>0</v>
      </c>
      <c r="AT97" s="52">
        <v>0</v>
      </c>
      <c r="AU97" s="52">
        <v>0</v>
      </c>
      <c r="AV97" s="52">
        <v>0</v>
      </c>
      <c r="AW97" s="52">
        <v>0</v>
      </c>
      <c r="AX97" s="52">
        <v>0</v>
      </c>
      <c r="AY97" s="52">
        <v>0</v>
      </c>
      <c r="AZ97" s="52">
        <v>0</v>
      </c>
      <c r="BA97" s="52">
        <v>0</v>
      </c>
      <c r="BB97" s="52">
        <v>0</v>
      </c>
      <c r="BC97" s="52">
        <v>0</v>
      </c>
      <c r="BD97" s="52">
        <v>0</v>
      </c>
      <c r="BE97" s="52">
        <v>0</v>
      </c>
      <c r="BF97" s="52">
        <v>150.4</v>
      </c>
      <c r="BG97" s="52">
        <v>150.4</v>
      </c>
      <c r="BH97" s="52">
        <v>60.159999999999989</v>
      </c>
      <c r="BI97" s="52">
        <v>0</v>
      </c>
      <c r="BJ97" s="52">
        <v>0</v>
      </c>
      <c r="BK97" s="52">
        <v>0</v>
      </c>
      <c r="BL97" s="52">
        <v>0</v>
      </c>
      <c r="BM97" s="52">
        <v>0</v>
      </c>
      <c r="BN97" s="52">
        <v>0</v>
      </c>
      <c r="BO97" s="52">
        <v>0</v>
      </c>
      <c r="BP97" s="52">
        <v>0</v>
      </c>
      <c r="BQ97" s="52">
        <v>0</v>
      </c>
      <c r="BR97" s="52">
        <v>98.334999999999482</v>
      </c>
      <c r="BS97" s="52">
        <v>60.159999999999975</v>
      </c>
      <c r="BT97" s="52">
        <v>60.159999999999975</v>
      </c>
      <c r="BU97" s="52">
        <v>0</v>
      </c>
      <c r="BV97" s="52">
        <v>0</v>
      </c>
      <c r="BW97" s="52">
        <v>0</v>
      </c>
    </row>
    <row r="98" spans="1:75" x14ac:dyDescent="0.3">
      <c r="A98" s="8" t="s">
        <v>102</v>
      </c>
      <c r="B98" s="8" t="s">
        <v>10</v>
      </c>
      <c r="C98" s="8" t="s">
        <v>151</v>
      </c>
      <c r="D98" s="52">
        <v>194.4</v>
      </c>
      <c r="E98" s="52">
        <v>77.760000000000005</v>
      </c>
      <c r="F98" s="52">
        <v>77.760000000000005</v>
      </c>
      <c r="G98" s="52">
        <v>194.4</v>
      </c>
      <c r="H98" s="52">
        <v>77.759999999999962</v>
      </c>
      <c r="I98" s="52">
        <v>77.759999999999962</v>
      </c>
      <c r="J98" s="52">
        <v>98.223000000000667</v>
      </c>
      <c r="K98" s="52">
        <v>77.760000000000005</v>
      </c>
      <c r="L98" s="52">
        <v>77.760000000000005</v>
      </c>
      <c r="M98" s="52">
        <v>0</v>
      </c>
      <c r="N98" s="52">
        <v>0</v>
      </c>
      <c r="O98" s="52">
        <v>0</v>
      </c>
      <c r="P98" s="52">
        <v>0</v>
      </c>
      <c r="Q98" s="52">
        <v>0</v>
      </c>
      <c r="R98" s="52">
        <v>0</v>
      </c>
      <c r="S98" s="52">
        <v>0</v>
      </c>
      <c r="T98" s="52">
        <v>0</v>
      </c>
      <c r="U98" s="52">
        <v>0</v>
      </c>
      <c r="V98" s="52">
        <v>77.760000000000005</v>
      </c>
      <c r="W98" s="52">
        <v>103.07100000000024</v>
      </c>
      <c r="X98" s="52">
        <v>77.760000000000005</v>
      </c>
      <c r="Y98" s="52">
        <v>0</v>
      </c>
      <c r="Z98" s="52">
        <v>0</v>
      </c>
      <c r="AA98" s="52">
        <v>0</v>
      </c>
      <c r="AB98" s="52">
        <v>143.77399999999912</v>
      </c>
      <c r="AC98" s="52">
        <v>181.54800000000003</v>
      </c>
      <c r="AD98" s="52">
        <v>77.760000000000005</v>
      </c>
      <c r="AE98" s="52">
        <v>0</v>
      </c>
      <c r="AF98" s="52">
        <v>0</v>
      </c>
      <c r="AG98" s="52">
        <v>0</v>
      </c>
      <c r="AH98" s="52">
        <v>194.4</v>
      </c>
      <c r="AI98" s="52">
        <v>194.4</v>
      </c>
      <c r="AJ98" s="52">
        <v>77.760000000000005</v>
      </c>
      <c r="AK98" s="52">
        <v>194.4</v>
      </c>
      <c r="AL98" s="52">
        <v>194.4</v>
      </c>
      <c r="AM98" s="52">
        <v>77.760000000000005</v>
      </c>
      <c r="AN98" s="52">
        <v>194.4</v>
      </c>
      <c r="AO98" s="52">
        <v>173.23879545454622</v>
      </c>
      <c r="AP98" s="52">
        <v>77.759999999999977</v>
      </c>
      <c r="AQ98" s="52">
        <v>0</v>
      </c>
      <c r="AR98" s="52">
        <v>0</v>
      </c>
      <c r="AS98" s="52">
        <v>0</v>
      </c>
      <c r="AT98" s="52">
        <v>0</v>
      </c>
      <c r="AU98" s="52">
        <v>0</v>
      </c>
      <c r="AV98" s="52">
        <v>0</v>
      </c>
      <c r="AW98" s="52">
        <v>0</v>
      </c>
      <c r="AX98" s="52">
        <v>0</v>
      </c>
      <c r="AY98" s="52">
        <v>0</v>
      </c>
      <c r="AZ98" s="52">
        <v>0</v>
      </c>
      <c r="BA98" s="52">
        <v>0</v>
      </c>
      <c r="BB98" s="52">
        <v>0</v>
      </c>
      <c r="BC98" s="52">
        <v>0</v>
      </c>
      <c r="BD98" s="52">
        <v>0</v>
      </c>
      <c r="BE98" s="52">
        <v>0</v>
      </c>
      <c r="BF98" s="52">
        <v>194.4</v>
      </c>
      <c r="BG98" s="52">
        <v>194.4</v>
      </c>
      <c r="BH98" s="52">
        <v>77.760000000000005</v>
      </c>
      <c r="BI98" s="52">
        <v>194.4</v>
      </c>
      <c r="BJ98" s="52">
        <v>148.14000000000004</v>
      </c>
      <c r="BK98" s="52">
        <v>77.759999999999977</v>
      </c>
      <c r="BL98" s="52">
        <v>0</v>
      </c>
      <c r="BM98" s="52">
        <v>0</v>
      </c>
      <c r="BN98" s="52">
        <v>0</v>
      </c>
      <c r="BO98" s="52">
        <v>0</v>
      </c>
      <c r="BP98" s="52">
        <v>0</v>
      </c>
      <c r="BQ98" s="52">
        <v>0</v>
      </c>
      <c r="BR98" s="52">
        <v>194.4</v>
      </c>
      <c r="BS98" s="52">
        <v>77.760000000000005</v>
      </c>
      <c r="BT98" s="52">
        <v>77.760000000000005</v>
      </c>
      <c r="BU98" s="52">
        <v>194.4</v>
      </c>
      <c r="BV98" s="52">
        <v>77.759999999999962</v>
      </c>
      <c r="BW98" s="52">
        <v>77.759999999999962</v>
      </c>
    </row>
    <row r="99" spans="1:75" x14ac:dyDescent="0.3">
      <c r="A99" s="8" t="s">
        <v>102</v>
      </c>
      <c r="B99" s="8" t="s">
        <v>10</v>
      </c>
      <c r="C99" s="8" t="s">
        <v>62</v>
      </c>
      <c r="D99" s="52">
        <v>500</v>
      </c>
      <c r="E99" s="52">
        <v>500</v>
      </c>
      <c r="F99" s="52">
        <v>500</v>
      </c>
      <c r="G99" s="52">
        <v>500</v>
      </c>
      <c r="H99" s="52">
        <v>500</v>
      </c>
      <c r="I99" s="52">
        <v>500</v>
      </c>
      <c r="J99" s="52">
        <v>500</v>
      </c>
      <c r="K99" s="52">
        <v>500</v>
      </c>
      <c r="L99" s="52">
        <v>500</v>
      </c>
      <c r="M99" s="52">
        <v>500</v>
      </c>
      <c r="N99" s="52">
        <v>500</v>
      </c>
      <c r="O99" s="52">
        <v>500</v>
      </c>
      <c r="P99" s="52">
        <v>500</v>
      </c>
      <c r="Q99" s="52">
        <v>500</v>
      </c>
      <c r="R99" s="52">
        <v>500</v>
      </c>
      <c r="S99" s="52">
        <v>500</v>
      </c>
      <c r="T99" s="52">
        <v>500</v>
      </c>
      <c r="U99" s="52">
        <v>473.42000000000195</v>
      </c>
      <c r="V99" s="52">
        <v>500</v>
      </c>
      <c r="W99" s="52">
        <v>500</v>
      </c>
      <c r="X99" s="52">
        <v>500</v>
      </c>
      <c r="Y99" s="52">
        <v>500</v>
      </c>
      <c r="Z99" s="52">
        <v>500</v>
      </c>
      <c r="AA99" s="52">
        <v>500</v>
      </c>
      <c r="AB99" s="52">
        <v>500</v>
      </c>
      <c r="AC99" s="52">
        <v>500</v>
      </c>
      <c r="AD99" s="52">
        <v>500</v>
      </c>
      <c r="AE99" s="52">
        <v>500</v>
      </c>
      <c r="AF99" s="52">
        <v>500</v>
      </c>
      <c r="AG99" s="52">
        <v>500</v>
      </c>
      <c r="AH99" s="52">
        <v>500</v>
      </c>
      <c r="AI99" s="52">
        <v>500</v>
      </c>
      <c r="AJ99" s="52">
        <v>500</v>
      </c>
      <c r="AK99" s="52">
        <v>500</v>
      </c>
      <c r="AL99" s="52">
        <v>500</v>
      </c>
      <c r="AM99" s="52">
        <v>500</v>
      </c>
      <c r="AN99" s="52">
        <v>500</v>
      </c>
      <c r="AO99" s="52">
        <v>500</v>
      </c>
      <c r="AP99" s="52">
        <v>500</v>
      </c>
      <c r="AQ99" s="52">
        <v>500</v>
      </c>
      <c r="AR99" s="52">
        <v>500</v>
      </c>
      <c r="AS99" s="52">
        <v>500</v>
      </c>
      <c r="AT99" s="52">
        <v>500</v>
      </c>
      <c r="AU99" s="52">
        <v>500</v>
      </c>
      <c r="AV99" s="52">
        <v>500</v>
      </c>
      <c r="AW99" s="52">
        <v>500</v>
      </c>
      <c r="AX99" s="52">
        <v>500</v>
      </c>
      <c r="AY99" s="52">
        <v>500</v>
      </c>
      <c r="AZ99" s="52">
        <v>500</v>
      </c>
      <c r="BA99" s="52">
        <v>500</v>
      </c>
      <c r="BB99" s="52">
        <v>500</v>
      </c>
      <c r="BC99" s="52">
        <v>500</v>
      </c>
      <c r="BD99" s="52">
        <v>500</v>
      </c>
      <c r="BE99" s="52">
        <v>500</v>
      </c>
      <c r="BF99" s="52">
        <v>500</v>
      </c>
      <c r="BG99" s="52">
        <v>500</v>
      </c>
      <c r="BH99" s="52">
        <v>453.79228318584114</v>
      </c>
      <c r="BI99" s="52">
        <v>500</v>
      </c>
      <c r="BJ99" s="52">
        <v>500</v>
      </c>
      <c r="BK99" s="52">
        <v>453.79228318584114</v>
      </c>
      <c r="BL99" s="52">
        <v>500</v>
      </c>
      <c r="BM99" s="52">
        <v>500</v>
      </c>
      <c r="BN99" s="52">
        <v>500</v>
      </c>
      <c r="BO99" s="52">
        <v>500</v>
      </c>
      <c r="BP99" s="52">
        <v>500</v>
      </c>
      <c r="BQ99" s="52">
        <v>487.76200000000136</v>
      </c>
      <c r="BR99" s="52">
        <v>500</v>
      </c>
      <c r="BS99" s="52">
        <v>500</v>
      </c>
      <c r="BT99" s="52">
        <v>400.07400000000138</v>
      </c>
      <c r="BU99" s="52">
        <v>500</v>
      </c>
      <c r="BV99" s="52">
        <v>500</v>
      </c>
      <c r="BW99" s="52">
        <v>243.43300000000076</v>
      </c>
    </row>
    <row r="100" spans="1:75" x14ac:dyDescent="0.3">
      <c r="A100" s="8" t="s">
        <v>102</v>
      </c>
      <c r="B100" s="8" t="s">
        <v>10</v>
      </c>
      <c r="C100" s="8" t="s">
        <v>63</v>
      </c>
      <c r="D100" s="52">
        <v>500</v>
      </c>
      <c r="E100" s="52">
        <v>500</v>
      </c>
      <c r="F100" s="52">
        <v>100</v>
      </c>
      <c r="G100" s="52">
        <v>500</v>
      </c>
      <c r="H100" s="52">
        <v>419.73900000000117</v>
      </c>
      <c r="I100" s="52">
        <v>100</v>
      </c>
      <c r="J100" s="52">
        <v>500</v>
      </c>
      <c r="K100" s="52">
        <v>500</v>
      </c>
      <c r="L100" s="52">
        <v>100</v>
      </c>
      <c r="M100" s="52">
        <v>500</v>
      </c>
      <c r="N100" s="52">
        <v>495.58000000000055</v>
      </c>
      <c r="O100" s="52">
        <v>100</v>
      </c>
      <c r="P100" s="52">
        <v>500</v>
      </c>
      <c r="Q100" s="52">
        <v>500</v>
      </c>
      <c r="R100" s="52">
        <v>100</v>
      </c>
      <c r="S100" s="52">
        <v>500</v>
      </c>
      <c r="T100" s="52">
        <v>347.21100000000126</v>
      </c>
      <c r="U100" s="52">
        <v>100</v>
      </c>
      <c r="V100" s="52">
        <v>437.44099999999872</v>
      </c>
      <c r="W100" s="52">
        <v>500</v>
      </c>
      <c r="X100" s="52">
        <v>100</v>
      </c>
      <c r="Y100" s="52">
        <v>0</v>
      </c>
      <c r="Z100" s="52">
        <v>0</v>
      </c>
      <c r="AA100" s="52">
        <v>0</v>
      </c>
      <c r="AB100" s="52">
        <v>500</v>
      </c>
      <c r="AC100" s="52">
        <v>500</v>
      </c>
      <c r="AD100" s="52">
        <v>100</v>
      </c>
      <c r="AE100" s="52">
        <v>0</v>
      </c>
      <c r="AF100" s="52">
        <v>0</v>
      </c>
      <c r="AG100" s="52">
        <v>0</v>
      </c>
      <c r="AH100" s="52">
        <v>500</v>
      </c>
      <c r="AI100" s="52">
        <v>500</v>
      </c>
      <c r="AJ100" s="52">
        <v>100</v>
      </c>
      <c r="AK100" s="52">
        <v>0</v>
      </c>
      <c r="AL100" s="52">
        <v>0</v>
      </c>
      <c r="AM100" s="52">
        <v>0</v>
      </c>
      <c r="AN100" s="52">
        <v>500</v>
      </c>
      <c r="AO100" s="52">
        <v>500</v>
      </c>
      <c r="AP100" s="52">
        <v>166.53700000000003</v>
      </c>
      <c r="AQ100" s="52">
        <v>500</v>
      </c>
      <c r="AR100" s="52">
        <v>500</v>
      </c>
      <c r="AS100" s="52">
        <v>166.53700000000003</v>
      </c>
      <c r="AT100" s="52">
        <v>500</v>
      </c>
      <c r="AU100" s="52">
        <v>500</v>
      </c>
      <c r="AV100" s="52">
        <v>170.42854025974299</v>
      </c>
      <c r="AW100" s="52">
        <v>500</v>
      </c>
      <c r="AX100" s="52">
        <v>500</v>
      </c>
      <c r="AY100" s="52">
        <v>170.42854025974299</v>
      </c>
      <c r="AZ100" s="52">
        <v>500</v>
      </c>
      <c r="BA100" s="52">
        <v>500</v>
      </c>
      <c r="BB100" s="52">
        <v>343.76381818181858</v>
      </c>
      <c r="BC100" s="52">
        <v>500</v>
      </c>
      <c r="BD100" s="52">
        <v>500</v>
      </c>
      <c r="BE100" s="52">
        <v>343.76381818181858</v>
      </c>
      <c r="BF100" s="52">
        <v>500</v>
      </c>
      <c r="BG100" s="52">
        <v>500</v>
      </c>
      <c r="BH100" s="52">
        <v>100</v>
      </c>
      <c r="BI100" s="52">
        <v>0</v>
      </c>
      <c r="BJ100" s="52">
        <v>0</v>
      </c>
      <c r="BK100" s="52">
        <v>0</v>
      </c>
      <c r="BL100" s="52">
        <v>500</v>
      </c>
      <c r="BM100" s="52">
        <v>500</v>
      </c>
      <c r="BN100" s="52">
        <v>100.65965677180149</v>
      </c>
      <c r="BO100" s="52">
        <v>500</v>
      </c>
      <c r="BP100" s="52">
        <v>500</v>
      </c>
      <c r="BQ100" s="52">
        <v>100</v>
      </c>
      <c r="BR100" s="52">
        <v>500</v>
      </c>
      <c r="BS100" s="52">
        <v>500</v>
      </c>
      <c r="BT100" s="52">
        <v>100</v>
      </c>
      <c r="BU100" s="52">
        <v>500</v>
      </c>
      <c r="BV100" s="52">
        <v>396.71107032967058</v>
      </c>
      <c r="BW100" s="52">
        <v>100</v>
      </c>
    </row>
    <row r="101" spans="1:75" x14ac:dyDescent="0.3">
      <c r="A101" s="8" t="s">
        <v>102</v>
      </c>
      <c r="B101" s="8" t="s">
        <v>10</v>
      </c>
      <c r="C101" s="8" t="s">
        <v>64</v>
      </c>
      <c r="D101" s="52">
        <v>500</v>
      </c>
      <c r="E101" s="52">
        <v>500</v>
      </c>
      <c r="F101" s="52">
        <v>100</v>
      </c>
      <c r="G101" s="52">
        <v>0</v>
      </c>
      <c r="H101" s="52">
        <v>0</v>
      </c>
      <c r="I101" s="52">
        <v>0</v>
      </c>
      <c r="J101" s="52">
        <v>500</v>
      </c>
      <c r="K101" s="52">
        <v>473.46637466666755</v>
      </c>
      <c r="L101" s="52">
        <v>100</v>
      </c>
      <c r="M101" s="52">
        <v>0</v>
      </c>
      <c r="N101" s="52">
        <v>0</v>
      </c>
      <c r="O101" s="52">
        <v>0</v>
      </c>
      <c r="P101" s="52">
        <v>500</v>
      </c>
      <c r="Q101" s="52">
        <v>500</v>
      </c>
      <c r="R101" s="52">
        <v>100</v>
      </c>
      <c r="S101" s="52">
        <v>0</v>
      </c>
      <c r="T101" s="52">
        <v>0</v>
      </c>
      <c r="U101" s="52">
        <v>0</v>
      </c>
      <c r="V101" s="52">
        <v>0</v>
      </c>
      <c r="W101" s="52">
        <v>0</v>
      </c>
      <c r="X101" s="52">
        <v>0</v>
      </c>
      <c r="Y101" s="52">
        <v>0</v>
      </c>
      <c r="Z101" s="52">
        <v>0</v>
      </c>
      <c r="AA101" s="52">
        <v>0</v>
      </c>
      <c r="AB101" s="52">
        <v>0</v>
      </c>
      <c r="AC101" s="52">
        <v>0</v>
      </c>
      <c r="AD101" s="52">
        <v>0</v>
      </c>
      <c r="AE101" s="52">
        <v>0</v>
      </c>
      <c r="AF101" s="52">
        <v>0</v>
      </c>
      <c r="AG101" s="52">
        <v>0</v>
      </c>
      <c r="AH101" s="52">
        <v>310.22199999999964</v>
      </c>
      <c r="AI101" s="52">
        <v>251.64200000000014</v>
      </c>
      <c r="AJ101" s="52">
        <v>100</v>
      </c>
      <c r="AK101" s="52">
        <v>0</v>
      </c>
      <c r="AL101" s="52">
        <v>0</v>
      </c>
      <c r="AM101" s="52">
        <v>0</v>
      </c>
      <c r="AN101" s="52">
        <v>500</v>
      </c>
      <c r="AO101" s="52">
        <v>500</v>
      </c>
      <c r="AP101" s="52">
        <v>100</v>
      </c>
      <c r="AQ101" s="52">
        <v>0</v>
      </c>
      <c r="AR101" s="52">
        <v>0</v>
      </c>
      <c r="AS101" s="52">
        <v>0</v>
      </c>
      <c r="AT101" s="52">
        <v>0</v>
      </c>
      <c r="AU101" s="52">
        <v>0</v>
      </c>
      <c r="AV101" s="52">
        <v>0</v>
      </c>
      <c r="AW101" s="52">
        <v>0</v>
      </c>
      <c r="AX101" s="52">
        <v>0</v>
      </c>
      <c r="AY101" s="52">
        <v>0</v>
      </c>
      <c r="AZ101" s="52">
        <v>500</v>
      </c>
      <c r="BA101" s="52">
        <v>500</v>
      </c>
      <c r="BB101" s="52">
        <v>100</v>
      </c>
      <c r="BC101" s="52">
        <v>0</v>
      </c>
      <c r="BD101" s="52">
        <v>0</v>
      </c>
      <c r="BE101" s="52">
        <v>0</v>
      </c>
      <c r="BF101" s="52">
        <v>0</v>
      </c>
      <c r="BG101" s="52">
        <v>0</v>
      </c>
      <c r="BH101" s="52">
        <v>0</v>
      </c>
      <c r="BI101" s="52">
        <v>0</v>
      </c>
      <c r="BJ101" s="52">
        <v>0</v>
      </c>
      <c r="BK101" s="52">
        <v>0</v>
      </c>
      <c r="BL101" s="52">
        <v>500</v>
      </c>
      <c r="BM101" s="52">
        <v>476.22704761904748</v>
      </c>
      <c r="BN101" s="52">
        <v>100</v>
      </c>
      <c r="BO101" s="52">
        <v>0</v>
      </c>
      <c r="BP101" s="52">
        <v>0</v>
      </c>
      <c r="BQ101" s="52">
        <v>0</v>
      </c>
      <c r="BR101" s="52">
        <v>500</v>
      </c>
      <c r="BS101" s="52">
        <v>401.89299999999974</v>
      </c>
      <c r="BT101" s="52">
        <v>100</v>
      </c>
      <c r="BU101" s="52">
        <v>0</v>
      </c>
      <c r="BV101" s="52">
        <v>0</v>
      </c>
      <c r="BW101" s="52">
        <v>0</v>
      </c>
    </row>
    <row r="102" spans="1:75" x14ac:dyDescent="0.3">
      <c r="A102" s="8" t="s">
        <v>102</v>
      </c>
      <c r="B102" s="8" t="s">
        <v>10</v>
      </c>
      <c r="C102" s="8" t="s">
        <v>65</v>
      </c>
      <c r="D102" s="52">
        <v>667.5</v>
      </c>
      <c r="E102" s="52">
        <v>667.5</v>
      </c>
      <c r="F102" s="52">
        <v>667.5</v>
      </c>
      <c r="G102" s="52">
        <v>667.5</v>
      </c>
      <c r="H102" s="52">
        <v>667.5</v>
      </c>
      <c r="I102" s="52">
        <v>667.5</v>
      </c>
      <c r="J102" s="52">
        <v>667.5</v>
      </c>
      <c r="K102" s="52">
        <v>667.5</v>
      </c>
      <c r="L102" s="52">
        <v>667.5</v>
      </c>
      <c r="M102" s="52">
        <v>667.5</v>
      </c>
      <c r="N102" s="52">
        <v>667.5</v>
      </c>
      <c r="O102" s="52">
        <v>667.5</v>
      </c>
      <c r="P102" s="52">
        <v>667.5</v>
      </c>
      <c r="Q102" s="52">
        <v>667.5</v>
      </c>
      <c r="R102" s="52">
        <v>667.5</v>
      </c>
      <c r="S102" s="52">
        <v>667.5</v>
      </c>
      <c r="T102" s="52">
        <v>667.5</v>
      </c>
      <c r="U102" s="52">
        <v>667.5</v>
      </c>
      <c r="V102" s="52">
        <v>667.5</v>
      </c>
      <c r="W102" s="52">
        <v>667.5</v>
      </c>
      <c r="X102" s="52">
        <v>667.5</v>
      </c>
      <c r="Y102" s="52">
        <v>667.5</v>
      </c>
      <c r="Z102" s="52">
        <v>667.5</v>
      </c>
      <c r="AA102" s="52">
        <v>667.5</v>
      </c>
      <c r="AB102" s="52">
        <v>667.5</v>
      </c>
      <c r="AC102" s="52">
        <v>667.5</v>
      </c>
      <c r="AD102" s="52">
        <v>667.5</v>
      </c>
      <c r="AE102" s="52">
        <v>667.5</v>
      </c>
      <c r="AF102" s="52">
        <v>667.5</v>
      </c>
      <c r="AG102" s="52">
        <v>667.5</v>
      </c>
      <c r="AH102" s="52">
        <v>667.5</v>
      </c>
      <c r="AI102" s="52">
        <v>667.5</v>
      </c>
      <c r="AJ102" s="52">
        <v>667.5</v>
      </c>
      <c r="AK102" s="52">
        <v>667.5</v>
      </c>
      <c r="AL102" s="52">
        <v>667.5</v>
      </c>
      <c r="AM102" s="52">
        <v>667.5</v>
      </c>
      <c r="AN102" s="52">
        <v>667.5</v>
      </c>
      <c r="AO102" s="52">
        <v>667.5</v>
      </c>
      <c r="AP102" s="52">
        <v>667.5</v>
      </c>
      <c r="AQ102" s="52">
        <v>667.5</v>
      </c>
      <c r="AR102" s="52">
        <v>667.5</v>
      </c>
      <c r="AS102" s="52">
        <v>667.5</v>
      </c>
      <c r="AT102" s="52">
        <v>667.5</v>
      </c>
      <c r="AU102" s="52">
        <v>667.5</v>
      </c>
      <c r="AV102" s="52">
        <v>667.5</v>
      </c>
      <c r="AW102" s="52">
        <v>667.5</v>
      </c>
      <c r="AX102" s="52">
        <v>667.5</v>
      </c>
      <c r="AY102" s="52">
        <v>667.5</v>
      </c>
      <c r="AZ102" s="52">
        <v>667.5</v>
      </c>
      <c r="BA102" s="52">
        <v>667.5</v>
      </c>
      <c r="BB102" s="52">
        <v>667.5</v>
      </c>
      <c r="BC102" s="52">
        <v>667.5</v>
      </c>
      <c r="BD102" s="52">
        <v>667.5</v>
      </c>
      <c r="BE102" s="52">
        <v>667.5</v>
      </c>
      <c r="BF102" s="52">
        <v>667.5</v>
      </c>
      <c r="BG102" s="52">
        <v>667.5</v>
      </c>
      <c r="BH102" s="52">
        <v>667.5</v>
      </c>
      <c r="BI102" s="52">
        <v>667.5</v>
      </c>
      <c r="BJ102" s="52">
        <v>667.5</v>
      </c>
      <c r="BK102" s="52">
        <v>667.5</v>
      </c>
      <c r="BL102" s="52">
        <v>667.5</v>
      </c>
      <c r="BM102" s="52">
        <v>667.5</v>
      </c>
      <c r="BN102" s="52">
        <v>667.5</v>
      </c>
      <c r="BO102" s="52">
        <v>667.5</v>
      </c>
      <c r="BP102" s="52">
        <v>667.5</v>
      </c>
      <c r="BQ102" s="52">
        <v>667.5</v>
      </c>
      <c r="BR102" s="52">
        <v>667.5</v>
      </c>
      <c r="BS102" s="52">
        <v>667.5</v>
      </c>
      <c r="BT102" s="52">
        <v>667.5</v>
      </c>
      <c r="BU102" s="52">
        <v>667.5</v>
      </c>
      <c r="BV102" s="52">
        <v>667.5</v>
      </c>
      <c r="BW102" s="52">
        <v>667.5</v>
      </c>
    </row>
    <row r="103" spans="1:75" x14ac:dyDescent="0.3">
      <c r="A103" s="8" t="s">
        <v>102</v>
      </c>
      <c r="B103" s="8" t="s">
        <v>10</v>
      </c>
      <c r="C103" s="8" t="s">
        <v>66</v>
      </c>
      <c r="D103" s="52">
        <v>0</v>
      </c>
      <c r="E103" s="52">
        <v>0</v>
      </c>
      <c r="F103" s="52">
        <v>0</v>
      </c>
      <c r="G103" s="52">
        <v>0</v>
      </c>
      <c r="H103" s="52">
        <v>0</v>
      </c>
      <c r="I103" s="52">
        <v>0</v>
      </c>
      <c r="J103" s="52">
        <v>0</v>
      </c>
      <c r="K103" s="52">
        <v>0</v>
      </c>
      <c r="L103" s="52">
        <v>0</v>
      </c>
      <c r="M103" s="52">
        <v>0</v>
      </c>
      <c r="N103" s="52">
        <v>0</v>
      </c>
      <c r="O103" s="52">
        <v>0</v>
      </c>
      <c r="P103" s="52">
        <v>0</v>
      </c>
      <c r="Q103" s="52">
        <v>0</v>
      </c>
      <c r="R103" s="52">
        <v>0</v>
      </c>
      <c r="S103" s="52">
        <v>0</v>
      </c>
      <c r="T103" s="52">
        <v>0</v>
      </c>
      <c r="U103" s="52">
        <v>0</v>
      </c>
      <c r="V103" s="52">
        <v>0</v>
      </c>
      <c r="W103" s="52">
        <v>0</v>
      </c>
      <c r="X103" s="52">
        <v>0</v>
      </c>
      <c r="Y103" s="52">
        <v>0</v>
      </c>
      <c r="Z103" s="52">
        <v>0</v>
      </c>
      <c r="AA103" s="52">
        <v>0</v>
      </c>
      <c r="AB103" s="52">
        <v>0</v>
      </c>
      <c r="AC103" s="52">
        <v>0</v>
      </c>
      <c r="AD103" s="52">
        <v>0</v>
      </c>
      <c r="AE103" s="52">
        <v>0</v>
      </c>
      <c r="AF103" s="52">
        <v>0</v>
      </c>
      <c r="AG103" s="52">
        <v>0</v>
      </c>
      <c r="AH103" s="52">
        <v>0</v>
      </c>
      <c r="AI103" s="52">
        <v>0</v>
      </c>
      <c r="AJ103" s="52">
        <v>0</v>
      </c>
      <c r="AK103" s="52">
        <v>0</v>
      </c>
      <c r="AL103" s="52">
        <v>0</v>
      </c>
      <c r="AM103" s="52">
        <v>0</v>
      </c>
      <c r="AN103" s="52">
        <v>0</v>
      </c>
      <c r="AO103" s="52">
        <v>0</v>
      </c>
      <c r="AP103" s="52">
        <v>0</v>
      </c>
      <c r="AQ103" s="52">
        <v>0</v>
      </c>
      <c r="AR103" s="52">
        <v>0</v>
      </c>
      <c r="AS103" s="52">
        <v>0</v>
      </c>
      <c r="AT103" s="52">
        <v>0</v>
      </c>
      <c r="AU103" s="52">
        <v>0</v>
      </c>
      <c r="AV103" s="52">
        <v>0</v>
      </c>
      <c r="AW103" s="52">
        <v>0</v>
      </c>
      <c r="AX103" s="52">
        <v>0</v>
      </c>
      <c r="AY103" s="52">
        <v>0</v>
      </c>
      <c r="AZ103" s="52">
        <v>0</v>
      </c>
      <c r="BA103" s="52">
        <v>0</v>
      </c>
      <c r="BB103" s="52">
        <v>0</v>
      </c>
      <c r="BC103" s="52">
        <v>0</v>
      </c>
      <c r="BD103" s="52">
        <v>0</v>
      </c>
      <c r="BE103" s="52">
        <v>0</v>
      </c>
      <c r="BF103" s="52">
        <v>0</v>
      </c>
      <c r="BG103" s="52">
        <v>0</v>
      </c>
      <c r="BH103" s="52">
        <v>0</v>
      </c>
      <c r="BI103" s="52">
        <v>0</v>
      </c>
      <c r="BJ103" s="52">
        <v>0</v>
      </c>
      <c r="BK103" s="52">
        <v>0</v>
      </c>
      <c r="BL103" s="52">
        <v>0</v>
      </c>
      <c r="BM103" s="52">
        <v>0</v>
      </c>
      <c r="BN103" s="52">
        <v>0</v>
      </c>
      <c r="BO103" s="52">
        <v>0</v>
      </c>
      <c r="BP103" s="52">
        <v>0</v>
      </c>
      <c r="BQ103" s="52">
        <v>0</v>
      </c>
      <c r="BR103" s="52">
        <v>0</v>
      </c>
      <c r="BS103" s="52">
        <v>0</v>
      </c>
      <c r="BT103" s="52">
        <v>0</v>
      </c>
      <c r="BU103" s="52">
        <v>0</v>
      </c>
      <c r="BV103" s="52">
        <v>0</v>
      </c>
      <c r="BW103" s="52">
        <v>0</v>
      </c>
    </row>
    <row r="104" spans="1:75" x14ac:dyDescent="0.3">
      <c r="A104" s="8" t="s">
        <v>102</v>
      </c>
      <c r="B104" s="8" t="s">
        <v>10</v>
      </c>
      <c r="C104" s="8" t="s">
        <v>67</v>
      </c>
      <c r="D104" s="52">
        <v>0</v>
      </c>
      <c r="E104" s="52">
        <v>0</v>
      </c>
      <c r="F104" s="52">
        <v>0</v>
      </c>
      <c r="G104" s="52">
        <v>0</v>
      </c>
      <c r="H104" s="52">
        <v>0</v>
      </c>
      <c r="I104" s="52">
        <v>0</v>
      </c>
      <c r="J104" s="52">
        <v>0</v>
      </c>
      <c r="K104" s="52">
        <v>0</v>
      </c>
      <c r="L104" s="52">
        <v>0</v>
      </c>
      <c r="M104" s="52">
        <v>0</v>
      </c>
      <c r="N104" s="52">
        <v>0</v>
      </c>
      <c r="O104" s="52">
        <v>0</v>
      </c>
      <c r="P104" s="52">
        <v>0</v>
      </c>
      <c r="Q104" s="52">
        <v>0</v>
      </c>
      <c r="R104" s="52">
        <v>0</v>
      </c>
      <c r="S104" s="52">
        <v>0</v>
      </c>
      <c r="T104" s="52">
        <v>0</v>
      </c>
      <c r="U104" s="52">
        <v>0</v>
      </c>
      <c r="V104" s="52">
        <v>0</v>
      </c>
      <c r="W104" s="52">
        <v>0</v>
      </c>
      <c r="X104" s="52">
        <v>0</v>
      </c>
      <c r="Y104" s="52">
        <v>0</v>
      </c>
      <c r="Z104" s="52">
        <v>0</v>
      </c>
      <c r="AA104" s="52">
        <v>0</v>
      </c>
      <c r="AB104" s="52">
        <v>0</v>
      </c>
      <c r="AC104" s="52">
        <v>0</v>
      </c>
      <c r="AD104" s="52">
        <v>0</v>
      </c>
      <c r="AE104" s="52">
        <v>0</v>
      </c>
      <c r="AF104" s="52">
        <v>0</v>
      </c>
      <c r="AG104" s="52">
        <v>0</v>
      </c>
      <c r="AH104" s="52">
        <v>0</v>
      </c>
      <c r="AI104" s="52">
        <v>0</v>
      </c>
      <c r="AJ104" s="52">
        <v>0</v>
      </c>
      <c r="AK104" s="52">
        <v>0</v>
      </c>
      <c r="AL104" s="52">
        <v>0</v>
      </c>
      <c r="AM104" s="52">
        <v>0</v>
      </c>
      <c r="AN104" s="52">
        <v>0</v>
      </c>
      <c r="AO104" s="52">
        <v>0</v>
      </c>
      <c r="AP104" s="52">
        <v>0</v>
      </c>
      <c r="AQ104" s="52">
        <v>0</v>
      </c>
      <c r="AR104" s="52">
        <v>0</v>
      </c>
      <c r="AS104" s="52">
        <v>0</v>
      </c>
      <c r="AT104" s="52">
        <v>0</v>
      </c>
      <c r="AU104" s="52">
        <v>0</v>
      </c>
      <c r="AV104" s="52">
        <v>0</v>
      </c>
      <c r="AW104" s="52">
        <v>0</v>
      </c>
      <c r="AX104" s="52">
        <v>0</v>
      </c>
      <c r="AY104" s="52">
        <v>0</v>
      </c>
      <c r="AZ104" s="52">
        <v>0</v>
      </c>
      <c r="BA104" s="52">
        <v>0</v>
      </c>
      <c r="BB104" s="52">
        <v>0</v>
      </c>
      <c r="BC104" s="52">
        <v>0</v>
      </c>
      <c r="BD104" s="52">
        <v>0</v>
      </c>
      <c r="BE104" s="52">
        <v>0</v>
      </c>
      <c r="BF104" s="52">
        <v>0</v>
      </c>
      <c r="BG104" s="52">
        <v>0</v>
      </c>
      <c r="BH104" s="52">
        <v>0</v>
      </c>
      <c r="BI104" s="52">
        <v>0</v>
      </c>
      <c r="BJ104" s="52">
        <v>0</v>
      </c>
      <c r="BK104" s="52">
        <v>0</v>
      </c>
      <c r="BL104" s="52">
        <v>0</v>
      </c>
      <c r="BM104" s="52">
        <v>0</v>
      </c>
      <c r="BN104" s="52">
        <v>0</v>
      </c>
      <c r="BO104" s="52">
        <v>0</v>
      </c>
      <c r="BP104" s="52">
        <v>0</v>
      </c>
      <c r="BQ104" s="52">
        <v>0</v>
      </c>
      <c r="BR104" s="52">
        <v>0</v>
      </c>
      <c r="BS104" s="52">
        <v>0</v>
      </c>
      <c r="BT104" s="52">
        <v>0</v>
      </c>
      <c r="BU104" s="52">
        <v>0</v>
      </c>
      <c r="BV104" s="52">
        <v>0</v>
      </c>
      <c r="BW104" s="52">
        <v>0</v>
      </c>
    </row>
    <row r="105" spans="1:75" x14ac:dyDescent="0.3">
      <c r="A105" s="8" t="s">
        <v>102</v>
      </c>
      <c r="B105" s="8" t="s">
        <v>10</v>
      </c>
      <c r="C105" s="8" t="s">
        <v>68</v>
      </c>
      <c r="D105" s="52">
        <v>0</v>
      </c>
      <c r="E105" s="52">
        <v>0</v>
      </c>
      <c r="F105" s="52">
        <v>0</v>
      </c>
      <c r="G105" s="52">
        <v>0</v>
      </c>
      <c r="H105" s="52">
        <v>0</v>
      </c>
      <c r="I105" s="52">
        <v>0</v>
      </c>
      <c r="J105" s="52">
        <v>0</v>
      </c>
      <c r="K105" s="52">
        <v>0</v>
      </c>
      <c r="L105" s="52">
        <v>0</v>
      </c>
      <c r="M105" s="52">
        <v>0</v>
      </c>
      <c r="N105" s="52">
        <v>0</v>
      </c>
      <c r="O105" s="52">
        <v>0</v>
      </c>
      <c r="P105" s="52">
        <v>0</v>
      </c>
      <c r="Q105" s="52">
        <v>0</v>
      </c>
      <c r="R105" s="52">
        <v>0</v>
      </c>
      <c r="S105" s="52">
        <v>0</v>
      </c>
      <c r="T105" s="52">
        <v>0</v>
      </c>
      <c r="U105" s="52">
        <v>0</v>
      </c>
      <c r="V105" s="52">
        <v>0</v>
      </c>
      <c r="W105" s="52">
        <v>0</v>
      </c>
      <c r="X105" s="52">
        <v>0</v>
      </c>
      <c r="Y105" s="52">
        <v>0</v>
      </c>
      <c r="Z105" s="52">
        <v>0</v>
      </c>
      <c r="AA105" s="52">
        <v>0</v>
      </c>
      <c r="AB105" s="52">
        <v>0</v>
      </c>
      <c r="AC105" s="52">
        <v>0</v>
      </c>
      <c r="AD105" s="52">
        <v>0</v>
      </c>
      <c r="AE105" s="52">
        <v>0</v>
      </c>
      <c r="AF105" s="52">
        <v>0</v>
      </c>
      <c r="AG105" s="52">
        <v>0</v>
      </c>
      <c r="AH105" s="52">
        <v>0</v>
      </c>
      <c r="AI105" s="52">
        <v>0</v>
      </c>
      <c r="AJ105" s="52">
        <v>0</v>
      </c>
      <c r="AK105" s="52">
        <v>0</v>
      </c>
      <c r="AL105" s="52">
        <v>0</v>
      </c>
      <c r="AM105" s="52">
        <v>0</v>
      </c>
      <c r="AN105" s="52">
        <v>0</v>
      </c>
      <c r="AO105" s="52">
        <v>0</v>
      </c>
      <c r="AP105" s="52">
        <v>0</v>
      </c>
      <c r="AQ105" s="52">
        <v>0</v>
      </c>
      <c r="AR105" s="52">
        <v>0</v>
      </c>
      <c r="AS105" s="52">
        <v>0</v>
      </c>
      <c r="AT105" s="52">
        <v>0</v>
      </c>
      <c r="AU105" s="52">
        <v>0</v>
      </c>
      <c r="AV105" s="52">
        <v>0</v>
      </c>
      <c r="AW105" s="52">
        <v>0</v>
      </c>
      <c r="AX105" s="52">
        <v>0</v>
      </c>
      <c r="AY105" s="52">
        <v>0</v>
      </c>
      <c r="AZ105" s="52">
        <v>0</v>
      </c>
      <c r="BA105" s="52">
        <v>0</v>
      </c>
      <c r="BB105" s="52">
        <v>0</v>
      </c>
      <c r="BC105" s="52">
        <v>0</v>
      </c>
      <c r="BD105" s="52">
        <v>0</v>
      </c>
      <c r="BE105" s="52">
        <v>0</v>
      </c>
      <c r="BF105" s="52">
        <v>0</v>
      </c>
      <c r="BG105" s="52">
        <v>0</v>
      </c>
      <c r="BH105" s="52">
        <v>0</v>
      </c>
      <c r="BI105" s="52">
        <v>0</v>
      </c>
      <c r="BJ105" s="52">
        <v>0</v>
      </c>
      <c r="BK105" s="52">
        <v>0</v>
      </c>
      <c r="BL105" s="52">
        <v>0</v>
      </c>
      <c r="BM105" s="52">
        <v>0</v>
      </c>
      <c r="BN105" s="52">
        <v>0</v>
      </c>
      <c r="BO105" s="52">
        <v>0</v>
      </c>
      <c r="BP105" s="52">
        <v>0</v>
      </c>
      <c r="BQ105" s="52">
        <v>0</v>
      </c>
      <c r="BR105" s="52">
        <v>0</v>
      </c>
      <c r="BS105" s="52">
        <v>0</v>
      </c>
      <c r="BT105" s="52">
        <v>0</v>
      </c>
      <c r="BU105" s="52">
        <v>0</v>
      </c>
      <c r="BV105" s="52">
        <v>0</v>
      </c>
      <c r="BW105" s="52">
        <v>0</v>
      </c>
    </row>
    <row r="106" spans="1:75" x14ac:dyDescent="0.3">
      <c r="A106" s="8" t="s">
        <v>102</v>
      </c>
      <c r="B106" s="8" t="s">
        <v>10</v>
      </c>
      <c r="C106" s="8" t="s">
        <v>69</v>
      </c>
      <c r="D106" s="52">
        <v>0</v>
      </c>
      <c r="E106" s="52">
        <v>0</v>
      </c>
      <c r="F106" s="52">
        <v>0</v>
      </c>
      <c r="G106" s="52">
        <v>0</v>
      </c>
      <c r="H106" s="52">
        <v>0</v>
      </c>
      <c r="I106" s="52">
        <v>0</v>
      </c>
      <c r="J106" s="52">
        <v>0</v>
      </c>
      <c r="K106" s="52">
        <v>0</v>
      </c>
      <c r="L106" s="52">
        <v>0</v>
      </c>
      <c r="M106" s="52">
        <v>0</v>
      </c>
      <c r="N106" s="52">
        <v>0</v>
      </c>
      <c r="O106" s="52">
        <v>0</v>
      </c>
      <c r="P106" s="52">
        <v>0</v>
      </c>
      <c r="Q106" s="52">
        <v>0</v>
      </c>
      <c r="R106" s="52">
        <v>0</v>
      </c>
      <c r="S106" s="52">
        <v>0</v>
      </c>
      <c r="T106" s="52">
        <v>0</v>
      </c>
      <c r="U106" s="52">
        <v>0</v>
      </c>
      <c r="V106" s="52">
        <v>0</v>
      </c>
      <c r="W106" s="52">
        <v>0</v>
      </c>
      <c r="X106" s="52">
        <v>0</v>
      </c>
      <c r="Y106" s="52">
        <v>0</v>
      </c>
      <c r="Z106" s="52">
        <v>0</v>
      </c>
      <c r="AA106" s="52">
        <v>0</v>
      </c>
      <c r="AB106" s="52">
        <v>0</v>
      </c>
      <c r="AC106" s="52">
        <v>0</v>
      </c>
      <c r="AD106" s="52">
        <v>0</v>
      </c>
      <c r="AE106" s="52">
        <v>0</v>
      </c>
      <c r="AF106" s="52">
        <v>0</v>
      </c>
      <c r="AG106" s="52">
        <v>0</v>
      </c>
      <c r="AH106" s="52">
        <v>0</v>
      </c>
      <c r="AI106" s="52">
        <v>0</v>
      </c>
      <c r="AJ106" s="52">
        <v>0</v>
      </c>
      <c r="AK106" s="52">
        <v>0</v>
      </c>
      <c r="AL106" s="52">
        <v>0</v>
      </c>
      <c r="AM106" s="52">
        <v>0</v>
      </c>
      <c r="AN106" s="52">
        <v>0</v>
      </c>
      <c r="AO106" s="52">
        <v>0</v>
      </c>
      <c r="AP106" s="52">
        <v>0</v>
      </c>
      <c r="AQ106" s="52">
        <v>0</v>
      </c>
      <c r="AR106" s="52">
        <v>0</v>
      </c>
      <c r="AS106" s="52">
        <v>0</v>
      </c>
      <c r="AT106" s="52">
        <v>0</v>
      </c>
      <c r="AU106" s="52">
        <v>0</v>
      </c>
      <c r="AV106" s="52">
        <v>0</v>
      </c>
      <c r="AW106" s="52">
        <v>0</v>
      </c>
      <c r="AX106" s="52">
        <v>0</v>
      </c>
      <c r="AY106" s="52">
        <v>0</v>
      </c>
      <c r="AZ106" s="52">
        <v>0</v>
      </c>
      <c r="BA106" s="52">
        <v>0</v>
      </c>
      <c r="BB106" s="52">
        <v>0</v>
      </c>
      <c r="BC106" s="52">
        <v>0</v>
      </c>
      <c r="BD106" s="52">
        <v>0</v>
      </c>
      <c r="BE106" s="52">
        <v>0</v>
      </c>
      <c r="BF106" s="52">
        <v>0</v>
      </c>
      <c r="BG106" s="52">
        <v>0</v>
      </c>
      <c r="BH106" s="52">
        <v>0</v>
      </c>
      <c r="BI106" s="52">
        <v>0</v>
      </c>
      <c r="BJ106" s="52">
        <v>0</v>
      </c>
      <c r="BK106" s="52">
        <v>0</v>
      </c>
      <c r="BL106" s="52">
        <v>0</v>
      </c>
      <c r="BM106" s="52">
        <v>0</v>
      </c>
      <c r="BN106" s="52">
        <v>0</v>
      </c>
      <c r="BO106" s="52">
        <v>0</v>
      </c>
      <c r="BP106" s="52">
        <v>0</v>
      </c>
      <c r="BQ106" s="52">
        <v>0</v>
      </c>
      <c r="BR106" s="52">
        <v>0</v>
      </c>
      <c r="BS106" s="52">
        <v>0</v>
      </c>
      <c r="BT106" s="52">
        <v>0</v>
      </c>
      <c r="BU106" s="52">
        <v>0</v>
      </c>
      <c r="BV106" s="52">
        <v>0</v>
      </c>
      <c r="BW106" s="52">
        <v>0</v>
      </c>
    </row>
    <row r="107" spans="1:75" x14ac:dyDescent="0.3">
      <c r="A107" s="8" t="s">
        <v>102</v>
      </c>
      <c r="B107" s="8" t="s">
        <v>10</v>
      </c>
      <c r="C107" s="8" t="s">
        <v>27</v>
      </c>
      <c r="D107" s="52">
        <v>150</v>
      </c>
      <c r="E107" s="52">
        <v>150</v>
      </c>
      <c r="F107" s="52">
        <v>150</v>
      </c>
      <c r="G107" s="52">
        <v>150</v>
      </c>
      <c r="H107" s="52">
        <v>150</v>
      </c>
      <c r="I107" s="52">
        <v>67.333333333333471</v>
      </c>
      <c r="J107" s="52">
        <v>150</v>
      </c>
      <c r="K107" s="52">
        <v>150</v>
      </c>
      <c r="L107" s="52">
        <v>150</v>
      </c>
      <c r="M107" s="52">
        <v>150</v>
      </c>
      <c r="N107" s="52">
        <v>150</v>
      </c>
      <c r="O107" s="52">
        <v>150</v>
      </c>
      <c r="P107" s="52">
        <v>150</v>
      </c>
      <c r="Q107" s="52">
        <v>150</v>
      </c>
      <c r="R107" s="52">
        <v>150</v>
      </c>
      <c r="S107" s="52">
        <v>150</v>
      </c>
      <c r="T107" s="52">
        <v>150</v>
      </c>
      <c r="U107" s="52">
        <v>150</v>
      </c>
      <c r="V107" s="52">
        <v>150</v>
      </c>
      <c r="W107" s="52">
        <v>150</v>
      </c>
      <c r="X107" s="52">
        <v>87.552801047120397</v>
      </c>
      <c r="Y107" s="52">
        <v>150</v>
      </c>
      <c r="Z107" s="52">
        <v>150</v>
      </c>
      <c r="AA107" s="52">
        <v>76.947801047120464</v>
      </c>
      <c r="AB107" s="52">
        <v>150</v>
      </c>
      <c r="AC107" s="52">
        <v>150</v>
      </c>
      <c r="AD107" s="52">
        <v>16.517647058823545</v>
      </c>
      <c r="AE107" s="52">
        <v>150</v>
      </c>
      <c r="AF107" s="52">
        <v>150</v>
      </c>
      <c r="AG107" s="52">
        <v>16.517647058823549</v>
      </c>
      <c r="AH107" s="52">
        <v>119.50793972153973</v>
      </c>
      <c r="AI107" s="52">
        <v>98.015758787878767</v>
      </c>
      <c r="AJ107" s="52">
        <v>0</v>
      </c>
      <c r="AK107" s="52">
        <v>119.50793972153973</v>
      </c>
      <c r="AL107" s="52">
        <v>98.015758787878767</v>
      </c>
      <c r="AM107" s="52">
        <v>0</v>
      </c>
      <c r="AN107" s="52">
        <v>150</v>
      </c>
      <c r="AO107" s="52">
        <v>109.55020454545428</v>
      </c>
      <c r="AP107" s="52">
        <v>0</v>
      </c>
      <c r="AQ107" s="52">
        <v>150</v>
      </c>
      <c r="AR107" s="52">
        <v>53.771000000000512</v>
      </c>
      <c r="AS107" s="52">
        <v>0</v>
      </c>
      <c r="AT107" s="52">
        <v>150</v>
      </c>
      <c r="AU107" s="52">
        <v>150</v>
      </c>
      <c r="AV107" s="52">
        <v>0</v>
      </c>
      <c r="AW107" s="52">
        <v>5.4222222222221452</v>
      </c>
      <c r="AX107" s="52">
        <v>0</v>
      </c>
      <c r="AY107" s="52">
        <v>0</v>
      </c>
      <c r="AZ107" s="52">
        <v>150</v>
      </c>
      <c r="BA107" s="52">
        <v>150</v>
      </c>
      <c r="BB107" s="52">
        <v>30.218181818181819</v>
      </c>
      <c r="BC107" s="52">
        <v>150</v>
      </c>
      <c r="BD107" s="52">
        <v>150</v>
      </c>
      <c r="BE107" s="52">
        <v>30.218181818181819</v>
      </c>
      <c r="BF107" s="52">
        <v>150</v>
      </c>
      <c r="BG107" s="52">
        <v>150</v>
      </c>
      <c r="BH107" s="52">
        <v>105.6397168141593</v>
      </c>
      <c r="BI107" s="52">
        <v>150</v>
      </c>
      <c r="BJ107" s="52">
        <v>150</v>
      </c>
      <c r="BK107" s="52">
        <v>61.981716814159206</v>
      </c>
      <c r="BL107" s="52">
        <v>150</v>
      </c>
      <c r="BM107" s="52">
        <v>150</v>
      </c>
      <c r="BN107" s="52">
        <v>150</v>
      </c>
      <c r="BO107" s="52">
        <v>150</v>
      </c>
      <c r="BP107" s="52">
        <v>150</v>
      </c>
      <c r="BQ107" s="52">
        <v>150</v>
      </c>
      <c r="BR107" s="52">
        <v>150</v>
      </c>
      <c r="BS107" s="52">
        <v>150</v>
      </c>
      <c r="BT107" s="52">
        <v>150</v>
      </c>
      <c r="BU107" s="52">
        <v>150</v>
      </c>
      <c r="BV107" s="52">
        <v>150</v>
      </c>
      <c r="BW107" s="52">
        <v>150</v>
      </c>
    </row>
    <row r="108" spans="1:75" x14ac:dyDescent="0.3">
      <c r="A108" s="8" t="s">
        <v>102</v>
      </c>
      <c r="B108" s="8" t="s">
        <v>10</v>
      </c>
      <c r="C108" s="8" t="s">
        <v>144</v>
      </c>
      <c r="D108" s="52">
        <v>200</v>
      </c>
      <c r="E108" s="52">
        <v>79.572000000000202</v>
      </c>
      <c r="F108" s="52">
        <v>0</v>
      </c>
      <c r="G108" s="52">
        <v>200</v>
      </c>
      <c r="H108" s="52">
        <v>0</v>
      </c>
      <c r="I108" s="52">
        <v>0</v>
      </c>
      <c r="J108" s="52">
        <v>200</v>
      </c>
      <c r="K108" s="52">
        <v>79.542625333332737</v>
      </c>
      <c r="L108" s="52">
        <v>0</v>
      </c>
      <c r="M108" s="52">
        <v>200</v>
      </c>
      <c r="N108" s="52">
        <v>0</v>
      </c>
      <c r="O108" s="52">
        <v>0</v>
      </c>
      <c r="P108" s="52">
        <v>200</v>
      </c>
      <c r="Q108" s="52">
        <v>15.225000000000307</v>
      </c>
      <c r="R108" s="52">
        <v>0</v>
      </c>
      <c r="S108" s="52">
        <v>200</v>
      </c>
      <c r="T108" s="52">
        <v>0</v>
      </c>
      <c r="U108" s="52">
        <v>0</v>
      </c>
      <c r="V108" s="52">
        <v>200</v>
      </c>
      <c r="W108" s="52">
        <v>154.70499999999998</v>
      </c>
      <c r="X108" s="52">
        <v>0</v>
      </c>
      <c r="Y108" s="52">
        <v>200</v>
      </c>
      <c r="Z108" s="52">
        <v>154.70499999999998</v>
      </c>
      <c r="AA108" s="52">
        <v>0</v>
      </c>
      <c r="AB108" s="52">
        <v>200</v>
      </c>
      <c r="AC108" s="52">
        <v>71.38000000000055</v>
      </c>
      <c r="AD108" s="52">
        <v>0</v>
      </c>
      <c r="AE108" s="52">
        <v>200</v>
      </c>
      <c r="AF108" s="52">
        <v>71.38000000000055</v>
      </c>
      <c r="AG108" s="52">
        <v>0</v>
      </c>
      <c r="AH108" s="52">
        <v>200</v>
      </c>
      <c r="AI108" s="52">
        <v>105.48485898819294</v>
      </c>
      <c r="AJ108" s="52">
        <v>0</v>
      </c>
      <c r="AK108" s="52">
        <v>200</v>
      </c>
      <c r="AL108" s="52">
        <v>105.48485898819294</v>
      </c>
      <c r="AM108" s="52">
        <v>0</v>
      </c>
      <c r="AN108" s="52">
        <v>200</v>
      </c>
      <c r="AO108" s="52">
        <v>0</v>
      </c>
      <c r="AP108" s="52">
        <v>0</v>
      </c>
      <c r="AQ108" s="52">
        <v>185.42770462810518</v>
      </c>
      <c r="AR108" s="52">
        <v>0</v>
      </c>
      <c r="AS108" s="52">
        <v>0</v>
      </c>
      <c r="AT108" s="52">
        <v>200</v>
      </c>
      <c r="AU108" s="52">
        <v>0</v>
      </c>
      <c r="AV108" s="52">
        <v>0</v>
      </c>
      <c r="AW108" s="52">
        <v>200</v>
      </c>
      <c r="AX108" s="52">
        <v>0</v>
      </c>
      <c r="AY108" s="52">
        <v>0</v>
      </c>
      <c r="AZ108" s="52">
        <v>124.99199999999976</v>
      </c>
      <c r="BA108" s="52">
        <v>18.961999999999701</v>
      </c>
      <c r="BB108" s="52">
        <v>0</v>
      </c>
      <c r="BC108" s="52">
        <v>99.763000000000488</v>
      </c>
      <c r="BD108" s="52">
        <v>0</v>
      </c>
      <c r="BE108" s="52">
        <v>0</v>
      </c>
      <c r="BF108" s="52">
        <v>200</v>
      </c>
      <c r="BG108" s="52">
        <v>23.571000000000009</v>
      </c>
      <c r="BH108" s="52">
        <v>0</v>
      </c>
      <c r="BI108" s="52">
        <v>198.94999999999973</v>
      </c>
      <c r="BJ108" s="52">
        <v>0</v>
      </c>
      <c r="BK108" s="52">
        <v>0</v>
      </c>
      <c r="BL108" s="52">
        <v>200</v>
      </c>
      <c r="BM108" s="52">
        <v>165.14270476190472</v>
      </c>
      <c r="BN108" s="52">
        <v>0</v>
      </c>
      <c r="BO108" s="52">
        <v>200</v>
      </c>
      <c r="BP108" s="52">
        <v>0</v>
      </c>
      <c r="BQ108" s="52">
        <v>0</v>
      </c>
      <c r="BR108" s="52">
        <v>200</v>
      </c>
      <c r="BS108" s="52">
        <v>200</v>
      </c>
      <c r="BT108" s="52">
        <v>0</v>
      </c>
      <c r="BU108" s="52">
        <v>200</v>
      </c>
      <c r="BV108" s="52">
        <v>44.035929670329629</v>
      </c>
      <c r="BW108" s="52">
        <v>0</v>
      </c>
    </row>
    <row r="109" spans="1:75" x14ac:dyDescent="0.3">
      <c r="A109" s="8" t="s">
        <v>102</v>
      </c>
      <c r="B109" s="8" t="s">
        <v>10</v>
      </c>
      <c r="C109" s="8" t="s">
        <v>145</v>
      </c>
      <c r="D109" s="52">
        <v>0</v>
      </c>
      <c r="E109" s="52">
        <v>0</v>
      </c>
      <c r="F109" s="52">
        <v>0</v>
      </c>
      <c r="G109" s="52">
        <v>0</v>
      </c>
      <c r="H109" s="52">
        <v>0</v>
      </c>
      <c r="I109" s="52">
        <v>0</v>
      </c>
      <c r="J109" s="52">
        <v>172.61300000000023</v>
      </c>
      <c r="K109" s="52">
        <v>0</v>
      </c>
      <c r="L109" s="52">
        <v>0</v>
      </c>
      <c r="M109" s="52">
        <v>172.61300000000023</v>
      </c>
      <c r="N109" s="52">
        <v>0</v>
      </c>
      <c r="O109" s="52">
        <v>0</v>
      </c>
      <c r="P109" s="52">
        <v>52.120000000000388</v>
      </c>
      <c r="Q109" s="52">
        <v>0</v>
      </c>
      <c r="R109" s="52">
        <v>0</v>
      </c>
      <c r="S109" s="52">
        <v>52.120000000000388</v>
      </c>
      <c r="T109" s="52">
        <v>0</v>
      </c>
      <c r="U109" s="52">
        <v>0</v>
      </c>
      <c r="V109" s="52">
        <v>200</v>
      </c>
      <c r="W109" s="52">
        <v>0</v>
      </c>
      <c r="X109" s="52">
        <v>0</v>
      </c>
      <c r="Y109" s="52">
        <v>200</v>
      </c>
      <c r="Z109" s="52">
        <v>0</v>
      </c>
      <c r="AA109" s="52">
        <v>0</v>
      </c>
      <c r="AB109" s="52">
        <v>200</v>
      </c>
      <c r="AC109" s="52">
        <v>0</v>
      </c>
      <c r="AD109" s="52">
        <v>0</v>
      </c>
      <c r="AE109" s="52">
        <v>200</v>
      </c>
      <c r="AF109" s="52">
        <v>0</v>
      </c>
      <c r="AG109" s="52">
        <v>0</v>
      </c>
      <c r="AH109" s="52">
        <v>200</v>
      </c>
      <c r="AI109" s="52">
        <v>41.942382223928448</v>
      </c>
      <c r="AJ109" s="52">
        <v>0</v>
      </c>
      <c r="AK109" s="52">
        <v>200</v>
      </c>
      <c r="AL109" s="52">
        <v>41.942382223928448</v>
      </c>
      <c r="AM109" s="52">
        <v>0</v>
      </c>
      <c r="AN109" s="52">
        <v>37.301295371895222</v>
      </c>
      <c r="AO109" s="52">
        <v>0</v>
      </c>
      <c r="AP109" s="52">
        <v>0</v>
      </c>
      <c r="AQ109" s="52">
        <v>37.301295371895222</v>
      </c>
      <c r="AR109" s="52">
        <v>0</v>
      </c>
      <c r="AS109" s="52">
        <v>0</v>
      </c>
      <c r="AT109" s="52">
        <v>188.48099999999991</v>
      </c>
      <c r="AU109" s="52">
        <v>100.0250000000007</v>
      </c>
      <c r="AV109" s="52">
        <v>0</v>
      </c>
      <c r="AW109" s="52">
        <v>22.555777777778562</v>
      </c>
      <c r="AX109" s="52">
        <v>0</v>
      </c>
      <c r="AY109" s="52">
        <v>0</v>
      </c>
      <c r="AZ109" s="52">
        <v>200</v>
      </c>
      <c r="BA109" s="52">
        <v>0</v>
      </c>
      <c r="BB109" s="52">
        <v>0</v>
      </c>
      <c r="BC109" s="52">
        <v>200</v>
      </c>
      <c r="BD109" s="52">
        <v>0</v>
      </c>
      <c r="BE109" s="52">
        <v>0</v>
      </c>
      <c r="BF109" s="52">
        <v>156.77000000000098</v>
      </c>
      <c r="BG109" s="52">
        <v>0</v>
      </c>
      <c r="BH109" s="52">
        <v>0</v>
      </c>
      <c r="BI109" s="52">
        <v>156.77000000000098</v>
      </c>
      <c r="BJ109" s="52">
        <v>0</v>
      </c>
      <c r="BK109" s="52">
        <v>0</v>
      </c>
      <c r="BL109" s="52">
        <v>200</v>
      </c>
      <c r="BM109" s="52">
        <v>17.578247619047609</v>
      </c>
      <c r="BN109" s="52">
        <v>0</v>
      </c>
      <c r="BO109" s="52">
        <v>113.93200000000034</v>
      </c>
      <c r="BP109" s="52">
        <v>0</v>
      </c>
      <c r="BQ109" s="52">
        <v>0</v>
      </c>
      <c r="BR109" s="52">
        <v>0</v>
      </c>
      <c r="BS109" s="52">
        <v>0</v>
      </c>
      <c r="BT109" s="52">
        <v>0</v>
      </c>
      <c r="BU109" s="52">
        <v>0</v>
      </c>
      <c r="BV109" s="52">
        <v>0</v>
      </c>
      <c r="BW109" s="52">
        <v>0</v>
      </c>
    </row>
    <row r="110" spans="1:75" x14ac:dyDescent="0.3">
      <c r="A110" s="8" t="s">
        <v>102</v>
      </c>
      <c r="B110" s="8" t="s">
        <v>10</v>
      </c>
      <c r="C110" s="8" t="s">
        <v>146</v>
      </c>
      <c r="D110" s="52">
        <v>200</v>
      </c>
      <c r="E110" s="52">
        <v>200</v>
      </c>
      <c r="F110" s="52">
        <v>74.116999999999649</v>
      </c>
      <c r="G110" s="52">
        <v>200</v>
      </c>
      <c r="H110" s="52">
        <v>200</v>
      </c>
      <c r="I110" s="52">
        <v>26.200666666666873</v>
      </c>
      <c r="J110" s="52">
        <v>200</v>
      </c>
      <c r="K110" s="52">
        <v>200</v>
      </c>
      <c r="L110" s="52">
        <v>112.49699999999973</v>
      </c>
      <c r="M110" s="52">
        <v>200</v>
      </c>
      <c r="N110" s="52">
        <v>200</v>
      </c>
      <c r="O110" s="52">
        <v>46.341999999999658</v>
      </c>
      <c r="P110" s="52">
        <v>200</v>
      </c>
      <c r="Q110" s="52">
        <v>200</v>
      </c>
      <c r="R110" s="52">
        <v>126.72800000000028</v>
      </c>
      <c r="S110" s="52">
        <v>200</v>
      </c>
      <c r="T110" s="52">
        <v>200</v>
      </c>
      <c r="U110" s="52">
        <v>0</v>
      </c>
      <c r="V110" s="52">
        <v>200</v>
      </c>
      <c r="W110" s="52">
        <v>200</v>
      </c>
      <c r="X110" s="52">
        <v>8.9101989528801564</v>
      </c>
      <c r="Y110" s="52">
        <v>200</v>
      </c>
      <c r="Z110" s="52">
        <v>200</v>
      </c>
      <c r="AA110" s="52">
        <v>8.9101989528801564</v>
      </c>
      <c r="AB110" s="52">
        <v>200</v>
      </c>
      <c r="AC110" s="52">
        <v>200</v>
      </c>
      <c r="AD110" s="52">
        <v>59.846352941176242</v>
      </c>
      <c r="AE110" s="52">
        <v>200</v>
      </c>
      <c r="AF110" s="52">
        <v>200</v>
      </c>
      <c r="AG110" s="52">
        <v>18.335352941176609</v>
      </c>
      <c r="AH110" s="52">
        <v>200</v>
      </c>
      <c r="AI110" s="52">
        <v>200</v>
      </c>
      <c r="AJ110" s="52">
        <v>152.30600000000032</v>
      </c>
      <c r="AK110" s="52">
        <v>200</v>
      </c>
      <c r="AL110" s="52">
        <v>200</v>
      </c>
      <c r="AM110" s="52">
        <v>85.464000000000766</v>
      </c>
      <c r="AN110" s="52">
        <v>200</v>
      </c>
      <c r="AO110" s="52">
        <v>200</v>
      </c>
      <c r="AP110" s="52">
        <v>200</v>
      </c>
      <c r="AQ110" s="52">
        <v>200</v>
      </c>
      <c r="AR110" s="52">
        <v>200</v>
      </c>
      <c r="AS110" s="52">
        <v>84.456000000000259</v>
      </c>
      <c r="AT110" s="52">
        <v>200</v>
      </c>
      <c r="AU110" s="52">
        <v>200</v>
      </c>
      <c r="AV110" s="52">
        <v>81.711459740257169</v>
      </c>
      <c r="AW110" s="52">
        <v>200</v>
      </c>
      <c r="AX110" s="52">
        <v>200</v>
      </c>
      <c r="AY110" s="52">
        <v>81.711459740257169</v>
      </c>
      <c r="AZ110" s="52">
        <v>200</v>
      </c>
      <c r="BA110" s="52">
        <v>200</v>
      </c>
      <c r="BB110" s="52">
        <v>0</v>
      </c>
      <c r="BC110" s="52">
        <v>200</v>
      </c>
      <c r="BD110" s="52">
        <v>149.39400000000057</v>
      </c>
      <c r="BE110" s="52">
        <v>0</v>
      </c>
      <c r="BF110" s="52">
        <v>200</v>
      </c>
      <c r="BG110" s="52">
        <v>200</v>
      </c>
      <c r="BH110" s="52">
        <v>0</v>
      </c>
      <c r="BI110" s="52">
        <v>200</v>
      </c>
      <c r="BJ110" s="52">
        <v>200</v>
      </c>
      <c r="BK110" s="52">
        <v>0</v>
      </c>
      <c r="BL110" s="52">
        <v>200</v>
      </c>
      <c r="BM110" s="52">
        <v>200</v>
      </c>
      <c r="BN110" s="52">
        <v>192.52634322819986</v>
      </c>
      <c r="BO110" s="52">
        <v>200</v>
      </c>
      <c r="BP110" s="52">
        <v>122.96100000000027</v>
      </c>
      <c r="BQ110" s="52">
        <v>0</v>
      </c>
      <c r="BR110" s="52">
        <v>200</v>
      </c>
      <c r="BS110" s="52">
        <v>200</v>
      </c>
      <c r="BT110" s="52">
        <v>200</v>
      </c>
      <c r="BU110" s="52">
        <v>200</v>
      </c>
      <c r="BV110" s="52">
        <v>200</v>
      </c>
      <c r="BW110" s="52">
        <v>200</v>
      </c>
    </row>
    <row r="111" spans="1:75" x14ac:dyDescent="0.3">
      <c r="A111" s="8" t="s">
        <v>102</v>
      </c>
      <c r="B111" s="8" t="s">
        <v>10</v>
      </c>
      <c r="C111" s="8" t="s">
        <v>28</v>
      </c>
      <c r="D111" s="52">
        <v>200</v>
      </c>
      <c r="E111" s="52">
        <v>200</v>
      </c>
      <c r="F111" s="52">
        <v>200</v>
      </c>
      <c r="G111" s="52">
        <v>200</v>
      </c>
      <c r="H111" s="52">
        <v>200</v>
      </c>
      <c r="I111" s="52">
        <v>200</v>
      </c>
      <c r="J111" s="52">
        <v>200</v>
      </c>
      <c r="K111" s="52">
        <v>200</v>
      </c>
      <c r="L111" s="52">
        <v>200</v>
      </c>
      <c r="M111" s="52">
        <v>200</v>
      </c>
      <c r="N111" s="52">
        <v>200</v>
      </c>
      <c r="O111" s="52">
        <v>200</v>
      </c>
      <c r="P111" s="52">
        <v>200</v>
      </c>
      <c r="Q111" s="52">
        <v>200</v>
      </c>
      <c r="R111" s="52">
        <v>200</v>
      </c>
      <c r="S111" s="52">
        <v>200</v>
      </c>
      <c r="T111" s="52">
        <v>200</v>
      </c>
      <c r="U111" s="52">
        <v>200</v>
      </c>
      <c r="V111" s="52">
        <v>200</v>
      </c>
      <c r="W111" s="52">
        <v>200</v>
      </c>
      <c r="X111" s="52">
        <v>200</v>
      </c>
      <c r="Y111" s="52">
        <v>200</v>
      </c>
      <c r="Z111" s="52">
        <v>200</v>
      </c>
      <c r="AA111" s="52">
        <v>200</v>
      </c>
      <c r="AB111" s="52">
        <v>200</v>
      </c>
      <c r="AC111" s="52">
        <v>200</v>
      </c>
      <c r="AD111" s="52">
        <v>200</v>
      </c>
      <c r="AE111" s="52">
        <v>200</v>
      </c>
      <c r="AF111" s="52">
        <v>200</v>
      </c>
      <c r="AG111" s="52">
        <v>200</v>
      </c>
      <c r="AH111" s="52">
        <v>200</v>
      </c>
      <c r="AI111" s="52">
        <v>200</v>
      </c>
      <c r="AJ111" s="52">
        <v>200</v>
      </c>
      <c r="AK111" s="52">
        <v>200</v>
      </c>
      <c r="AL111" s="52">
        <v>200</v>
      </c>
      <c r="AM111" s="52">
        <v>200</v>
      </c>
      <c r="AN111" s="52">
        <v>200</v>
      </c>
      <c r="AO111" s="52">
        <v>200</v>
      </c>
      <c r="AP111" s="52">
        <v>200</v>
      </c>
      <c r="AQ111" s="52">
        <v>200</v>
      </c>
      <c r="AR111" s="52">
        <v>200</v>
      </c>
      <c r="AS111" s="52">
        <v>200</v>
      </c>
      <c r="AT111" s="52">
        <v>200</v>
      </c>
      <c r="AU111" s="52">
        <v>200</v>
      </c>
      <c r="AV111" s="52">
        <v>200</v>
      </c>
      <c r="AW111" s="52">
        <v>200</v>
      </c>
      <c r="AX111" s="52">
        <v>200</v>
      </c>
      <c r="AY111" s="52">
        <v>200</v>
      </c>
      <c r="AZ111" s="52">
        <v>200</v>
      </c>
      <c r="BA111" s="52">
        <v>200</v>
      </c>
      <c r="BB111" s="52">
        <v>200</v>
      </c>
      <c r="BC111" s="52">
        <v>200</v>
      </c>
      <c r="BD111" s="52">
        <v>200</v>
      </c>
      <c r="BE111" s="52">
        <v>200</v>
      </c>
      <c r="BF111" s="52">
        <v>200</v>
      </c>
      <c r="BG111" s="52">
        <v>200</v>
      </c>
      <c r="BH111" s="52">
        <v>200</v>
      </c>
      <c r="BI111" s="52">
        <v>200</v>
      </c>
      <c r="BJ111" s="52">
        <v>200</v>
      </c>
      <c r="BK111" s="52">
        <v>200</v>
      </c>
      <c r="BL111" s="52">
        <v>200</v>
      </c>
      <c r="BM111" s="52">
        <v>200</v>
      </c>
      <c r="BN111" s="52">
        <v>200</v>
      </c>
      <c r="BO111" s="52">
        <v>200</v>
      </c>
      <c r="BP111" s="52">
        <v>200</v>
      </c>
      <c r="BQ111" s="52">
        <v>200</v>
      </c>
      <c r="BR111" s="52">
        <v>200</v>
      </c>
      <c r="BS111" s="52">
        <v>200</v>
      </c>
      <c r="BT111" s="52">
        <v>200</v>
      </c>
      <c r="BU111" s="52">
        <v>200</v>
      </c>
      <c r="BV111" s="52">
        <v>200</v>
      </c>
      <c r="BW111" s="52">
        <v>200</v>
      </c>
    </row>
    <row r="112" spans="1:75" x14ac:dyDescent="0.3">
      <c r="A112" s="8" t="s">
        <v>103</v>
      </c>
      <c r="B112" s="8" t="s">
        <v>8</v>
      </c>
      <c r="C112" s="8" t="s">
        <v>60</v>
      </c>
      <c r="D112" s="52">
        <v>771.6</v>
      </c>
      <c r="E112" s="52">
        <v>771.6</v>
      </c>
      <c r="F112" s="52">
        <v>771.6</v>
      </c>
      <c r="G112" s="52">
        <v>771.6</v>
      </c>
      <c r="H112" s="52">
        <v>771.6</v>
      </c>
      <c r="I112" s="52">
        <v>771.6</v>
      </c>
      <c r="J112" s="52">
        <v>771.6</v>
      </c>
      <c r="K112" s="52">
        <v>771.6</v>
      </c>
      <c r="L112" s="52">
        <v>771.6</v>
      </c>
      <c r="M112" s="52">
        <v>771.6</v>
      </c>
      <c r="N112" s="52">
        <v>771.6</v>
      </c>
      <c r="O112" s="52">
        <v>771.6</v>
      </c>
      <c r="P112" s="52">
        <v>771.6</v>
      </c>
      <c r="Q112" s="52">
        <v>771.6</v>
      </c>
      <c r="R112" s="52">
        <v>771.6</v>
      </c>
      <c r="S112" s="52">
        <v>771.6</v>
      </c>
      <c r="T112" s="52">
        <v>771.6</v>
      </c>
      <c r="U112" s="52">
        <v>771.6</v>
      </c>
      <c r="V112" s="52">
        <v>771.6</v>
      </c>
      <c r="W112" s="52">
        <v>771.6</v>
      </c>
      <c r="X112" s="52">
        <v>771.6</v>
      </c>
      <c r="Y112" s="52">
        <v>771.6</v>
      </c>
      <c r="Z112" s="52">
        <v>771.6</v>
      </c>
      <c r="AA112" s="52">
        <v>771.6</v>
      </c>
      <c r="AB112" s="52">
        <v>771.6</v>
      </c>
      <c r="AC112" s="52">
        <v>771.6</v>
      </c>
      <c r="AD112" s="52">
        <v>771.6</v>
      </c>
      <c r="AE112" s="52">
        <v>771.6</v>
      </c>
      <c r="AF112" s="52">
        <v>771.6</v>
      </c>
      <c r="AG112" s="52">
        <v>771.6</v>
      </c>
      <c r="AH112" s="52">
        <v>771.6</v>
      </c>
      <c r="AI112" s="52">
        <v>771.6</v>
      </c>
      <c r="AJ112" s="52">
        <v>771.6</v>
      </c>
      <c r="AK112" s="52">
        <v>771.6</v>
      </c>
      <c r="AL112" s="52">
        <v>771.6</v>
      </c>
      <c r="AM112" s="52">
        <v>771.6</v>
      </c>
      <c r="AN112" s="52">
        <v>771.6</v>
      </c>
      <c r="AO112" s="52">
        <v>771.6</v>
      </c>
      <c r="AP112" s="52">
        <v>771.6</v>
      </c>
      <c r="AQ112" s="52">
        <v>771.6</v>
      </c>
      <c r="AR112" s="52">
        <v>771.6</v>
      </c>
      <c r="AS112" s="52">
        <v>771.6</v>
      </c>
      <c r="AT112" s="52">
        <v>771.6</v>
      </c>
      <c r="AU112" s="52">
        <v>771.6</v>
      </c>
      <c r="AV112" s="52">
        <v>771.6</v>
      </c>
      <c r="AW112" s="52">
        <v>771.6</v>
      </c>
      <c r="AX112" s="52">
        <v>771.6</v>
      </c>
      <c r="AY112" s="52">
        <v>771.6</v>
      </c>
      <c r="AZ112" s="52">
        <v>771.6</v>
      </c>
      <c r="BA112" s="52">
        <v>771.6</v>
      </c>
      <c r="BB112" s="52">
        <v>771.6</v>
      </c>
      <c r="BC112" s="52">
        <v>771.6</v>
      </c>
      <c r="BD112" s="52">
        <v>771.6</v>
      </c>
      <c r="BE112" s="52">
        <v>771.6</v>
      </c>
      <c r="BF112" s="52">
        <v>771.6</v>
      </c>
      <c r="BG112" s="52">
        <v>771.6</v>
      </c>
      <c r="BH112" s="52">
        <v>771.6</v>
      </c>
      <c r="BI112" s="52">
        <v>771.6</v>
      </c>
      <c r="BJ112" s="52">
        <v>771.6</v>
      </c>
      <c r="BK112" s="52">
        <v>771.6</v>
      </c>
      <c r="BL112" s="52">
        <v>771.6</v>
      </c>
      <c r="BM112" s="52">
        <v>771.6</v>
      </c>
      <c r="BN112" s="52">
        <v>771.6</v>
      </c>
      <c r="BO112" s="52">
        <v>771.6</v>
      </c>
      <c r="BP112" s="52">
        <v>771.6</v>
      </c>
      <c r="BQ112" s="52">
        <v>771.6</v>
      </c>
      <c r="BR112" s="52">
        <v>771.6</v>
      </c>
      <c r="BS112" s="52">
        <v>771.6</v>
      </c>
      <c r="BT112" s="52">
        <v>771.6</v>
      </c>
      <c r="BU112" s="52">
        <v>771.6</v>
      </c>
      <c r="BV112" s="52">
        <v>771.6</v>
      </c>
      <c r="BW112" s="52">
        <v>771.6</v>
      </c>
    </row>
    <row r="113" spans="1:75" x14ac:dyDescent="0.3">
      <c r="A113" s="8" t="s">
        <v>103</v>
      </c>
      <c r="B113" s="8" t="s">
        <v>8</v>
      </c>
      <c r="C113" s="8" t="s">
        <v>150</v>
      </c>
      <c r="D113" s="52">
        <v>388.11573000000067</v>
      </c>
      <c r="E113" s="52">
        <v>235.19999999999996</v>
      </c>
      <c r="F113" s="52">
        <v>235.19999999999996</v>
      </c>
      <c r="G113" s="52">
        <v>388.11573000000067</v>
      </c>
      <c r="H113" s="52">
        <v>235.19999999999985</v>
      </c>
      <c r="I113" s="52">
        <v>235.19999999999985</v>
      </c>
      <c r="J113" s="52">
        <v>235.19999999999996</v>
      </c>
      <c r="K113" s="52">
        <v>235.19999999999996</v>
      </c>
      <c r="L113" s="52">
        <v>235.19999999999996</v>
      </c>
      <c r="M113" s="52">
        <v>235.19999999999996</v>
      </c>
      <c r="N113" s="52">
        <v>235.19999999999996</v>
      </c>
      <c r="O113" s="52">
        <v>235.19999999999996</v>
      </c>
      <c r="P113" s="52">
        <v>260.0901608772009</v>
      </c>
      <c r="Q113" s="52">
        <v>235.19999999999996</v>
      </c>
      <c r="R113" s="52">
        <v>235.19999999999996</v>
      </c>
      <c r="S113" s="52">
        <v>260.0901608772009</v>
      </c>
      <c r="T113" s="52">
        <v>235.19999999999996</v>
      </c>
      <c r="U113" s="52">
        <v>235.19999999999996</v>
      </c>
      <c r="V113" s="52">
        <v>267.56219000000016</v>
      </c>
      <c r="W113" s="52">
        <v>235.19999999999996</v>
      </c>
      <c r="X113" s="52">
        <v>235.19999999999996</v>
      </c>
      <c r="Y113" s="52">
        <v>267.56219000000016</v>
      </c>
      <c r="Z113" s="52">
        <v>235.19999999999996</v>
      </c>
      <c r="AA113" s="52">
        <v>235.19999999999996</v>
      </c>
      <c r="AB113" s="52">
        <v>0</v>
      </c>
      <c r="AC113" s="52">
        <v>0</v>
      </c>
      <c r="AD113" s="52">
        <v>0</v>
      </c>
      <c r="AE113" s="52">
        <v>0</v>
      </c>
      <c r="AF113" s="52">
        <v>0</v>
      </c>
      <c r="AG113" s="52">
        <v>0</v>
      </c>
      <c r="AH113" s="52">
        <v>235.19999999999996</v>
      </c>
      <c r="AI113" s="52">
        <v>235.19999999999996</v>
      </c>
      <c r="AJ113" s="52">
        <v>235.19999999999996</v>
      </c>
      <c r="AK113" s="52">
        <v>235.19999999999996</v>
      </c>
      <c r="AL113" s="52">
        <v>235.19999999999996</v>
      </c>
      <c r="AM113" s="52">
        <v>235.19999999999996</v>
      </c>
      <c r="AN113" s="52">
        <v>235.19999999999996</v>
      </c>
      <c r="AO113" s="52">
        <v>235.19999999999996</v>
      </c>
      <c r="AP113" s="52">
        <v>235.19999999999996</v>
      </c>
      <c r="AQ113" s="52">
        <v>0</v>
      </c>
      <c r="AR113" s="52">
        <v>0</v>
      </c>
      <c r="AS113" s="52">
        <v>0</v>
      </c>
      <c r="AT113" s="52">
        <v>235.19999999999996</v>
      </c>
      <c r="AU113" s="52">
        <v>235.19999999999996</v>
      </c>
      <c r="AV113" s="52">
        <v>235.19999999999996</v>
      </c>
      <c r="AW113" s="52">
        <v>235.19999999999996</v>
      </c>
      <c r="AX113" s="52">
        <v>235.19999999999996</v>
      </c>
      <c r="AY113" s="52">
        <v>235.19999999999996</v>
      </c>
      <c r="AZ113" s="52">
        <v>0</v>
      </c>
      <c r="BA113" s="52">
        <v>0</v>
      </c>
      <c r="BB113" s="52">
        <v>0</v>
      </c>
      <c r="BC113" s="52">
        <v>0</v>
      </c>
      <c r="BD113" s="52">
        <v>0</v>
      </c>
      <c r="BE113" s="52">
        <v>0</v>
      </c>
      <c r="BF113" s="52">
        <v>235.19999999999996</v>
      </c>
      <c r="BG113" s="52">
        <v>235.19999999999996</v>
      </c>
      <c r="BH113" s="52">
        <v>235.19999999999996</v>
      </c>
      <c r="BI113" s="52">
        <v>235.19999999999996</v>
      </c>
      <c r="BJ113" s="52">
        <v>235.19999999999996</v>
      </c>
      <c r="BK113" s="52">
        <v>235.19999999999996</v>
      </c>
      <c r="BL113" s="52">
        <v>235.19999999999996</v>
      </c>
      <c r="BM113" s="52">
        <v>235.19999999999996</v>
      </c>
      <c r="BN113" s="52">
        <v>235.19999999999996</v>
      </c>
      <c r="BO113" s="52">
        <v>235.19999999999996</v>
      </c>
      <c r="BP113" s="52">
        <v>235.19999999999996</v>
      </c>
      <c r="BQ113" s="52">
        <v>235.19999999999996</v>
      </c>
      <c r="BR113" s="52">
        <v>235.19999999999996</v>
      </c>
      <c r="BS113" s="52">
        <v>235.19999999999996</v>
      </c>
      <c r="BT113" s="52">
        <v>235.19999999999996</v>
      </c>
      <c r="BU113" s="52">
        <v>235.19999999999996</v>
      </c>
      <c r="BV113" s="52">
        <v>235.19999999999996</v>
      </c>
      <c r="BW113" s="52">
        <v>235.19999999999996</v>
      </c>
    </row>
    <row r="114" spans="1:75" x14ac:dyDescent="0.3">
      <c r="A114" s="8" t="s">
        <v>103</v>
      </c>
      <c r="B114" s="8" t="s">
        <v>8</v>
      </c>
      <c r="C114" s="8" t="s">
        <v>61</v>
      </c>
      <c r="D114" s="52">
        <v>171.65974000000011</v>
      </c>
      <c r="E114" s="52">
        <v>84.402319999999833</v>
      </c>
      <c r="F114" s="52">
        <v>81.239999999999824</v>
      </c>
      <c r="G114" s="52">
        <v>0</v>
      </c>
      <c r="H114" s="52">
        <v>0</v>
      </c>
      <c r="I114" s="52">
        <v>0</v>
      </c>
      <c r="J114" s="52">
        <v>0</v>
      </c>
      <c r="K114" s="52">
        <v>0</v>
      </c>
      <c r="L114" s="52">
        <v>0</v>
      </c>
      <c r="M114" s="52">
        <v>0</v>
      </c>
      <c r="N114" s="52">
        <v>0</v>
      </c>
      <c r="O114" s="52">
        <v>0</v>
      </c>
      <c r="P114" s="52">
        <v>203.1</v>
      </c>
      <c r="Q114" s="52">
        <v>133.46999149659834</v>
      </c>
      <c r="R114" s="52">
        <v>81.239999999999995</v>
      </c>
      <c r="S114" s="52">
        <v>0</v>
      </c>
      <c r="T114" s="52">
        <v>0</v>
      </c>
      <c r="U114" s="52">
        <v>0</v>
      </c>
      <c r="V114" s="52">
        <v>0</v>
      </c>
      <c r="W114" s="52">
        <v>0</v>
      </c>
      <c r="X114" s="52">
        <v>0</v>
      </c>
      <c r="Y114" s="52">
        <v>0</v>
      </c>
      <c r="Z114" s="52">
        <v>0</v>
      </c>
      <c r="AA114" s="52">
        <v>0</v>
      </c>
      <c r="AB114" s="52">
        <v>0</v>
      </c>
      <c r="AC114" s="52">
        <v>0</v>
      </c>
      <c r="AD114" s="52">
        <v>0</v>
      </c>
      <c r="AE114" s="52">
        <v>0</v>
      </c>
      <c r="AF114" s="52">
        <v>0</v>
      </c>
      <c r="AG114" s="52">
        <v>0</v>
      </c>
      <c r="AH114" s="52">
        <v>0</v>
      </c>
      <c r="AI114" s="52">
        <v>0</v>
      </c>
      <c r="AJ114" s="52">
        <v>0</v>
      </c>
      <c r="AK114" s="52">
        <v>0</v>
      </c>
      <c r="AL114" s="52">
        <v>0</v>
      </c>
      <c r="AM114" s="52">
        <v>0</v>
      </c>
      <c r="AN114" s="52">
        <v>203.1</v>
      </c>
      <c r="AO114" s="52">
        <v>195.51436284090983</v>
      </c>
      <c r="AP114" s="52">
        <v>81.239999999999995</v>
      </c>
      <c r="AQ114" s="52">
        <v>0</v>
      </c>
      <c r="AR114" s="52">
        <v>0</v>
      </c>
      <c r="AS114" s="52">
        <v>0</v>
      </c>
      <c r="AT114" s="52">
        <v>0</v>
      </c>
      <c r="AU114" s="52">
        <v>0</v>
      </c>
      <c r="AV114" s="52">
        <v>0</v>
      </c>
      <c r="AW114" s="52">
        <v>0</v>
      </c>
      <c r="AX114" s="52">
        <v>0</v>
      </c>
      <c r="AY114" s="52">
        <v>0</v>
      </c>
      <c r="AZ114" s="52">
        <v>0</v>
      </c>
      <c r="BA114" s="52">
        <v>0</v>
      </c>
      <c r="BB114" s="52">
        <v>0</v>
      </c>
      <c r="BC114" s="52">
        <v>0</v>
      </c>
      <c r="BD114" s="52">
        <v>0</v>
      </c>
      <c r="BE114" s="52">
        <v>0</v>
      </c>
      <c r="BF114" s="52">
        <v>157.96449999999984</v>
      </c>
      <c r="BG114" s="52">
        <v>203.1</v>
      </c>
      <c r="BH114" s="52">
        <v>81.239999999999981</v>
      </c>
      <c r="BI114" s="52">
        <v>0</v>
      </c>
      <c r="BJ114" s="52">
        <v>0</v>
      </c>
      <c r="BK114" s="52">
        <v>0</v>
      </c>
      <c r="BL114" s="52">
        <v>0</v>
      </c>
      <c r="BM114" s="52">
        <v>0</v>
      </c>
      <c r="BN114" s="52">
        <v>0</v>
      </c>
      <c r="BO114" s="52">
        <v>0</v>
      </c>
      <c r="BP114" s="52">
        <v>0</v>
      </c>
      <c r="BQ114" s="52">
        <v>0</v>
      </c>
      <c r="BR114" s="52">
        <v>159.04934999999938</v>
      </c>
      <c r="BS114" s="52">
        <v>81.239999999999199</v>
      </c>
      <c r="BT114" s="52">
        <v>81.239999999999199</v>
      </c>
      <c r="BU114" s="52">
        <v>0</v>
      </c>
      <c r="BV114" s="52">
        <v>0</v>
      </c>
      <c r="BW114" s="52">
        <v>0</v>
      </c>
    </row>
    <row r="115" spans="1:75" x14ac:dyDescent="0.3">
      <c r="A115" s="8" t="s">
        <v>103</v>
      </c>
      <c r="B115" s="8" t="s">
        <v>8</v>
      </c>
      <c r="C115" s="8" t="s">
        <v>152</v>
      </c>
      <c r="D115" s="52">
        <v>60.159999999999719</v>
      </c>
      <c r="E115" s="52">
        <v>60.159999999999719</v>
      </c>
      <c r="F115" s="52">
        <v>60.159999999999719</v>
      </c>
      <c r="G115" s="52">
        <v>0</v>
      </c>
      <c r="H115" s="52">
        <v>0</v>
      </c>
      <c r="I115" s="52">
        <v>0</v>
      </c>
      <c r="J115" s="52">
        <v>0</v>
      </c>
      <c r="K115" s="52">
        <v>0</v>
      </c>
      <c r="L115" s="52">
        <v>0</v>
      </c>
      <c r="M115" s="52">
        <v>0</v>
      </c>
      <c r="N115" s="52">
        <v>0</v>
      </c>
      <c r="O115" s="52">
        <v>0</v>
      </c>
      <c r="P115" s="52">
        <v>150.4</v>
      </c>
      <c r="Q115" s="52">
        <v>150.4</v>
      </c>
      <c r="R115" s="52">
        <v>60.159999999999989</v>
      </c>
      <c r="S115" s="52">
        <v>0</v>
      </c>
      <c r="T115" s="52">
        <v>0</v>
      </c>
      <c r="U115" s="52">
        <v>0</v>
      </c>
      <c r="V115" s="52">
        <v>150.4</v>
      </c>
      <c r="W115" s="52">
        <v>80.136931785715021</v>
      </c>
      <c r="X115" s="52">
        <v>60.159999999999989</v>
      </c>
      <c r="Y115" s="52">
        <v>150.4</v>
      </c>
      <c r="Z115" s="52">
        <v>80.136931785715021</v>
      </c>
      <c r="AA115" s="52">
        <v>60.159999999999989</v>
      </c>
      <c r="AB115" s="52">
        <v>60.159999999999989</v>
      </c>
      <c r="AC115" s="52">
        <v>60.159999999999989</v>
      </c>
      <c r="AD115" s="52">
        <v>60.159999999999989</v>
      </c>
      <c r="AE115" s="52">
        <v>0</v>
      </c>
      <c r="AF115" s="52">
        <v>0</v>
      </c>
      <c r="AG115" s="52">
        <v>0</v>
      </c>
      <c r="AH115" s="52">
        <v>150.4</v>
      </c>
      <c r="AI115" s="52">
        <v>109.44897244897945</v>
      </c>
      <c r="AJ115" s="52">
        <v>60.159999999999812</v>
      </c>
      <c r="AK115" s="52">
        <v>0</v>
      </c>
      <c r="AL115" s="52">
        <v>0</v>
      </c>
      <c r="AM115" s="52">
        <v>0</v>
      </c>
      <c r="AN115" s="52">
        <v>0</v>
      </c>
      <c r="AO115" s="52">
        <v>0</v>
      </c>
      <c r="AP115" s="52">
        <v>0</v>
      </c>
      <c r="AQ115" s="52">
        <v>0</v>
      </c>
      <c r="AR115" s="52">
        <v>0</v>
      </c>
      <c r="AS115" s="52">
        <v>0</v>
      </c>
      <c r="AT115" s="52">
        <v>60.159999999999989</v>
      </c>
      <c r="AU115" s="52">
        <v>95.024329999999793</v>
      </c>
      <c r="AV115" s="52">
        <v>60.159999999999989</v>
      </c>
      <c r="AW115" s="52">
        <v>0</v>
      </c>
      <c r="AX115" s="52">
        <v>0</v>
      </c>
      <c r="AY115" s="52">
        <v>0</v>
      </c>
      <c r="AZ115" s="52">
        <v>0</v>
      </c>
      <c r="BA115" s="52">
        <v>0</v>
      </c>
      <c r="BB115" s="52">
        <v>0</v>
      </c>
      <c r="BC115" s="52">
        <v>0</v>
      </c>
      <c r="BD115" s="52">
        <v>0</v>
      </c>
      <c r="BE115" s="52">
        <v>0</v>
      </c>
      <c r="BF115" s="52">
        <v>0</v>
      </c>
      <c r="BG115" s="52">
        <v>0</v>
      </c>
      <c r="BH115" s="52">
        <v>0</v>
      </c>
      <c r="BI115" s="52">
        <v>0</v>
      </c>
      <c r="BJ115" s="52">
        <v>0</v>
      </c>
      <c r="BK115" s="52">
        <v>0</v>
      </c>
      <c r="BL115" s="52">
        <v>73.021229999999719</v>
      </c>
      <c r="BM115" s="52">
        <v>60.159999999999989</v>
      </c>
      <c r="BN115" s="52">
        <v>60.159999999999989</v>
      </c>
      <c r="BO115" s="52">
        <v>0</v>
      </c>
      <c r="BP115" s="52">
        <v>0</v>
      </c>
      <c r="BQ115" s="52">
        <v>0</v>
      </c>
      <c r="BR115" s="52">
        <v>150.4</v>
      </c>
      <c r="BS115" s="52">
        <v>60.159999999999989</v>
      </c>
      <c r="BT115" s="52">
        <v>60.159999999999989</v>
      </c>
      <c r="BU115" s="52">
        <v>0</v>
      </c>
      <c r="BV115" s="52">
        <v>0</v>
      </c>
      <c r="BW115" s="52">
        <v>0</v>
      </c>
    </row>
    <row r="116" spans="1:75" x14ac:dyDescent="0.3">
      <c r="A116" s="8" t="s">
        <v>103</v>
      </c>
      <c r="B116" s="8" t="s">
        <v>8</v>
      </c>
      <c r="C116" s="8" t="s">
        <v>151</v>
      </c>
      <c r="D116" s="52">
        <v>194.4</v>
      </c>
      <c r="E116" s="52">
        <v>194.4</v>
      </c>
      <c r="F116" s="52">
        <v>77.759999999999749</v>
      </c>
      <c r="G116" s="52">
        <v>194.4</v>
      </c>
      <c r="H116" s="52">
        <v>77.75999999999992</v>
      </c>
      <c r="I116" s="52">
        <v>77.75999999999992</v>
      </c>
      <c r="J116" s="52">
        <v>194.4</v>
      </c>
      <c r="K116" s="52">
        <v>169.31969000000035</v>
      </c>
      <c r="L116" s="52">
        <v>77.760000000000005</v>
      </c>
      <c r="M116" s="52">
        <v>194.4</v>
      </c>
      <c r="N116" s="52">
        <v>77.760000000000005</v>
      </c>
      <c r="O116" s="52">
        <v>77.760000000000005</v>
      </c>
      <c r="P116" s="52">
        <v>194.4</v>
      </c>
      <c r="Q116" s="52">
        <v>194.4</v>
      </c>
      <c r="R116" s="52">
        <v>77.760000000000005</v>
      </c>
      <c r="S116" s="52">
        <v>0</v>
      </c>
      <c r="T116" s="52">
        <v>0</v>
      </c>
      <c r="U116" s="52">
        <v>0</v>
      </c>
      <c r="V116" s="52">
        <v>77.760000000000005</v>
      </c>
      <c r="W116" s="52">
        <v>109.10170999999951</v>
      </c>
      <c r="X116" s="52">
        <v>77.760000000000005</v>
      </c>
      <c r="Y116" s="52">
        <v>0</v>
      </c>
      <c r="Z116" s="52">
        <v>0</v>
      </c>
      <c r="AA116" s="52">
        <v>0</v>
      </c>
      <c r="AB116" s="52">
        <v>90.051739999999597</v>
      </c>
      <c r="AC116" s="52">
        <v>77.759999999999906</v>
      </c>
      <c r="AD116" s="52">
        <v>77.759999999999906</v>
      </c>
      <c r="AE116" s="52">
        <v>0</v>
      </c>
      <c r="AF116" s="52">
        <v>0</v>
      </c>
      <c r="AG116" s="52">
        <v>0</v>
      </c>
      <c r="AH116" s="52">
        <v>0</v>
      </c>
      <c r="AI116" s="52">
        <v>0</v>
      </c>
      <c r="AJ116" s="52">
        <v>0</v>
      </c>
      <c r="AK116" s="52">
        <v>0</v>
      </c>
      <c r="AL116" s="52">
        <v>0</v>
      </c>
      <c r="AM116" s="52">
        <v>0</v>
      </c>
      <c r="AN116" s="52">
        <v>0</v>
      </c>
      <c r="AO116" s="52">
        <v>0</v>
      </c>
      <c r="AP116" s="52">
        <v>0</v>
      </c>
      <c r="AQ116" s="52">
        <v>0</v>
      </c>
      <c r="AR116" s="52">
        <v>0</v>
      </c>
      <c r="AS116" s="52">
        <v>0</v>
      </c>
      <c r="AT116" s="52">
        <v>194.4</v>
      </c>
      <c r="AU116" s="52">
        <v>194.4</v>
      </c>
      <c r="AV116" s="52">
        <v>77.760000000000005</v>
      </c>
      <c r="AW116" s="52">
        <v>194.4</v>
      </c>
      <c r="AX116" s="52">
        <v>194.4</v>
      </c>
      <c r="AY116" s="52">
        <v>77.760000000000005</v>
      </c>
      <c r="AZ116" s="52">
        <v>194.4</v>
      </c>
      <c r="BA116" s="52">
        <v>194.4</v>
      </c>
      <c r="BB116" s="52">
        <v>77.760000000000005</v>
      </c>
      <c r="BC116" s="52">
        <v>194.4</v>
      </c>
      <c r="BD116" s="52">
        <v>167.37789686714066</v>
      </c>
      <c r="BE116" s="52">
        <v>77.760000000000005</v>
      </c>
      <c r="BF116" s="52">
        <v>194.4</v>
      </c>
      <c r="BG116" s="52">
        <v>194.4</v>
      </c>
      <c r="BH116" s="52">
        <v>77.759999999999962</v>
      </c>
      <c r="BI116" s="52">
        <v>194.4</v>
      </c>
      <c r="BJ116" s="52">
        <v>176.86439999999982</v>
      </c>
      <c r="BK116" s="52">
        <v>77.759999999999962</v>
      </c>
      <c r="BL116" s="52">
        <v>194.4</v>
      </c>
      <c r="BM116" s="52">
        <v>77.75999999999982</v>
      </c>
      <c r="BN116" s="52">
        <v>77.75999999999982</v>
      </c>
      <c r="BO116" s="52">
        <v>0</v>
      </c>
      <c r="BP116" s="52">
        <v>0</v>
      </c>
      <c r="BQ116" s="52">
        <v>0</v>
      </c>
      <c r="BR116" s="52">
        <v>194.4</v>
      </c>
      <c r="BS116" s="52">
        <v>179.04374451872002</v>
      </c>
      <c r="BT116" s="52">
        <v>77.759999999999721</v>
      </c>
      <c r="BU116" s="52">
        <v>194.4</v>
      </c>
      <c r="BV116" s="52">
        <v>77.760000000000005</v>
      </c>
      <c r="BW116" s="52">
        <v>77.760000000000005</v>
      </c>
    </row>
    <row r="117" spans="1:75" x14ac:dyDescent="0.3">
      <c r="A117" s="8" t="s">
        <v>103</v>
      </c>
      <c r="B117" s="8" t="s">
        <v>8</v>
      </c>
      <c r="C117" s="8" t="s">
        <v>62</v>
      </c>
      <c r="D117" s="52">
        <v>500</v>
      </c>
      <c r="E117" s="52">
        <v>500</v>
      </c>
      <c r="F117" s="52">
        <v>500</v>
      </c>
      <c r="G117" s="52">
        <v>500</v>
      </c>
      <c r="H117" s="52">
        <v>500</v>
      </c>
      <c r="I117" s="52">
        <v>500</v>
      </c>
      <c r="J117" s="52">
        <v>500</v>
      </c>
      <c r="K117" s="52">
        <v>500</v>
      </c>
      <c r="L117" s="52">
        <v>500</v>
      </c>
      <c r="M117" s="52">
        <v>500</v>
      </c>
      <c r="N117" s="52">
        <v>500</v>
      </c>
      <c r="O117" s="52">
        <v>500</v>
      </c>
      <c r="P117" s="52">
        <v>500</v>
      </c>
      <c r="Q117" s="52">
        <v>500</v>
      </c>
      <c r="R117" s="52">
        <v>500</v>
      </c>
      <c r="S117" s="52">
        <v>500</v>
      </c>
      <c r="T117" s="52">
        <v>500</v>
      </c>
      <c r="U117" s="52">
        <v>500</v>
      </c>
      <c r="V117" s="52">
        <v>500</v>
      </c>
      <c r="W117" s="52">
        <v>500</v>
      </c>
      <c r="X117" s="52">
        <v>500</v>
      </c>
      <c r="Y117" s="52">
        <v>500</v>
      </c>
      <c r="Z117" s="52">
        <v>500</v>
      </c>
      <c r="AA117" s="52">
        <v>495.59644000000111</v>
      </c>
      <c r="AB117" s="52">
        <v>500</v>
      </c>
      <c r="AC117" s="52">
        <v>500</v>
      </c>
      <c r="AD117" s="52">
        <v>500</v>
      </c>
      <c r="AE117" s="52">
        <v>500</v>
      </c>
      <c r="AF117" s="52">
        <v>500</v>
      </c>
      <c r="AG117" s="52">
        <v>500</v>
      </c>
      <c r="AH117" s="52">
        <v>500</v>
      </c>
      <c r="AI117" s="52">
        <v>500</v>
      </c>
      <c r="AJ117" s="52">
        <v>500</v>
      </c>
      <c r="AK117" s="52">
        <v>500</v>
      </c>
      <c r="AL117" s="52">
        <v>500</v>
      </c>
      <c r="AM117" s="52">
        <v>500</v>
      </c>
      <c r="AN117" s="52">
        <v>500</v>
      </c>
      <c r="AO117" s="52">
        <v>500</v>
      </c>
      <c r="AP117" s="52">
        <v>500</v>
      </c>
      <c r="AQ117" s="52">
        <v>500</v>
      </c>
      <c r="AR117" s="52">
        <v>500</v>
      </c>
      <c r="AS117" s="52">
        <v>500</v>
      </c>
      <c r="AT117" s="52">
        <v>500</v>
      </c>
      <c r="AU117" s="52">
        <v>500</v>
      </c>
      <c r="AV117" s="52">
        <v>500</v>
      </c>
      <c r="AW117" s="52">
        <v>500</v>
      </c>
      <c r="AX117" s="52">
        <v>500</v>
      </c>
      <c r="AY117" s="52">
        <v>500</v>
      </c>
      <c r="AZ117" s="52">
        <v>500</v>
      </c>
      <c r="BA117" s="52">
        <v>500</v>
      </c>
      <c r="BB117" s="52">
        <v>500</v>
      </c>
      <c r="BC117" s="52">
        <v>500</v>
      </c>
      <c r="BD117" s="52">
        <v>500</v>
      </c>
      <c r="BE117" s="52">
        <v>500</v>
      </c>
      <c r="BF117" s="52">
        <v>500</v>
      </c>
      <c r="BG117" s="52">
        <v>500</v>
      </c>
      <c r="BH117" s="52">
        <v>486.23504672566401</v>
      </c>
      <c r="BI117" s="52">
        <v>500</v>
      </c>
      <c r="BJ117" s="52">
        <v>500</v>
      </c>
      <c r="BK117" s="52">
        <v>486.23504672566401</v>
      </c>
      <c r="BL117" s="52">
        <v>500</v>
      </c>
      <c r="BM117" s="52">
        <v>500</v>
      </c>
      <c r="BN117" s="52">
        <v>500</v>
      </c>
      <c r="BO117" s="52">
        <v>500</v>
      </c>
      <c r="BP117" s="52">
        <v>500</v>
      </c>
      <c r="BQ117" s="52">
        <v>500</v>
      </c>
      <c r="BR117" s="52">
        <v>500</v>
      </c>
      <c r="BS117" s="52">
        <v>500</v>
      </c>
      <c r="BT117" s="52">
        <v>500</v>
      </c>
      <c r="BU117" s="52">
        <v>500</v>
      </c>
      <c r="BV117" s="52">
        <v>500</v>
      </c>
      <c r="BW117" s="52">
        <v>500</v>
      </c>
    </row>
    <row r="118" spans="1:75" x14ac:dyDescent="0.3">
      <c r="A118" s="8" t="s">
        <v>103</v>
      </c>
      <c r="B118" s="8" t="s">
        <v>8</v>
      </c>
      <c r="C118" s="8" t="s">
        <v>63</v>
      </c>
      <c r="D118" s="52">
        <v>500</v>
      </c>
      <c r="E118" s="52">
        <v>500</v>
      </c>
      <c r="F118" s="52">
        <v>204.2927700000007</v>
      </c>
      <c r="G118" s="52">
        <v>500</v>
      </c>
      <c r="H118" s="52">
        <v>500</v>
      </c>
      <c r="I118" s="52">
        <v>152.6566066666669</v>
      </c>
      <c r="J118" s="52">
        <v>500</v>
      </c>
      <c r="K118" s="52">
        <v>500</v>
      </c>
      <c r="L118" s="52">
        <v>241.64257000000003</v>
      </c>
      <c r="M118" s="52">
        <v>500</v>
      </c>
      <c r="N118" s="52">
        <v>500</v>
      </c>
      <c r="O118" s="52">
        <v>158.28841999999921</v>
      </c>
      <c r="P118" s="52">
        <v>500</v>
      </c>
      <c r="Q118" s="52">
        <v>500</v>
      </c>
      <c r="R118" s="52">
        <v>143.50310330097105</v>
      </c>
      <c r="S118" s="52">
        <v>500</v>
      </c>
      <c r="T118" s="52">
        <v>500</v>
      </c>
      <c r="U118" s="52">
        <v>143.50310330097105</v>
      </c>
      <c r="V118" s="52">
        <v>442.59301000000005</v>
      </c>
      <c r="W118" s="52">
        <v>500</v>
      </c>
      <c r="X118" s="52">
        <v>100</v>
      </c>
      <c r="Y118" s="52">
        <v>0</v>
      </c>
      <c r="Z118" s="52">
        <v>0</v>
      </c>
      <c r="AA118" s="52">
        <v>0</v>
      </c>
      <c r="AB118" s="52">
        <v>500</v>
      </c>
      <c r="AC118" s="52">
        <v>500</v>
      </c>
      <c r="AD118" s="52">
        <v>294.14452999999997</v>
      </c>
      <c r="AE118" s="52">
        <v>500</v>
      </c>
      <c r="AF118" s="52">
        <v>500</v>
      </c>
      <c r="AG118" s="52">
        <v>294.14452999999997</v>
      </c>
      <c r="AH118" s="52">
        <v>500</v>
      </c>
      <c r="AI118" s="52">
        <v>500</v>
      </c>
      <c r="AJ118" s="52">
        <v>297.94966000000124</v>
      </c>
      <c r="AK118" s="52">
        <v>500</v>
      </c>
      <c r="AL118" s="52">
        <v>500</v>
      </c>
      <c r="AM118" s="52">
        <v>188.59923999999953</v>
      </c>
      <c r="AN118" s="52">
        <v>500</v>
      </c>
      <c r="AO118" s="52">
        <v>500</v>
      </c>
      <c r="AP118" s="52">
        <v>412.44593000000032</v>
      </c>
      <c r="AQ118" s="52">
        <v>500</v>
      </c>
      <c r="AR118" s="52">
        <v>500</v>
      </c>
      <c r="AS118" s="52">
        <v>412.44593000000032</v>
      </c>
      <c r="AT118" s="52">
        <v>491.00002999999873</v>
      </c>
      <c r="AU118" s="52">
        <v>500</v>
      </c>
      <c r="AV118" s="52">
        <v>162.73185000000009</v>
      </c>
      <c r="AW118" s="52">
        <v>0</v>
      </c>
      <c r="AX118" s="52">
        <v>0</v>
      </c>
      <c r="AY118" s="52">
        <v>0</v>
      </c>
      <c r="AZ118" s="52">
        <v>500</v>
      </c>
      <c r="BA118" s="52">
        <v>500</v>
      </c>
      <c r="BB118" s="52">
        <v>315.3129099999997</v>
      </c>
      <c r="BC118" s="52">
        <v>0</v>
      </c>
      <c r="BD118" s="52">
        <v>0</v>
      </c>
      <c r="BE118" s="52">
        <v>0</v>
      </c>
      <c r="BF118" s="52">
        <v>500</v>
      </c>
      <c r="BG118" s="52">
        <v>500</v>
      </c>
      <c r="BH118" s="52">
        <v>100</v>
      </c>
      <c r="BI118" s="52">
        <v>0</v>
      </c>
      <c r="BJ118" s="52">
        <v>0</v>
      </c>
      <c r="BK118" s="52">
        <v>0</v>
      </c>
      <c r="BL118" s="52">
        <v>500</v>
      </c>
      <c r="BM118" s="52">
        <v>500</v>
      </c>
      <c r="BN118" s="52">
        <v>184.44086000000036</v>
      </c>
      <c r="BO118" s="52">
        <v>500</v>
      </c>
      <c r="BP118" s="52">
        <v>500</v>
      </c>
      <c r="BQ118" s="52">
        <v>173.88261999999978</v>
      </c>
      <c r="BR118" s="52">
        <v>500</v>
      </c>
      <c r="BS118" s="52">
        <v>500</v>
      </c>
      <c r="BT118" s="52">
        <v>230.50934000000191</v>
      </c>
      <c r="BU118" s="52">
        <v>500</v>
      </c>
      <c r="BV118" s="52">
        <v>500</v>
      </c>
      <c r="BW118" s="52">
        <v>115.43895040816349</v>
      </c>
    </row>
    <row r="119" spans="1:75" x14ac:dyDescent="0.3">
      <c r="A119" s="8" t="s">
        <v>103</v>
      </c>
      <c r="B119" s="8" t="s">
        <v>8</v>
      </c>
      <c r="C119" s="8" t="s">
        <v>64</v>
      </c>
      <c r="D119" s="52">
        <v>500</v>
      </c>
      <c r="E119" s="52">
        <v>500</v>
      </c>
      <c r="F119" s="52">
        <v>100</v>
      </c>
      <c r="G119" s="52">
        <v>0</v>
      </c>
      <c r="H119" s="52">
        <v>0</v>
      </c>
      <c r="I119" s="52">
        <v>0</v>
      </c>
      <c r="J119" s="52">
        <v>500</v>
      </c>
      <c r="K119" s="52">
        <v>500</v>
      </c>
      <c r="L119" s="52">
        <v>100</v>
      </c>
      <c r="M119" s="52">
        <v>0</v>
      </c>
      <c r="N119" s="52">
        <v>0</v>
      </c>
      <c r="O119" s="52">
        <v>0</v>
      </c>
      <c r="P119" s="52">
        <v>0</v>
      </c>
      <c r="Q119" s="52">
        <v>0</v>
      </c>
      <c r="R119" s="52">
        <v>0</v>
      </c>
      <c r="S119" s="52">
        <v>0</v>
      </c>
      <c r="T119" s="52">
        <v>0</v>
      </c>
      <c r="U119" s="52">
        <v>0</v>
      </c>
      <c r="V119" s="52">
        <v>0</v>
      </c>
      <c r="W119" s="52">
        <v>0</v>
      </c>
      <c r="X119" s="52">
        <v>0</v>
      </c>
      <c r="Y119" s="52">
        <v>0</v>
      </c>
      <c r="Z119" s="52">
        <v>0</v>
      </c>
      <c r="AA119" s="52">
        <v>0</v>
      </c>
      <c r="AB119" s="52">
        <v>500</v>
      </c>
      <c r="AC119" s="52">
        <v>500</v>
      </c>
      <c r="AD119" s="52">
        <v>100</v>
      </c>
      <c r="AE119" s="52">
        <v>0</v>
      </c>
      <c r="AF119" s="52">
        <v>0</v>
      </c>
      <c r="AG119" s="52">
        <v>0</v>
      </c>
      <c r="AH119" s="52">
        <v>500</v>
      </c>
      <c r="AI119" s="52">
        <v>500</v>
      </c>
      <c r="AJ119" s="52">
        <v>100</v>
      </c>
      <c r="AK119" s="52">
        <v>0</v>
      </c>
      <c r="AL119" s="52">
        <v>0</v>
      </c>
      <c r="AM119" s="52">
        <v>0</v>
      </c>
      <c r="AN119" s="52">
        <v>500</v>
      </c>
      <c r="AO119" s="52">
        <v>500</v>
      </c>
      <c r="AP119" s="52">
        <v>100</v>
      </c>
      <c r="AQ119" s="52">
        <v>500</v>
      </c>
      <c r="AR119" s="52">
        <v>500</v>
      </c>
      <c r="AS119" s="52">
        <v>100</v>
      </c>
      <c r="AT119" s="52">
        <v>0</v>
      </c>
      <c r="AU119" s="52">
        <v>0</v>
      </c>
      <c r="AV119" s="52">
        <v>0</v>
      </c>
      <c r="AW119" s="52">
        <v>0</v>
      </c>
      <c r="AX119" s="52">
        <v>0</v>
      </c>
      <c r="AY119" s="52">
        <v>0</v>
      </c>
      <c r="AZ119" s="52">
        <v>500</v>
      </c>
      <c r="BA119" s="52">
        <v>500</v>
      </c>
      <c r="BB119" s="52">
        <v>308.80736545454579</v>
      </c>
      <c r="BC119" s="52">
        <v>500</v>
      </c>
      <c r="BD119" s="52">
        <v>500</v>
      </c>
      <c r="BE119" s="52">
        <v>308.80736545454579</v>
      </c>
      <c r="BF119" s="52">
        <v>0</v>
      </c>
      <c r="BG119" s="52">
        <v>0</v>
      </c>
      <c r="BH119" s="52">
        <v>0</v>
      </c>
      <c r="BI119" s="52">
        <v>0</v>
      </c>
      <c r="BJ119" s="52">
        <v>0</v>
      </c>
      <c r="BK119" s="52">
        <v>0</v>
      </c>
      <c r="BL119" s="52">
        <v>500</v>
      </c>
      <c r="BM119" s="52">
        <v>500</v>
      </c>
      <c r="BN119" s="52">
        <v>100</v>
      </c>
      <c r="BO119" s="52">
        <v>0</v>
      </c>
      <c r="BP119" s="52">
        <v>0</v>
      </c>
      <c r="BQ119" s="52">
        <v>0</v>
      </c>
      <c r="BR119" s="52">
        <v>500</v>
      </c>
      <c r="BS119" s="52">
        <v>500</v>
      </c>
      <c r="BT119" s="52">
        <v>100</v>
      </c>
      <c r="BU119" s="52">
        <v>0</v>
      </c>
      <c r="BV119" s="52">
        <v>0</v>
      </c>
      <c r="BW119" s="52">
        <v>0</v>
      </c>
    </row>
    <row r="120" spans="1:75" x14ac:dyDescent="0.3">
      <c r="A120" s="8" t="s">
        <v>103</v>
      </c>
      <c r="B120" s="8" t="s">
        <v>8</v>
      </c>
      <c r="C120" s="8" t="s">
        <v>65</v>
      </c>
      <c r="D120" s="52">
        <v>667.5</v>
      </c>
      <c r="E120" s="52">
        <v>667.5</v>
      </c>
      <c r="F120" s="52">
        <v>667.5</v>
      </c>
      <c r="G120" s="52">
        <v>667.5</v>
      </c>
      <c r="H120" s="52">
        <v>667.5</v>
      </c>
      <c r="I120" s="52">
        <v>667.5</v>
      </c>
      <c r="J120" s="52">
        <v>667.5</v>
      </c>
      <c r="K120" s="52">
        <v>667.5</v>
      </c>
      <c r="L120" s="52">
        <v>667.5</v>
      </c>
      <c r="M120" s="52">
        <v>667.5</v>
      </c>
      <c r="N120" s="52">
        <v>667.5</v>
      </c>
      <c r="O120" s="52">
        <v>667.5</v>
      </c>
      <c r="P120" s="52">
        <v>667.5</v>
      </c>
      <c r="Q120" s="52">
        <v>667.5</v>
      </c>
      <c r="R120" s="52">
        <v>667.5</v>
      </c>
      <c r="S120" s="52">
        <v>667.5</v>
      </c>
      <c r="T120" s="52">
        <v>667.5</v>
      </c>
      <c r="U120" s="52">
        <v>667.5</v>
      </c>
      <c r="V120" s="52">
        <v>667.5</v>
      </c>
      <c r="W120" s="52">
        <v>667.5</v>
      </c>
      <c r="X120" s="52">
        <v>667.5</v>
      </c>
      <c r="Y120" s="52">
        <v>667.5</v>
      </c>
      <c r="Z120" s="52">
        <v>667.5</v>
      </c>
      <c r="AA120" s="52">
        <v>667.5</v>
      </c>
      <c r="AB120" s="52">
        <v>667.5</v>
      </c>
      <c r="AC120" s="52">
        <v>667.5</v>
      </c>
      <c r="AD120" s="52">
        <v>667.5</v>
      </c>
      <c r="AE120" s="52">
        <v>667.5</v>
      </c>
      <c r="AF120" s="52">
        <v>667.5</v>
      </c>
      <c r="AG120" s="52">
        <v>667.5</v>
      </c>
      <c r="AH120" s="52">
        <v>667.5</v>
      </c>
      <c r="AI120" s="52">
        <v>667.5</v>
      </c>
      <c r="AJ120" s="52">
        <v>667.5</v>
      </c>
      <c r="AK120" s="52">
        <v>667.5</v>
      </c>
      <c r="AL120" s="52">
        <v>667.5</v>
      </c>
      <c r="AM120" s="52">
        <v>667.5</v>
      </c>
      <c r="AN120" s="52">
        <v>667.5</v>
      </c>
      <c r="AO120" s="52">
        <v>667.5</v>
      </c>
      <c r="AP120" s="52">
        <v>667.5</v>
      </c>
      <c r="AQ120" s="52">
        <v>667.5</v>
      </c>
      <c r="AR120" s="52">
        <v>667.5</v>
      </c>
      <c r="AS120" s="52">
        <v>667.5</v>
      </c>
      <c r="AT120" s="52">
        <v>667.5</v>
      </c>
      <c r="AU120" s="52">
        <v>667.5</v>
      </c>
      <c r="AV120" s="52">
        <v>667.5</v>
      </c>
      <c r="AW120" s="52">
        <v>667.5</v>
      </c>
      <c r="AX120" s="52">
        <v>667.5</v>
      </c>
      <c r="AY120" s="52">
        <v>667.5</v>
      </c>
      <c r="AZ120" s="52">
        <v>667.5</v>
      </c>
      <c r="BA120" s="52">
        <v>667.5</v>
      </c>
      <c r="BB120" s="52">
        <v>667.5</v>
      </c>
      <c r="BC120" s="52">
        <v>667.5</v>
      </c>
      <c r="BD120" s="52">
        <v>667.5</v>
      </c>
      <c r="BE120" s="52">
        <v>667.5</v>
      </c>
      <c r="BF120" s="52">
        <v>667.5</v>
      </c>
      <c r="BG120" s="52">
        <v>667.5</v>
      </c>
      <c r="BH120" s="52">
        <v>667.5</v>
      </c>
      <c r="BI120" s="52">
        <v>667.5</v>
      </c>
      <c r="BJ120" s="52">
        <v>667.5</v>
      </c>
      <c r="BK120" s="52">
        <v>667.5</v>
      </c>
      <c r="BL120" s="52">
        <v>667.5</v>
      </c>
      <c r="BM120" s="52">
        <v>667.5</v>
      </c>
      <c r="BN120" s="52">
        <v>667.5</v>
      </c>
      <c r="BO120" s="52">
        <v>667.5</v>
      </c>
      <c r="BP120" s="52">
        <v>667.5</v>
      </c>
      <c r="BQ120" s="52">
        <v>667.5</v>
      </c>
      <c r="BR120" s="52">
        <v>667.5</v>
      </c>
      <c r="BS120" s="52">
        <v>667.5</v>
      </c>
      <c r="BT120" s="52">
        <v>667.5</v>
      </c>
      <c r="BU120" s="52">
        <v>667.5</v>
      </c>
      <c r="BV120" s="52">
        <v>667.5</v>
      </c>
      <c r="BW120" s="52">
        <v>667.5</v>
      </c>
    </row>
    <row r="121" spans="1:75" x14ac:dyDescent="0.3">
      <c r="A121" s="8" t="s">
        <v>103</v>
      </c>
      <c r="B121" s="8" t="s">
        <v>8</v>
      </c>
      <c r="C121" s="8" t="s">
        <v>66</v>
      </c>
      <c r="D121" s="52">
        <v>0</v>
      </c>
      <c r="E121" s="52">
        <v>0</v>
      </c>
      <c r="F121" s="52">
        <v>0</v>
      </c>
      <c r="G121" s="52">
        <v>0</v>
      </c>
      <c r="H121" s="52">
        <v>0</v>
      </c>
      <c r="I121" s="52">
        <v>0</v>
      </c>
      <c r="J121" s="52">
        <v>0</v>
      </c>
      <c r="K121" s="52">
        <v>0</v>
      </c>
      <c r="L121" s="52">
        <v>0</v>
      </c>
      <c r="M121" s="52">
        <v>0</v>
      </c>
      <c r="N121" s="52">
        <v>0</v>
      </c>
      <c r="O121" s="52">
        <v>0</v>
      </c>
      <c r="P121" s="52">
        <v>0</v>
      </c>
      <c r="Q121" s="52">
        <v>0</v>
      </c>
      <c r="R121" s="52">
        <v>0</v>
      </c>
      <c r="S121" s="52">
        <v>0</v>
      </c>
      <c r="T121" s="52">
        <v>0</v>
      </c>
      <c r="U121" s="52">
        <v>0</v>
      </c>
      <c r="V121" s="52">
        <v>0</v>
      </c>
      <c r="W121" s="52">
        <v>0</v>
      </c>
      <c r="X121" s="52">
        <v>0</v>
      </c>
      <c r="Y121" s="52">
        <v>0</v>
      </c>
      <c r="Z121" s="52">
        <v>0</v>
      </c>
      <c r="AA121" s="52">
        <v>0</v>
      </c>
      <c r="AB121" s="52">
        <v>0</v>
      </c>
      <c r="AC121" s="52">
        <v>0</v>
      </c>
      <c r="AD121" s="52">
        <v>0</v>
      </c>
      <c r="AE121" s="52">
        <v>0</v>
      </c>
      <c r="AF121" s="52">
        <v>0</v>
      </c>
      <c r="AG121" s="52">
        <v>0</v>
      </c>
      <c r="AH121" s="52">
        <v>0</v>
      </c>
      <c r="AI121" s="52">
        <v>0</v>
      </c>
      <c r="AJ121" s="52">
        <v>0</v>
      </c>
      <c r="AK121" s="52">
        <v>0</v>
      </c>
      <c r="AL121" s="52">
        <v>0</v>
      </c>
      <c r="AM121" s="52">
        <v>0</v>
      </c>
      <c r="AN121" s="52">
        <v>0</v>
      </c>
      <c r="AO121" s="52">
        <v>0</v>
      </c>
      <c r="AP121" s="52">
        <v>0</v>
      </c>
      <c r="AQ121" s="52">
        <v>0</v>
      </c>
      <c r="AR121" s="52">
        <v>0</v>
      </c>
      <c r="AS121" s="52">
        <v>0</v>
      </c>
      <c r="AT121" s="52">
        <v>0</v>
      </c>
      <c r="AU121" s="52">
        <v>0</v>
      </c>
      <c r="AV121" s="52">
        <v>0</v>
      </c>
      <c r="AW121" s="52">
        <v>0</v>
      </c>
      <c r="AX121" s="52">
        <v>0</v>
      </c>
      <c r="AY121" s="52">
        <v>0</v>
      </c>
      <c r="AZ121" s="52">
        <v>0</v>
      </c>
      <c r="BA121" s="52">
        <v>0</v>
      </c>
      <c r="BB121" s="52">
        <v>0</v>
      </c>
      <c r="BC121" s="52">
        <v>0</v>
      </c>
      <c r="BD121" s="52">
        <v>0</v>
      </c>
      <c r="BE121" s="52">
        <v>0</v>
      </c>
      <c r="BF121" s="52">
        <v>0</v>
      </c>
      <c r="BG121" s="52">
        <v>0</v>
      </c>
      <c r="BH121" s="52">
        <v>0</v>
      </c>
      <c r="BI121" s="52">
        <v>0</v>
      </c>
      <c r="BJ121" s="52">
        <v>0</v>
      </c>
      <c r="BK121" s="52">
        <v>0</v>
      </c>
      <c r="BL121" s="52">
        <v>0</v>
      </c>
      <c r="BM121" s="52">
        <v>0</v>
      </c>
      <c r="BN121" s="52">
        <v>0</v>
      </c>
      <c r="BO121" s="52">
        <v>0</v>
      </c>
      <c r="BP121" s="52">
        <v>0</v>
      </c>
      <c r="BQ121" s="52">
        <v>0</v>
      </c>
      <c r="BR121" s="52">
        <v>0</v>
      </c>
      <c r="BS121" s="52">
        <v>0</v>
      </c>
      <c r="BT121" s="52">
        <v>0</v>
      </c>
      <c r="BU121" s="52">
        <v>0</v>
      </c>
      <c r="BV121" s="52">
        <v>0</v>
      </c>
      <c r="BW121" s="52">
        <v>0</v>
      </c>
    </row>
    <row r="122" spans="1:75" x14ac:dyDescent="0.3">
      <c r="A122" s="8" t="s">
        <v>103</v>
      </c>
      <c r="B122" s="8" t="s">
        <v>8</v>
      </c>
      <c r="C122" s="8" t="s">
        <v>67</v>
      </c>
      <c r="D122" s="52">
        <v>0</v>
      </c>
      <c r="E122" s="52">
        <v>0</v>
      </c>
      <c r="F122" s="52">
        <v>0</v>
      </c>
      <c r="G122" s="52">
        <v>0</v>
      </c>
      <c r="H122" s="52">
        <v>0</v>
      </c>
      <c r="I122" s="52">
        <v>0</v>
      </c>
      <c r="J122" s="52">
        <v>0</v>
      </c>
      <c r="K122" s="52">
        <v>0</v>
      </c>
      <c r="L122" s="52">
        <v>0</v>
      </c>
      <c r="M122" s="52">
        <v>0</v>
      </c>
      <c r="N122" s="52">
        <v>0</v>
      </c>
      <c r="O122" s="52">
        <v>0</v>
      </c>
      <c r="P122" s="52">
        <v>0</v>
      </c>
      <c r="Q122" s="52">
        <v>0</v>
      </c>
      <c r="R122" s="52">
        <v>0</v>
      </c>
      <c r="S122" s="52">
        <v>0</v>
      </c>
      <c r="T122" s="52">
        <v>0</v>
      </c>
      <c r="U122" s="52">
        <v>0</v>
      </c>
      <c r="V122" s="52">
        <v>0</v>
      </c>
      <c r="W122" s="52">
        <v>0</v>
      </c>
      <c r="X122" s="52">
        <v>0</v>
      </c>
      <c r="Y122" s="52">
        <v>0</v>
      </c>
      <c r="Z122" s="52">
        <v>0</v>
      </c>
      <c r="AA122" s="52">
        <v>0</v>
      </c>
      <c r="AB122" s="52">
        <v>0</v>
      </c>
      <c r="AC122" s="52">
        <v>0</v>
      </c>
      <c r="AD122" s="52">
        <v>0</v>
      </c>
      <c r="AE122" s="52">
        <v>0</v>
      </c>
      <c r="AF122" s="52">
        <v>0</v>
      </c>
      <c r="AG122" s="52">
        <v>0</v>
      </c>
      <c r="AH122" s="52">
        <v>0</v>
      </c>
      <c r="AI122" s="52">
        <v>0</v>
      </c>
      <c r="AJ122" s="52">
        <v>0</v>
      </c>
      <c r="AK122" s="52">
        <v>0</v>
      </c>
      <c r="AL122" s="52">
        <v>0</v>
      </c>
      <c r="AM122" s="52">
        <v>0</v>
      </c>
      <c r="AN122" s="52">
        <v>0</v>
      </c>
      <c r="AO122" s="52">
        <v>0</v>
      </c>
      <c r="AP122" s="52">
        <v>0</v>
      </c>
      <c r="AQ122" s="52">
        <v>0</v>
      </c>
      <c r="AR122" s="52">
        <v>0</v>
      </c>
      <c r="AS122" s="52">
        <v>0</v>
      </c>
      <c r="AT122" s="52">
        <v>0</v>
      </c>
      <c r="AU122" s="52">
        <v>0</v>
      </c>
      <c r="AV122" s="52">
        <v>0</v>
      </c>
      <c r="AW122" s="52">
        <v>0</v>
      </c>
      <c r="AX122" s="52">
        <v>0</v>
      </c>
      <c r="AY122" s="52">
        <v>0</v>
      </c>
      <c r="AZ122" s="52">
        <v>6.2849200000006933</v>
      </c>
      <c r="BA122" s="52">
        <v>0</v>
      </c>
      <c r="BB122" s="52">
        <v>0</v>
      </c>
      <c r="BC122" s="52">
        <v>0</v>
      </c>
      <c r="BD122" s="52">
        <v>0</v>
      </c>
      <c r="BE122" s="52">
        <v>0</v>
      </c>
      <c r="BF122" s="52">
        <v>0</v>
      </c>
      <c r="BG122" s="52">
        <v>0</v>
      </c>
      <c r="BH122" s="52">
        <v>0</v>
      </c>
      <c r="BI122" s="52">
        <v>0</v>
      </c>
      <c r="BJ122" s="52">
        <v>0</v>
      </c>
      <c r="BK122" s="52">
        <v>0</v>
      </c>
      <c r="BL122" s="52">
        <v>0</v>
      </c>
      <c r="BM122" s="52">
        <v>0</v>
      </c>
      <c r="BN122" s="52">
        <v>0</v>
      </c>
      <c r="BO122" s="52">
        <v>0</v>
      </c>
      <c r="BP122" s="52">
        <v>0</v>
      </c>
      <c r="BQ122" s="52">
        <v>0</v>
      </c>
      <c r="BR122" s="52">
        <v>0</v>
      </c>
      <c r="BS122" s="52">
        <v>0</v>
      </c>
      <c r="BT122" s="52">
        <v>0</v>
      </c>
      <c r="BU122" s="52">
        <v>0</v>
      </c>
      <c r="BV122" s="52">
        <v>0</v>
      </c>
      <c r="BW122" s="52">
        <v>0</v>
      </c>
    </row>
    <row r="123" spans="1:75" x14ac:dyDescent="0.3">
      <c r="A123" s="8" t="s">
        <v>103</v>
      </c>
      <c r="B123" s="8" t="s">
        <v>8</v>
      </c>
      <c r="C123" s="8" t="s">
        <v>68</v>
      </c>
      <c r="D123" s="52">
        <v>0</v>
      </c>
      <c r="E123" s="52">
        <v>0</v>
      </c>
      <c r="F123" s="52">
        <v>0</v>
      </c>
      <c r="G123" s="52">
        <v>0</v>
      </c>
      <c r="H123" s="52">
        <v>0</v>
      </c>
      <c r="I123" s="52">
        <v>0</v>
      </c>
      <c r="J123" s="52">
        <v>0</v>
      </c>
      <c r="K123" s="52">
        <v>0</v>
      </c>
      <c r="L123" s="52">
        <v>0</v>
      </c>
      <c r="M123" s="52">
        <v>0</v>
      </c>
      <c r="N123" s="52">
        <v>0</v>
      </c>
      <c r="O123" s="52">
        <v>0</v>
      </c>
      <c r="P123" s="52">
        <v>0</v>
      </c>
      <c r="Q123" s="52">
        <v>0</v>
      </c>
      <c r="R123" s="52">
        <v>0</v>
      </c>
      <c r="S123" s="52">
        <v>0</v>
      </c>
      <c r="T123" s="52">
        <v>0</v>
      </c>
      <c r="U123" s="52">
        <v>0</v>
      </c>
      <c r="V123" s="52">
        <v>0</v>
      </c>
      <c r="W123" s="52">
        <v>0</v>
      </c>
      <c r="X123" s="52">
        <v>0</v>
      </c>
      <c r="Y123" s="52">
        <v>0</v>
      </c>
      <c r="Z123" s="52">
        <v>0</v>
      </c>
      <c r="AA123" s="52">
        <v>0</v>
      </c>
      <c r="AB123" s="52">
        <v>0</v>
      </c>
      <c r="AC123" s="52">
        <v>0</v>
      </c>
      <c r="AD123" s="52">
        <v>0</v>
      </c>
      <c r="AE123" s="52">
        <v>0</v>
      </c>
      <c r="AF123" s="52">
        <v>0</v>
      </c>
      <c r="AG123" s="52">
        <v>0</v>
      </c>
      <c r="AH123" s="52">
        <v>0</v>
      </c>
      <c r="AI123" s="52">
        <v>0</v>
      </c>
      <c r="AJ123" s="52">
        <v>0</v>
      </c>
      <c r="AK123" s="52">
        <v>0</v>
      </c>
      <c r="AL123" s="52">
        <v>0</v>
      </c>
      <c r="AM123" s="52">
        <v>0</v>
      </c>
      <c r="AN123" s="52">
        <v>0</v>
      </c>
      <c r="AO123" s="52">
        <v>0</v>
      </c>
      <c r="AP123" s="52">
        <v>0</v>
      </c>
      <c r="AQ123" s="52">
        <v>0</v>
      </c>
      <c r="AR123" s="52">
        <v>0</v>
      </c>
      <c r="AS123" s="52">
        <v>0</v>
      </c>
      <c r="AT123" s="52">
        <v>0</v>
      </c>
      <c r="AU123" s="52">
        <v>0</v>
      </c>
      <c r="AV123" s="52">
        <v>0</v>
      </c>
      <c r="AW123" s="52">
        <v>0</v>
      </c>
      <c r="AX123" s="52">
        <v>0</v>
      </c>
      <c r="AY123" s="52">
        <v>0</v>
      </c>
      <c r="AZ123" s="52">
        <v>0</v>
      </c>
      <c r="BA123" s="52">
        <v>0</v>
      </c>
      <c r="BB123" s="52">
        <v>0</v>
      </c>
      <c r="BC123" s="52">
        <v>0</v>
      </c>
      <c r="BD123" s="52">
        <v>0</v>
      </c>
      <c r="BE123" s="52">
        <v>0</v>
      </c>
      <c r="BF123" s="52">
        <v>0</v>
      </c>
      <c r="BG123" s="52">
        <v>0</v>
      </c>
      <c r="BH123" s="52">
        <v>0</v>
      </c>
      <c r="BI123" s="52">
        <v>0</v>
      </c>
      <c r="BJ123" s="52">
        <v>0</v>
      </c>
      <c r="BK123" s="52">
        <v>0</v>
      </c>
      <c r="BL123" s="52">
        <v>0</v>
      </c>
      <c r="BM123" s="52">
        <v>0</v>
      </c>
      <c r="BN123" s="52">
        <v>0</v>
      </c>
      <c r="BO123" s="52">
        <v>0</v>
      </c>
      <c r="BP123" s="52">
        <v>0</v>
      </c>
      <c r="BQ123" s="52">
        <v>0</v>
      </c>
      <c r="BR123" s="52">
        <v>0</v>
      </c>
      <c r="BS123" s="52">
        <v>0</v>
      </c>
      <c r="BT123" s="52">
        <v>0</v>
      </c>
      <c r="BU123" s="52">
        <v>0</v>
      </c>
      <c r="BV123" s="52">
        <v>0</v>
      </c>
      <c r="BW123" s="52">
        <v>0</v>
      </c>
    </row>
    <row r="124" spans="1:75" x14ac:dyDescent="0.3">
      <c r="A124" s="8" t="s">
        <v>103</v>
      </c>
      <c r="B124" s="8" t="s">
        <v>8</v>
      </c>
      <c r="C124" s="8" t="s">
        <v>69</v>
      </c>
      <c r="D124" s="52">
        <v>0</v>
      </c>
      <c r="E124" s="52">
        <v>0</v>
      </c>
      <c r="F124" s="52">
        <v>0</v>
      </c>
      <c r="G124" s="52">
        <v>0</v>
      </c>
      <c r="H124" s="52">
        <v>0</v>
      </c>
      <c r="I124" s="52">
        <v>0</v>
      </c>
      <c r="J124" s="52">
        <v>0</v>
      </c>
      <c r="K124" s="52">
        <v>0</v>
      </c>
      <c r="L124" s="52">
        <v>0</v>
      </c>
      <c r="M124" s="52">
        <v>0</v>
      </c>
      <c r="N124" s="52">
        <v>0</v>
      </c>
      <c r="O124" s="52">
        <v>0</v>
      </c>
      <c r="P124" s="52">
        <v>0</v>
      </c>
      <c r="Q124" s="52">
        <v>0</v>
      </c>
      <c r="R124" s="52">
        <v>0</v>
      </c>
      <c r="S124" s="52">
        <v>0</v>
      </c>
      <c r="T124" s="52">
        <v>0</v>
      </c>
      <c r="U124" s="52">
        <v>0</v>
      </c>
      <c r="V124" s="52">
        <v>0</v>
      </c>
      <c r="W124" s="52">
        <v>0</v>
      </c>
      <c r="X124" s="52">
        <v>0</v>
      </c>
      <c r="Y124" s="52">
        <v>0</v>
      </c>
      <c r="Z124" s="52">
        <v>0</v>
      </c>
      <c r="AA124" s="52">
        <v>0</v>
      </c>
      <c r="AB124" s="52">
        <v>0</v>
      </c>
      <c r="AC124" s="52">
        <v>0</v>
      </c>
      <c r="AD124" s="52">
        <v>0</v>
      </c>
      <c r="AE124" s="52">
        <v>0</v>
      </c>
      <c r="AF124" s="52">
        <v>0</v>
      </c>
      <c r="AG124" s="52">
        <v>0</v>
      </c>
      <c r="AH124" s="52">
        <v>0</v>
      </c>
      <c r="AI124" s="52">
        <v>0</v>
      </c>
      <c r="AJ124" s="52">
        <v>0</v>
      </c>
      <c r="AK124" s="52">
        <v>0</v>
      </c>
      <c r="AL124" s="52">
        <v>0</v>
      </c>
      <c r="AM124" s="52">
        <v>0</v>
      </c>
      <c r="AN124" s="52">
        <v>0</v>
      </c>
      <c r="AO124" s="52">
        <v>0</v>
      </c>
      <c r="AP124" s="52">
        <v>0</v>
      </c>
      <c r="AQ124" s="52">
        <v>0</v>
      </c>
      <c r="AR124" s="52">
        <v>0</v>
      </c>
      <c r="AS124" s="52">
        <v>0</v>
      </c>
      <c r="AT124" s="52">
        <v>0</v>
      </c>
      <c r="AU124" s="52">
        <v>0</v>
      </c>
      <c r="AV124" s="52">
        <v>0</v>
      </c>
      <c r="AW124" s="52">
        <v>0</v>
      </c>
      <c r="AX124" s="52">
        <v>0</v>
      </c>
      <c r="AY124" s="52">
        <v>0</v>
      </c>
      <c r="AZ124" s="52">
        <v>0</v>
      </c>
      <c r="BA124" s="52">
        <v>0</v>
      </c>
      <c r="BB124" s="52">
        <v>0</v>
      </c>
      <c r="BC124" s="52">
        <v>0</v>
      </c>
      <c r="BD124" s="52">
        <v>0</v>
      </c>
      <c r="BE124" s="52">
        <v>0</v>
      </c>
      <c r="BF124" s="52">
        <v>0</v>
      </c>
      <c r="BG124" s="52">
        <v>0</v>
      </c>
      <c r="BH124" s="52">
        <v>0</v>
      </c>
      <c r="BI124" s="52">
        <v>0</v>
      </c>
      <c r="BJ124" s="52">
        <v>0</v>
      </c>
      <c r="BK124" s="52">
        <v>0</v>
      </c>
      <c r="BL124" s="52">
        <v>0</v>
      </c>
      <c r="BM124" s="52">
        <v>0</v>
      </c>
      <c r="BN124" s="52">
        <v>0</v>
      </c>
      <c r="BO124" s="52">
        <v>0</v>
      </c>
      <c r="BP124" s="52">
        <v>0</v>
      </c>
      <c r="BQ124" s="52">
        <v>0</v>
      </c>
      <c r="BR124" s="52">
        <v>0</v>
      </c>
      <c r="BS124" s="52">
        <v>0</v>
      </c>
      <c r="BT124" s="52">
        <v>0</v>
      </c>
      <c r="BU124" s="52">
        <v>0</v>
      </c>
      <c r="BV124" s="52">
        <v>0</v>
      </c>
      <c r="BW124" s="52">
        <v>0</v>
      </c>
    </row>
    <row r="125" spans="1:75" x14ac:dyDescent="0.3">
      <c r="A125" s="8" t="s">
        <v>103</v>
      </c>
      <c r="B125" s="8" t="s">
        <v>8</v>
      </c>
      <c r="C125" s="8" t="s">
        <v>27</v>
      </c>
      <c r="D125" s="52">
        <v>150</v>
      </c>
      <c r="E125" s="52">
        <v>150</v>
      </c>
      <c r="F125" s="52">
        <v>150</v>
      </c>
      <c r="G125" s="52">
        <v>150</v>
      </c>
      <c r="H125" s="52">
        <v>150</v>
      </c>
      <c r="I125" s="52">
        <v>67.333333333333471</v>
      </c>
      <c r="J125" s="52">
        <v>150</v>
      </c>
      <c r="K125" s="52">
        <v>150</v>
      </c>
      <c r="L125" s="52">
        <v>150</v>
      </c>
      <c r="M125" s="52">
        <v>150</v>
      </c>
      <c r="N125" s="52">
        <v>150</v>
      </c>
      <c r="O125" s="52">
        <v>87.000000000000242</v>
      </c>
      <c r="P125" s="52">
        <v>150</v>
      </c>
      <c r="Q125" s="52">
        <v>150</v>
      </c>
      <c r="R125" s="52">
        <v>142.57517669902919</v>
      </c>
      <c r="S125" s="52">
        <v>150</v>
      </c>
      <c r="T125" s="52">
        <v>150</v>
      </c>
      <c r="U125" s="52">
        <v>105.89409669902925</v>
      </c>
      <c r="V125" s="52">
        <v>150</v>
      </c>
      <c r="W125" s="52">
        <v>150</v>
      </c>
      <c r="X125" s="52">
        <v>62.788230000000041</v>
      </c>
      <c r="Y125" s="52">
        <v>150</v>
      </c>
      <c r="Z125" s="52">
        <v>150</v>
      </c>
      <c r="AA125" s="52">
        <v>54.703139999999962</v>
      </c>
      <c r="AB125" s="52">
        <v>150</v>
      </c>
      <c r="AC125" s="52">
        <v>150</v>
      </c>
      <c r="AD125" s="52">
        <v>0</v>
      </c>
      <c r="AE125" s="52">
        <v>150</v>
      </c>
      <c r="AF125" s="52">
        <v>144.4615384615384</v>
      </c>
      <c r="AG125" s="52">
        <v>0</v>
      </c>
      <c r="AH125" s="52">
        <v>150</v>
      </c>
      <c r="AI125" s="52">
        <v>119.69387755102044</v>
      </c>
      <c r="AJ125" s="52">
        <v>0</v>
      </c>
      <c r="AK125" s="52">
        <v>150</v>
      </c>
      <c r="AL125" s="52">
        <v>0</v>
      </c>
      <c r="AM125" s="52">
        <v>0</v>
      </c>
      <c r="AN125" s="52">
        <v>150</v>
      </c>
      <c r="AO125" s="52">
        <v>125.84552715909086</v>
      </c>
      <c r="AP125" s="52">
        <v>0</v>
      </c>
      <c r="AQ125" s="52">
        <v>142.39929000000046</v>
      </c>
      <c r="AR125" s="52">
        <v>0</v>
      </c>
      <c r="AS125" s="52">
        <v>0</v>
      </c>
      <c r="AT125" s="52">
        <v>134.17978000000107</v>
      </c>
      <c r="AU125" s="52">
        <v>92.566323543689023</v>
      </c>
      <c r="AV125" s="52">
        <v>0</v>
      </c>
      <c r="AW125" s="52">
        <v>134.17978000000107</v>
      </c>
      <c r="AX125" s="52">
        <v>92.566323543689023</v>
      </c>
      <c r="AY125" s="52">
        <v>0</v>
      </c>
      <c r="AZ125" s="52">
        <v>150</v>
      </c>
      <c r="BA125" s="52">
        <v>150</v>
      </c>
      <c r="BB125" s="52">
        <v>12.545454545454541</v>
      </c>
      <c r="BC125" s="52">
        <v>150</v>
      </c>
      <c r="BD125" s="52">
        <v>150</v>
      </c>
      <c r="BE125" s="52">
        <v>12.545454545454541</v>
      </c>
      <c r="BF125" s="52">
        <v>150</v>
      </c>
      <c r="BG125" s="52">
        <v>150</v>
      </c>
      <c r="BH125" s="52">
        <v>78.833473274336257</v>
      </c>
      <c r="BI125" s="52">
        <v>150</v>
      </c>
      <c r="BJ125" s="52">
        <v>150</v>
      </c>
      <c r="BK125" s="52">
        <v>54.217293274336207</v>
      </c>
      <c r="BL125" s="52">
        <v>150</v>
      </c>
      <c r="BM125" s="52">
        <v>150</v>
      </c>
      <c r="BN125" s="52">
        <v>150</v>
      </c>
      <c r="BO125" s="52">
        <v>150</v>
      </c>
      <c r="BP125" s="52">
        <v>150</v>
      </c>
      <c r="BQ125" s="52">
        <v>90.000000000000142</v>
      </c>
      <c r="BR125" s="52">
        <v>150</v>
      </c>
      <c r="BS125" s="52">
        <v>150</v>
      </c>
      <c r="BT125" s="52">
        <v>150</v>
      </c>
      <c r="BU125" s="52">
        <v>150</v>
      </c>
      <c r="BV125" s="52">
        <v>150</v>
      </c>
      <c r="BW125" s="52">
        <v>104.44897959183683</v>
      </c>
    </row>
    <row r="126" spans="1:75" x14ac:dyDescent="0.3">
      <c r="A126" s="8" t="s">
        <v>103</v>
      </c>
      <c r="B126" s="8" t="s">
        <v>8</v>
      </c>
      <c r="C126" s="8" t="s">
        <v>144</v>
      </c>
      <c r="D126" s="52">
        <v>200</v>
      </c>
      <c r="E126" s="52">
        <v>0</v>
      </c>
      <c r="F126" s="52">
        <v>0</v>
      </c>
      <c r="G126" s="52">
        <v>200</v>
      </c>
      <c r="H126" s="52">
        <v>0</v>
      </c>
      <c r="I126" s="52">
        <v>0</v>
      </c>
      <c r="J126" s="52">
        <v>200</v>
      </c>
      <c r="K126" s="52">
        <v>0</v>
      </c>
      <c r="L126" s="52">
        <v>0</v>
      </c>
      <c r="M126" s="52">
        <v>200</v>
      </c>
      <c r="N126" s="52">
        <v>0</v>
      </c>
      <c r="O126" s="52">
        <v>0</v>
      </c>
      <c r="P126" s="52">
        <v>200</v>
      </c>
      <c r="Q126" s="52">
        <v>74.350258503401221</v>
      </c>
      <c r="R126" s="52">
        <v>0</v>
      </c>
      <c r="S126" s="52">
        <v>200</v>
      </c>
      <c r="T126" s="52">
        <v>0</v>
      </c>
      <c r="U126" s="52">
        <v>0</v>
      </c>
      <c r="V126" s="52">
        <v>200</v>
      </c>
      <c r="W126" s="52">
        <v>103.35811821428561</v>
      </c>
      <c r="X126" s="52">
        <v>0</v>
      </c>
      <c r="Y126" s="52">
        <v>200</v>
      </c>
      <c r="Z126" s="52">
        <v>103.35811821428561</v>
      </c>
      <c r="AA126" s="52">
        <v>0</v>
      </c>
      <c r="AB126" s="52">
        <v>182.28889000000026</v>
      </c>
      <c r="AC126" s="52">
        <v>0</v>
      </c>
      <c r="AD126" s="52">
        <v>0</v>
      </c>
      <c r="AE126" s="52">
        <v>182.28889000000026</v>
      </c>
      <c r="AF126" s="52">
        <v>0</v>
      </c>
      <c r="AG126" s="52">
        <v>0</v>
      </c>
      <c r="AH126" s="52">
        <v>200</v>
      </c>
      <c r="AI126" s="52">
        <v>0</v>
      </c>
      <c r="AJ126" s="52">
        <v>0</v>
      </c>
      <c r="AK126" s="52">
        <v>142.84608000000031</v>
      </c>
      <c r="AL126" s="52">
        <v>0</v>
      </c>
      <c r="AM126" s="52">
        <v>0</v>
      </c>
      <c r="AN126" s="52">
        <v>141.20844999999949</v>
      </c>
      <c r="AO126" s="52">
        <v>0</v>
      </c>
      <c r="AP126" s="52">
        <v>0</v>
      </c>
      <c r="AQ126" s="52">
        <v>0</v>
      </c>
      <c r="AR126" s="52">
        <v>0</v>
      </c>
      <c r="AS126" s="52">
        <v>0</v>
      </c>
      <c r="AT126" s="52">
        <v>200</v>
      </c>
      <c r="AU126" s="52">
        <v>106.40859645631178</v>
      </c>
      <c r="AV126" s="52">
        <v>0</v>
      </c>
      <c r="AW126" s="52">
        <v>200</v>
      </c>
      <c r="AX126" s="52">
        <v>106.40859645631178</v>
      </c>
      <c r="AY126" s="52">
        <v>0</v>
      </c>
      <c r="AZ126" s="52">
        <v>200</v>
      </c>
      <c r="BA126" s="52">
        <v>97.194619999999759</v>
      </c>
      <c r="BB126" s="52">
        <v>0</v>
      </c>
      <c r="BC126" s="52">
        <v>101.06155066664846</v>
      </c>
      <c r="BD126" s="52">
        <v>0</v>
      </c>
      <c r="BE126" s="52">
        <v>0</v>
      </c>
      <c r="BF126" s="52">
        <v>188.46420000000052</v>
      </c>
      <c r="BG126" s="52">
        <v>6.7977100000003317</v>
      </c>
      <c r="BH126" s="52">
        <v>0</v>
      </c>
      <c r="BI126" s="52">
        <v>188.46420000000052</v>
      </c>
      <c r="BJ126" s="52">
        <v>0</v>
      </c>
      <c r="BK126" s="52">
        <v>0</v>
      </c>
      <c r="BL126" s="52">
        <v>200</v>
      </c>
      <c r="BM126" s="52">
        <v>73.42624688446972</v>
      </c>
      <c r="BN126" s="52">
        <v>0</v>
      </c>
      <c r="BO126" s="52">
        <v>200</v>
      </c>
      <c r="BP126" s="52">
        <v>73.42624688446972</v>
      </c>
      <c r="BQ126" s="52">
        <v>0</v>
      </c>
      <c r="BR126" s="52">
        <v>200</v>
      </c>
      <c r="BS126" s="52">
        <v>41.062785481281573</v>
      </c>
      <c r="BT126" s="52">
        <v>0</v>
      </c>
      <c r="BU126" s="52">
        <v>200</v>
      </c>
      <c r="BV126" s="52">
        <v>26.897969238264125</v>
      </c>
      <c r="BW126" s="52">
        <v>0</v>
      </c>
    </row>
    <row r="127" spans="1:75" x14ac:dyDescent="0.3">
      <c r="A127" s="8" t="s">
        <v>103</v>
      </c>
      <c r="B127" s="8" t="s">
        <v>8</v>
      </c>
      <c r="C127" s="8" t="s">
        <v>145</v>
      </c>
      <c r="D127" s="52">
        <v>0</v>
      </c>
      <c r="E127" s="52">
        <v>0</v>
      </c>
      <c r="F127" s="52">
        <v>0</v>
      </c>
      <c r="G127" s="52">
        <v>0</v>
      </c>
      <c r="H127" s="52">
        <v>0</v>
      </c>
      <c r="I127" s="52">
        <v>0</v>
      </c>
      <c r="J127" s="52">
        <v>118.38736000000117</v>
      </c>
      <c r="K127" s="52">
        <v>0</v>
      </c>
      <c r="L127" s="52">
        <v>0</v>
      </c>
      <c r="M127" s="52">
        <v>14.182130000000681</v>
      </c>
      <c r="N127" s="52">
        <v>0</v>
      </c>
      <c r="O127" s="52">
        <v>0</v>
      </c>
      <c r="P127" s="52">
        <v>112.48469912279884</v>
      </c>
      <c r="Q127" s="52">
        <v>0</v>
      </c>
      <c r="R127" s="52">
        <v>0</v>
      </c>
      <c r="S127" s="52">
        <v>61.994039122799151</v>
      </c>
      <c r="T127" s="52">
        <v>0</v>
      </c>
      <c r="U127" s="52">
        <v>0</v>
      </c>
      <c r="V127" s="52">
        <v>200</v>
      </c>
      <c r="W127" s="52">
        <v>0</v>
      </c>
      <c r="X127" s="52">
        <v>0</v>
      </c>
      <c r="Y127" s="52">
        <v>200</v>
      </c>
      <c r="Z127" s="52">
        <v>0</v>
      </c>
      <c r="AA127" s="52">
        <v>0</v>
      </c>
      <c r="AB127" s="52">
        <v>0</v>
      </c>
      <c r="AC127" s="52">
        <v>0</v>
      </c>
      <c r="AD127" s="52">
        <v>0</v>
      </c>
      <c r="AE127" s="52">
        <v>0</v>
      </c>
      <c r="AF127" s="52">
        <v>0</v>
      </c>
      <c r="AG127" s="52">
        <v>0</v>
      </c>
      <c r="AH127" s="52">
        <v>110.77029999999932</v>
      </c>
      <c r="AI127" s="52">
        <v>0</v>
      </c>
      <c r="AJ127" s="52">
        <v>0</v>
      </c>
      <c r="AK127" s="52">
        <v>0</v>
      </c>
      <c r="AL127" s="52">
        <v>0</v>
      </c>
      <c r="AM127" s="52">
        <v>0</v>
      </c>
      <c r="AN127" s="52">
        <v>200</v>
      </c>
      <c r="AO127" s="52">
        <v>0</v>
      </c>
      <c r="AP127" s="52">
        <v>0</v>
      </c>
      <c r="AQ127" s="52">
        <v>0</v>
      </c>
      <c r="AR127" s="52">
        <v>0</v>
      </c>
      <c r="AS127" s="52">
        <v>0</v>
      </c>
      <c r="AT127" s="52">
        <v>200</v>
      </c>
      <c r="AU127" s="52">
        <v>0</v>
      </c>
      <c r="AV127" s="52">
        <v>0</v>
      </c>
      <c r="AW127" s="52">
        <v>200</v>
      </c>
      <c r="AX127" s="52">
        <v>0</v>
      </c>
      <c r="AY127" s="52">
        <v>0</v>
      </c>
      <c r="AZ127" s="52">
        <v>200</v>
      </c>
      <c r="BA127" s="52">
        <v>0</v>
      </c>
      <c r="BB127" s="52">
        <v>0</v>
      </c>
      <c r="BC127" s="52">
        <v>37.190079333352635</v>
      </c>
      <c r="BD127" s="52">
        <v>0</v>
      </c>
      <c r="BE127" s="52">
        <v>0</v>
      </c>
      <c r="BF127" s="52">
        <v>200</v>
      </c>
      <c r="BG127" s="52">
        <v>0</v>
      </c>
      <c r="BH127" s="52">
        <v>0</v>
      </c>
      <c r="BI127" s="52">
        <v>200</v>
      </c>
      <c r="BJ127" s="52">
        <v>0</v>
      </c>
      <c r="BK127" s="52">
        <v>0</v>
      </c>
      <c r="BL127" s="52">
        <v>149.31432000000098</v>
      </c>
      <c r="BM127" s="52">
        <v>0</v>
      </c>
      <c r="BN127" s="52">
        <v>0</v>
      </c>
      <c r="BO127" s="52">
        <v>149.31432000000098</v>
      </c>
      <c r="BP127" s="52">
        <v>0</v>
      </c>
      <c r="BQ127" s="52">
        <v>0</v>
      </c>
      <c r="BR127" s="52">
        <v>115.17203000000157</v>
      </c>
      <c r="BS127" s="52">
        <v>0</v>
      </c>
      <c r="BT127" s="52">
        <v>0</v>
      </c>
      <c r="BU127" s="52">
        <v>115.17203000000157</v>
      </c>
      <c r="BV127" s="52">
        <v>0</v>
      </c>
      <c r="BW127" s="52">
        <v>0</v>
      </c>
    </row>
    <row r="128" spans="1:75" x14ac:dyDescent="0.3">
      <c r="A128" s="8" t="s">
        <v>103</v>
      </c>
      <c r="B128" s="8" t="s">
        <v>8</v>
      </c>
      <c r="C128" s="8" t="s">
        <v>146</v>
      </c>
      <c r="D128" s="52">
        <v>200</v>
      </c>
      <c r="E128" s="52">
        <v>200</v>
      </c>
      <c r="F128" s="52">
        <v>0</v>
      </c>
      <c r="G128" s="52">
        <v>200</v>
      </c>
      <c r="H128" s="52">
        <v>151.95699000000036</v>
      </c>
      <c r="I128" s="52">
        <v>0</v>
      </c>
      <c r="J128" s="52">
        <v>200</v>
      </c>
      <c r="K128" s="52">
        <v>200</v>
      </c>
      <c r="L128" s="52">
        <v>0</v>
      </c>
      <c r="M128" s="52">
        <v>200</v>
      </c>
      <c r="N128" s="52">
        <v>150.01880000000023</v>
      </c>
      <c r="O128" s="52">
        <v>0</v>
      </c>
      <c r="P128" s="52">
        <v>200</v>
      </c>
      <c r="Q128" s="52">
        <v>200</v>
      </c>
      <c r="R128" s="52">
        <v>0</v>
      </c>
      <c r="S128" s="52">
        <v>200</v>
      </c>
      <c r="T128" s="52">
        <v>77.926110000000818</v>
      </c>
      <c r="U128" s="52">
        <v>0</v>
      </c>
      <c r="V128" s="52">
        <v>200</v>
      </c>
      <c r="W128" s="52">
        <v>200</v>
      </c>
      <c r="X128" s="52">
        <v>0</v>
      </c>
      <c r="Y128" s="52">
        <v>200</v>
      </c>
      <c r="Z128" s="52">
        <v>200</v>
      </c>
      <c r="AA128" s="52">
        <v>0</v>
      </c>
      <c r="AB128" s="52">
        <v>200</v>
      </c>
      <c r="AC128" s="52">
        <v>84.980280000000576</v>
      </c>
      <c r="AD128" s="52">
        <v>0</v>
      </c>
      <c r="AE128" s="52">
        <v>200</v>
      </c>
      <c r="AF128" s="52">
        <v>40.075261538461746</v>
      </c>
      <c r="AG128" s="52">
        <v>0</v>
      </c>
      <c r="AH128" s="52">
        <v>200</v>
      </c>
      <c r="AI128" s="52">
        <v>200</v>
      </c>
      <c r="AJ128" s="52">
        <v>0</v>
      </c>
      <c r="AK128" s="52">
        <v>200</v>
      </c>
      <c r="AL128" s="52">
        <v>169.9844300000004</v>
      </c>
      <c r="AM128" s="52">
        <v>0</v>
      </c>
      <c r="AN128" s="52">
        <v>200</v>
      </c>
      <c r="AO128" s="52">
        <v>200</v>
      </c>
      <c r="AP128" s="52">
        <v>0</v>
      </c>
      <c r="AQ128" s="52">
        <v>200</v>
      </c>
      <c r="AR128" s="52">
        <v>20.251710000000699</v>
      </c>
      <c r="AS128" s="52">
        <v>0</v>
      </c>
      <c r="AT128" s="52">
        <v>200</v>
      </c>
      <c r="AU128" s="52">
        <v>200</v>
      </c>
      <c r="AV128" s="52">
        <v>45.144800000000096</v>
      </c>
      <c r="AW128" s="52">
        <v>200</v>
      </c>
      <c r="AX128" s="52">
        <v>200</v>
      </c>
      <c r="AY128" s="52">
        <v>45.144800000000096</v>
      </c>
      <c r="AZ128" s="52">
        <v>200</v>
      </c>
      <c r="BA128" s="52">
        <v>200</v>
      </c>
      <c r="BB128" s="52">
        <v>0</v>
      </c>
      <c r="BC128" s="52">
        <v>200</v>
      </c>
      <c r="BD128" s="52">
        <v>11.401043132859723</v>
      </c>
      <c r="BE128" s="52">
        <v>0</v>
      </c>
      <c r="BF128" s="52">
        <v>200</v>
      </c>
      <c r="BG128" s="52">
        <v>200</v>
      </c>
      <c r="BH128" s="52">
        <v>0</v>
      </c>
      <c r="BI128" s="52">
        <v>200</v>
      </c>
      <c r="BJ128" s="52">
        <v>200</v>
      </c>
      <c r="BK128" s="52">
        <v>0</v>
      </c>
      <c r="BL128" s="52">
        <v>200</v>
      </c>
      <c r="BM128" s="52">
        <v>186.43423311553087</v>
      </c>
      <c r="BN128" s="52">
        <v>0</v>
      </c>
      <c r="BO128" s="52">
        <v>200</v>
      </c>
      <c r="BP128" s="52">
        <v>81.007363115529628</v>
      </c>
      <c r="BQ128" s="52">
        <v>0</v>
      </c>
      <c r="BR128" s="52">
        <v>200</v>
      </c>
      <c r="BS128" s="52">
        <v>200</v>
      </c>
      <c r="BT128" s="52">
        <v>0</v>
      </c>
      <c r="BU128" s="52">
        <v>200</v>
      </c>
      <c r="BV128" s="52">
        <v>146.2771007617377</v>
      </c>
      <c r="BW128" s="52">
        <v>0</v>
      </c>
    </row>
    <row r="129" spans="1:75" x14ac:dyDescent="0.3">
      <c r="A129" s="8" t="s">
        <v>103</v>
      </c>
      <c r="B129" s="8" t="s">
        <v>8</v>
      </c>
      <c r="C129" s="8" t="s">
        <v>28</v>
      </c>
      <c r="D129" s="52">
        <v>200</v>
      </c>
      <c r="E129" s="52">
        <v>200</v>
      </c>
      <c r="F129" s="52">
        <v>200</v>
      </c>
      <c r="G129" s="52">
        <v>200</v>
      </c>
      <c r="H129" s="52">
        <v>200</v>
      </c>
      <c r="I129" s="52">
        <v>200</v>
      </c>
      <c r="J129" s="52">
        <v>200</v>
      </c>
      <c r="K129" s="52">
        <v>200</v>
      </c>
      <c r="L129" s="52">
        <v>200</v>
      </c>
      <c r="M129" s="52">
        <v>200</v>
      </c>
      <c r="N129" s="52">
        <v>200</v>
      </c>
      <c r="O129" s="52">
        <v>200</v>
      </c>
      <c r="P129" s="52">
        <v>200</v>
      </c>
      <c r="Q129" s="52">
        <v>200</v>
      </c>
      <c r="R129" s="52">
        <v>200</v>
      </c>
      <c r="S129" s="52">
        <v>200</v>
      </c>
      <c r="T129" s="52">
        <v>200</v>
      </c>
      <c r="U129" s="52">
        <v>200</v>
      </c>
      <c r="V129" s="52">
        <v>200</v>
      </c>
      <c r="W129" s="52">
        <v>200</v>
      </c>
      <c r="X129" s="52">
        <v>200</v>
      </c>
      <c r="Y129" s="52">
        <v>200</v>
      </c>
      <c r="Z129" s="52">
        <v>200</v>
      </c>
      <c r="AA129" s="52">
        <v>200</v>
      </c>
      <c r="AB129" s="52">
        <v>200</v>
      </c>
      <c r="AC129" s="52">
        <v>200</v>
      </c>
      <c r="AD129" s="52">
        <v>200</v>
      </c>
      <c r="AE129" s="52">
        <v>200</v>
      </c>
      <c r="AF129" s="52">
        <v>200</v>
      </c>
      <c r="AG129" s="52">
        <v>200</v>
      </c>
      <c r="AH129" s="52">
        <v>200</v>
      </c>
      <c r="AI129" s="52">
        <v>200</v>
      </c>
      <c r="AJ129" s="52">
        <v>200</v>
      </c>
      <c r="AK129" s="52">
        <v>200</v>
      </c>
      <c r="AL129" s="52">
        <v>200</v>
      </c>
      <c r="AM129" s="52">
        <v>200</v>
      </c>
      <c r="AN129" s="52">
        <v>200</v>
      </c>
      <c r="AO129" s="52">
        <v>200</v>
      </c>
      <c r="AP129" s="52">
        <v>200</v>
      </c>
      <c r="AQ129" s="52">
        <v>200</v>
      </c>
      <c r="AR129" s="52">
        <v>200</v>
      </c>
      <c r="AS129" s="52">
        <v>200</v>
      </c>
      <c r="AT129" s="52">
        <v>200</v>
      </c>
      <c r="AU129" s="52">
        <v>200</v>
      </c>
      <c r="AV129" s="52">
        <v>200</v>
      </c>
      <c r="AW129" s="52">
        <v>200</v>
      </c>
      <c r="AX129" s="52">
        <v>200</v>
      </c>
      <c r="AY129" s="52">
        <v>200</v>
      </c>
      <c r="AZ129" s="52">
        <v>200</v>
      </c>
      <c r="BA129" s="52">
        <v>200</v>
      </c>
      <c r="BB129" s="52">
        <v>200</v>
      </c>
      <c r="BC129" s="52">
        <v>200</v>
      </c>
      <c r="BD129" s="52">
        <v>200</v>
      </c>
      <c r="BE129" s="52">
        <v>200</v>
      </c>
      <c r="BF129" s="52">
        <v>200</v>
      </c>
      <c r="BG129" s="52">
        <v>200</v>
      </c>
      <c r="BH129" s="52">
        <v>200</v>
      </c>
      <c r="BI129" s="52">
        <v>200</v>
      </c>
      <c r="BJ129" s="52">
        <v>200</v>
      </c>
      <c r="BK129" s="52">
        <v>200</v>
      </c>
      <c r="BL129" s="52">
        <v>200</v>
      </c>
      <c r="BM129" s="52">
        <v>200</v>
      </c>
      <c r="BN129" s="52">
        <v>200</v>
      </c>
      <c r="BO129" s="52">
        <v>200</v>
      </c>
      <c r="BP129" s="52">
        <v>200</v>
      </c>
      <c r="BQ129" s="52">
        <v>200</v>
      </c>
      <c r="BR129" s="52">
        <v>200</v>
      </c>
      <c r="BS129" s="52">
        <v>200</v>
      </c>
      <c r="BT129" s="52">
        <v>200</v>
      </c>
      <c r="BU129" s="52">
        <v>200</v>
      </c>
      <c r="BV129" s="52">
        <v>200</v>
      </c>
      <c r="BW129" s="52">
        <v>200</v>
      </c>
    </row>
    <row r="130" spans="1:75" x14ac:dyDescent="0.3">
      <c r="A130" s="8" t="s">
        <v>103</v>
      </c>
      <c r="B130" s="8" t="s">
        <v>9</v>
      </c>
      <c r="C130" s="8" t="s">
        <v>60</v>
      </c>
      <c r="D130" s="52">
        <v>771.6</v>
      </c>
      <c r="E130" s="52">
        <v>771.6</v>
      </c>
      <c r="F130" s="52">
        <v>771.6</v>
      </c>
      <c r="G130" s="52">
        <v>771.6</v>
      </c>
      <c r="H130" s="52">
        <v>771.6</v>
      </c>
      <c r="I130" s="52">
        <v>771.6</v>
      </c>
      <c r="J130" s="52">
        <v>771.6</v>
      </c>
      <c r="K130" s="52">
        <v>771.6</v>
      </c>
      <c r="L130" s="52">
        <v>771.6</v>
      </c>
      <c r="M130" s="52">
        <v>771.6</v>
      </c>
      <c r="N130" s="52">
        <v>771.6</v>
      </c>
      <c r="O130" s="52">
        <v>771.6</v>
      </c>
      <c r="P130" s="52">
        <v>771.6</v>
      </c>
      <c r="Q130" s="52">
        <v>771.6</v>
      </c>
      <c r="R130" s="52">
        <v>771.6</v>
      </c>
      <c r="S130" s="52">
        <v>771.6</v>
      </c>
      <c r="T130" s="52">
        <v>771.6</v>
      </c>
      <c r="U130" s="52">
        <v>771.6</v>
      </c>
      <c r="V130" s="52">
        <v>771.6</v>
      </c>
      <c r="W130" s="52">
        <v>771.6</v>
      </c>
      <c r="X130" s="52">
        <v>771.6</v>
      </c>
      <c r="Y130" s="52">
        <v>771.6</v>
      </c>
      <c r="Z130" s="52">
        <v>771.6</v>
      </c>
      <c r="AA130" s="52">
        <v>771.6</v>
      </c>
      <c r="AB130" s="52">
        <v>771.6</v>
      </c>
      <c r="AC130" s="52">
        <v>771.6</v>
      </c>
      <c r="AD130" s="52">
        <v>771.6</v>
      </c>
      <c r="AE130" s="52">
        <v>771.6</v>
      </c>
      <c r="AF130" s="52">
        <v>771.6</v>
      </c>
      <c r="AG130" s="52">
        <v>771.6</v>
      </c>
      <c r="AH130" s="52">
        <v>771.6</v>
      </c>
      <c r="AI130" s="52">
        <v>771.6</v>
      </c>
      <c r="AJ130" s="52">
        <v>771.6</v>
      </c>
      <c r="AK130" s="52">
        <v>771.6</v>
      </c>
      <c r="AL130" s="52">
        <v>771.6</v>
      </c>
      <c r="AM130" s="52">
        <v>771.6</v>
      </c>
      <c r="AN130" s="52">
        <v>771.6</v>
      </c>
      <c r="AO130" s="52">
        <v>771.6</v>
      </c>
      <c r="AP130" s="52">
        <v>771.6</v>
      </c>
      <c r="AQ130" s="52">
        <v>771.6</v>
      </c>
      <c r="AR130" s="52">
        <v>771.6</v>
      </c>
      <c r="AS130" s="52">
        <v>771.6</v>
      </c>
      <c r="AT130" s="52">
        <v>771.6</v>
      </c>
      <c r="AU130" s="52">
        <v>771.6</v>
      </c>
      <c r="AV130" s="52">
        <v>771.6</v>
      </c>
      <c r="AW130" s="52">
        <v>771.6</v>
      </c>
      <c r="AX130" s="52">
        <v>771.6</v>
      </c>
      <c r="AY130" s="52">
        <v>771.6</v>
      </c>
      <c r="AZ130" s="52">
        <v>771.6</v>
      </c>
      <c r="BA130" s="52">
        <v>771.6</v>
      </c>
      <c r="BB130" s="52">
        <v>771.6</v>
      </c>
      <c r="BC130" s="52">
        <v>771.6</v>
      </c>
      <c r="BD130" s="52">
        <v>771.6</v>
      </c>
      <c r="BE130" s="52">
        <v>771.6</v>
      </c>
      <c r="BF130" s="52">
        <v>771.6</v>
      </c>
      <c r="BG130" s="52">
        <v>771.6</v>
      </c>
      <c r="BH130" s="52">
        <v>771.6</v>
      </c>
      <c r="BI130" s="52">
        <v>771.6</v>
      </c>
      <c r="BJ130" s="52">
        <v>771.6</v>
      </c>
      <c r="BK130" s="52">
        <v>771.6</v>
      </c>
      <c r="BL130" s="52">
        <v>771.6</v>
      </c>
      <c r="BM130" s="52">
        <v>771.6</v>
      </c>
      <c r="BN130" s="52">
        <v>771.6</v>
      </c>
      <c r="BO130" s="52">
        <v>771.6</v>
      </c>
      <c r="BP130" s="52">
        <v>771.6</v>
      </c>
      <c r="BQ130" s="52">
        <v>771.6</v>
      </c>
      <c r="BR130" s="52">
        <v>771.6</v>
      </c>
      <c r="BS130" s="52">
        <v>771.6</v>
      </c>
      <c r="BT130" s="52">
        <v>771.6</v>
      </c>
      <c r="BU130" s="52">
        <v>771.6</v>
      </c>
      <c r="BV130" s="52">
        <v>771.6</v>
      </c>
      <c r="BW130" s="52">
        <v>771.6</v>
      </c>
    </row>
    <row r="131" spans="1:75" x14ac:dyDescent="0.3">
      <c r="A131" s="8" t="s">
        <v>103</v>
      </c>
      <c r="B131" s="8" t="s">
        <v>9</v>
      </c>
      <c r="C131" s="8" t="s">
        <v>150</v>
      </c>
      <c r="D131" s="52">
        <v>316.4475289919481</v>
      </c>
      <c r="E131" s="52">
        <v>235.19999999999996</v>
      </c>
      <c r="F131" s="52">
        <v>235.19999999999996</v>
      </c>
      <c r="G131" s="52">
        <v>316.4475289919481</v>
      </c>
      <c r="H131" s="52">
        <v>235.19999999999996</v>
      </c>
      <c r="I131" s="52">
        <v>235.19999999999996</v>
      </c>
      <c r="J131" s="52">
        <v>339.40523000000047</v>
      </c>
      <c r="K131" s="52">
        <v>235.19999999999996</v>
      </c>
      <c r="L131" s="52">
        <v>235.19999999999996</v>
      </c>
      <c r="M131" s="52">
        <v>235.19999999999996</v>
      </c>
      <c r="N131" s="52">
        <v>235.19999999999996</v>
      </c>
      <c r="O131" s="52">
        <v>235.19999999999996</v>
      </c>
      <c r="P131" s="52">
        <v>235.19999999999996</v>
      </c>
      <c r="Q131" s="52">
        <v>235.19999999999996</v>
      </c>
      <c r="R131" s="52">
        <v>235.19999999999996</v>
      </c>
      <c r="S131" s="52">
        <v>235.19999999999996</v>
      </c>
      <c r="T131" s="52">
        <v>235.19999999999996</v>
      </c>
      <c r="U131" s="52">
        <v>235.19999999999996</v>
      </c>
      <c r="V131" s="52">
        <v>0</v>
      </c>
      <c r="W131" s="52">
        <v>0</v>
      </c>
      <c r="X131" s="52">
        <v>0</v>
      </c>
      <c r="Y131" s="52">
        <v>0</v>
      </c>
      <c r="Z131" s="52">
        <v>0</v>
      </c>
      <c r="AA131" s="52">
        <v>0</v>
      </c>
      <c r="AB131" s="52">
        <v>0</v>
      </c>
      <c r="AC131" s="52">
        <v>0</v>
      </c>
      <c r="AD131" s="52">
        <v>0</v>
      </c>
      <c r="AE131" s="52">
        <v>0</v>
      </c>
      <c r="AF131" s="52">
        <v>0</v>
      </c>
      <c r="AG131" s="52">
        <v>0</v>
      </c>
      <c r="AH131" s="52">
        <v>235.19999999999996</v>
      </c>
      <c r="AI131" s="52">
        <v>235.19999999999996</v>
      </c>
      <c r="AJ131" s="52">
        <v>235.19999999999996</v>
      </c>
      <c r="AK131" s="52">
        <v>0</v>
      </c>
      <c r="AL131" s="52">
        <v>0</v>
      </c>
      <c r="AM131" s="52">
        <v>0</v>
      </c>
      <c r="AN131" s="52">
        <v>235.19999999999996</v>
      </c>
      <c r="AO131" s="52">
        <v>235.19999999999996</v>
      </c>
      <c r="AP131" s="52">
        <v>235.19999999999996</v>
      </c>
      <c r="AQ131" s="52">
        <v>0</v>
      </c>
      <c r="AR131" s="52">
        <v>0</v>
      </c>
      <c r="AS131" s="52">
        <v>0</v>
      </c>
      <c r="AT131" s="52">
        <v>235.19999999999996</v>
      </c>
      <c r="AU131" s="52">
        <v>235.19999999999996</v>
      </c>
      <c r="AV131" s="52">
        <v>235.19999999999996</v>
      </c>
      <c r="AW131" s="52">
        <v>235.19999999999996</v>
      </c>
      <c r="AX131" s="52">
        <v>235.19999999999996</v>
      </c>
      <c r="AY131" s="52">
        <v>235.19999999999996</v>
      </c>
      <c r="AZ131" s="52">
        <v>235.19999999999996</v>
      </c>
      <c r="BA131" s="52">
        <v>235.19999999999996</v>
      </c>
      <c r="BB131" s="52">
        <v>235.19999999999996</v>
      </c>
      <c r="BC131" s="52">
        <v>0</v>
      </c>
      <c r="BD131" s="52">
        <v>0</v>
      </c>
      <c r="BE131" s="52">
        <v>0</v>
      </c>
      <c r="BF131" s="52">
        <v>235.19999999999996</v>
      </c>
      <c r="BG131" s="52">
        <v>235.19999999999996</v>
      </c>
      <c r="BH131" s="52">
        <v>235.19999999999996</v>
      </c>
      <c r="BI131" s="52">
        <v>235.19999999999996</v>
      </c>
      <c r="BJ131" s="52">
        <v>235.19999999999996</v>
      </c>
      <c r="BK131" s="52">
        <v>235.19999999999996</v>
      </c>
      <c r="BL131" s="52">
        <v>235.19999999999996</v>
      </c>
      <c r="BM131" s="52">
        <v>235.19999999999996</v>
      </c>
      <c r="BN131" s="52">
        <v>235.19999999999996</v>
      </c>
      <c r="BO131" s="52">
        <v>235.19999999999996</v>
      </c>
      <c r="BP131" s="52">
        <v>235.19999999999996</v>
      </c>
      <c r="BQ131" s="52">
        <v>235.19999999999996</v>
      </c>
      <c r="BR131" s="52">
        <v>235.19999999999996</v>
      </c>
      <c r="BS131" s="52">
        <v>235.19999999999996</v>
      </c>
      <c r="BT131" s="52">
        <v>235.19999999999996</v>
      </c>
      <c r="BU131" s="52">
        <v>235.19999999999987</v>
      </c>
      <c r="BV131" s="52">
        <v>235.19999999999987</v>
      </c>
      <c r="BW131" s="52">
        <v>235.19999999999987</v>
      </c>
    </row>
    <row r="132" spans="1:75" x14ac:dyDescent="0.3">
      <c r="A132" s="8" t="s">
        <v>103</v>
      </c>
      <c r="B132" s="8" t="s">
        <v>9</v>
      </c>
      <c r="C132" s="8" t="s">
        <v>61</v>
      </c>
      <c r="D132" s="52">
        <v>171.65974000000077</v>
      </c>
      <c r="E132" s="52">
        <v>81.239999999999995</v>
      </c>
      <c r="F132" s="52">
        <v>81.239999999999995</v>
      </c>
      <c r="G132" s="52">
        <v>0</v>
      </c>
      <c r="H132" s="52">
        <v>0</v>
      </c>
      <c r="I132" s="52">
        <v>0</v>
      </c>
      <c r="J132" s="52">
        <v>0</v>
      </c>
      <c r="K132" s="52">
        <v>0</v>
      </c>
      <c r="L132" s="52">
        <v>0</v>
      </c>
      <c r="M132" s="52">
        <v>0</v>
      </c>
      <c r="N132" s="52">
        <v>0</v>
      </c>
      <c r="O132" s="52">
        <v>0</v>
      </c>
      <c r="P132" s="52">
        <v>0</v>
      </c>
      <c r="Q132" s="52">
        <v>0</v>
      </c>
      <c r="R132" s="52">
        <v>0</v>
      </c>
      <c r="S132" s="52">
        <v>0</v>
      </c>
      <c r="T132" s="52">
        <v>0</v>
      </c>
      <c r="U132" s="52">
        <v>0</v>
      </c>
      <c r="V132" s="52">
        <v>0</v>
      </c>
      <c r="W132" s="52">
        <v>0</v>
      </c>
      <c r="X132" s="52">
        <v>0</v>
      </c>
      <c r="Y132" s="52">
        <v>0</v>
      </c>
      <c r="Z132" s="52">
        <v>0</v>
      </c>
      <c r="AA132" s="52">
        <v>0</v>
      </c>
      <c r="AB132" s="52">
        <v>0</v>
      </c>
      <c r="AC132" s="52">
        <v>0</v>
      </c>
      <c r="AD132" s="52">
        <v>0</v>
      </c>
      <c r="AE132" s="52">
        <v>0</v>
      </c>
      <c r="AF132" s="52">
        <v>0</v>
      </c>
      <c r="AG132" s="52">
        <v>0</v>
      </c>
      <c r="AH132" s="52">
        <v>0</v>
      </c>
      <c r="AI132" s="52">
        <v>0</v>
      </c>
      <c r="AJ132" s="52">
        <v>0</v>
      </c>
      <c r="AK132" s="52">
        <v>0</v>
      </c>
      <c r="AL132" s="52">
        <v>0</v>
      </c>
      <c r="AM132" s="52">
        <v>0</v>
      </c>
      <c r="AN132" s="52">
        <v>203.1</v>
      </c>
      <c r="AO132" s="52">
        <v>203.1</v>
      </c>
      <c r="AP132" s="52">
        <v>81.239999999999995</v>
      </c>
      <c r="AQ132" s="52">
        <v>0</v>
      </c>
      <c r="AR132" s="52">
        <v>0</v>
      </c>
      <c r="AS132" s="52">
        <v>0</v>
      </c>
      <c r="AT132" s="52">
        <v>0</v>
      </c>
      <c r="AU132" s="52">
        <v>0</v>
      </c>
      <c r="AV132" s="52">
        <v>0</v>
      </c>
      <c r="AW132" s="52">
        <v>0</v>
      </c>
      <c r="AX132" s="52">
        <v>0</v>
      </c>
      <c r="AY132" s="52">
        <v>0</v>
      </c>
      <c r="AZ132" s="52">
        <v>0</v>
      </c>
      <c r="BA132" s="52">
        <v>0</v>
      </c>
      <c r="BB132" s="52">
        <v>0</v>
      </c>
      <c r="BC132" s="52">
        <v>0</v>
      </c>
      <c r="BD132" s="52">
        <v>0</v>
      </c>
      <c r="BE132" s="52">
        <v>0</v>
      </c>
      <c r="BF132" s="52">
        <v>157.96449999999933</v>
      </c>
      <c r="BG132" s="52">
        <v>203.1</v>
      </c>
      <c r="BH132" s="52">
        <v>81.239999999999995</v>
      </c>
      <c r="BI132" s="52">
        <v>0</v>
      </c>
      <c r="BJ132" s="52">
        <v>0</v>
      </c>
      <c r="BK132" s="52">
        <v>0</v>
      </c>
      <c r="BL132" s="52">
        <v>0</v>
      </c>
      <c r="BM132" s="52">
        <v>0</v>
      </c>
      <c r="BN132" s="52">
        <v>0</v>
      </c>
      <c r="BO132" s="52">
        <v>0</v>
      </c>
      <c r="BP132" s="52">
        <v>0</v>
      </c>
      <c r="BQ132" s="52">
        <v>0</v>
      </c>
      <c r="BR132" s="52">
        <v>203.1</v>
      </c>
      <c r="BS132" s="52">
        <v>203.1</v>
      </c>
      <c r="BT132" s="52">
        <v>81.239999999999995</v>
      </c>
      <c r="BU132" s="52">
        <v>0</v>
      </c>
      <c r="BV132" s="52">
        <v>0</v>
      </c>
      <c r="BW132" s="52">
        <v>0</v>
      </c>
    </row>
    <row r="133" spans="1:75" x14ac:dyDescent="0.3">
      <c r="A133" s="8" t="s">
        <v>103</v>
      </c>
      <c r="B133" s="8" t="s">
        <v>9</v>
      </c>
      <c r="C133" s="8" t="s">
        <v>152</v>
      </c>
      <c r="D133" s="52">
        <v>60.159999999999989</v>
      </c>
      <c r="E133" s="52">
        <v>60.159999999999989</v>
      </c>
      <c r="F133" s="52">
        <v>60.159999999999989</v>
      </c>
      <c r="G133" s="52">
        <v>0</v>
      </c>
      <c r="H133" s="52">
        <v>0</v>
      </c>
      <c r="I133" s="52">
        <v>0</v>
      </c>
      <c r="J133" s="52">
        <v>0</v>
      </c>
      <c r="K133" s="52">
        <v>0</v>
      </c>
      <c r="L133" s="52">
        <v>0</v>
      </c>
      <c r="M133" s="52">
        <v>0</v>
      </c>
      <c r="N133" s="52">
        <v>0</v>
      </c>
      <c r="O133" s="52">
        <v>0</v>
      </c>
      <c r="P133" s="52">
        <v>0</v>
      </c>
      <c r="Q133" s="52">
        <v>0</v>
      </c>
      <c r="R133" s="52">
        <v>0</v>
      </c>
      <c r="S133" s="52">
        <v>0</v>
      </c>
      <c r="T133" s="52">
        <v>0</v>
      </c>
      <c r="U133" s="52">
        <v>0</v>
      </c>
      <c r="V133" s="52">
        <v>60.159999999999826</v>
      </c>
      <c r="W133" s="52">
        <v>60.159999999999826</v>
      </c>
      <c r="X133" s="52">
        <v>60.159999999999989</v>
      </c>
      <c r="Y133" s="52">
        <v>60.159999999999989</v>
      </c>
      <c r="Z133" s="52">
        <v>60.159999999999989</v>
      </c>
      <c r="AA133" s="52">
        <v>60.159999999999989</v>
      </c>
      <c r="AB133" s="52">
        <v>60.159999999999023</v>
      </c>
      <c r="AC133" s="52">
        <v>60.159999999999023</v>
      </c>
      <c r="AD133" s="52">
        <v>60.159999999999023</v>
      </c>
      <c r="AE133" s="52">
        <v>0</v>
      </c>
      <c r="AF133" s="52">
        <v>0</v>
      </c>
      <c r="AG133" s="52">
        <v>0</v>
      </c>
      <c r="AH133" s="52">
        <v>0</v>
      </c>
      <c r="AI133" s="52">
        <v>0</v>
      </c>
      <c r="AJ133" s="52">
        <v>0</v>
      </c>
      <c r="AK133" s="52">
        <v>0</v>
      </c>
      <c r="AL133" s="52">
        <v>0</v>
      </c>
      <c r="AM133" s="52">
        <v>0</v>
      </c>
      <c r="AN133" s="52">
        <v>0</v>
      </c>
      <c r="AO133" s="52">
        <v>0</v>
      </c>
      <c r="AP133" s="52">
        <v>0</v>
      </c>
      <c r="AQ133" s="52">
        <v>0</v>
      </c>
      <c r="AR133" s="52">
        <v>0</v>
      </c>
      <c r="AS133" s="52">
        <v>0</v>
      </c>
      <c r="AT133" s="52">
        <v>60.159999999999989</v>
      </c>
      <c r="AU133" s="52">
        <v>95.024329999999878</v>
      </c>
      <c r="AV133" s="52">
        <v>60.159999999999989</v>
      </c>
      <c r="AW133" s="52">
        <v>0</v>
      </c>
      <c r="AX133" s="52">
        <v>0</v>
      </c>
      <c r="AY133" s="52">
        <v>0</v>
      </c>
      <c r="AZ133" s="52">
        <v>0</v>
      </c>
      <c r="BA133" s="52">
        <v>0</v>
      </c>
      <c r="BB133" s="52">
        <v>0</v>
      </c>
      <c r="BC133" s="52">
        <v>0</v>
      </c>
      <c r="BD133" s="52">
        <v>0</v>
      </c>
      <c r="BE133" s="52">
        <v>0</v>
      </c>
      <c r="BF133" s="52">
        <v>0</v>
      </c>
      <c r="BG133" s="52">
        <v>0</v>
      </c>
      <c r="BH133" s="52">
        <v>0</v>
      </c>
      <c r="BI133" s="52">
        <v>0</v>
      </c>
      <c r="BJ133" s="52">
        <v>0</v>
      </c>
      <c r="BK133" s="52">
        <v>0</v>
      </c>
      <c r="BL133" s="52">
        <v>73.021229999999932</v>
      </c>
      <c r="BM133" s="52">
        <v>60.159999999999989</v>
      </c>
      <c r="BN133" s="52">
        <v>60.159999999999989</v>
      </c>
      <c r="BO133" s="52">
        <v>0</v>
      </c>
      <c r="BP133" s="52">
        <v>0</v>
      </c>
      <c r="BQ133" s="52">
        <v>0</v>
      </c>
      <c r="BR133" s="52">
        <v>106.34934999999915</v>
      </c>
      <c r="BS133" s="52">
        <v>60.159999999998156</v>
      </c>
      <c r="BT133" s="52">
        <v>60.159999999998156</v>
      </c>
      <c r="BU133" s="52">
        <v>0</v>
      </c>
      <c r="BV133" s="52">
        <v>0</v>
      </c>
      <c r="BW133" s="52">
        <v>0</v>
      </c>
    </row>
    <row r="134" spans="1:75" x14ac:dyDescent="0.3">
      <c r="A134" s="8" t="s">
        <v>103</v>
      </c>
      <c r="B134" s="8" t="s">
        <v>9</v>
      </c>
      <c r="C134" s="8" t="s">
        <v>151</v>
      </c>
      <c r="D134" s="52">
        <v>194.4</v>
      </c>
      <c r="E134" s="52">
        <v>194.4</v>
      </c>
      <c r="F134" s="52">
        <v>77.759999999999408</v>
      </c>
      <c r="G134" s="52">
        <v>194.4</v>
      </c>
      <c r="H134" s="52">
        <v>194.4</v>
      </c>
      <c r="I134" s="52">
        <v>77.759999999999408</v>
      </c>
      <c r="J134" s="52">
        <v>194.4</v>
      </c>
      <c r="K134" s="52">
        <v>194.4</v>
      </c>
      <c r="L134" s="52">
        <v>77.760000000000005</v>
      </c>
      <c r="M134" s="52">
        <v>194.4</v>
      </c>
      <c r="N134" s="52">
        <v>193.97089510928288</v>
      </c>
      <c r="O134" s="52">
        <v>77.760000000000005</v>
      </c>
      <c r="P134" s="52">
        <v>98.390659999999684</v>
      </c>
      <c r="Q134" s="52">
        <v>174.69414000000029</v>
      </c>
      <c r="R134" s="52">
        <v>77.760000000000005</v>
      </c>
      <c r="S134" s="52">
        <v>0</v>
      </c>
      <c r="T134" s="52">
        <v>0</v>
      </c>
      <c r="U134" s="52">
        <v>0</v>
      </c>
      <c r="V134" s="52">
        <v>98.113010000000784</v>
      </c>
      <c r="W134" s="52">
        <v>167.63676000000004</v>
      </c>
      <c r="X134" s="52">
        <v>77.760000000000005</v>
      </c>
      <c r="Y134" s="52">
        <v>77.760000000000005</v>
      </c>
      <c r="Z134" s="52">
        <v>77.760000000000005</v>
      </c>
      <c r="AA134" s="52">
        <v>77.760000000000005</v>
      </c>
      <c r="AB134" s="52">
        <v>194.4</v>
      </c>
      <c r="AC134" s="52">
        <v>162.74028000000163</v>
      </c>
      <c r="AD134" s="52">
        <v>77.759999999998769</v>
      </c>
      <c r="AE134" s="52">
        <v>104.34825999999919</v>
      </c>
      <c r="AF134" s="52">
        <v>77.759999999999991</v>
      </c>
      <c r="AG134" s="52">
        <v>77.759999999999991</v>
      </c>
      <c r="AH134" s="52">
        <v>194.4</v>
      </c>
      <c r="AI134" s="52">
        <v>194.4</v>
      </c>
      <c r="AJ134" s="52">
        <v>77.760000000000005</v>
      </c>
      <c r="AK134" s="52">
        <v>194.4</v>
      </c>
      <c r="AL134" s="52">
        <v>194.4</v>
      </c>
      <c r="AM134" s="52">
        <v>77.760000000000005</v>
      </c>
      <c r="AN134" s="52">
        <v>0</v>
      </c>
      <c r="AO134" s="52">
        <v>0</v>
      </c>
      <c r="AP134" s="52">
        <v>0</v>
      </c>
      <c r="AQ134" s="52">
        <v>0</v>
      </c>
      <c r="AR134" s="52">
        <v>0</v>
      </c>
      <c r="AS134" s="52">
        <v>0</v>
      </c>
      <c r="AT134" s="52">
        <v>194.4</v>
      </c>
      <c r="AU134" s="52">
        <v>194.4</v>
      </c>
      <c r="AV134" s="52">
        <v>122.90480000000026</v>
      </c>
      <c r="AW134" s="52">
        <v>194.4</v>
      </c>
      <c r="AX134" s="52">
        <v>194.4</v>
      </c>
      <c r="AY134" s="52">
        <v>122.90480000000026</v>
      </c>
      <c r="AZ134" s="52">
        <v>194.4</v>
      </c>
      <c r="BA134" s="52">
        <v>194.4</v>
      </c>
      <c r="BB134" s="52">
        <v>77.760000000000005</v>
      </c>
      <c r="BC134" s="52">
        <v>194.4</v>
      </c>
      <c r="BD134" s="52">
        <v>187.45586307692363</v>
      </c>
      <c r="BE134" s="52">
        <v>77.760000000000005</v>
      </c>
      <c r="BF134" s="52">
        <v>194.4</v>
      </c>
      <c r="BG134" s="52">
        <v>194.4</v>
      </c>
      <c r="BH134" s="52">
        <v>77.75999999999982</v>
      </c>
      <c r="BI134" s="52">
        <v>194.4</v>
      </c>
      <c r="BJ134" s="52">
        <v>194.4</v>
      </c>
      <c r="BK134" s="52">
        <v>77.760000000000005</v>
      </c>
      <c r="BL134" s="52">
        <v>194.4</v>
      </c>
      <c r="BM134" s="52">
        <v>183.18687000000034</v>
      </c>
      <c r="BN134" s="52">
        <v>77.760000000000005</v>
      </c>
      <c r="BO134" s="52">
        <v>0</v>
      </c>
      <c r="BP134" s="52">
        <v>0</v>
      </c>
      <c r="BQ134" s="52">
        <v>0</v>
      </c>
      <c r="BR134" s="52">
        <v>194.4</v>
      </c>
      <c r="BS134" s="52">
        <v>194.4</v>
      </c>
      <c r="BT134" s="52">
        <v>77.760000000000005</v>
      </c>
      <c r="BU134" s="52">
        <v>194.4</v>
      </c>
      <c r="BV134" s="52">
        <v>194.4</v>
      </c>
      <c r="BW134" s="52">
        <v>77.760000000000005</v>
      </c>
    </row>
    <row r="135" spans="1:75" x14ac:dyDescent="0.3">
      <c r="A135" s="8" t="s">
        <v>103</v>
      </c>
      <c r="B135" s="8" t="s">
        <v>9</v>
      </c>
      <c r="C135" s="8" t="s">
        <v>62</v>
      </c>
      <c r="D135" s="52">
        <v>500</v>
      </c>
      <c r="E135" s="52">
        <v>500</v>
      </c>
      <c r="F135" s="52">
        <v>500</v>
      </c>
      <c r="G135" s="52">
        <v>500</v>
      </c>
      <c r="H135" s="52">
        <v>500</v>
      </c>
      <c r="I135" s="52">
        <v>500</v>
      </c>
      <c r="J135" s="52">
        <v>500</v>
      </c>
      <c r="K135" s="52">
        <v>500</v>
      </c>
      <c r="L135" s="52">
        <v>500</v>
      </c>
      <c r="M135" s="52">
        <v>500</v>
      </c>
      <c r="N135" s="52">
        <v>500</v>
      </c>
      <c r="O135" s="52">
        <v>500</v>
      </c>
      <c r="P135" s="52">
        <v>500</v>
      </c>
      <c r="Q135" s="52">
        <v>500</v>
      </c>
      <c r="R135" s="52">
        <v>500</v>
      </c>
      <c r="S135" s="52">
        <v>500</v>
      </c>
      <c r="T135" s="52">
        <v>500</v>
      </c>
      <c r="U135" s="52">
        <v>500</v>
      </c>
      <c r="V135" s="52">
        <v>500</v>
      </c>
      <c r="W135" s="52">
        <v>500</v>
      </c>
      <c r="X135" s="52">
        <v>500</v>
      </c>
      <c r="Y135" s="52">
        <v>500</v>
      </c>
      <c r="Z135" s="52">
        <v>500</v>
      </c>
      <c r="AA135" s="52">
        <v>500</v>
      </c>
      <c r="AB135" s="52">
        <v>500</v>
      </c>
      <c r="AC135" s="52">
        <v>500</v>
      </c>
      <c r="AD135" s="52">
        <v>500</v>
      </c>
      <c r="AE135" s="52">
        <v>500</v>
      </c>
      <c r="AF135" s="52">
        <v>500</v>
      </c>
      <c r="AG135" s="52">
        <v>500</v>
      </c>
      <c r="AH135" s="52">
        <v>500</v>
      </c>
      <c r="AI135" s="52">
        <v>500</v>
      </c>
      <c r="AJ135" s="52">
        <v>500</v>
      </c>
      <c r="AK135" s="52">
        <v>500</v>
      </c>
      <c r="AL135" s="52">
        <v>500</v>
      </c>
      <c r="AM135" s="52">
        <v>500</v>
      </c>
      <c r="AN135" s="52">
        <v>500</v>
      </c>
      <c r="AO135" s="52">
        <v>500</v>
      </c>
      <c r="AP135" s="52">
        <v>500</v>
      </c>
      <c r="AQ135" s="52">
        <v>500</v>
      </c>
      <c r="AR135" s="52">
        <v>500</v>
      </c>
      <c r="AS135" s="52">
        <v>500</v>
      </c>
      <c r="AT135" s="52">
        <v>500</v>
      </c>
      <c r="AU135" s="52">
        <v>500</v>
      </c>
      <c r="AV135" s="52">
        <v>500</v>
      </c>
      <c r="AW135" s="52">
        <v>500</v>
      </c>
      <c r="AX135" s="52">
        <v>500</v>
      </c>
      <c r="AY135" s="52">
        <v>500</v>
      </c>
      <c r="AZ135" s="52">
        <v>500</v>
      </c>
      <c r="BA135" s="52">
        <v>500</v>
      </c>
      <c r="BB135" s="52">
        <v>500</v>
      </c>
      <c r="BC135" s="52">
        <v>500</v>
      </c>
      <c r="BD135" s="52">
        <v>500</v>
      </c>
      <c r="BE135" s="52">
        <v>500</v>
      </c>
      <c r="BF135" s="52">
        <v>500</v>
      </c>
      <c r="BG135" s="52">
        <v>500</v>
      </c>
      <c r="BH135" s="52">
        <v>500</v>
      </c>
      <c r="BI135" s="52">
        <v>500</v>
      </c>
      <c r="BJ135" s="52">
        <v>500</v>
      </c>
      <c r="BK135" s="52">
        <v>500</v>
      </c>
      <c r="BL135" s="52">
        <v>500</v>
      </c>
      <c r="BM135" s="52">
        <v>500</v>
      </c>
      <c r="BN135" s="52">
        <v>500</v>
      </c>
      <c r="BO135" s="52">
        <v>500</v>
      </c>
      <c r="BP135" s="52">
        <v>500</v>
      </c>
      <c r="BQ135" s="52">
        <v>500</v>
      </c>
      <c r="BR135" s="52">
        <v>500</v>
      </c>
      <c r="BS135" s="52">
        <v>500</v>
      </c>
      <c r="BT135" s="52">
        <v>500</v>
      </c>
      <c r="BU135" s="52">
        <v>500</v>
      </c>
      <c r="BV135" s="52">
        <v>500</v>
      </c>
      <c r="BW135" s="52">
        <v>500</v>
      </c>
    </row>
    <row r="136" spans="1:75" x14ac:dyDescent="0.3">
      <c r="A136" s="8" t="s">
        <v>103</v>
      </c>
      <c r="B136" s="8" t="s">
        <v>9</v>
      </c>
      <c r="C136" s="8" t="s">
        <v>63</v>
      </c>
      <c r="D136" s="52">
        <v>500</v>
      </c>
      <c r="E136" s="52">
        <v>500</v>
      </c>
      <c r="F136" s="52">
        <v>225.83410909090955</v>
      </c>
      <c r="G136" s="52">
        <v>500</v>
      </c>
      <c r="H136" s="52">
        <v>500</v>
      </c>
      <c r="I136" s="52">
        <v>100</v>
      </c>
      <c r="J136" s="52">
        <v>500</v>
      </c>
      <c r="K136" s="52">
        <v>500</v>
      </c>
      <c r="L136" s="52">
        <v>241.64256999999961</v>
      </c>
      <c r="M136" s="52">
        <v>500</v>
      </c>
      <c r="N136" s="52">
        <v>500</v>
      </c>
      <c r="O136" s="52">
        <v>233.8884199999994</v>
      </c>
      <c r="P136" s="52">
        <v>500</v>
      </c>
      <c r="Q136" s="52">
        <v>500</v>
      </c>
      <c r="R136" s="52">
        <v>194.82931689320407</v>
      </c>
      <c r="S136" s="52">
        <v>500</v>
      </c>
      <c r="T136" s="52">
        <v>500</v>
      </c>
      <c r="U136" s="52">
        <v>194.82931689320407</v>
      </c>
      <c r="V136" s="52">
        <v>500</v>
      </c>
      <c r="W136" s="52">
        <v>500</v>
      </c>
      <c r="X136" s="52">
        <v>212.07031508771934</v>
      </c>
      <c r="Y136" s="52">
        <v>500</v>
      </c>
      <c r="Z136" s="52">
        <v>500</v>
      </c>
      <c r="AA136" s="52">
        <v>207.7395800000007</v>
      </c>
      <c r="AB136" s="52">
        <v>500</v>
      </c>
      <c r="AC136" s="52">
        <v>500</v>
      </c>
      <c r="AD136" s="52">
        <v>277.68824000000251</v>
      </c>
      <c r="AE136" s="52">
        <v>500</v>
      </c>
      <c r="AF136" s="52">
        <v>496.65372307692348</v>
      </c>
      <c r="AG136" s="52">
        <v>216.38453000000086</v>
      </c>
      <c r="AH136" s="52">
        <v>500</v>
      </c>
      <c r="AI136" s="52">
        <v>500</v>
      </c>
      <c r="AJ136" s="52">
        <v>100</v>
      </c>
      <c r="AK136" s="52">
        <v>0</v>
      </c>
      <c r="AL136" s="52">
        <v>0</v>
      </c>
      <c r="AM136" s="52">
        <v>0</v>
      </c>
      <c r="AN136" s="52">
        <v>500</v>
      </c>
      <c r="AO136" s="52">
        <v>500</v>
      </c>
      <c r="AP136" s="52">
        <v>412.44593000000032</v>
      </c>
      <c r="AQ136" s="52">
        <v>500</v>
      </c>
      <c r="AR136" s="52">
        <v>500</v>
      </c>
      <c r="AS136" s="52">
        <v>412.44593000000032</v>
      </c>
      <c r="AT136" s="52">
        <v>491.00002999999873</v>
      </c>
      <c r="AU136" s="52">
        <v>500</v>
      </c>
      <c r="AV136" s="52">
        <v>162.73184999999964</v>
      </c>
      <c r="AW136" s="52">
        <v>0</v>
      </c>
      <c r="AX136" s="52">
        <v>0</v>
      </c>
      <c r="AY136" s="52">
        <v>0</v>
      </c>
      <c r="AZ136" s="52">
        <v>500</v>
      </c>
      <c r="BA136" s="52">
        <v>500</v>
      </c>
      <c r="BB136" s="52">
        <v>321.35282000000041</v>
      </c>
      <c r="BC136" s="52">
        <v>500</v>
      </c>
      <c r="BD136" s="52">
        <v>500</v>
      </c>
      <c r="BE136" s="52">
        <v>321.35282000000041</v>
      </c>
      <c r="BF136" s="52">
        <v>500</v>
      </c>
      <c r="BG136" s="52">
        <v>500</v>
      </c>
      <c r="BH136" s="52">
        <v>110.23584779220828</v>
      </c>
      <c r="BI136" s="52">
        <v>0</v>
      </c>
      <c r="BJ136" s="52">
        <v>0</v>
      </c>
      <c r="BK136" s="52">
        <v>0</v>
      </c>
      <c r="BL136" s="52">
        <v>500</v>
      </c>
      <c r="BM136" s="52">
        <v>500</v>
      </c>
      <c r="BN136" s="52">
        <v>204.64089068493175</v>
      </c>
      <c r="BO136" s="52">
        <v>500</v>
      </c>
      <c r="BP136" s="52">
        <v>500</v>
      </c>
      <c r="BQ136" s="52">
        <v>204.64089068493175</v>
      </c>
      <c r="BR136" s="52">
        <v>500</v>
      </c>
      <c r="BS136" s="52">
        <v>500</v>
      </c>
      <c r="BT136" s="52">
        <v>279.61334000000198</v>
      </c>
      <c r="BU136" s="52">
        <v>500</v>
      </c>
      <c r="BV136" s="52">
        <v>500</v>
      </c>
      <c r="BW136" s="52">
        <v>118.99193000000052</v>
      </c>
    </row>
    <row r="137" spans="1:75" x14ac:dyDescent="0.3">
      <c r="A137" s="8" t="s">
        <v>103</v>
      </c>
      <c r="B137" s="8" t="s">
        <v>9</v>
      </c>
      <c r="C137" s="8" t="s">
        <v>64</v>
      </c>
      <c r="D137" s="52">
        <v>500</v>
      </c>
      <c r="E137" s="52">
        <v>500</v>
      </c>
      <c r="F137" s="52">
        <v>100</v>
      </c>
      <c r="G137" s="52">
        <v>0</v>
      </c>
      <c r="H137" s="52">
        <v>0</v>
      </c>
      <c r="I137" s="52">
        <v>0</v>
      </c>
      <c r="J137" s="52">
        <v>500</v>
      </c>
      <c r="K137" s="52">
        <v>500</v>
      </c>
      <c r="L137" s="52">
        <v>99.999999999999915</v>
      </c>
      <c r="M137" s="52">
        <v>0</v>
      </c>
      <c r="N137" s="52">
        <v>0</v>
      </c>
      <c r="O137" s="52">
        <v>0</v>
      </c>
      <c r="P137" s="52">
        <v>500</v>
      </c>
      <c r="Q137" s="52">
        <v>500</v>
      </c>
      <c r="R137" s="52">
        <v>100</v>
      </c>
      <c r="S137" s="52">
        <v>0</v>
      </c>
      <c r="T137" s="52">
        <v>0</v>
      </c>
      <c r="U137" s="52">
        <v>0</v>
      </c>
      <c r="V137" s="52">
        <v>500</v>
      </c>
      <c r="W137" s="52">
        <v>500</v>
      </c>
      <c r="X137" s="52">
        <v>100</v>
      </c>
      <c r="Y137" s="52">
        <v>0</v>
      </c>
      <c r="Z137" s="52">
        <v>0</v>
      </c>
      <c r="AA137" s="52">
        <v>0</v>
      </c>
      <c r="AB137" s="52">
        <v>500</v>
      </c>
      <c r="AC137" s="52">
        <v>500</v>
      </c>
      <c r="AD137" s="52">
        <v>100</v>
      </c>
      <c r="AE137" s="52">
        <v>0</v>
      </c>
      <c r="AF137" s="52">
        <v>0</v>
      </c>
      <c r="AG137" s="52">
        <v>0</v>
      </c>
      <c r="AH137" s="52">
        <v>500</v>
      </c>
      <c r="AI137" s="52">
        <v>500</v>
      </c>
      <c r="AJ137" s="52">
        <v>346.03923999999961</v>
      </c>
      <c r="AK137" s="52">
        <v>500</v>
      </c>
      <c r="AL137" s="52">
        <v>500</v>
      </c>
      <c r="AM137" s="52">
        <v>346.03923999999961</v>
      </c>
      <c r="AN137" s="52">
        <v>500</v>
      </c>
      <c r="AO137" s="52">
        <v>500</v>
      </c>
      <c r="AP137" s="52">
        <v>100</v>
      </c>
      <c r="AQ137" s="52">
        <v>500</v>
      </c>
      <c r="AR137" s="52">
        <v>500</v>
      </c>
      <c r="AS137" s="52">
        <v>100</v>
      </c>
      <c r="AT137" s="52">
        <v>0</v>
      </c>
      <c r="AU137" s="52">
        <v>0</v>
      </c>
      <c r="AV137" s="52">
        <v>0</v>
      </c>
      <c r="AW137" s="52">
        <v>0</v>
      </c>
      <c r="AX137" s="52">
        <v>0</v>
      </c>
      <c r="AY137" s="52">
        <v>0</v>
      </c>
      <c r="AZ137" s="52">
        <v>500</v>
      </c>
      <c r="BA137" s="52">
        <v>500</v>
      </c>
      <c r="BB137" s="52">
        <v>100</v>
      </c>
      <c r="BC137" s="52">
        <v>0</v>
      </c>
      <c r="BD137" s="52">
        <v>0</v>
      </c>
      <c r="BE137" s="52">
        <v>0</v>
      </c>
      <c r="BF137" s="52">
        <v>0</v>
      </c>
      <c r="BG137" s="52">
        <v>0</v>
      </c>
      <c r="BH137" s="52">
        <v>0</v>
      </c>
      <c r="BI137" s="52">
        <v>0</v>
      </c>
      <c r="BJ137" s="52">
        <v>0</v>
      </c>
      <c r="BK137" s="52">
        <v>0</v>
      </c>
      <c r="BL137" s="52">
        <v>500</v>
      </c>
      <c r="BM137" s="52">
        <v>500</v>
      </c>
      <c r="BN137" s="52">
        <v>100</v>
      </c>
      <c r="BO137" s="52">
        <v>0</v>
      </c>
      <c r="BP137" s="52">
        <v>0</v>
      </c>
      <c r="BQ137" s="52">
        <v>0</v>
      </c>
      <c r="BR137" s="52">
        <v>500</v>
      </c>
      <c r="BS137" s="52">
        <v>500</v>
      </c>
      <c r="BT137" s="52">
        <v>100</v>
      </c>
      <c r="BU137" s="52">
        <v>0</v>
      </c>
      <c r="BV137" s="52">
        <v>0</v>
      </c>
      <c r="BW137" s="52">
        <v>0</v>
      </c>
    </row>
    <row r="138" spans="1:75" x14ac:dyDescent="0.3">
      <c r="A138" s="8" t="s">
        <v>103</v>
      </c>
      <c r="B138" s="8" t="s">
        <v>9</v>
      </c>
      <c r="C138" s="8" t="s">
        <v>65</v>
      </c>
      <c r="D138" s="52">
        <v>667.5</v>
      </c>
      <c r="E138" s="52">
        <v>667.5</v>
      </c>
      <c r="F138" s="52">
        <v>667.5</v>
      </c>
      <c r="G138" s="52">
        <v>667.5</v>
      </c>
      <c r="H138" s="52">
        <v>667.5</v>
      </c>
      <c r="I138" s="52">
        <v>667.5</v>
      </c>
      <c r="J138" s="52">
        <v>667.5</v>
      </c>
      <c r="K138" s="52">
        <v>667.5</v>
      </c>
      <c r="L138" s="52">
        <v>667.5</v>
      </c>
      <c r="M138" s="52">
        <v>667.5</v>
      </c>
      <c r="N138" s="52">
        <v>667.5</v>
      </c>
      <c r="O138" s="52">
        <v>667.5</v>
      </c>
      <c r="P138" s="52">
        <v>667.5</v>
      </c>
      <c r="Q138" s="52">
        <v>667.5</v>
      </c>
      <c r="R138" s="52">
        <v>667.5</v>
      </c>
      <c r="S138" s="52">
        <v>667.5</v>
      </c>
      <c r="T138" s="52">
        <v>667.5</v>
      </c>
      <c r="U138" s="52">
        <v>667.5</v>
      </c>
      <c r="V138" s="52">
        <v>667.5</v>
      </c>
      <c r="W138" s="52">
        <v>667.5</v>
      </c>
      <c r="X138" s="52">
        <v>667.5</v>
      </c>
      <c r="Y138" s="52">
        <v>667.5</v>
      </c>
      <c r="Z138" s="52">
        <v>667.5</v>
      </c>
      <c r="AA138" s="52">
        <v>667.5</v>
      </c>
      <c r="AB138" s="52">
        <v>667.5</v>
      </c>
      <c r="AC138" s="52">
        <v>667.5</v>
      </c>
      <c r="AD138" s="52">
        <v>667.5</v>
      </c>
      <c r="AE138" s="52">
        <v>667.5</v>
      </c>
      <c r="AF138" s="52">
        <v>667.5</v>
      </c>
      <c r="AG138" s="52">
        <v>667.5</v>
      </c>
      <c r="AH138" s="52">
        <v>667.5</v>
      </c>
      <c r="AI138" s="52">
        <v>667.5</v>
      </c>
      <c r="AJ138" s="52">
        <v>667.5</v>
      </c>
      <c r="AK138" s="52">
        <v>667.5</v>
      </c>
      <c r="AL138" s="52">
        <v>667.5</v>
      </c>
      <c r="AM138" s="52">
        <v>667.5</v>
      </c>
      <c r="AN138" s="52">
        <v>667.5</v>
      </c>
      <c r="AO138" s="52">
        <v>667.5</v>
      </c>
      <c r="AP138" s="52">
        <v>667.5</v>
      </c>
      <c r="AQ138" s="52">
        <v>667.5</v>
      </c>
      <c r="AR138" s="52">
        <v>667.5</v>
      </c>
      <c r="AS138" s="52">
        <v>667.5</v>
      </c>
      <c r="AT138" s="52">
        <v>667.5</v>
      </c>
      <c r="AU138" s="52">
        <v>667.5</v>
      </c>
      <c r="AV138" s="52">
        <v>667.5</v>
      </c>
      <c r="AW138" s="52">
        <v>667.5</v>
      </c>
      <c r="AX138" s="52">
        <v>667.5</v>
      </c>
      <c r="AY138" s="52">
        <v>667.5</v>
      </c>
      <c r="AZ138" s="52">
        <v>667.5</v>
      </c>
      <c r="BA138" s="52">
        <v>667.5</v>
      </c>
      <c r="BB138" s="52">
        <v>667.5</v>
      </c>
      <c r="BC138" s="52">
        <v>667.5</v>
      </c>
      <c r="BD138" s="52">
        <v>667.5</v>
      </c>
      <c r="BE138" s="52">
        <v>667.5</v>
      </c>
      <c r="BF138" s="52">
        <v>667.5</v>
      </c>
      <c r="BG138" s="52">
        <v>667.5</v>
      </c>
      <c r="BH138" s="52">
        <v>667.5</v>
      </c>
      <c r="BI138" s="52">
        <v>667.5</v>
      </c>
      <c r="BJ138" s="52">
        <v>667.5</v>
      </c>
      <c r="BK138" s="52">
        <v>667.5</v>
      </c>
      <c r="BL138" s="52">
        <v>667.5</v>
      </c>
      <c r="BM138" s="52">
        <v>667.5</v>
      </c>
      <c r="BN138" s="52">
        <v>667.5</v>
      </c>
      <c r="BO138" s="52">
        <v>667.5</v>
      </c>
      <c r="BP138" s="52">
        <v>667.5</v>
      </c>
      <c r="BQ138" s="52">
        <v>667.5</v>
      </c>
      <c r="BR138" s="52">
        <v>667.5</v>
      </c>
      <c r="BS138" s="52">
        <v>667.5</v>
      </c>
      <c r="BT138" s="52">
        <v>667.5</v>
      </c>
      <c r="BU138" s="52">
        <v>667.5</v>
      </c>
      <c r="BV138" s="52">
        <v>667.5</v>
      </c>
      <c r="BW138" s="52">
        <v>667.5</v>
      </c>
    </row>
    <row r="139" spans="1:75" x14ac:dyDescent="0.3">
      <c r="A139" s="8" t="s">
        <v>103</v>
      </c>
      <c r="B139" s="8" t="s">
        <v>9</v>
      </c>
      <c r="C139" s="8" t="s">
        <v>66</v>
      </c>
      <c r="D139" s="52">
        <v>0</v>
      </c>
      <c r="E139" s="52">
        <v>0</v>
      </c>
      <c r="F139" s="52">
        <v>0</v>
      </c>
      <c r="G139" s="52">
        <v>0</v>
      </c>
      <c r="H139" s="52">
        <v>0</v>
      </c>
      <c r="I139" s="52">
        <v>0</v>
      </c>
      <c r="J139" s="52">
        <v>0</v>
      </c>
      <c r="K139" s="52">
        <v>0</v>
      </c>
      <c r="L139" s="52">
        <v>0</v>
      </c>
      <c r="M139" s="52">
        <v>0</v>
      </c>
      <c r="N139" s="52">
        <v>0</v>
      </c>
      <c r="O139" s="52">
        <v>0</v>
      </c>
      <c r="P139" s="52">
        <v>0</v>
      </c>
      <c r="Q139" s="52">
        <v>0</v>
      </c>
      <c r="R139" s="52">
        <v>0</v>
      </c>
      <c r="S139" s="52">
        <v>0</v>
      </c>
      <c r="T139" s="52">
        <v>0</v>
      </c>
      <c r="U139" s="52">
        <v>0</v>
      </c>
      <c r="V139" s="52">
        <v>0</v>
      </c>
      <c r="W139" s="52">
        <v>0</v>
      </c>
      <c r="X139" s="52">
        <v>0</v>
      </c>
      <c r="Y139" s="52">
        <v>0</v>
      </c>
      <c r="Z139" s="52">
        <v>0</v>
      </c>
      <c r="AA139" s="52">
        <v>0</v>
      </c>
      <c r="AB139" s="52">
        <v>0</v>
      </c>
      <c r="AC139" s="52">
        <v>0</v>
      </c>
      <c r="AD139" s="52">
        <v>0</v>
      </c>
      <c r="AE139" s="52">
        <v>0</v>
      </c>
      <c r="AF139" s="52">
        <v>0</v>
      </c>
      <c r="AG139" s="52">
        <v>0</v>
      </c>
      <c r="AH139" s="52">
        <v>0</v>
      </c>
      <c r="AI139" s="52">
        <v>0</v>
      </c>
      <c r="AJ139" s="52">
        <v>0</v>
      </c>
      <c r="AK139" s="52">
        <v>0</v>
      </c>
      <c r="AL139" s="52">
        <v>0</v>
      </c>
      <c r="AM139" s="52">
        <v>0</v>
      </c>
      <c r="AN139" s="52">
        <v>0</v>
      </c>
      <c r="AO139" s="52">
        <v>0</v>
      </c>
      <c r="AP139" s="52">
        <v>0</v>
      </c>
      <c r="AQ139" s="52">
        <v>0</v>
      </c>
      <c r="AR139" s="52">
        <v>0</v>
      </c>
      <c r="AS139" s="52">
        <v>0</v>
      </c>
      <c r="AT139" s="52">
        <v>0</v>
      </c>
      <c r="AU139" s="52">
        <v>0</v>
      </c>
      <c r="AV139" s="52">
        <v>0</v>
      </c>
      <c r="AW139" s="52">
        <v>0</v>
      </c>
      <c r="AX139" s="52">
        <v>0</v>
      </c>
      <c r="AY139" s="52">
        <v>0</v>
      </c>
      <c r="AZ139" s="52">
        <v>0</v>
      </c>
      <c r="BA139" s="52">
        <v>0</v>
      </c>
      <c r="BB139" s="52">
        <v>0</v>
      </c>
      <c r="BC139" s="52">
        <v>0</v>
      </c>
      <c r="BD139" s="52">
        <v>0</v>
      </c>
      <c r="BE139" s="52">
        <v>0</v>
      </c>
      <c r="BF139" s="52">
        <v>0</v>
      </c>
      <c r="BG139" s="52">
        <v>0</v>
      </c>
      <c r="BH139" s="52">
        <v>0</v>
      </c>
      <c r="BI139" s="52">
        <v>0</v>
      </c>
      <c r="BJ139" s="52">
        <v>0</v>
      </c>
      <c r="BK139" s="52">
        <v>0</v>
      </c>
      <c r="BL139" s="52">
        <v>0</v>
      </c>
      <c r="BM139" s="52">
        <v>0</v>
      </c>
      <c r="BN139" s="52">
        <v>0</v>
      </c>
      <c r="BO139" s="52">
        <v>0</v>
      </c>
      <c r="BP139" s="52">
        <v>0</v>
      </c>
      <c r="BQ139" s="52">
        <v>0</v>
      </c>
      <c r="BR139" s="52">
        <v>0</v>
      </c>
      <c r="BS139" s="52">
        <v>0</v>
      </c>
      <c r="BT139" s="52">
        <v>0</v>
      </c>
      <c r="BU139" s="52">
        <v>0</v>
      </c>
      <c r="BV139" s="52">
        <v>0</v>
      </c>
      <c r="BW139" s="52">
        <v>0</v>
      </c>
    </row>
    <row r="140" spans="1:75" x14ac:dyDescent="0.3">
      <c r="A140" s="8" t="s">
        <v>103</v>
      </c>
      <c r="B140" s="8" t="s">
        <v>9</v>
      </c>
      <c r="C140" s="8" t="s">
        <v>67</v>
      </c>
      <c r="D140" s="52">
        <v>0</v>
      </c>
      <c r="E140" s="52">
        <v>0</v>
      </c>
      <c r="F140" s="52">
        <v>0</v>
      </c>
      <c r="G140" s="52">
        <v>0</v>
      </c>
      <c r="H140" s="52">
        <v>0</v>
      </c>
      <c r="I140" s="52">
        <v>0</v>
      </c>
      <c r="J140" s="52">
        <v>0</v>
      </c>
      <c r="K140" s="52">
        <v>0</v>
      </c>
      <c r="L140" s="52">
        <v>0</v>
      </c>
      <c r="M140" s="52">
        <v>0</v>
      </c>
      <c r="N140" s="52">
        <v>0</v>
      </c>
      <c r="O140" s="52">
        <v>0</v>
      </c>
      <c r="P140" s="52">
        <v>0</v>
      </c>
      <c r="Q140" s="52">
        <v>0</v>
      </c>
      <c r="R140" s="52">
        <v>0</v>
      </c>
      <c r="S140" s="52">
        <v>0</v>
      </c>
      <c r="T140" s="52">
        <v>0</v>
      </c>
      <c r="U140" s="52">
        <v>0</v>
      </c>
      <c r="V140" s="52">
        <v>0</v>
      </c>
      <c r="W140" s="52">
        <v>0</v>
      </c>
      <c r="X140" s="52">
        <v>0</v>
      </c>
      <c r="Y140" s="52">
        <v>0</v>
      </c>
      <c r="Z140" s="52">
        <v>0</v>
      </c>
      <c r="AA140" s="52">
        <v>0</v>
      </c>
      <c r="AB140" s="52">
        <v>0</v>
      </c>
      <c r="AC140" s="52">
        <v>0</v>
      </c>
      <c r="AD140" s="52">
        <v>0</v>
      </c>
      <c r="AE140" s="52">
        <v>0</v>
      </c>
      <c r="AF140" s="52">
        <v>0</v>
      </c>
      <c r="AG140" s="52">
        <v>0</v>
      </c>
      <c r="AH140" s="52">
        <v>0</v>
      </c>
      <c r="AI140" s="52">
        <v>0</v>
      </c>
      <c r="AJ140" s="52">
        <v>0</v>
      </c>
      <c r="AK140" s="52">
        <v>0</v>
      </c>
      <c r="AL140" s="52">
        <v>0</v>
      </c>
      <c r="AM140" s="52">
        <v>0</v>
      </c>
      <c r="AN140" s="52">
        <v>0</v>
      </c>
      <c r="AO140" s="52">
        <v>0</v>
      </c>
      <c r="AP140" s="52">
        <v>0</v>
      </c>
      <c r="AQ140" s="52">
        <v>0</v>
      </c>
      <c r="AR140" s="52">
        <v>0</v>
      </c>
      <c r="AS140" s="52">
        <v>0</v>
      </c>
      <c r="AT140" s="52">
        <v>0</v>
      </c>
      <c r="AU140" s="52">
        <v>0</v>
      </c>
      <c r="AV140" s="52">
        <v>0</v>
      </c>
      <c r="AW140" s="52">
        <v>0</v>
      </c>
      <c r="AX140" s="52">
        <v>0</v>
      </c>
      <c r="AY140" s="52">
        <v>0</v>
      </c>
      <c r="AZ140" s="52">
        <v>0</v>
      </c>
      <c r="BA140" s="52">
        <v>0</v>
      </c>
      <c r="BB140" s="52">
        <v>0</v>
      </c>
      <c r="BC140" s="52">
        <v>0</v>
      </c>
      <c r="BD140" s="52">
        <v>0</v>
      </c>
      <c r="BE140" s="52">
        <v>0</v>
      </c>
      <c r="BF140" s="52">
        <v>0</v>
      </c>
      <c r="BG140" s="52">
        <v>0</v>
      </c>
      <c r="BH140" s="52">
        <v>0</v>
      </c>
      <c r="BI140" s="52">
        <v>0</v>
      </c>
      <c r="BJ140" s="52">
        <v>0</v>
      </c>
      <c r="BK140" s="52">
        <v>0</v>
      </c>
      <c r="BL140" s="52">
        <v>0</v>
      </c>
      <c r="BM140" s="52">
        <v>0</v>
      </c>
      <c r="BN140" s="52">
        <v>0</v>
      </c>
      <c r="BO140" s="52">
        <v>0</v>
      </c>
      <c r="BP140" s="52">
        <v>0</v>
      </c>
      <c r="BQ140" s="52">
        <v>0</v>
      </c>
      <c r="BR140" s="52">
        <v>0</v>
      </c>
      <c r="BS140" s="52">
        <v>0</v>
      </c>
      <c r="BT140" s="52">
        <v>0</v>
      </c>
      <c r="BU140" s="52">
        <v>0</v>
      </c>
      <c r="BV140" s="52">
        <v>0</v>
      </c>
      <c r="BW140" s="52">
        <v>0</v>
      </c>
    </row>
    <row r="141" spans="1:75" x14ac:dyDescent="0.3">
      <c r="A141" s="8" t="s">
        <v>103</v>
      </c>
      <c r="B141" s="8" t="s">
        <v>9</v>
      </c>
      <c r="C141" s="8" t="s">
        <v>68</v>
      </c>
      <c r="D141" s="52">
        <v>0</v>
      </c>
      <c r="E141" s="52">
        <v>0</v>
      </c>
      <c r="F141" s="52">
        <v>0</v>
      </c>
      <c r="G141" s="52">
        <v>0</v>
      </c>
      <c r="H141" s="52">
        <v>0</v>
      </c>
      <c r="I141" s="52">
        <v>0</v>
      </c>
      <c r="J141" s="52">
        <v>0</v>
      </c>
      <c r="K141" s="52">
        <v>0</v>
      </c>
      <c r="L141" s="52">
        <v>0</v>
      </c>
      <c r="M141" s="52">
        <v>0</v>
      </c>
      <c r="N141" s="52">
        <v>0</v>
      </c>
      <c r="O141" s="52">
        <v>0</v>
      </c>
      <c r="P141" s="52">
        <v>0</v>
      </c>
      <c r="Q141" s="52">
        <v>0</v>
      </c>
      <c r="R141" s="52">
        <v>0</v>
      </c>
      <c r="S141" s="52">
        <v>0</v>
      </c>
      <c r="T141" s="52">
        <v>0</v>
      </c>
      <c r="U141" s="52">
        <v>0</v>
      </c>
      <c r="V141" s="52">
        <v>0</v>
      </c>
      <c r="W141" s="52">
        <v>0</v>
      </c>
      <c r="X141" s="52">
        <v>0</v>
      </c>
      <c r="Y141" s="52">
        <v>0</v>
      </c>
      <c r="Z141" s="52">
        <v>0</v>
      </c>
      <c r="AA141" s="52">
        <v>0</v>
      </c>
      <c r="AB141" s="52">
        <v>0</v>
      </c>
      <c r="AC141" s="52">
        <v>0</v>
      </c>
      <c r="AD141" s="52">
        <v>0</v>
      </c>
      <c r="AE141" s="52">
        <v>0</v>
      </c>
      <c r="AF141" s="52">
        <v>0</v>
      </c>
      <c r="AG141" s="52">
        <v>0</v>
      </c>
      <c r="AH141" s="52">
        <v>0</v>
      </c>
      <c r="AI141" s="52">
        <v>0</v>
      </c>
      <c r="AJ141" s="52">
        <v>0</v>
      </c>
      <c r="AK141" s="52">
        <v>0</v>
      </c>
      <c r="AL141" s="52">
        <v>0</v>
      </c>
      <c r="AM141" s="52">
        <v>0</v>
      </c>
      <c r="AN141" s="52">
        <v>0</v>
      </c>
      <c r="AO141" s="52">
        <v>0</v>
      </c>
      <c r="AP141" s="52">
        <v>0</v>
      </c>
      <c r="AQ141" s="52">
        <v>0</v>
      </c>
      <c r="AR141" s="52">
        <v>0</v>
      </c>
      <c r="AS141" s="52">
        <v>0</v>
      </c>
      <c r="AT141" s="52">
        <v>0</v>
      </c>
      <c r="AU141" s="52">
        <v>0</v>
      </c>
      <c r="AV141" s="52">
        <v>0</v>
      </c>
      <c r="AW141" s="52">
        <v>0</v>
      </c>
      <c r="AX141" s="52">
        <v>0</v>
      </c>
      <c r="AY141" s="52">
        <v>0</v>
      </c>
      <c r="AZ141" s="52">
        <v>0</v>
      </c>
      <c r="BA141" s="52">
        <v>0</v>
      </c>
      <c r="BB141" s="52">
        <v>0</v>
      </c>
      <c r="BC141" s="52">
        <v>0</v>
      </c>
      <c r="BD141" s="52">
        <v>0</v>
      </c>
      <c r="BE141" s="52">
        <v>0</v>
      </c>
      <c r="BF141" s="52">
        <v>0</v>
      </c>
      <c r="BG141" s="52">
        <v>0</v>
      </c>
      <c r="BH141" s="52">
        <v>0</v>
      </c>
      <c r="BI141" s="52">
        <v>0</v>
      </c>
      <c r="BJ141" s="52">
        <v>0</v>
      </c>
      <c r="BK141" s="52">
        <v>0</v>
      </c>
      <c r="BL141" s="52">
        <v>0</v>
      </c>
      <c r="BM141" s="52">
        <v>0</v>
      </c>
      <c r="BN141" s="52">
        <v>0</v>
      </c>
      <c r="BO141" s="52">
        <v>0</v>
      </c>
      <c r="BP141" s="52">
        <v>0</v>
      </c>
      <c r="BQ141" s="52">
        <v>0</v>
      </c>
      <c r="BR141" s="52">
        <v>0</v>
      </c>
      <c r="BS141" s="52">
        <v>0</v>
      </c>
      <c r="BT141" s="52">
        <v>0</v>
      </c>
      <c r="BU141" s="52">
        <v>0</v>
      </c>
      <c r="BV141" s="52">
        <v>0</v>
      </c>
      <c r="BW141" s="52">
        <v>0</v>
      </c>
    </row>
    <row r="142" spans="1:75" x14ac:dyDescent="0.3">
      <c r="A142" s="8" t="s">
        <v>103</v>
      </c>
      <c r="B142" s="8" t="s">
        <v>9</v>
      </c>
      <c r="C142" s="8" t="s">
        <v>69</v>
      </c>
      <c r="D142" s="52">
        <v>0</v>
      </c>
      <c r="E142" s="52">
        <v>0</v>
      </c>
      <c r="F142" s="52">
        <v>0</v>
      </c>
      <c r="G142" s="52">
        <v>0</v>
      </c>
      <c r="H142" s="52">
        <v>0</v>
      </c>
      <c r="I142" s="52">
        <v>0</v>
      </c>
      <c r="J142" s="52">
        <v>0</v>
      </c>
      <c r="K142" s="52">
        <v>0</v>
      </c>
      <c r="L142" s="52">
        <v>0</v>
      </c>
      <c r="M142" s="52">
        <v>0</v>
      </c>
      <c r="N142" s="52">
        <v>0</v>
      </c>
      <c r="O142" s="52">
        <v>0</v>
      </c>
      <c r="P142" s="52">
        <v>0</v>
      </c>
      <c r="Q142" s="52">
        <v>0</v>
      </c>
      <c r="R142" s="52">
        <v>0</v>
      </c>
      <c r="S142" s="52">
        <v>0</v>
      </c>
      <c r="T142" s="52">
        <v>0</v>
      </c>
      <c r="U142" s="52">
        <v>0</v>
      </c>
      <c r="V142" s="52">
        <v>0</v>
      </c>
      <c r="W142" s="52">
        <v>0</v>
      </c>
      <c r="X142" s="52">
        <v>0</v>
      </c>
      <c r="Y142" s="52">
        <v>0</v>
      </c>
      <c r="Z142" s="52">
        <v>0</v>
      </c>
      <c r="AA142" s="52">
        <v>0</v>
      </c>
      <c r="AB142" s="52">
        <v>0</v>
      </c>
      <c r="AC142" s="52">
        <v>0</v>
      </c>
      <c r="AD142" s="52">
        <v>0</v>
      </c>
      <c r="AE142" s="52">
        <v>0</v>
      </c>
      <c r="AF142" s="52">
        <v>0</v>
      </c>
      <c r="AG142" s="52">
        <v>0</v>
      </c>
      <c r="AH142" s="52">
        <v>0</v>
      </c>
      <c r="AI142" s="52">
        <v>0</v>
      </c>
      <c r="AJ142" s="52">
        <v>0</v>
      </c>
      <c r="AK142" s="52">
        <v>0</v>
      </c>
      <c r="AL142" s="52">
        <v>0</v>
      </c>
      <c r="AM142" s="52">
        <v>0</v>
      </c>
      <c r="AN142" s="52">
        <v>0</v>
      </c>
      <c r="AO142" s="52">
        <v>0</v>
      </c>
      <c r="AP142" s="52">
        <v>0</v>
      </c>
      <c r="AQ142" s="52">
        <v>0</v>
      </c>
      <c r="AR142" s="52">
        <v>0</v>
      </c>
      <c r="AS142" s="52">
        <v>0</v>
      </c>
      <c r="AT142" s="52">
        <v>0</v>
      </c>
      <c r="AU142" s="52">
        <v>0</v>
      </c>
      <c r="AV142" s="52">
        <v>0</v>
      </c>
      <c r="AW142" s="52">
        <v>0</v>
      </c>
      <c r="AX142" s="52">
        <v>0</v>
      </c>
      <c r="AY142" s="52">
        <v>0</v>
      </c>
      <c r="AZ142" s="52">
        <v>0</v>
      </c>
      <c r="BA142" s="52">
        <v>0</v>
      </c>
      <c r="BB142" s="52">
        <v>0</v>
      </c>
      <c r="BC142" s="52">
        <v>0</v>
      </c>
      <c r="BD142" s="52">
        <v>0</v>
      </c>
      <c r="BE142" s="52">
        <v>0</v>
      </c>
      <c r="BF142" s="52">
        <v>0</v>
      </c>
      <c r="BG142" s="52">
        <v>0</v>
      </c>
      <c r="BH142" s="52">
        <v>0</v>
      </c>
      <c r="BI142" s="52">
        <v>0</v>
      </c>
      <c r="BJ142" s="52">
        <v>0</v>
      </c>
      <c r="BK142" s="52">
        <v>0</v>
      </c>
      <c r="BL142" s="52">
        <v>0</v>
      </c>
      <c r="BM142" s="52">
        <v>0</v>
      </c>
      <c r="BN142" s="52">
        <v>0</v>
      </c>
      <c r="BO142" s="52">
        <v>0</v>
      </c>
      <c r="BP142" s="52">
        <v>0</v>
      </c>
      <c r="BQ142" s="52">
        <v>0</v>
      </c>
      <c r="BR142" s="52">
        <v>0</v>
      </c>
      <c r="BS142" s="52">
        <v>0</v>
      </c>
      <c r="BT142" s="52">
        <v>0</v>
      </c>
      <c r="BU142" s="52">
        <v>0</v>
      </c>
      <c r="BV142" s="52">
        <v>0</v>
      </c>
      <c r="BW142" s="52">
        <v>0</v>
      </c>
    </row>
    <row r="143" spans="1:75" x14ac:dyDescent="0.3">
      <c r="A143" s="8" t="s">
        <v>103</v>
      </c>
      <c r="B143" s="8" t="s">
        <v>9</v>
      </c>
      <c r="C143" s="8" t="s">
        <v>27</v>
      </c>
      <c r="D143" s="52">
        <v>150</v>
      </c>
      <c r="E143" s="52">
        <v>150</v>
      </c>
      <c r="F143" s="52">
        <v>128.45866090909058</v>
      </c>
      <c r="G143" s="52">
        <v>150</v>
      </c>
      <c r="H143" s="52">
        <v>150</v>
      </c>
      <c r="I143" s="52">
        <v>119.98994000000087</v>
      </c>
      <c r="J143" s="52">
        <v>150</v>
      </c>
      <c r="K143" s="52">
        <v>150</v>
      </c>
      <c r="L143" s="52">
        <v>150</v>
      </c>
      <c r="M143" s="52">
        <v>150</v>
      </c>
      <c r="N143" s="52">
        <v>150</v>
      </c>
      <c r="O143" s="52">
        <v>11.400000000000141</v>
      </c>
      <c r="P143" s="52">
        <v>150</v>
      </c>
      <c r="Q143" s="52">
        <v>150</v>
      </c>
      <c r="R143" s="52">
        <v>132.64896310679603</v>
      </c>
      <c r="S143" s="52">
        <v>150</v>
      </c>
      <c r="T143" s="52">
        <v>150</v>
      </c>
      <c r="U143" s="52">
        <v>54.567883106796394</v>
      </c>
      <c r="V143" s="52">
        <v>150</v>
      </c>
      <c r="W143" s="52">
        <v>150</v>
      </c>
      <c r="X143" s="52">
        <v>85.917914912280622</v>
      </c>
      <c r="Y143" s="52">
        <v>150</v>
      </c>
      <c r="Z143" s="52">
        <v>130.77505000000016</v>
      </c>
      <c r="AA143" s="52">
        <v>0</v>
      </c>
      <c r="AB143" s="52">
        <v>150</v>
      </c>
      <c r="AC143" s="52">
        <v>150</v>
      </c>
      <c r="AD143" s="52">
        <v>0</v>
      </c>
      <c r="AE143" s="52">
        <v>150</v>
      </c>
      <c r="AF143" s="52">
        <v>110.12307692307688</v>
      </c>
      <c r="AG143" s="52">
        <v>0</v>
      </c>
      <c r="AH143" s="52">
        <v>150</v>
      </c>
      <c r="AI143" s="52">
        <v>77.614285714285714</v>
      </c>
      <c r="AJ143" s="52">
        <v>0</v>
      </c>
      <c r="AK143" s="52">
        <v>150</v>
      </c>
      <c r="AL143" s="52">
        <v>77.614285714285714</v>
      </c>
      <c r="AM143" s="52">
        <v>0</v>
      </c>
      <c r="AN143" s="52">
        <v>150</v>
      </c>
      <c r="AO143" s="52">
        <v>118.25989000000069</v>
      </c>
      <c r="AP143" s="52">
        <v>0</v>
      </c>
      <c r="AQ143" s="52">
        <v>22.861984444433215</v>
      </c>
      <c r="AR143" s="52">
        <v>20.251710000000699</v>
      </c>
      <c r="AS143" s="52">
        <v>0</v>
      </c>
      <c r="AT143" s="52">
        <v>134.17978000000107</v>
      </c>
      <c r="AU143" s="52">
        <v>86.065352669902609</v>
      </c>
      <c r="AV143" s="52">
        <v>0</v>
      </c>
      <c r="AW143" s="52">
        <v>134.17978000000107</v>
      </c>
      <c r="AX143" s="52">
        <v>86.065352669902609</v>
      </c>
      <c r="AY143" s="52">
        <v>0</v>
      </c>
      <c r="AZ143" s="52">
        <v>150</v>
      </c>
      <c r="BA143" s="52">
        <v>150</v>
      </c>
      <c r="BB143" s="52">
        <v>0</v>
      </c>
      <c r="BC143" s="52">
        <v>150</v>
      </c>
      <c r="BD143" s="52">
        <v>141.32307692307688</v>
      </c>
      <c r="BE143" s="52">
        <v>0</v>
      </c>
      <c r="BF143" s="52">
        <v>150</v>
      </c>
      <c r="BG143" s="52">
        <v>150</v>
      </c>
      <c r="BH143" s="52">
        <v>54.832672207792093</v>
      </c>
      <c r="BI143" s="52">
        <v>150</v>
      </c>
      <c r="BJ143" s="52">
        <v>150</v>
      </c>
      <c r="BK143" s="52">
        <v>40.452340000000298</v>
      </c>
      <c r="BL143" s="52">
        <v>150</v>
      </c>
      <c r="BM143" s="52">
        <v>150</v>
      </c>
      <c r="BN143" s="52">
        <v>129.79996931506841</v>
      </c>
      <c r="BO143" s="52">
        <v>150</v>
      </c>
      <c r="BP143" s="52">
        <v>150</v>
      </c>
      <c r="BQ143" s="52">
        <v>59.241729315068731</v>
      </c>
      <c r="BR143" s="52">
        <v>150</v>
      </c>
      <c r="BS143" s="52">
        <v>150</v>
      </c>
      <c r="BT143" s="52">
        <v>100.89600000000002</v>
      </c>
      <c r="BU143" s="52">
        <v>150</v>
      </c>
      <c r="BV143" s="52">
        <v>150</v>
      </c>
      <c r="BW143" s="52">
        <v>100.896</v>
      </c>
    </row>
    <row r="144" spans="1:75" x14ac:dyDescent="0.3">
      <c r="A144" s="8" t="s">
        <v>103</v>
      </c>
      <c r="B144" s="8" t="s">
        <v>9</v>
      </c>
      <c r="C144" s="8" t="s">
        <v>144</v>
      </c>
      <c r="D144" s="52">
        <v>200</v>
      </c>
      <c r="E144" s="52">
        <v>3.1623199999999407</v>
      </c>
      <c r="F144" s="52">
        <v>0</v>
      </c>
      <c r="G144" s="52">
        <v>200</v>
      </c>
      <c r="H144" s="52">
        <v>0</v>
      </c>
      <c r="I144" s="52">
        <v>0</v>
      </c>
      <c r="J144" s="52">
        <v>200</v>
      </c>
      <c r="K144" s="52">
        <v>0</v>
      </c>
      <c r="L144" s="52">
        <v>0</v>
      </c>
      <c r="M144" s="52">
        <v>200</v>
      </c>
      <c r="N144" s="52">
        <v>0</v>
      </c>
      <c r="O144" s="52">
        <v>0</v>
      </c>
      <c r="P144" s="52">
        <v>200</v>
      </c>
      <c r="Q144" s="52">
        <v>38.023287570754675</v>
      </c>
      <c r="R144" s="52">
        <v>0</v>
      </c>
      <c r="S144" s="52">
        <v>200</v>
      </c>
      <c r="T144" s="52">
        <v>38.023287570754675</v>
      </c>
      <c r="U144" s="52">
        <v>0</v>
      </c>
      <c r="V144" s="52">
        <v>180.0421900000002</v>
      </c>
      <c r="W144" s="52">
        <v>0</v>
      </c>
      <c r="X144" s="52">
        <v>0</v>
      </c>
      <c r="Y144" s="52">
        <v>180.0421900000002</v>
      </c>
      <c r="Z144" s="52">
        <v>0</v>
      </c>
      <c r="AA144" s="52">
        <v>0</v>
      </c>
      <c r="AB144" s="52">
        <v>164.33730782608683</v>
      </c>
      <c r="AC144" s="52">
        <v>0</v>
      </c>
      <c r="AD144" s="52">
        <v>0</v>
      </c>
      <c r="AE144" s="52">
        <v>164.33730782608686</v>
      </c>
      <c r="AF144" s="52">
        <v>0</v>
      </c>
      <c r="AG144" s="52">
        <v>0</v>
      </c>
      <c r="AH144" s="52">
        <v>200</v>
      </c>
      <c r="AI144" s="52">
        <v>0</v>
      </c>
      <c r="AJ144" s="52">
        <v>0</v>
      </c>
      <c r="AK144" s="52">
        <v>116.87577999999951</v>
      </c>
      <c r="AL144" s="52">
        <v>0</v>
      </c>
      <c r="AM144" s="52">
        <v>0</v>
      </c>
      <c r="AN144" s="52">
        <v>200</v>
      </c>
      <c r="AO144" s="52">
        <v>0</v>
      </c>
      <c r="AP144" s="52">
        <v>0</v>
      </c>
      <c r="AQ144" s="52">
        <v>200</v>
      </c>
      <c r="AR144" s="52">
        <v>0</v>
      </c>
      <c r="AS144" s="52">
        <v>0</v>
      </c>
      <c r="AT144" s="52">
        <v>200</v>
      </c>
      <c r="AU144" s="52">
        <v>112.90956733009827</v>
      </c>
      <c r="AV144" s="52">
        <v>0</v>
      </c>
      <c r="AW144" s="52">
        <v>200</v>
      </c>
      <c r="AX144" s="52">
        <v>112.90956733009827</v>
      </c>
      <c r="AY144" s="52">
        <v>0</v>
      </c>
      <c r="AZ144" s="52">
        <v>91.842240884608003</v>
      </c>
      <c r="BA144" s="52">
        <v>9.1182155208347346</v>
      </c>
      <c r="BB144" s="52">
        <v>0</v>
      </c>
      <c r="BC144" s="52">
        <v>91.842240884608003</v>
      </c>
      <c r="BD144" s="52">
        <v>0</v>
      </c>
      <c r="BE144" s="52">
        <v>0</v>
      </c>
      <c r="BF144" s="52">
        <v>200</v>
      </c>
      <c r="BG144" s="52">
        <v>6.7977100000003317</v>
      </c>
      <c r="BH144" s="52">
        <v>0</v>
      </c>
      <c r="BI144" s="52">
        <v>200</v>
      </c>
      <c r="BJ144" s="52">
        <v>0</v>
      </c>
      <c r="BK144" s="52">
        <v>0</v>
      </c>
      <c r="BL144" s="52">
        <v>149.31432000000027</v>
      </c>
      <c r="BM144" s="52">
        <v>0</v>
      </c>
      <c r="BN144" s="52">
        <v>0</v>
      </c>
      <c r="BO144" s="52">
        <v>149.31432000000027</v>
      </c>
      <c r="BP144" s="52">
        <v>0</v>
      </c>
      <c r="BQ144" s="52">
        <v>0</v>
      </c>
      <c r="BR144" s="52">
        <v>200</v>
      </c>
      <c r="BS144" s="52">
        <v>0</v>
      </c>
      <c r="BT144" s="52">
        <v>0</v>
      </c>
      <c r="BU144" s="52">
        <v>200</v>
      </c>
      <c r="BV144" s="52">
        <v>0</v>
      </c>
      <c r="BW144" s="52">
        <v>0</v>
      </c>
    </row>
    <row r="145" spans="1:75" x14ac:dyDescent="0.3">
      <c r="A145" s="8" t="s">
        <v>103</v>
      </c>
      <c r="B145" s="8" t="s">
        <v>9</v>
      </c>
      <c r="C145" s="8" t="s">
        <v>145</v>
      </c>
      <c r="D145" s="52">
        <v>71.668201008052606</v>
      </c>
      <c r="E145" s="52">
        <v>0</v>
      </c>
      <c r="F145" s="52">
        <v>0</v>
      </c>
      <c r="G145" s="52">
        <v>71.668201008052606</v>
      </c>
      <c r="H145" s="52">
        <v>0</v>
      </c>
      <c r="I145" s="52">
        <v>0</v>
      </c>
      <c r="J145" s="52">
        <v>14.182130000000681</v>
      </c>
      <c r="K145" s="52">
        <v>0</v>
      </c>
      <c r="L145" s="52">
        <v>0</v>
      </c>
      <c r="M145" s="52">
        <v>14.182130000000681</v>
      </c>
      <c r="N145" s="52">
        <v>0</v>
      </c>
      <c r="O145" s="52">
        <v>0</v>
      </c>
      <c r="P145" s="52">
        <v>86.884200000000774</v>
      </c>
      <c r="Q145" s="52">
        <v>0</v>
      </c>
      <c r="R145" s="52">
        <v>0</v>
      </c>
      <c r="S145" s="52">
        <v>86.884200000000774</v>
      </c>
      <c r="T145" s="52">
        <v>0</v>
      </c>
      <c r="U145" s="52">
        <v>0</v>
      </c>
      <c r="V145" s="52">
        <v>0</v>
      </c>
      <c r="W145" s="52">
        <v>0</v>
      </c>
      <c r="X145" s="52">
        <v>0</v>
      </c>
      <c r="Y145" s="52">
        <v>0</v>
      </c>
      <c r="Z145" s="52">
        <v>0</v>
      </c>
      <c r="AA145" s="52">
        <v>0</v>
      </c>
      <c r="AB145" s="52">
        <v>0</v>
      </c>
      <c r="AC145" s="52">
        <v>0</v>
      </c>
      <c r="AD145" s="52">
        <v>0</v>
      </c>
      <c r="AE145" s="52">
        <v>0</v>
      </c>
      <c r="AF145" s="52">
        <v>0</v>
      </c>
      <c r="AG145" s="52">
        <v>0</v>
      </c>
      <c r="AH145" s="52">
        <v>66.770300000000063</v>
      </c>
      <c r="AI145" s="52">
        <v>0</v>
      </c>
      <c r="AJ145" s="52">
        <v>0</v>
      </c>
      <c r="AK145" s="52">
        <v>66.770300000000063</v>
      </c>
      <c r="AL145" s="52">
        <v>0</v>
      </c>
      <c r="AM145" s="52">
        <v>0</v>
      </c>
      <c r="AN145" s="52">
        <v>141.20844999999971</v>
      </c>
      <c r="AO145" s="52">
        <v>0</v>
      </c>
      <c r="AP145" s="52">
        <v>0</v>
      </c>
      <c r="AQ145" s="52">
        <v>119.53730555556427</v>
      </c>
      <c r="AR145" s="52">
        <v>0</v>
      </c>
      <c r="AS145" s="52">
        <v>0</v>
      </c>
      <c r="AT145" s="52">
        <v>200</v>
      </c>
      <c r="AU145" s="52">
        <v>0</v>
      </c>
      <c r="AV145" s="52">
        <v>0</v>
      </c>
      <c r="AW145" s="52">
        <v>200</v>
      </c>
      <c r="AX145" s="52">
        <v>0</v>
      </c>
      <c r="AY145" s="52">
        <v>0</v>
      </c>
      <c r="AZ145" s="52">
        <v>79.242679115392193</v>
      </c>
      <c r="BA145" s="52">
        <v>0</v>
      </c>
      <c r="BB145" s="52">
        <v>0</v>
      </c>
      <c r="BC145" s="52">
        <v>46.409389115393068</v>
      </c>
      <c r="BD145" s="52">
        <v>0</v>
      </c>
      <c r="BE145" s="52">
        <v>0</v>
      </c>
      <c r="BF145" s="52">
        <v>200</v>
      </c>
      <c r="BG145" s="52">
        <v>0</v>
      </c>
      <c r="BH145" s="52">
        <v>0</v>
      </c>
      <c r="BI145" s="52">
        <v>200</v>
      </c>
      <c r="BJ145" s="52">
        <v>0</v>
      </c>
      <c r="BK145" s="52">
        <v>0</v>
      </c>
      <c r="BL145" s="52">
        <v>200</v>
      </c>
      <c r="BM145" s="52">
        <v>0</v>
      </c>
      <c r="BN145" s="52">
        <v>0</v>
      </c>
      <c r="BO145" s="52">
        <v>200</v>
      </c>
      <c r="BP145" s="52">
        <v>0</v>
      </c>
      <c r="BQ145" s="52">
        <v>0</v>
      </c>
      <c r="BR145" s="52">
        <v>115.17203000000058</v>
      </c>
      <c r="BS145" s="52">
        <v>0</v>
      </c>
      <c r="BT145" s="52">
        <v>0</v>
      </c>
      <c r="BU145" s="52">
        <v>115.17203000000058</v>
      </c>
      <c r="BV145" s="52">
        <v>0</v>
      </c>
      <c r="BW145" s="52">
        <v>0</v>
      </c>
    </row>
    <row r="146" spans="1:75" x14ac:dyDescent="0.3">
      <c r="A146" s="8" t="s">
        <v>103</v>
      </c>
      <c r="B146" s="8" t="s">
        <v>9</v>
      </c>
      <c r="C146" s="8" t="s">
        <v>146</v>
      </c>
      <c r="D146" s="52">
        <v>200</v>
      </c>
      <c r="E146" s="52">
        <v>200</v>
      </c>
      <c r="F146" s="52">
        <v>0</v>
      </c>
      <c r="G146" s="52">
        <v>200</v>
      </c>
      <c r="H146" s="52">
        <v>35.316990000000104</v>
      </c>
      <c r="I146" s="52">
        <v>0</v>
      </c>
      <c r="J146" s="52">
        <v>200</v>
      </c>
      <c r="K146" s="52">
        <v>174.91969000000017</v>
      </c>
      <c r="L146" s="52">
        <v>0</v>
      </c>
      <c r="M146" s="52">
        <v>200</v>
      </c>
      <c r="N146" s="52">
        <v>33.807904890717168</v>
      </c>
      <c r="O146" s="52">
        <v>0</v>
      </c>
      <c r="P146" s="52">
        <v>200</v>
      </c>
      <c r="Q146" s="52">
        <v>39.902822429245674</v>
      </c>
      <c r="R146" s="52">
        <v>0</v>
      </c>
      <c r="S146" s="52">
        <v>200</v>
      </c>
      <c r="T146" s="52">
        <v>39.902822429245674</v>
      </c>
      <c r="U146" s="52">
        <v>0</v>
      </c>
      <c r="V146" s="52">
        <v>200</v>
      </c>
      <c r="W146" s="52">
        <v>0</v>
      </c>
      <c r="X146" s="52">
        <v>0</v>
      </c>
      <c r="Y146" s="52">
        <v>200</v>
      </c>
      <c r="Z146" s="52">
        <v>0</v>
      </c>
      <c r="AA146" s="52">
        <v>0</v>
      </c>
      <c r="AB146" s="52">
        <v>113.60332217391411</v>
      </c>
      <c r="AC146" s="52">
        <v>0</v>
      </c>
      <c r="AD146" s="52">
        <v>0</v>
      </c>
      <c r="AE146" s="52">
        <v>113.60332217391411</v>
      </c>
      <c r="AF146" s="52">
        <v>0</v>
      </c>
      <c r="AG146" s="52">
        <v>0</v>
      </c>
      <c r="AH146" s="52">
        <v>200</v>
      </c>
      <c r="AI146" s="52">
        <v>157.12856428571419</v>
      </c>
      <c r="AJ146" s="52">
        <v>0</v>
      </c>
      <c r="AK146" s="52">
        <v>200</v>
      </c>
      <c r="AL146" s="52">
        <v>133.17014428571505</v>
      </c>
      <c r="AM146" s="52">
        <v>0</v>
      </c>
      <c r="AN146" s="52">
        <v>200</v>
      </c>
      <c r="AO146" s="52">
        <v>200</v>
      </c>
      <c r="AP146" s="52">
        <v>0</v>
      </c>
      <c r="AQ146" s="52">
        <v>0</v>
      </c>
      <c r="AR146" s="52">
        <v>0</v>
      </c>
      <c r="AS146" s="52">
        <v>0</v>
      </c>
      <c r="AT146" s="52">
        <v>200</v>
      </c>
      <c r="AU146" s="52">
        <v>200</v>
      </c>
      <c r="AV146" s="52">
        <v>0</v>
      </c>
      <c r="AW146" s="52">
        <v>200</v>
      </c>
      <c r="AX146" s="52">
        <v>200</v>
      </c>
      <c r="AY146" s="52">
        <v>0</v>
      </c>
      <c r="AZ146" s="52">
        <v>200</v>
      </c>
      <c r="BA146" s="52">
        <v>52.876404479165643</v>
      </c>
      <c r="BB146" s="52">
        <v>0</v>
      </c>
      <c r="BC146" s="52">
        <v>200</v>
      </c>
      <c r="BD146" s="52">
        <v>0</v>
      </c>
      <c r="BE146" s="52">
        <v>0</v>
      </c>
      <c r="BF146" s="52">
        <v>188.46420000000151</v>
      </c>
      <c r="BG146" s="52">
        <v>200</v>
      </c>
      <c r="BH146" s="52">
        <v>0</v>
      </c>
      <c r="BI146" s="52">
        <v>188.46420000000151</v>
      </c>
      <c r="BJ146" s="52">
        <v>182.46439999999987</v>
      </c>
      <c r="BK146" s="52">
        <v>0</v>
      </c>
      <c r="BL146" s="52">
        <v>200</v>
      </c>
      <c r="BM146" s="52">
        <v>154.4336100000003</v>
      </c>
      <c r="BN146" s="52">
        <v>0</v>
      </c>
      <c r="BO146" s="52">
        <v>200</v>
      </c>
      <c r="BP146" s="52">
        <v>154.4336100000003</v>
      </c>
      <c r="BQ146" s="52">
        <v>0</v>
      </c>
      <c r="BR146" s="52">
        <v>200</v>
      </c>
      <c r="BS146" s="52">
        <v>103.84653000000243</v>
      </c>
      <c r="BT146" s="52">
        <v>0</v>
      </c>
      <c r="BU146" s="52">
        <v>200</v>
      </c>
      <c r="BV146" s="52">
        <v>56.535070000000132</v>
      </c>
      <c r="BW146" s="52">
        <v>0</v>
      </c>
    </row>
    <row r="147" spans="1:75" x14ac:dyDescent="0.3">
      <c r="A147" s="8" t="s">
        <v>103</v>
      </c>
      <c r="B147" s="8" t="s">
        <v>9</v>
      </c>
      <c r="C147" s="8" t="s">
        <v>28</v>
      </c>
      <c r="D147" s="52">
        <v>200</v>
      </c>
      <c r="E147" s="52">
        <v>200</v>
      </c>
      <c r="F147" s="52">
        <v>200</v>
      </c>
      <c r="G147" s="52">
        <v>200</v>
      </c>
      <c r="H147" s="52">
        <v>200</v>
      </c>
      <c r="I147" s="52">
        <v>200</v>
      </c>
      <c r="J147" s="52">
        <v>200</v>
      </c>
      <c r="K147" s="52">
        <v>200</v>
      </c>
      <c r="L147" s="52">
        <v>200</v>
      </c>
      <c r="M147" s="52">
        <v>200</v>
      </c>
      <c r="N147" s="52">
        <v>200</v>
      </c>
      <c r="O147" s="52">
        <v>200</v>
      </c>
      <c r="P147" s="52">
        <v>200</v>
      </c>
      <c r="Q147" s="52">
        <v>200</v>
      </c>
      <c r="R147" s="52">
        <v>200</v>
      </c>
      <c r="S147" s="52">
        <v>200</v>
      </c>
      <c r="T147" s="52">
        <v>200</v>
      </c>
      <c r="U147" s="52">
        <v>200</v>
      </c>
      <c r="V147" s="52">
        <v>200</v>
      </c>
      <c r="W147" s="52">
        <v>200</v>
      </c>
      <c r="X147" s="52">
        <v>200</v>
      </c>
      <c r="Y147" s="52">
        <v>200</v>
      </c>
      <c r="Z147" s="52">
        <v>200</v>
      </c>
      <c r="AA147" s="52">
        <v>200</v>
      </c>
      <c r="AB147" s="52">
        <v>200</v>
      </c>
      <c r="AC147" s="52">
        <v>200</v>
      </c>
      <c r="AD147" s="52">
        <v>200</v>
      </c>
      <c r="AE147" s="52">
        <v>200</v>
      </c>
      <c r="AF147" s="52">
        <v>200</v>
      </c>
      <c r="AG147" s="52">
        <v>200</v>
      </c>
      <c r="AH147" s="52">
        <v>200</v>
      </c>
      <c r="AI147" s="52">
        <v>200</v>
      </c>
      <c r="AJ147" s="52">
        <v>200</v>
      </c>
      <c r="AK147" s="52">
        <v>200</v>
      </c>
      <c r="AL147" s="52">
        <v>200</v>
      </c>
      <c r="AM147" s="52">
        <v>200</v>
      </c>
      <c r="AN147" s="52">
        <v>200</v>
      </c>
      <c r="AO147" s="52">
        <v>200</v>
      </c>
      <c r="AP147" s="52">
        <v>200</v>
      </c>
      <c r="AQ147" s="52">
        <v>200</v>
      </c>
      <c r="AR147" s="52">
        <v>200</v>
      </c>
      <c r="AS147" s="52">
        <v>200</v>
      </c>
      <c r="AT147" s="52">
        <v>200</v>
      </c>
      <c r="AU147" s="52">
        <v>200</v>
      </c>
      <c r="AV147" s="52">
        <v>200</v>
      </c>
      <c r="AW147" s="52">
        <v>200</v>
      </c>
      <c r="AX147" s="52">
        <v>200</v>
      </c>
      <c r="AY147" s="52">
        <v>200</v>
      </c>
      <c r="AZ147" s="52">
        <v>200</v>
      </c>
      <c r="BA147" s="52">
        <v>200</v>
      </c>
      <c r="BB147" s="52">
        <v>200</v>
      </c>
      <c r="BC147" s="52">
        <v>200</v>
      </c>
      <c r="BD147" s="52">
        <v>200</v>
      </c>
      <c r="BE147" s="52">
        <v>200</v>
      </c>
      <c r="BF147" s="52">
        <v>200</v>
      </c>
      <c r="BG147" s="52">
        <v>200</v>
      </c>
      <c r="BH147" s="52">
        <v>200</v>
      </c>
      <c r="BI147" s="52">
        <v>200</v>
      </c>
      <c r="BJ147" s="52">
        <v>200</v>
      </c>
      <c r="BK147" s="52">
        <v>200</v>
      </c>
      <c r="BL147" s="52">
        <v>200</v>
      </c>
      <c r="BM147" s="52">
        <v>200</v>
      </c>
      <c r="BN147" s="52">
        <v>200</v>
      </c>
      <c r="BO147" s="52">
        <v>200</v>
      </c>
      <c r="BP147" s="52">
        <v>200</v>
      </c>
      <c r="BQ147" s="52">
        <v>200</v>
      </c>
      <c r="BR147" s="52">
        <v>200</v>
      </c>
      <c r="BS147" s="52">
        <v>200</v>
      </c>
      <c r="BT147" s="52">
        <v>200</v>
      </c>
      <c r="BU147" s="52">
        <v>200</v>
      </c>
      <c r="BV147" s="52">
        <v>200</v>
      </c>
      <c r="BW147" s="52">
        <v>200</v>
      </c>
    </row>
    <row r="148" spans="1:75" x14ac:dyDescent="0.3">
      <c r="A148" s="8" t="s">
        <v>103</v>
      </c>
      <c r="B148" s="8" t="s">
        <v>10</v>
      </c>
      <c r="C148" s="8" t="s">
        <v>60</v>
      </c>
      <c r="D148" s="52">
        <v>771.6</v>
      </c>
      <c r="E148" s="52">
        <v>771.6</v>
      </c>
      <c r="F148" s="52">
        <v>771.6</v>
      </c>
      <c r="G148" s="52">
        <v>771.6</v>
      </c>
      <c r="H148" s="52">
        <v>771.6</v>
      </c>
      <c r="I148" s="52">
        <v>771.6</v>
      </c>
      <c r="J148" s="52">
        <v>771.6</v>
      </c>
      <c r="K148" s="52">
        <v>771.6</v>
      </c>
      <c r="L148" s="52">
        <v>771.6</v>
      </c>
      <c r="M148" s="52">
        <v>771.6</v>
      </c>
      <c r="N148" s="52">
        <v>771.6</v>
      </c>
      <c r="O148" s="52">
        <v>771.6</v>
      </c>
      <c r="P148" s="52">
        <v>771.6</v>
      </c>
      <c r="Q148" s="52">
        <v>771.6</v>
      </c>
      <c r="R148" s="52">
        <v>771.6</v>
      </c>
      <c r="S148" s="52">
        <v>771.6</v>
      </c>
      <c r="T148" s="52">
        <v>771.6</v>
      </c>
      <c r="U148" s="52">
        <v>771.6</v>
      </c>
      <c r="V148" s="52">
        <v>771.6</v>
      </c>
      <c r="W148" s="52">
        <v>771.6</v>
      </c>
      <c r="X148" s="52">
        <v>771.6</v>
      </c>
      <c r="Y148" s="52">
        <v>771.6</v>
      </c>
      <c r="Z148" s="52">
        <v>771.6</v>
      </c>
      <c r="AA148" s="52">
        <v>771.6</v>
      </c>
      <c r="AB148" s="52">
        <v>771.6</v>
      </c>
      <c r="AC148" s="52">
        <v>771.6</v>
      </c>
      <c r="AD148" s="52">
        <v>771.6</v>
      </c>
      <c r="AE148" s="52">
        <v>771.6</v>
      </c>
      <c r="AF148" s="52">
        <v>771.6</v>
      </c>
      <c r="AG148" s="52">
        <v>771.6</v>
      </c>
      <c r="AH148" s="52">
        <v>771.6</v>
      </c>
      <c r="AI148" s="52">
        <v>771.6</v>
      </c>
      <c r="AJ148" s="52">
        <v>771.6</v>
      </c>
      <c r="AK148" s="52">
        <v>771.6</v>
      </c>
      <c r="AL148" s="52">
        <v>771.6</v>
      </c>
      <c r="AM148" s="52">
        <v>771.6</v>
      </c>
      <c r="AN148" s="52">
        <v>771.6</v>
      </c>
      <c r="AO148" s="52">
        <v>771.6</v>
      </c>
      <c r="AP148" s="52">
        <v>771.6</v>
      </c>
      <c r="AQ148" s="52">
        <v>771.6</v>
      </c>
      <c r="AR148" s="52">
        <v>771.6</v>
      </c>
      <c r="AS148" s="52">
        <v>771.6</v>
      </c>
      <c r="AT148" s="52">
        <v>771.6</v>
      </c>
      <c r="AU148" s="52">
        <v>771.6</v>
      </c>
      <c r="AV148" s="52">
        <v>771.6</v>
      </c>
      <c r="AW148" s="52">
        <v>771.6</v>
      </c>
      <c r="AX148" s="52">
        <v>771.6</v>
      </c>
      <c r="AY148" s="52">
        <v>771.6</v>
      </c>
      <c r="AZ148" s="52">
        <v>771.6</v>
      </c>
      <c r="BA148" s="52">
        <v>771.6</v>
      </c>
      <c r="BB148" s="52">
        <v>771.6</v>
      </c>
      <c r="BC148" s="52">
        <v>771.6</v>
      </c>
      <c r="BD148" s="52">
        <v>771.6</v>
      </c>
      <c r="BE148" s="52">
        <v>771.6</v>
      </c>
      <c r="BF148" s="52">
        <v>771.6</v>
      </c>
      <c r="BG148" s="52">
        <v>771.6</v>
      </c>
      <c r="BH148" s="52">
        <v>771.6</v>
      </c>
      <c r="BI148" s="52">
        <v>771.6</v>
      </c>
      <c r="BJ148" s="52">
        <v>771.6</v>
      </c>
      <c r="BK148" s="52">
        <v>771.6</v>
      </c>
      <c r="BL148" s="52">
        <v>771.6</v>
      </c>
      <c r="BM148" s="52">
        <v>771.6</v>
      </c>
      <c r="BN148" s="52">
        <v>771.6</v>
      </c>
      <c r="BO148" s="52">
        <v>771.6</v>
      </c>
      <c r="BP148" s="52">
        <v>771.6</v>
      </c>
      <c r="BQ148" s="52">
        <v>771.6</v>
      </c>
      <c r="BR148" s="52">
        <v>771.6</v>
      </c>
      <c r="BS148" s="52">
        <v>771.6</v>
      </c>
      <c r="BT148" s="52">
        <v>771.6</v>
      </c>
      <c r="BU148" s="52">
        <v>771.6</v>
      </c>
      <c r="BV148" s="52">
        <v>771.6</v>
      </c>
      <c r="BW148" s="52">
        <v>771.6</v>
      </c>
    </row>
    <row r="149" spans="1:75" x14ac:dyDescent="0.3">
      <c r="A149" s="8" t="s">
        <v>103</v>
      </c>
      <c r="B149" s="8" t="s">
        <v>10</v>
      </c>
      <c r="C149" s="8" t="s">
        <v>150</v>
      </c>
      <c r="D149" s="52">
        <v>235.19999999999996</v>
      </c>
      <c r="E149" s="52">
        <v>235.19999999999996</v>
      </c>
      <c r="F149" s="52">
        <v>235.19999999999996</v>
      </c>
      <c r="G149" s="52">
        <v>235.19999999999996</v>
      </c>
      <c r="H149" s="52">
        <v>235.19999999999996</v>
      </c>
      <c r="I149" s="52">
        <v>235.19999999999996</v>
      </c>
      <c r="J149" s="52">
        <v>235.19999999999996</v>
      </c>
      <c r="K149" s="52">
        <v>235.19999999999996</v>
      </c>
      <c r="L149" s="52">
        <v>235.19999999999996</v>
      </c>
      <c r="M149" s="52">
        <v>235.19999999999996</v>
      </c>
      <c r="N149" s="52">
        <v>235.19999999999996</v>
      </c>
      <c r="O149" s="52">
        <v>235.19999999999996</v>
      </c>
      <c r="P149" s="52">
        <v>235.19999999999996</v>
      </c>
      <c r="Q149" s="52">
        <v>235.19999999999996</v>
      </c>
      <c r="R149" s="52">
        <v>235.19999999999996</v>
      </c>
      <c r="S149" s="52">
        <v>235.19999999999996</v>
      </c>
      <c r="T149" s="52">
        <v>235.19999999999996</v>
      </c>
      <c r="U149" s="52">
        <v>235.19999999999996</v>
      </c>
      <c r="V149" s="52">
        <v>235.19999999999996</v>
      </c>
      <c r="W149" s="52">
        <v>235.19999999999996</v>
      </c>
      <c r="X149" s="52">
        <v>235.19999999999996</v>
      </c>
      <c r="Y149" s="52">
        <v>235.19999999999996</v>
      </c>
      <c r="Z149" s="52">
        <v>235.19999999999996</v>
      </c>
      <c r="AA149" s="52">
        <v>235.19999999999996</v>
      </c>
      <c r="AB149" s="52">
        <v>0</v>
      </c>
      <c r="AC149" s="52">
        <v>0</v>
      </c>
      <c r="AD149" s="52">
        <v>0</v>
      </c>
      <c r="AE149" s="52">
        <v>0</v>
      </c>
      <c r="AF149" s="52">
        <v>0</v>
      </c>
      <c r="AG149" s="52">
        <v>0</v>
      </c>
      <c r="AH149" s="52">
        <v>235.19999999999996</v>
      </c>
      <c r="AI149" s="52">
        <v>235.19999999999996</v>
      </c>
      <c r="AJ149" s="52">
        <v>235.19999999999996</v>
      </c>
      <c r="AK149" s="52">
        <v>0</v>
      </c>
      <c r="AL149" s="52">
        <v>0</v>
      </c>
      <c r="AM149" s="52">
        <v>0</v>
      </c>
      <c r="AN149" s="52">
        <v>235.19999999999996</v>
      </c>
      <c r="AO149" s="52">
        <v>235.19999999999996</v>
      </c>
      <c r="AP149" s="52">
        <v>235.19999999999996</v>
      </c>
      <c r="AQ149" s="52">
        <v>235.19999999999996</v>
      </c>
      <c r="AR149" s="52">
        <v>235.19999999999996</v>
      </c>
      <c r="AS149" s="52">
        <v>235.19999999999996</v>
      </c>
      <c r="AT149" s="52">
        <v>235.19999999999996</v>
      </c>
      <c r="AU149" s="52">
        <v>235.19999999999996</v>
      </c>
      <c r="AV149" s="52">
        <v>235.19999999999996</v>
      </c>
      <c r="AW149" s="52">
        <v>235.19999999999996</v>
      </c>
      <c r="AX149" s="52">
        <v>235.19999999999993</v>
      </c>
      <c r="AY149" s="52">
        <v>235.19999999999993</v>
      </c>
      <c r="AZ149" s="52">
        <v>238.25163000000072</v>
      </c>
      <c r="BA149" s="52">
        <v>235.19999999999996</v>
      </c>
      <c r="BB149" s="52">
        <v>235.19999999999996</v>
      </c>
      <c r="BC149" s="52">
        <v>238.25163000000072</v>
      </c>
      <c r="BD149" s="52">
        <v>235.19999999999987</v>
      </c>
      <c r="BE149" s="52">
        <v>235.19999999999987</v>
      </c>
      <c r="BF149" s="52">
        <v>235.19999999999996</v>
      </c>
      <c r="BG149" s="52">
        <v>235.19999999999996</v>
      </c>
      <c r="BH149" s="52">
        <v>235.19999999999996</v>
      </c>
      <c r="BI149" s="52">
        <v>235.19999999999996</v>
      </c>
      <c r="BJ149" s="52">
        <v>235.19999999999996</v>
      </c>
      <c r="BK149" s="52">
        <v>235.19999999999996</v>
      </c>
      <c r="BL149" s="52">
        <v>451.93555000000106</v>
      </c>
      <c r="BM149" s="52">
        <v>235.19999999999996</v>
      </c>
      <c r="BN149" s="52">
        <v>235.19999999999996</v>
      </c>
      <c r="BO149" s="52">
        <v>235.19999999999996</v>
      </c>
      <c r="BP149" s="52">
        <v>235.19999999999996</v>
      </c>
      <c r="BQ149" s="52">
        <v>235.19999999999996</v>
      </c>
      <c r="BR149" s="52">
        <v>350.37203000000028</v>
      </c>
      <c r="BS149" s="52">
        <v>235.19999999999996</v>
      </c>
      <c r="BT149" s="52">
        <v>235.19999999999996</v>
      </c>
      <c r="BU149" s="52">
        <v>350.37203000000028</v>
      </c>
      <c r="BV149" s="52">
        <v>235.19999999999996</v>
      </c>
      <c r="BW149" s="52">
        <v>235.19999999999996</v>
      </c>
    </row>
    <row r="150" spans="1:75" x14ac:dyDescent="0.3">
      <c r="A150" s="8" t="s">
        <v>103</v>
      </c>
      <c r="B150" s="8" t="s">
        <v>10</v>
      </c>
      <c r="C150" s="8" t="s">
        <v>61</v>
      </c>
      <c r="D150" s="52">
        <v>81.419739999999237</v>
      </c>
      <c r="E150" s="52">
        <v>81.239999999999981</v>
      </c>
      <c r="F150" s="52">
        <v>81.239999999999981</v>
      </c>
      <c r="G150" s="52">
        <v>0</v>
      </c>
      <c r="H150" s="52">
        <v>0</v>
      </c>
      <c r="I150" s="52">
        <v>0</v>
      </c>
      <c r="J150" s="52">
        <v>0</v>
      </c>
      <c r="K150" s="52">
        <v>0</v>
      </c>
      <c r="L150" s="52">
        <v>0</v>
      </c>
      <c r="M150" s="52">
        <v>0</v>
      </c>
      <c r="N150" s="52">
        <v>0</v>
      </c>
      <c r="O150" s="52">
        <v>0</v>
      </c>
      <c r="P150" s="52">
        <v>203.1</v>
      </c>
      <c r="Q150" s="52">
        <v>98.060250000000238</v>
      </c>
      <c r="R150" s="52">
        <v>81.239999999999995</v>
      </c>
      <c r="S150" s="52">
        <v>0</v>
      </c>
      <c r="T150" s="52">
        <v>0</v>
      </c>
      <c r="U150" s="52">
        <v>0</v>
      </c>
      <c r="V150" s="52">
        <v>0</v>
      </c>
      <c r="W150" s="52">
        <v>0</v>
      </c>
      <c r="X150" s="52">
        <v>0</v>
      </c>
      <c r="Y150" s="52">
        <v>0</v>
      </c>
      <c r="Z150" s="52">
        <v>0</v>
      </c>
      <c r="AA150" s="52">
        <v>0</v>
      </c>
      <c r="AB150" s="52">
        <v>0</v>
      </c>
      <c r="AC150" s="52">
        <v>0</v>
      </c>
      <c r="AD150" s="52">
        <v>0</v>
      </c>
      <c r="AE150" s="52">
        <v>0</v>
      </c>
      <c r="AF150" s="52">
        <v>0</v>
      </c>
      <c r="AG150" s="52">
        <v>0</v>
      </c>
      <c r="AH150" s="52">
        <v>0</v>
      </c>
      <c r="AI150" s="52">
        <v>0</v>
      </c>
      <c r="AJ150" s="52">
        <v>0</v>
      </c>
      <c r="AK150" s="52">
        <v>0</v>
      </c>
      <c r="AL150" s="52">
        <v>0</v>
      </c>
      <c r="AM150" s="52">
        <v>0</v>
      </c>
      <c r="AN150" s="52">
        <v>203.1</v>
      </c>
      <c r="AO150" s="52">
        <v>203.1</v>
      </c>
      <c r="AP150" s="52">
        <v>81.239999999999995</v>
      </c>
      <c r="AQ150" s="52">
        <v>0</v>
      </c>
      <c r="AR150" s="52">
        <v>0</v>
      </c>
      <c r="AS150" s="52">
        <v>0</v>
      </c>
      <c r="AT150" s="52">
        <v>0</v>
      </c>
      <c r="AU150" s="52">
        <v>0</v>
      </c>
      <c r="AV150" s="52">
        <v>0</v>
      </c>
      <c r="AW150" s="52">
        <v>0</v>
      </c>
      <c r="AX150" s="52">
        <v>0</v>
      </c>
      <c r="AY150" s="52">
        <v>0</v>
      </c>
      <c r="AZ150" s="52">
        <v>117.63329000000033</v>
      </c>
      <c r="BA150" s="52">
        <v>162.41567999999958</v>
      </c>
      <c r="BB150" s="52">
        <v>81.239999999999881</v>
      </c>
      <c r="BC150" s="52">
        <v>0</v>
      </c>
      <c r="BD150" s="52">
        <v>0</v>
      </c>
      <c r="BE150" s="52">
        <v>0</v>
      </c>
      <c r="BF150" s="52">
        <v>157.9644999999995</v>
      </c>
      <c r="BG150" s="52">
        <v>103.72911948052437</v>
      </c>
      <c r="BH150" s="52">
        <v>81.239999999999966</v>
      </c>
      <c r="BI150" s="52">
        <v>0</v>
      </c>
      <c r="BJ150" s="52">
        <v>0</v>
      </c>
      <c r="BK150" s="52">
        <v>0</v>
      </c>
      <c r="BL150" s="52">
        <v>0</v>
      </c>
      <c r="BM150" s="52">
        <v>0</v>
      </c>
      <c r="BN150" s="52">
        <v>0</v>
      </c>
      <c r="BO150" s="52">
        <v>0</v>
      </c>
      <c r="BP150" s="52">
        <v>0</v>
      </c>
      <c r="BQ150" s="52">
        <v>0</v>
      </c>
      <c r="BR150" s="52">
        <v>203.1</v>
      </c>
      <c r="BS150" s="52">
        <v>81.239999999999995</v>
      </c>
      <c r="BT150" s="52">
        <v>81.239999999999995</v>
      </c>
      <c r="BU150" s="52">
        <v>0</v>
      </c>
      <c r="BV150" s="52">
        <v>0</v>
      </c>
      <c r="BW150" s="52">
        <v>0</v>
      </c>
    </row>
    <row r="151" spans="1:75" x14ac:dyDescent="0.3">
      <c r="A151" s="8" t="s">
        <v>103</v>
      </c>
      <c r="B151" s="8" t="s">
        <v>10</v>
      </c>
      <c r="C151" s="8" t="s">
        <v>152</v>
      </c>
      <c r="D151" s="52">
        <v>150.4</v>
      </c>
      <c r="E151" s="52">
        <v>60.159999999999933</v>
      </c>
      <c r="F151" s="52">
        <v>60.159999999999933</v>
      </c>
      <c r="G151" s="52">
        <v>0</v>
      </c>
      <c r="H151" s="52">
        <v>0</v>
      </c>
      <c r="I151" s="52">
        <v>0</v>
      </c>
      <c r="J151" s="52">
        <v>0</v>
      </c>
      <c r="K151" s="52">
        <v>0</v>
      </c>
      <c r="L151" s="52">
        <v>0</v>
      </c>
      <c r="M151" s="52">
        <v>0</v>
      </c>
      <c r="N151" s="52">
        <v>0</v>
      </c>
      <c r="O151" s="52">
        <v>0</v>
      </c>
      <c r="P151" s="52">
        <v>150.4</v>
      </c>
      <c r="Q151" s="52">
        <v>60.159999999999989</v>
      </c>
      <c r="R151" s="52">
        <v>60.159999999999989</v>
      </c>
      <c r="S151" s="52">
        <v>0</v>
      </c>
      <c r="T151" s="52">
        <v>0</v>
      </c>
      <c r="U151" s="52">
        <v>0</v>
      </c>
      <c r="V151" s="52">
        <v>60.159999999999926</v>
      </c>
      <c r="W151" s="52">
        <v>60.159999999999926</v>
      </c>
      <c r="X151" s="52">
        <v>60.159999999999926</v>
      </c>
      <c r="Y151" s="52">
        <v>0</v>
      </c>
      <c r="Z151" s="52">
        <v>0</v>
      </c>
      <c r="AA151" s="52">
        <v>0</v>
      </c>
      <c r="AB151" s="52">
        <v>0</v>
      </c>
      <c r="AC151" s="52">
        <v>0</v>
      </c>
      <c r="AD151" s="52">
        <v>0</v>
      </c>
      <c r="AE151" s="52">
        <v>0</v>
      </c>
      <c r="AF151" s="52">
        <v>0</v>
      </c>
      <c r="AG151" s="52">
        <v>0</v>
      </c>
      <c r="AH151" s="52">
        <v>0</v>
      </c>
      <c r="AI151" s="52">
        <v>0</v>
      </c>
      <c r="AJ151" s="52">
        <v>0</v>
      </c>
      <c r="AK151" s="52">
        <v>0</v>
      </c>
      <c r="AL151" s="52">
        <v>0</v>
      </c>
      <c r="AM151" s="52">
        <v>0</v>
      </c>
      <c r="AN151" s="52">
        <v>0</v>
      </c>
      <c r="AO151" s="52">
        <v>0</v>
      </c>
      <c r="AP151" s="52">
        <v>0</v>
      </c>
      <c r="AQ151" s="52">
        <v>0</v>
      </c>
      <c r="AR151" s="52">
        <v>0</v>
      </c>
      <c r="AS151" s="52">
        <v>0</v>
      </c>
      <c r="AT151" s="52">
        <v>60.159999999999883</v>
      </c>
      <c r="AU151" s="52">
        <v>95.024330000000134</v>
      </c>
      <c r="AV151" s="52">
        <v>60.159999999999883</v>
      </c>
      <c r="AW151" s="52">
        <v>0</v>
      </c>
      <c r="AX151" s="52">
        <v>0</v>
      </c>
      <c r="AY151" s="52">
        <v>0</v>
      </c>
      <c r="AZ151" s="52">
        <v>150.4</v>
      </c>
      <c r="BA151" s="52">
        <v>150.4</v>
      </c>
      <c r="BB151" s="52">
        <v>60.159999999999989</v>
      </c>
      <c r="BC151" s="52">
        <v>0</v>
      </c>
      <c r="BD151" s="52">
        <v>0</v>
      </c>
      <c r="BE151" s="52">
        <v>0</v>
      </c>
      <c r="BF151" s="52">
        <v>0</v>
      </c>
      <c r="BG151" s="52">
        <v>0</v>
      </c>
      <c r="BH151" s="52">
        <v>0</v>
      </c>
      <c r="BI151" s="52">
        <v>0</v>
      </c>
      <c r="BJ151" s="52">
        <v>0</v>
      </c>
      <c r="BK151" s="52">
        <v>0</v>
      </c>
      <c r="BL151" s="52">
        <v>0</v>
      </c>
      <c r="BM151" s="52">
        <v>0</v>
      </c>
      <c r="BN151" s="52">
        <v>0</v>
      </c>
      <c r="BO151" s="52">
        <v>0</v>
      </c>
      <c r="BP151" s="52">
        <v>0</v>
      </c>
      <c r="BQ151" s="52">
        <v>0</v>
      </c>
      <c r="BR151" s="52">
        <v>106.3493499999999</v>
      </c>
      <c r="BS151" s="52">
        <v>60.159999999999989</v>
      </c>
      <c r="BT151" s="52">
        <v>60.159999999999989</v>
      </c>
      <c r="BU151" s="52">
        <v>0</v>
      </c>
      <c r="BV151" s="52">
        <v>0</v>
      </c>
      <c r="BW151" s="52">
        <v>0</v>
      </c>
    </row>
    <row r="152" spans="1:75" x14ac:dyDescent="0.3">
      <c r="A152" s="8" t="s">
        <v>103</v>
      </c>
      <c r="B152" s="8" t="s">
        <v>10</v>
      </c>
      <c r="C152" s="8" t="s">
        <v>151</v>
      </c>
      <c r="D152" s="52">
        <v>194.4</v>
      </c>
      <c r="E152" s="52">
        <v>185.10604987013008</v>
      </c>
      <c r="F152" s="52">
        <v>77.75999999999982</v>
      </c>
      <c r="G152" s="52">
        <v>194.4</v>
      </c>
      <c r="H152" s="52">
        <v>77.760000000000005</v>
      </c>
      <c r="I152" s="52">
        <v>77.760000000000005</v>
      </c>
      <c r="J152" s="52">
        <v>194.4</v>
      </c>
      <c r="K152" s="52">
        <v>169.31969000000035</v>
      </c>
      <c r="L152" s="52">
        <v>77.760000000000005</v>
      </c>
      <c r="M152" s="52">
        <v>194.4</v>
      </c>
      <c r="N152" s="52">
        <v>77.760000000000005</v>
      </c>
      <c r="O152" s="52">
        <v>77.760000000000005</v>
      </c>
      <c r="P152" s="52">
        <v>194.4</v>
      </c>
      <c r="Q152" s="52">
        <v>194.4</v>
      </c>
      <c r="R152" s="52">
        <v>77.760000000000005</v>
      </c>
      <c r="S152" s="52">
        <v>0</v>
      </c>
      <c r="T152" s="52">
        <v>0</v>
      </c>
      <c r="U152" s="52">
        <v>0</v>
      </c>
      <c r="V152" s="52">
        <v>194.4</v>
      </c>
      <c r="W152" s="52">
        <v>86.246152368422031</v>
      </c>
      <c r="X152" s="52">
        <v>77.760000000000005</v>
      </c>
      <c r="Y152" s="52">
        <v>194.4</v>
      </c>
      <c r="Z152" s="52">
        <v>77.760000000000005</v>
      </c>
      <c r="AA152" s="52">
        <v>77.760000000000005</v>
      </c>
      <c r="AB152" s="52">
        <v>0</v>
      </c>
      <c r="AC152" s="52">
        <v>0</v>
      </c>
      <c r="AD152" s="52">
        <v>0</v>
      </c>
      <c r="AE152" s="52">
        <v>0</v>
      </c>
      <c r="AF152" s="52">
        <v>0</v>
      </c>
      <c r="AG152" s="52">
        <v>0</v>
      </c>
      <c r="AH152" s="52">
        <v>194.4</v>
      </c>
      <c r="AI152" s="52">
        <v>131.99818114285731</v>
      </c>
      <c r="AJ152" s="52">
        <v>77.760000000000005</v>
      </c>
      <c r="AK152" s="52">
        <v>194.4</v>
      </c>
      <c r="AL152" s="52">
        <v>131.99818114285731</v>
      </c>
      <c r="AM152" s="52">
        <v>77.760000000000005</v>
      </c>
      <c r="AN152" s="52">
        <v>0</v>
      </c>
      <c r="AO152" s="52">
        <v>0</v>
      </c>
      <c r="AP152" s="52">
        <v>0</v>
      </c>
      <c r="AQ152" s="52">
        <v>0</v>
      </c>
      <c r="AR152" s="52">
        <v>0</v>
      </c>
      <c r="AS152" s="52">
        <v>0</v>
      </c>
      <c r="AT152" s="52">
        <v>194.4</v>
      </c>
      <c r="AU152" s="52">
        <v>194.4</v>
      </c>
      <c r="AV152" s="52">
        <v>77.760000000000005</v>
      </c>
      <c r="AW152" s="52">
        <v>194.4</v>
      </c>
      <c r="AX152" s="52">
        <v>194.4</v>
      </c>
      <c r="AY152" s="52">
        <v>77.760000000000005</v>
      </c>
      <c r="AZ152" s="52">
        <v>194.4</v>
      </c>
      <c r="BA152" s="52">
        <v>194.4</v>
      </c>
      <c r="BB152" s="52">
        <v>77.760000000000005</v>
      </c>
      <c r="BC152" s="52">
        <v>194.4</v>
      </c>
      <c r="BD152" s="52">
        <v>194.4</v>
      </c>
      <c r="BE152" s="52">
        <v>77.760000000000005</v>
      </c>
      <c r="BF152" s="52">
        <v>194.4</v>
      </c>
      <c r="BG152" s="52">
        <v>194.4</v>
      </c>
      <c r="BH152" s="52">
        <v>77.760000000000005</v>
      </c>
      <c r="BI152" s="52">
        <v>194.4</v>
      </c>
      <c r="BJ152" s="52">
        <v>176.86439999999982</v>
      </c>
      <c r="BK152" s="52">
        <v>77.760000000000005</v>
      </c>
      <c r="BL152" s="52">
        <v>0</v>
      </c>
      <c r="BM152" s="52">
        <v>0</v>
      </c>
      <c r="BN152" s="52">
        <v>0</v>
      </c>
      <c r="BO152" s="52">
        <v>0</v>
      </c>
      <c r="BP152" s="52">
        <v>0</v>
      </c>
      <c r="BQ152" s="52">
        <v>0</v>
      </c>
      <c r="BR152" s="52">
        <v>194.4</v>
      </c>
      <c r="BS152" s="52">
        <v>77.760000000000005</v>
      </c>
      <c r="BT152" s="52">
        <v>77.760000000000005</v>
      </c>
      <c r="BU152" s="52">
        <v>194.4</v>
      </c>
      <c r="BV152" s="52">
        <v>77.760000000000005</v>
      </c>
      <c r="BW152" s="52">
        <v>77.760000000000005</v>
      </c>
    </row>
    <row r="153" spans="1:75" x14ac:dyDescent="0.3">
      <c r="A153" s="8" t="s">
        <v>103</v>
      </c>
      <c r="B153" s="8" t="s">
        <v>10</v>
      </c>
      <c r="C153" s="8" t="s">
        <v>62</v>
      </c>
      <c r="D153" s="52">
        <v>500</v>
      </c>
      <c r="E153" s="52">
        <v>500</v>
      </c>
      <c r="F153" s="52">
        <v>500</v>
      </c>
      <c r="G153" s="52">
        <v>500</v>
      </c>
      <c r="H153" s="52">
        <v>500</v>
      </c>
      <c r="I153" s="52">
        <v>500</v>
      </c>
      <c r="J153" s="52">
        <v>500</v>
      </c>
      <c r="K153" s="52">
        <v>500</v>
      </c>
      <c r="L153" s="52">
        <v>500</v>
      </c>
      <c r="M153" s="52">
        <v>500</v>
      </c>
      <c r="N153" s="52">
        <v>500</v>
      </c>
      <c r="O153" s="52">
        <v>495.28842000000043</v>
      </c>
      <c r="P153" s="52">
        <v>500</v>
      </c>
      <c r="Q153" s="52">
        <v>500</v>
      </c>
      <c r="R153" s="52">
        <v>500</v>
      </c>
      <c r="S153" s="52">
        <v>500</v>
      </c>
      <c r="T153" s="52">
        <v>500</v>
      </c>
      <c r="U153" s="52">
        <v>499.39720000000074</v>
      </c>
      <c r="V153" s="52">
        <v>500</v>
      </c>
      <c r="W153" s="52">
        <v>500</v>
      </c>
      <c r="X153" s="52">
        <v>479.51074308900581</v>
      </c>
      <c r="Y153" s="52">
        <v>500</v>
      </c>
      <c r="Z153" s="52">
        <v>500</v>
      </c>
      <c r="AA153" s="52">
        <v>449.42209308900658</v>
      </c>
      <c r="AB153" s="52">
        <v>500</v>
      </c>
      <c r="AC153" s="52">
        <v>500</v>
      </c>
      <c r="AD153" s="52">
        <v>500</v>
      </c>
      <c r="AE153" s="52">
        <v>500</v>
      </c>
      <c r="AF153" s="52">
        <v>500</v>
      </c>
      <c r="AG153" s="52">
        <v>500</v>
      </c>
      <c r="AH153" s="52">
        <v>500</v>
      </c>
      <c r="AI153" s="52">
        <v>500</v>
      </c>
      <c r="AJ153" s="52">
        <v>500</v>
      </c>
      <c r="AK153" s="52">
        <v>500</v>
      </c>
      <c r="AL153" s="52">
        <v>500</v>
      </c>
      <c r="AM153" s="52">
        <v>500</v>
      </c>
      <c r="AN153" s="52">
        <v>500</v>
      </c>
      <c r="AO153" s="52">
        <v>500</v>
      </c>
      <c r="AP153" s="52">
        <v>500</v>
      </c>
      <c r="AQ153" s="52">
        <v>500</v>
      </c>
      <c r="AR153" s="52">
        <v>500</v>
      </c>
      <c r="AS153" s="52">
        <v>500</v>
      </c>
      <c r="AT153" s="52">
        <v>500</v>
      </c>
      <c r="AU153" s="52">
        <v>500</v>
      </c>
      <c r="AV153" s="52">
        <v>500</v>
      </c>
      <c r="AW153" s="52">
        <v>500</v>
      </c>
      <c r="AX153" s="52">
        <v>500</v>
      </c>
      <c r="AY153" s="52">
        <v>500</v>
      </c>
      <c r="AZ153" s="52">
        <v>500</v>
      </c>
      <c r="BA153" s="52">
        <v>500</v>
      </c>
      <c r="BB153" s="52">
        <v>500</v>
      </c>
      <c r="BC153" s="52">
        <v>500</v>
      </c>
      <c r="BD153" s="52">
        <v>500</v>
      </c>
      <c r="BE153" s="52">
        <v>500</v>
      </c>
      <c r="BF153" s="52">
        <v>500</v>
      </c>
      <c r="BG153" s="52">
        <v>500</v>
      </c>
      <c r="BH153" s="52">
        <v>473.33754654867357</v>
      </c>
      <c r="BI153" s="52">
        <v>500</v>
      </c>
      <c r="BJ153" s="52">
        <v>500</v>
      </c>
      <c r="BK153" s="52">
        <v>448.72136654867245</v>
      </c>
      <c r="BL153" s="52">
        <v>500</v>
      </c>
      <c r="BM153" s="52">
        <v>500</v>
      </c>
      <c r="BN153" s="52">
        <v>500</v>
      </c>
      <c r="BO153" s="52">
        <v>500</v>
      </c>
      <c r="BP153" s="52">
        <v>500</v>
      </c>
      <c r="BQ153" s="52">
        <v>500</v>
      </c>
      <c r="BR153" s="52">
        <v>500</v>
      </c>
      <c r="BS153" s="52">
        <v>500</v>
      </c>
      <c r="BT153" s="52">
        <v>430.5093400000016</v>
      </c>
      <c r="BU153" s="52">
        <v>500</v>
      </c>
      <c r="BV153" s="52">
        <v>500</v>
      </c>
      <c r="BW153" s="52">
        <v>269.88793000000152</v>
      </c>
    </row>
    <row r="154" spans="1:75" x14ac:dyDescent="0.3">
      <c r="A154" s="8" t="s">
        <v>103</v>
      </c>
      <c r="B154" s="8" t="s">
        <v>10</v>
      </c>
      <c r="C154" s="8" t="s">
        <v>63</v>
      </c>
      <c r="D154" s="52">
        <v>500</v>
      </c>
      <c r="E154" s="52">
        <v>500</v>
      </c>
      <c r="F154" s="52">
        <v>100</v>
      </c>
      <c r="G154" s="52">
        <v>500</v>
      </c>
      <c r="H154" s="52">
        <v>451.95699000000036</v>
      </c>
      <c r="I154" s="52">
        <v>100</v>
      </c>
      <c r="J154" s="52">
        <v>500</v>
      </c>
      <c r="K154" s="52">
        <v>500</v>
      </c>
      <c r="L154" s="52">
        <v>100</v>
      </c>
      <c r="M154" s="52">
        <v>500</v>
      </c>
      <c r="N154" s="52">
        <v>450.0188000000004</v>
      </c>
      <c r="O154" s="52">
        <v>100</v>
      </c>
      <c r="P154" s="52">
        <v>500</v>
      </c>
      <c r="Q154" s="52">
        <v>500</v>
      </c>
      <c r="R154" s="52">
        <v>100</v>
      </c>
      <c r="S154" s="52">
        <v>500</v>
      </c>
      <c r="T154" s="52">
        <v>377.92610999999982</v>
      </c>
      <c r="U154" s="52">
        <v>100</v>
      </c>
      <c r="V154" s="52">
        <v>460.19301000000047</v>
      </c>
      <c r="W154" s="52">
        <v>500</v>
      </c>
      <c r="X154" s="52">
        <v>100</v>
      </c>
      <c r="Y154" s="52">
        <v>0</v>
      </c>
      <c r="Z154" s="52">
        <v>0</v>
      </c>
      <c r="AA154" s="52">
        <v>0</v>
      </c>
      <c r="AB154" s="52">
        <v>500</v>
      </c>
      <c r="AC154" s="52">
        <v>500</v>
      </c>
      <c r="AD154" s="52">
        <v>100</v>
      </c>
      <c r="AE154" s="52">
        <v>500</v>
      </c>
      <c r="AF154" s="52">
        <v>484.5368000000002</v>
      </c>
      <c r="AG154" s="52">
        <v>100</v>
      </c>
      <c r="AH154" s="52">
        <v>500</v>
      </c>
      <c r="AI154" s="52">
        <v>500</v>
      </c>
      <c r="AJ154" s="52">
        <v>209.91179553631949</v>
      </c>
      <c r="AK154" s="52">
        <v>500</v>
      </c>
      <c r="AL154" s="52">
        <v>500</v>
      </c>
      <c r="AM154" s="52">
        <v>209.91179553631949</v>
      </c>
      <c r="AN154" s="52">
        <v>500</v>
      </c>
      <c r="AO154" s="52">
        <v>500</v>
      </c>
      <c r="AP154" s="52">
        <v>392.24297000000058</v>
      </c>
      <c r="AQ154" s="52">
        <v>500</v>
      </c>
      <c r="AR154" s="52">
        <v>500</v>
      </c>
      <c r="AS154" s="52">
        <v>277.24593000000039</v>
      </c>
      <c r="AT154" s="52">
        <v>491.00002999999901</v>
      </c>
      <c r="AU154" s="52">
        <v>500</v>
      </c>
      <c r="AV154" s="52">
        <v>162.73185000000035</v>
      </c>
      <c r="AW154" s="52">
        <v>0</v>
      </c>
      <c r="AX154" s="52">
        <v>0</v>
      </c>
      <c r="AY154" s="52">
        <v>0</v>
      </c>
      <c r="AZ154" s="52">
        <v>500</v>
      </c>
      <c r="BA154" s="52">
        <v>500</v>
      </c>
      <c r="BB154" s="52">
        <v>173.91291000000027</v>
      </c>
      <c r="BC154" s="52">
        <v>0</v>
      </c>
      <c r="BD154" s="52">
        <v>0</v>
      </c>
      <c r="BE154" s="52">
        <v>0</v>
      </c>
      <c r="BF154" s="52">
        <v>500</v>
      </c>
      <c r="BG154" s="52">
        <v>500</v>
      </c>
      <c r="BH154" s="52">
        <v>100</v>
      </c>
      <c r="BI154" s="52">
        <v>0</v>
      </c>
      <c r="BJ154" s="52">
        <v>0</v>
      </c>
      <c r="BK154" s="52">
        <v>0</v>
      </c>
      <c r="BL154" s="52">
        <v>500</v>
      </c>
      <c r="BM154" s="52">
        <v>500</v>
      </c>
      <c r="BN154" s="52">
        <v>122.36085999999969</v>
      </c>
      <c r="BO154" s="52">
        <v>500</v>
      </c>
      <c r="BP154" s="52">
        <v>492.15255620046565</v>
      </c>
      <c r="BQ154" s="52">
        <v>113.88262000000005</v>
      </c>
      <c r="BR154" s="52">
        <v>500</v>
      </c>
      <c r="BS154" s="52">
        <v>500</v>
      </c>
      <c r="BT154" s="52">
        <v>100</v>
      </c>
      <c r="BU154" s="52">
        <v>500</v>
      </c>
      <c r="BV154" s="52">
        <v>429.13914032966966</v>
      </c>
      <c r="BW154" s="52">
        <v>100</v>
      </c>
    </row>
    <row r="155" spans="1:75" x14ac:dyDescent="0.3">
      <c r="A155" s="8" t="s">
        <v>103</v>
      </c>
      <c r="B155" s="8" t="s">
        <v>10</v>
      </c>
      <c r="C155" s="8" t="s">
        <v>64</v>
      </c>
      <c r="D155" s="52">
        <v>500</v>
      </c>
      <c r="E155" s="52">
        <v>500</v>
      </c>
      <c r="F155" s="52">
        <v>100</v>
      </c>
      <c r="G155" s="52">
        <v>0</v>
      </c>
      <c r="H155" s="52">
        <v>0</v>
      </c>
      <c r="I155" s="52">
        <v>0</v>
      </c>
      <c r="J155" s="52">
        <v>500</v>
      </c>
      <c r="K155" s="52">
        <v>500</v>
      </c>
      <c r="L155" s="52">
        <v>100</v>
      </c>
      <c r="M155" s="52">
        <v>0</v>
      </c>
      <c r="N155" s="52">
        <v>0</v>
      </c>
      <c r="O155" s="52">
        <v>0</v>
      </c>
      <c r="P155" s="52">
        <v>0</v>
      </c>
      <c r="Q155" s="52">
        <v>0</v>
      </c>
      <c r="R155" s="52">
        <v>0</v>
      </c>
      <c r="S155" s="52">
        <v>0</v>
      </c>
      <c r="T155" s="52">
        <v>0</v>
      </c>
      <c r="U155" s="52">
        <v>0</v>
      </c>
      <c r="V155" s="52">
        <v>0</v>
      </c>
      <c r="W155" s="52">
        <v>0</v>
      </c>
      <c r="X155" s="52">
        <v>0</v>
      </c>
      <c r="Y155" s="52">
        <v>0</v>
      </c>
      <c r="Z155" s="52">
        <v>0</v>
      </c>
      <c r="AA155" s="52">
        <v>0</v>
      </c>
      <c r="AB155" s="52">
        <v>500</v>
      </c>
      <c r="AC155" s="52">
        <v>500</v>
      </c>
      <c r="AD155" s="52">
        <v>100</v>
      </c>
      <c r="AE155" s="52">
        <v>0</v>
      </c>
      <c r="AF155" s="52">
        <v>0</v>
      </c>
      <c r="AG155" s="52">
        <v>0</v>
      </c>
      <c r="AH155" s="52">
        <v>500</v>
      </c>
      <c r="AI155" s="52">
        <v>500</v>
      </c>
      <c r="AJ155" s="52">
        <v>100</v>
      </c>
      <c r="AK155" s="52">
        <v>0</v>
      </c>
      <c r="AL155" s="52">
        <v>0</v>
      </c>
      <c r="AM155" s="52">
        <v>0</v>
      </c>
      <c r="AN155" s="52">
        <v>500</v>
      </c>
      <c r="AO155" s="52">
        <v>500</v>
      </c>
      <c r="AP155" s="52">
        <v>100</v>
      </c>
      <c r="AQ155" s="52">
        <v>0</v>
      </c>
      <c r="AR155" s="52">
        <v>0</v>
      </c>
      <c r="AS155" s="52">
        <v>0</v>
      </c>
      <c r="AT155" s="52">
        <v>0</v>
      </c>
      <c r="AU155" s="52">
        <v>0</v>
      </c>
      <c r="AV155" s="52">
        <v>0</v>
      </c>
      <c r="AW155" s="52">
        <v>0</v>
      </c>
      <c r="AX155" s="52">
        <v>0</v>
      </c>
      <c r="AY155" s="52">
        <v>0</v>
      </c>
      <c r="AZ155" s="52">
        <v>0</v>
      </c>
      <c r="BA155" s="52">
        <v>0</v>
      </c>
      <c r="BB155" s="52">
        <v>0</v>
      </c>
      <c r="BC155" s="52">
        <v>0</v>
      </c>
      <c r="BD155" s="52">
        <v>0</v>
      </c>
      <c r="BE155" s="52">
        <v>0</v>
      </c>
      <c r="BF155" s="52">
        <v>0</v>
      </c>
      <c r="BG155" s="52">
        <v>0</v>
      </c>
      <c r="BH155" s="52">
        <v>0</v>
      </c>
      <c r="BI155" s="52">
        <v>0</v>
      </c>
      <c r="BJ155" s="52">
        <v>0</v>
      </c>
      <c r="BK155" s="52">
        <v>0</v>
      </c>
      <c r="BL155" s="52">
        <v>500</v>
      </c>
      <c r="BM155" s="52">
        <v>500</v>
      </c>
      <c r="BN155" s="52">
        <v>100</v>
      </c>
      <c r="BO155" s="52">
        <v>0</v>
      </c>
      <c r="BP155" s="52">
        <v>0</v>
      </c>
      <c r="BQ155" s="52">
        <v>0</v>
      </c>
      <c r="BR155" s="52">
        <v>500</v>
      </c>
      <c r="BS155" s="52">
        <v>442.34653000000037</v>
      </c>
      <c r="BT155" s="52">
        <v>100</v>
      </c>
      <c r="BU155" s="52">
        <v>0</v>
      </c>
      <c r="BV155" s="52">
        <v>0</v>
      </c>
      <c r="BW155" s="52">
        <v>0</v>
      </c>
    </row>
    <row r="156" spans="1:75" x14ac:dyDescent="0.3">
      <c r="A156" s="8" t="s">
        <v>103</v>
      </c>
      <c r="B156" s="8" t="s">
        <v>10</v>
      </c>
      <c r="C156" s="8" t="s">
        <v>65</v>
      </c>
      <c r="D156" s="52">
        <v>667.5</v>
      </c>
      <c r="E156" s="52">
        <v>667.5</v>
      </c>
      <c r="F156" s="52">
        <v>667.5</v>
      </c>
      <c r="G156" s="52">
        <v>667.5</v>
      </c>
      <c r="H156" s="52">
        <v>667.5</v>
      </c>
      <c r="I156" s="52">
        <v>667.5</v>
      </c>
      <c r="J156" s="52">
        <v>667.5</v>
      </c>
      <c r="K156" s="52">
        <v>667.5</v>
      </c>
      <c r="L156" s="52">
        <v>667.5</v>
      </c>
      <c r="M156" s="52">
        <v>667.5</v>
      </c>
      <c r="N156" s="52">
        <v>667.5</v>
      </c>
      <c r="O156" s="52">
        <v>667.5</v>
      </c>
      <c r="P156" s="52">
        <v>667.5</v>
      </c>
      <c r="Q156" s="52">
        <v>667.5</v>
      </c>
      <c r="R156" s="52">
        <v>667.5</v>
      </c>
      <c r="S156" s="52">
        <v>667.5</v>
      </c>
      <c r="T156" s="52">
        <v>667.5</v>
      </c>
      <c r="U156" s="52">
        <v>667.5</v>
      </c>
      <c r="V156" s="52">
        <v>667.5</v>
      </c>
      <c r="W156" s="52">
        <v>667.5</v>
      </c>
      <c r="X156" s="52">
        <v>667.5</v>
      </c>
      <c r="Y156" s="52">
        <v>667.5</v>
      </c>
      <c r="Z156" s="52">
        <v>667.5</v>
      </c>
      <c r="AA156" s="52">
        <v>667.5</v>
      </c>
      <c r="AB156" s="52">
        <v>667.5</v>
      </c>
      <c r="AC156" s="52">
        <v>667.5</v>
      </c>
      <c r="AD156" s="52">
        <v>667.5</v>
      </c>
      <c r="AE156" s="52">
        <v>667.5</v>
      </c>
      <c r="AF156" s="52">
        <v>667.5</v>
      </c>
      <c r="AG156" s="52">
        <v>667.5</v>
      </c>
      <c r="AH156" s="52">
        <v>667.5</v>
      </c>
      <c r="AI156" s="52">
        <v>667.5</v>
      </c>
      <c r="AJ156" s="52">
        <v>667.5</v>
      </c>
      <c r="AK156" s="52">
        <v>667.5</v>
      </c>
      <c r="AL156" s="52">
        <v>667.5</v>
      </c>
      <c r="AM156" s="52">
        <v>667.5</v>
      </c>
      <c r="AN156" s="52">
        <v>667.5</v>
      </c>
      <c r="AO156" s="52">
        <v>667.5</v>
      </c>
      <c r="AP156" s="52">
        <v>667.5</v>
      </c>
      <c r="AQ156" s="52">
        <v>667.5</v>
      </c>
      <c r="AR156" s="52">
        <v>667.5</v>
      </c>
      <c r="AS156" s="52">
        <v>667.5</v>
      </c>
      <c r="AT156" s="52">
        <v>667.5</v>
      </c>
      <c r="AU156" s="52">
        <v>667.5</v>
      </c>
      <c r="AV156" s="52">
        <v>667.5</v>
      </c>
      <c r="AW156" s="52">
        <v>667.5</v>
      </c>
      <c r="AX156" s="52">
        <v>667.5</v>
      </c>
      <c r="AY156" s="52">
        <v>667.5</v>
      </c>
      <c r="AZ156" s="52">
        <v>667.5</v>
      </c>
      <c r="BA156" s="52">
        <v>667.5</v>
      </c>
      <c r="BB156" s="52">
        <v>667.5</v>
      </c>
      <c r="BC156" s="52">
        <v>667.5</v>
      </c>
      <c r="BD156" s="52">
        <v>667.5</v>
      </c>
      <c r="BE156" s="52">
        <v>667.5</v>
      </c>
      <c r="BF156" s="52">
        <v>667.5</v>
      </c>
      <c r="BG156" s="52">
        <v>667.5</v>
      </c>
      <c r="BH156" s="52">
        <v>667.5</v>
      </c>
      <c r="BI156" s="52">
        <v>667.5</v>
      </c>
      <c r="BJ156" s="52">
        <v>667.5</v>
      </c>
      <c r="BK156" s="52">
        <v>667.5</v>
      </c>
      <c r="BL156" s="52">
        <v>667.5</v>
      </c>
      <c r="BM156" s="52">
        <v>667.5</v>
      </c>
      <c r="BN156" s="52">
        <v>667.5</v>
      </c>
      <c r="BO156" s="52">
        <v>667.5</v>
      </c>
      <c r="BP156" s="52">
        <v>667.5</v>
      </c>
      <c r="BQ156" s="52">
        <v>667.5</v>
      </c>
      <c r="BR156" s="52">
        <v>667.5</v>
      </c>
      <c r="BS156" s="52">
        <v>667.5</v>
      </c>
      <c r="BT156" s="52">
        <v>667.5</v>
      </c>
      <c r="BU156" s="52">
        <v>667.5</v>
      </c>
      <c r="BV156" s="52">
        <v>667.5</v>
      </c>
      <c r="BW156" s="52">
        <v>667.5</v>
      </c>
    </row>
    <row r="157" spans="1:75" x14ac:dyDescent="0.3">
      <c r="A157" s="8" t="s">
        <v>103</v>
      </c>
      <c r="B157" s="8" t="s">
        <v>10</v>
      </c>
      <c r="C157" s="8" t="s">
        <v>66</v>
      </c>
      <c r="D157" s="52">
        <v>0</v>
      </c>
      <c r="E157" s="52">
        <v>0</v>
      </c>
      <c r="F157" s="52">
        <v>0</v>
      </c>
      <c r="G157" s="52">
        <v>0</v>
      </c>
      <c r="H157" s="52">
        <v>0</v>
      </c>
      <c r="I157" s="52">
        <v>0</v>
      </c>
      <c r="J157" s="52">
        <v>0</v>
      </c>
      <c r="K157" s="52">
        <v>0</v>
      </c>
      <c r="L157" s="52">
        <v>0</v>
      </c>
      <c r="M157" s="52">
        <v>0</v>
      </c>
      <c r="N157" s="52">
        <v>0</v>
      </c>
      <c r="O157" s="52">
        <v>0</v>
      </c>
      <c r="P157" s="52">
        <v>0</v>
      </c>
      <c r="Q157" s="52">
        <v>0</v>
      </c>
      <c r="R157" s="52">
        <v>0</v>
      </c>
      <c r="S157" s="52">
        <v>0</v>
      </c>
      <c r="T157" s="52">
        <v>0</v>
      </c>
      <c r="U157" s="52">
        <v>0</v>
      </c>
      <c r="V157" s="52">
        <v>0</v>
      </c>
      <c r="W157" s="52">
        <v>0</v>
      </c>
      <c r="X157" s="52">
        <v>0</v>
      </c>
      <c r="Y157" s="52">
        <v>0</v>
      </c>
      <c r="Z157" s="52">
        <v>0</v>
      </c>
      <c r="AA157" s="52">
        <v>0</v>
      </c>
      <c r="AB157" s="52">
        <v>0</v>
      </c>
      <c r="AC157" s="52">
        <v>0</v>
      </c>
      <c r="AD157" s="52">
        <v>0</v>
      </c>
      <c r="AE157" s="52">
        <v>0</v>
      </c>
      <c r="AF157" s="52">
        <v>0</v>
      </c>
      <c r="AG157" s="52">
        <v>0</v>
      </c>
      <c r="AH157" s="52">
        <v>0</v>
      </c>
      <c r="AI157" s="52">
        <v>0</v>
      </c>
      <c r="AJ157" s="52">
        <v>0</v>
      </c>
      <c r="AK157" s="52">
        <v>0</v>
      </c>
      <c r="AL157" s="52">
        <v>0</v>
      </c>
      <c r="AM157" s="52">
        <v>0</v>
      </c>
      <c r="AN157" s="52">
        <v>0</v>
      </c>
      <c r="AO157" s="52">
        <v>0</v>
      </c>
      <c r="AP157" s="52">
        <v>0</v>
      </c>
      <c r="AQ157" s="52">
        <v>0</v>
      </c>
      <c r="AR157" s="52">
        <v>0</v>
      </c>
      <c r="AS157" s="52">
        <v>0</v>
      </c>
      <c r="AT157" s="52">
        <v>0</v>
      </c>
      <c r="AU157" s="52">
        <v>0</v>
      </c>
      <c r="AV157" s="52">
        <v>0</v>
      </c>
      <c r="AW157" s="52">
        <v>0</v>
      </c>
      <c r="AX157" s="52">
        <v>0</v>
      </c>
      <c r="AY157" s="52">
        <v>0</v>
      </c>
      <c r="AZ157" s="52">
        <v>0</v>
      </c>
      <c r="BA157" s="52">
        <v>0</v>
      </c>
      <c r="BB157" s="52">
        <v>0</v>
      </c>
      <c r="BC157" s="52">
        <v>0</v>
      </c>
      <c r="BD157" s="52">
        <v>0</v>
      </c>
      <c r="BE157" s="52">
        <v>0</v>
      </c>
      <c r="BF157" s="52">
        <v>0</v>
      </c>
      <c r="BG157" s="52">
        <v>0</v>
      </c>
      <c r="BH157" s="52">
        <v>0</v>
      </c>
      <c r="BI157" s="52">
        <v>0</v>
      </c>
      <c r="BJ157" s="52">
        <v>0</v>
      </c>
      <c r="BK157" s="52">
        <v>0</v>
      </c>
      <c r="BL157" s="52">
        <v>0</v>
      </c>
      <c r="BM157" s="52">
        <v>0</v>
      </c>
      <c r="BN157" s="52">
        <v>0</v>
      </c>
      <c r="BO157" s="52">
        <v>0</v>
      </c>
      <c r="BP157" s="52">
        <v>0</v>
      </c>
      <c r="BQ157" s="52">
        <v>0</v>
      </c>
      <c r="BR157" s="52">
        <v>0</v>
      </c>
      <c r="BS157" s="52">
        <v>0</v>
      </c>
      <c r="BT157" s="52">
        <v>0</v>
      </c>
      <c r="BU157" s="52">
        <v>0</v>
      </c>
      <c r="BV157" s="52">
        <v>0</v>
      </c>
      <c r="BW157" s="52">
        <v>0</v>
      </c>
    </row>
    <row r="158" spans="1:75" x14ac:dyDescent="0.3">
      <c r="A158" s="8" t="s">
        <v>103</v>
      </c>
      <c r="B158" s="8" t="s">
        <v>10</v>
      </c>
      <c r="C158" s="8" t="s">
        <v>67</v>
      </c>
      <c r="D158" s="52">
        <v>0</v>
      </c>
      <c r="E158" s="52">
        <v>0</v>
      </c>
      <c r="F158" s="52">
        <v>0</v>
      </c>
      <c r="G158" s="52">
        <v>0</v>
      </c>
      <c r="H158" s="52">
        <v>0</v>
      </c>
      <c r="I158" s="52">
        <v>0</v>
      </c>
      <c r="J158" s="52">
        <v>0</v>
      </c>
      <c r="K158" s="52">
        <v>0</v>
      </c>
      <c r="L158" s="52">
        <v>0</v>
      </c>
      <c r="M158" s="52">
        <v>0</v>
      </c>
      <c r="N158" s="52">
        <v>0</v>
      </c>
      <c r="O158" s="52">
        <v>0</v>
      </c>
      <c r="P158" s="52">
        <v>0</v>
      </c>
      <c r="Q158" s="52">
        <v>0</v>
      </c>
      <c r="R158" s="52">
        <v>0</v>
      </c>
      <c r="S158" s="52">
        <v>0</v>
      </c>
      <c r="T158" s="52">
        <v>0</v>
      </c>
      <c r="U158" s="52">
        <v>0</v>
      </c>
      <c r="V158" s="52">
        <v>0</v>
      </c>
      <c r="W158" s="52">
        <v>0</v>
      </c>
      <c r="X158" s="52">
        <v>0</v>
      </c>
      <c r="Y158" s="52">
        <v>0</v>
      </c>
      <c r="Z158" s="52">
        <v>0</v>
      </c>
      <c r="AA158" s="52">
        <v>0</v>
      </c>
      <c r="AB158" s="52">
        <v>0</v>
      </c>
      <c r="AC158" s="52">
        <v>0</v>
      </c>
      <c r="AD158" s="52">
        <v>0</v>
      </c>
      <c r="AE158" s="52">
        <v>0</v>
      </c>
      <c r="AF158" s="52">
        <v>0</v>
      </c>
      <c r="AG158" s="52">
        <v>0</v>
      </c>
      <c r="AH158" s="52">
        <v>0</v>
      </c>
      <c r="AI158" s="52">
        <v>0</v>
      </c>
      <c r="AJ158" s="52">
        <v>0</v>
      </c>
      <c r="AK158" s="52">
        <v>0</v>
      </c>
      <c r="AL158" s="52">
        <v>0</v>
      </c>
      <c r="AM158" s="52">
        <v>0</v>
      </c>
      <c r="AN158" s="52">
        <v>0</v>
      </c>
      <c r="AO158" s="52">
        <v>0</v>
      </c>
      <c r="AP158" s="52">
        <v>0</v>
      </c>
      <c r="AQ158" s="52">
        <v>0</v>
      </c>
      <c r="AR158" s="52">
        <v>0</v>
      </c>
      <c r="AS158" s="52">
        <v>0</v>
      </c>
      <c r="AT158" s="52">
        <v>0</v>
      </c>
      <c r="AU158" s="52">
        <v>0</v>
      </c>
      <c r="AV158" s="52">
        <v>0</v>
      </c>
      <c r="AW158" s="52">
        <v>0</v>
      </c>
      <c r="AX158" s="52">
        <v>0</v>
      </c>
      <c r="AY158" s="52">
        <v>0</v>
      </c>
      <c r="AZ158" s="52">
        <v>0</v>
      </c>
      <c r="BA158" s="52">
        <v>0</v>
      </c>
      <c r="BB158" s="52">
        <v>0</v>
      </c>
      <c r="BC158" s="52">
        <v>0</v>
      </c>
      <c r="BD158" s="52">
        <v>0</v>
      </c>
      <c r="BE158" s="52">
        <v>0</v>
      </c>
      <c r="BF158" s="52">
        <v>0</v>
      </c>
      <c r="BG158" s="52">
        <v>0</v>
      </c>
      <c r="BH158" s="52">
        <v>0</v>
      </c>
      <c r="BI158" s="52">
        <v>0</v>
      </c>
      <c r="BJ158" s="52">
        <v>0</v>
      </c>
      <c r="BK158" s="52">
        <v>0</v>
      </c>
      <c r="BL158" s="52">
        <v>0</v>
      </c>
      <c r="BM158" s="52">
        <v>0</v>
      </c>
      <c r="BN158" s="52">
        <v>0</v>
      </c>
      <c r="BO158" s="52">
        <v>0</v>
      </c>
      <c r="BP158" s="52">
        <v>0</v>
      </c>
      <c r="BQ158" s="52">
        <v>0</v>
      </c>
      <c r="BR158" s="52">
        <v>0</v>
      </c>
      <c r="BS158" s="52">
        <v>0</v>
      </c>
      <c r="BT158" s="52">
        <v>0</v>
      </c>
      <c r="BU158" s="52">
        <v>0</v>
      </c>
      <c r="BV158" s="52">
        <v>0</v>
      </c>
      <c r="BW158" s="52">
        <v>0</v>
      </c>
    </row>
    <row r="159" spans="1:75" x14ac:dyDescent="0.3">
      <c r="A159" s="8" t="s">
        <v>103</v>
      </c>
      <c r="B159" s="8" t="s">
        <v>10</v>
      </c>
      <c r="C159" s="8" t="s">
        <v>68</v>
      </c>
      <c r="D159" s="52">
        <v>0</v>
      </c>
      <c r="E159" s="52">
        <v>0</v>
      </c>
      <c r="F159" s="52">
        <v>0</v>
      </c>
      <c r="G159" s="52">
        <v>0</v>
      </c>
      <c r="H159" s="52">
        <v>0</v>
      </c>
      <c r="I159" s="52">
        <v>0</v>
      </c>
      <c r="J159" s="52">
        <v>0</v>
      </c>
      <c r="K159" s="52">
        <v>0</v>
      </c>
      <c r="L159" s="52">
        <v>0</v>
      </c>
      <c r="M159" s="52">
        <v>0</v>
      </c>
      <c r="N159" s="52">
        <v>0</v>
      </c>
      <c r="O159" s="52">
        <v>0</v>
      </c>
      <c r="P159" s="52">
        <v>0</v>
      </c>
      <c r="Q159" s="52">
        <v>0</v>
      </c>
      <c r="R159" s="52">
        <v>0</v>
      </c>
      <c r="S159" s="52">
        <v>0</v>
      </c>
      <c r="T159" s="52">
        <v>0</v>
      </c>
      <c r="U159" s="52">
        <v>0</v>
      </c>
      <c r="V159" s="52">
        <v>0</v>
      </c>
      <c r="W159" s="52">
        <v>0</v>
      </c>
      <c r="X159" s="52">
        <v>0</v>
      </c>
      <c r="Y159" s="52">
        <v>0</v>
      </c>
      <c r="Z159" s="52">
        <v>0</v>
      </c>
      <c r="AA159" s="52">
        <v>0</v>
      </c>
      <c r="AB159" s="52">
        <v>0</v>
      </c>
      <c r="AC159" s="52">
        <v>0</v>
      </c>
      <c r="AD159" s="52">
        <v>0</v>
      </c>
      <c r="AE159" s="52">
        <v>0</v>
      </c>
      <c r="AF159" s="52">
        <v>0</v>
      </c>
      <c r="AG159" s="52">
        <v>0</v>
      </c>
      <c r="AH159" s="52">
        <v>0</v>
      </c>
      <c r="AI159" s="52">
        <v>0</v>
      </c>
      <c r="AJ159" s="52">
        <v>0</v>
      </c>
      <c r="AK159" s="52">
        <v>0</v>
      </c>
      <c r="AL159" s="52">
        <v>0</v>
      </c>
      <c r="AM159" s="52">
        <v>0</v>
      </c>
      <c r="AN159" s="52">
        <v>0</v>
      </c>
      <c r="AO159" s="52">
        <v>0</v>
      </c>
      <c r="AP159" s="52">
        <v>0</v>
      </c>
      <c r="AQ159" s="52">
        <v>0</v>
      </c>
      <c r="AR159" s="52">
        <v>0</v>
      </c>
      <c r="AS159" s="52">
        <v>0</v>
      </c>
      <c r="AT159" s="52">
        <v>0</v>
      </c>
      <c r="AU159" s="52">
        <v>0</v>
      </c>
      <c r="AV159" s="52">
        <v>0</v>
      </c>
      <c r="AW159" s="52">
        <v>0</v>
      </c>
      <c r="AX159" s="52">
        <v>0</v>
      </c>
      <c r="AY159" s="52">
        <v>0</v>
      </c>
      <c r="AZ159" s="52">
        <v>0</v>
      </c>
      <c r="BA159" s="52">
        <v>0</v>
      </c>
      <c r="BB159" s="52">
        <v>0</v>
      </c>
      <c r="BC159" s="52">
        <v>0</v>
      </c>
      <c r="BD159" s="52">
        <v>0</v>
      </c>
      <c r="BE159" s="52">
        <v>0</v>
      </c>
      <c r="BF159" s="52">
        <v>0</v>
      </c>
      <c r="BG159" s="52">
        <v>0</v>
      </c>
      <c r="BH159" s="52">
        <v>0</v>
      </c>
      <c r="BI159" s="52">
        <v>0</v>
      </c>
      <c r="BJ159" s="52">
        <v>0</v>
      </c>
      <c r="BK159" s="52">
        <v>0</v>
      </c>
      <c r="BL159" s="52">
        <v>0</v>
      </c>
      <c r="BM159" s="52">
        <v>0</v>
      </c>
      <c r="BN159" s="52">
        <v>0</v>
      </c>
      <c r="BO159" s="52">
        <v>0</v>
      </c>
      <c r="BP159" s="52">
        <v>0</v>
      </c>
      <c r="BQ159" s="52">
        <v>0</v>
      </c>
      <c r="BR159" s="52">
        <v>0</v>
      </c>
      <c r="BS159" s="52">
        <v>0</v>
      </c>
      <c r="BT159" s="52">
        <v>0</v>
      </c>
      <c r="BU159" s="52">
        <v>0</v>
      </c>
      <c r="BV159" s="52">
        <v>0</v>
      </c>
      <c r="BW159" s="52">
        <v>0</v>
      </c>
    </row>
    <row r="160" spans="1:75" x14ac:dyDescent="0.3">
      <c r="A160" s="8" t="s">
        <v>103</v>
      </c>
      <c r="B160" s="8" t="s">
        <v>10</v>
      </c>
      <c r="C160" s="8" t="s">
        <v>69</v>
      </c>
      <c r="D160" s="52">
        <v>0</v>
      </c>
      <c r="E160" s="52">
        <v>0</v>
      </c>
      <c r="F160" s="52">
        <v>0</v>
      </c>
      <c r="G160" s="52">
        <v>0</v>
      </c>
      <c r="H160" s="52">
        <v>0</v>
      </c>
      <c r="I160" s="52">
        <v>0</v>
      </c>
      <c r="J160" s="52">
        <v>0</v>
      </c>
      <c r="K160" s="52">
        <v>0</v>
      </c>
      <c r="L160" s="52">
        <v>0</v>
      </c>
      <c r="M160" s="52">
        <v>0</v>
      </c>
      <c r="N160" s="52">
        <v>0</v>
      </c>
      <c r="O160" s="52">
        <v>0</v>
      </c>
      <c r="P160" s="52">
        <v>0</v>
      </c>
      <c r="Q160" s="52">
        <v>0</v>
      </c>
      <c r="R160" s="52">
        <v>0</v>
      </c>
      <c r="S160" s="52">
        <v>0</v>
      </c>
      <c r="T160" s="52">
        <v>0</v>
      </c>
      <c r="U160" s="52">
        <v>0</v>
      </c>
      <c r="V160" s="52">
        <v>0</v>
      </c>
      <c r="W160" s="52">
        <v>0</v>
      </c>
      <c r="X160" s="52">
        <v>0</v>
      </c>
      <c r="Y160" s="52">
        <v>0</v>
      </c>
      <c r="Z160" s="52">
        <v>0</v>
      </c>
      <c r="AA160" s="52">
        <v>0</v>
      </c>
      <c r="AB160" s="52">
        <v>0</v>
      </c>
      <c r="AC160" s="52">
        <v>0</v>
      </c>
      <c r="AD160" s="52">
        <v>0</v>
      </c>
      <c r="AE160" s="52">
        <v>0</v>
      </c>
      <c r="AF160" s="52">
        <v>0</v>
      </c>
      <c r="AG160" s="52">
        <v>0</v>
      </c>
      <c r="AH160" s="52">
        <v>0</v>
      </c>
      <c r="AI160" s="52">
        <v>0</v>
      </c>
      <c r="AJ160" s="52">
        <v>0</v>
      </c>
      <c r="AK160" s="52">
        <v>0</v>
      </c>
      <c r="AL160" s="52">
        <v>0</v>
      </c>
      <c r="AM160" s="52">
        <v>0</v>
      </c>
      <c r="AN160" s="52">
        <v>0</v>
      </c>
      <c r="AO160" s="52">
        <v>0</v>
      </c>
      <c r="AP160" s="52">
        <v>0</v>
      </c>
      <c r="AQ160" s="52">
        <v>0</v>
      </c>
      <c r="AR160" s="52">
        <v>0</v>
      </c>
      <c r="AS160" s="52">
        <v>0</v>
      </c>
      <c r="AT160" s="52">
        <v>0</v>
      </c>
      <c r="AU160" s="52">
        <v>0</v>
      </c>
      <c r="AV160" s="52">
        <v>0</v>
      </c>
      <c r="AW160" s="52">
        <v>0</v>
      </c>
      <c r="AX160" s="52">
        <v>0</v>
      </c>
      <c r="AY160" s="52">
        <v>0</v>
      </c>
      <c r="AZ160" s="52">
        <v>0</v>
      </c>
      <c r="BA160" s="52">
        <v>0</v>
      </c>
      <c r="BB160" s="52">
        <v>0</v>
      </c>
      <c r="BC160" s="52">
        <v>0</v>
      </c>
      <c r="BD160" s="52">
        <v>0</v>
      </c>
      <c r="BE160" s="52">
        <v>0</v>
      </c>
      <c r="BF160" s="52">
        <v>0</v>
      </c>
      <c r="BG160" s="52">
        <v>0</v>
      </c>
      <c r="BH160" s="52">
        <v>0</v>
      </c>
      <c r="BI160" s="52">
        <v>0</v>
      </c>
      <c r="BJ160" s="52">
        <v>0</v>
      </c>
      <c r="BK160" s="52">
        <v>0</v>
      </c>
      <c r="BL160" s="52">
        <v>0</v>
      </c>
      <c r="BM160" s="52">
        <v>0</v>
      </c>
      <c r="BN160" s="52">
        <v>0</v>
      </c>
      <c r="BO160" s="52">
        <v>0</v>
      </c>
      <c r="BP160" s="52">
        <v>0</v>
      </c>
      <c r="BQ160" s="52">
        <v>0</v>
      </c>
      <c r="BR160" s="52">
        <v>0</v>
      </c>
      <c r="BS160" s="52">
        <v>0</v>
      </c>
      <c r="BT160" s="52">
        <v>0</v>
      </c>
      <c r="BU160" s="52">
        <v>0</v>
      </c>
      <c r="BV160" s="52">
        <v>0</v>
      </c>
      <c r="BW160" s="52">
        <v>0</v>
      </c>
    </row>
    <row r="161" spans="1:75" x14ac:dyDescent="0.3">
      <c r="A161" s="8" t="s">
        <v>103</v>
      </c>
      <c r="B161" s="8" t="s">
        <v>10</v>
      </c>
      <c r="C161" s="8" t="s">
        <v>27</v>
      </c>
      <c r="D161" s="52">
        <v>150</v>
      </c>
      <c r="E161" s="52">
        <v>150</v>
      </c>
      <c r="F161" s="52">
        <v>150</v>
      </c>
      <c r="G161" s="52">
        <v>150</v>
      </c>
      <c r="H161" s="52">
        <v>150</v>
      </c>
      <c r="I161" s="52">
        <v>67.333333333333471</v>
      </c>
      <c r="J161" s="52">
        <v>150</v>
      </c>
      <c r="K161" s="52">
        <v>150</v>
      </c>
      <c r="L161" s="52">
        <v>150</v>
      </c>
      <c r="M161" s="52">
        <v>150</v>
      </c>
      <c r="N161" s="52">
        <v>150</v>
      </c>
      <c r="O161" s="52">
        <v>150</v>
      </c>
      <c r="P161" s="52">
        <v>150</v>
      </c>
      <c r="Q161" s="52">
        <v>150</v>
      </c>
      <c r="R161" s="52">
        <v>150</v>
      </c>
      <c r="S161" s="52">
        <v>150</v>
      </c>
      <c r="T161" s="52">
        <v>150</v>
      </c>
      <c r="U161" s="52">
        <v>150</v>
      </c>
      <c r="V161" s="52">
        <v>150</v>
      </c>
      <c r="W161" s="52">
        <v>150</v>
      </c>
      <c r="X161" s="52">
        <v>83.277486910994767</v>
      </c>
      <c r="Y161" s="52">
        <v>150</v>
      </c>
      <c r="Z161" s="52">
        <v>150</v>
      </c>
      <c r="AA161" s="52">
        <v>83.277486910994767</v>
      </c>
      <c r="AB161" s="52">
        <v>150</v>
      </c>
      <c r="AC161" s="52">
        <v>150</v>
      </c>
      <c r="AD161" s="52">
        <v>115.60824000000032</v>
      </c>
      <c r="AE161" s="52">
        <v>150</v>
      </c>
      <c r="AF161" s="52">
        <v>0</v>
      </c>
      <c r="AG161" s="52">
        <v>78.601559999999438</v>
      </c>
      <c r="AH161" s="52">
        <v>150</v>
      </c>
      <c r="AI161" s="52">
        <v>97.144668857142719</v>
      </c>
      <c r="AJ161" s="52">
        <v>0</v>
      </c>
      <c r="AK161" s="52">
        <v>150</v>
      </c>
      <c r="AL161" s="52">
        <v>73.18624885714317</v>
      </c>
      <c r="AM161" s="52">
        <v>0</v>
      </c>
      <c r="AN161" s="52">
        <v>121.00380218977891</v>
      </c>
      <c r="AO161" s="52">
        <v>118.25989000000069</v>
      </c>
      <c r="AP161" s="52">
        <v>0</v>
      </c>
      <c r="AQ161" s="52">
        <v>36.99464218977905</v>
      </c>
      <c r="AR161" s="52">
        <v>85.051710000000725</v>
      </c>
      <c r="AS161" s="52">
        <v>0</v>
      </c>
      <c r="AT161" s="52">
        <v>134.17978000000107</v>
      </c>
      <c r="AU161" s="52">
        <v>99.067294417475395</v>
      </c>
      <c r="AV161" s="52">
        <v>0</v>
      </c>
      <c r="AW161" s="52">
        <v>134.17978000000107</v>
      </c>
      <c r="AX161" s="52">
        <v>99.067294417475395</v>
      </c>
      <c r="AY161" s="52">
        <v>0</v>
      </c>
      <c r="AZ161" s="52">
        <v>150</v>
      </c>
      <c r="BA161" s="52">
        <v>150</v>
      </c>
      <c r="BB161" s="52">
        <v>30.218181818181822</v>
      </c>
      <c r="BC161" s="52">
        <v>150</v>
      </c>
      <c r="BD161" s="52">
        <v>150</v>
      </c>
      <c r="BE161" s="52">
        <v>30.218181818181822</v>
      </c>
      <c r="BF161" s="52">
        <v>150</v>
      </c>
      <c r="BG161" s="52">
        <v>150</v>
      </c>
      <c r="BH161" s="52">
        <v>91.730973451327415</v>
      </c>
      <c r="BI161" s="52">
        <v>150</v>
      </c>
      <c r="BJ161" s="52">
        <v>150</v>
      </c>
      <c r="BK161" s="52">
        <v>91.730973451327401</v>
      </c>
      <c r="BL161" s="52">
        <v>150</v>
      </c>
      <c r="BM161" s="52">
        <v>150</v>
      </c>
      <c r="BN161" s="52">
        <v>150</v>
      </c>
      <c r="BO161" s="52">
        <v>150</v>
      </c>
      <c r="BP161" s="52">
        <v>150</v>
      </c>
      <c r="BQ161" s="52">
        <v>150</v>
      </c>
      <c r="BR161" s="52">
        <v>150</v>
      </c>
      <c r="BS161" s="52">
        <v>150</v>
      </c>
      <c r="BT161" s="52">
        <v>150</v>
      </c>
      <c r="BU161" s="52">
        <v>150</v>
      </c>
      <c r="BV161" s="52">
        <v>150</v>
      </c>
      <c r="BW161" s="52">
        <v>150</v>
      </c>
    </row>
    <row r="162" spans="1:75" x14ac:dyDescent="0.3">
      <c r="A162" s="8" t="s">
        <v>103</v>
      </c>
      <c r="B162" s="8" t="s">
        <v>10</v>
      </c>
      <c r="C162" s="8" t="s">
        <v>144</v>
      </c>
      <c r="D162" s="52">
        <v>200</v>
      </c>
      <c r="E162" s="52">
        <v>12.456270129870088</v>
      </c>
      <c r="F162" s="52">
        <v>0</v>
      </c>
      <c r="G162" s="52">
        <v>200</v>
      </c>
      <c r="H162" s="52">
        <v>0</v>
      </c>
      <c r="I162" s="52">
        <v>0</v>
      </c>
      <c r="J162" s="52">
        <v>200</v>
      </c>
      <c r="K162" s="52">
        <v>0</v>
      </c>
      <c r="L162" s="52">
        <v>0</v>
      </c>
      <c r="M162" s="52">
        <v>200</v>
      </c>
      <c r="N162" s="52">
        <v>0</v>
      </c>
      <c r="O162" s="52">
        <v>0</v>
      </c>
      <c r="P162" s="52">
        <v>200</v>
      </c>
      <c r="Q162" s="52">
        <v>200</v>
      </c>
      <c r="R162" s="52">
        <v>0</v>
      </c>
      <c r="S162" s="52">
        <v>200</v>
      </c>
      <c r="T162" s="52">
        <v>0</v>
      </c>
      <c r="U162" s="52">
        <v>0</v>
      </c>
      <c r="V162" s="52">
        <v>200</v>
      </c>
      <c r="W162" s="52">
        <v>146.19060763157799</v>
      </c>
      <c r="X162" s="52">
        <v>0</v>
      </c>
      <c r="Y162" s="52">
        <v>200</v>
      </c>
      <c r="Z162" s="52">
        <v>105.7350500000005</v>
      </c>
      <c r="AA162" s="52">
        <v>0</v>
      </c>
      <c r="AB162" s="52">
        <v>200</v>
      </c>
      <c r="AC162" s="52">
        <v>22.900280000000439</v>
      </c>
      <c r="AD162" s="52">
        <v>0</v>
      </c>
      <c r="AE162" s="52">
        <v>182.28889000000044</v>
      </c>
      <c r="AF162" s="52">
        <v>0</v>
      </c>
      <c r="AG162" s="52">
        <v>0</v>
      </c>
      <c r="AH162" s="52">
        <v>200</v>
      </c>
      <c r="AI162" s="52">
        <v>0</v>
      </c>
      <c r="AJ162" s="52">
        <v>0</v>
      </c>
      <c r="AK162" s="52">
        <v>116.87577999999966</v>
      </c>
      <c r="AL162" s="52">
        <v>0</v>
      </c>
      <c r="AM162" s="52">
        <v>0</v>
      </c>
      <c r="AN162" s="52">
        <v>200</v>
      </c>
      <c r="AO162" s="52">
        <v>0</v>
      </c>
      <c r="AP162" s="52">
        <v>0</v>
      </c>
      <c r="AQ162" s="52">
        <v>200</v>
      </c>
      <c r="AR162" s="52">
        <v>0</v>
      </c>
      <c r="AS162" s="52">
        <v>0</v>
      </c>
      <c r="AT162" s="52">
        <v>200</v>
      </c>
      <c r="AU162" s="52">
        <v>49.298771504857108</v>
      </c>
      <c r="AV162" s="52">
        <v>0</v>
      </c>
      <c r="AW162" s="52">
        <v>200</v>
      </c>
      <c r="AX162" s="52">
        <v>49.298771504857108</v>
      </c>
      <c r="AY162" s="52">
        <v>0</v>
      </c>
      <c r="AZ162" s="52">
        <v>200</v>
      </c>
      <c r="BA162" s="52">
        <v>49.178940000000338</v>
      </c>
      <c r="BB162" s="52">
        <v>0</v>
      </c>
      <c r="BC162" s="52">
        <v>200</v>
      </c>
      <c r="BD162" s="52">
        <v>49.178940000000338</v>
      </c>
      <c r="BE162" s="52">
        <v>0</v>
      </c>
      <c r="BF162" s="52">
        <v>200</v>
      </c>
      <c r="BG162" s="52">
        <v>106.16859051947647</v>
      </c>
      <c r="BH162" s="52">
        <v>0</v>
      </c>
      <c r="BI162" s="52">
        <v>200</v>
      </c>
      <c r="BJ162" s="52">
        <v>0</v>
      </c>
      <c r="BK162" s="52">
        <v>0</v>
      </c>
      <c r="BL162" s="52">
        <v>200</v>
      </c>
      <c r="BM162" s="52">
        <v>169.48719161904751</v>
      </c>
      <c r="BN162" s="52">
        <v>0</v>
      </c>
      <c r="BO162" s="52">
        <v>149.31432000000029</v>
      </c>
      <c r="BP162" s="52">
        <v>0</v>
      </c>
      <c r="BQ162" s="52">
        <v>0</v>
      </c>
      <c r="BR162" s="52">
        <v>200</v>
      </c>
      <c r="BS162" s="52">
        <v>200</v>
      </c>
      <c r="BT162" s="52">
        <v>0</v>
      </c>
      <c r="BU162" s="52">
        <v>200</v>
      </c>
      <c r="BV162" s="52">
        <v>44.035929670329629</v>
      </c>
      <c r="BW162" s="52">
        <v>0</v>
      </c>
    </row>
    <row r="163" spans="1:75" x14ac:dyDescent="0.3">
      <c r="A163" s="8" t="s">
        <v>103</v>
      </c>
      <c r="B163" s="8" t="s">
        <v>10</v>
      </c>
      <c r="C163" s="8" t="s">
        <v>145</v>
      </c>
      <c r="D163" s="52">
        <v>152.91573000000091</v>
      </c>
      <c r="E163" s="52">
        <v>0</v>
      </c>
      <c r="F163" s="52">
        <v>0</v>
      </c>
      <c r="G163" s="52">
        <v>152.91573000000091</v>
      </c>
      <c r="H163" s="52">
        <v>0</v>
      </c>
      <c r="I163" s="52">
        <v>0</v>
      </c>
      <c r="J163" s="52">
        <v>118.38736000000138</v>
      </c>
      <c r="K163" s="52">
        <v>0</v>
      </c>
      <c r="L163" s="52">
        <v>0</v>
      </c>
      <c r="M163" s="52">
        <v>14.182130000000848</v>
      </c>
      <c r="N163" s="52">
        <v>0</v>
      </c>
      <c r="O163" s="52">
        <v>0</v>
      </c>
      <c r="P163" s="52">
        <v>137.37485999999993</v>
      </c>
      <c r="Q163" s="52">
        <v>0</v>
      </c>
      <c r="R163" s="52">
        <v>0</v>
      </c>
      <c r="S163" s="52">
        <v>86.884200000000803</v>
      </c>
      <c r="T163" s="52">
        <v>0</v>
      </c>
      <c r="U163" s="52">
        <v>0</v>
      </c>
      <c r="V163" s="52">
        <v>188.36219000000042</v>
      </c>
      <c r="W163" s="52">
        <v>0</v>
      </c>
      <c r="X163" s="52">
        <v>0</v>
      </c>
      <c r="Y163" s="52">
        <v>188.36219000000042</v>
      </c>
      <c r="Z163" s="52">
        <v>0</v>
      </c>
      <c r="AA163" s="52">
        <v>0</v>
      </c>
      <c r="AB163" s="52">
        <v>132.50062999999966</v>
      </c>
      <c r="AC163" s="52">
        <v>0</v>
      </c>
      <c r="AD163" s="52">
        <v>0</v>
      </c>
      <c r="AE163" s="52">
        <v>0</v>
      </c>
      <c r="AF163" s="52">
        <v>0</v>
      </c>
      <c r="AG163" s="52">
        <v>0</v>
      </c>
      <c r="AH163" s="52">
        <v>66.770300000000063</v>
      </c>
      <c r="AI163" s="52">
        <v>0</v>
      </c>
      <c r="AJ163" s="52">
        <v>0</v>
      </c>
      <c r="AK163" s="52">
        <v>66.770300000000063</v>
      </c>
      <c r="AL163" s="52">
        <v>0</v>
      </c>
      <c r="AM163" s="52">
        <v>0</v>
      </c>
      <c r="AN163" s="52">
        <v>170.20464781022105</v>
      </c>
      <c r="AO163" s="52">
        <v>0</v>
      </c>
      <c r="AP163" s="52">
        <v>0</v>
      </c>
      <c r="AQ163" s="52">
        <v>170.20464781022105</v>
      </c>
      <c r="AR163" s="52">
        <v>0</v>
      </c>
      <c r="AS163" s="52">
        <v>0</v>
      </c>
      <c r="AT163" s="52">
        <v>200</v>
      </c>
      <c r="AU163" s="52">
        <v>50.608854077667978</v>
      </c>
      <c r="AV163" s="52">
        <v>0</v>
      </c>
      <c r="AW163" s="52">
        <v>200</v>
      </c>
      <c r="AX163" s="52">
        <v>50.608854077667978</v>
      </c>
      <c r="AY163" s="52">
        <v>0</v>
      </c>
      <c r="AZ163" s="52">
        <v>200</v>
      </c>
      <c r="BA163" s="52">
        <v>0</v>
      </c>
      <c r="BB163" s="52">
        <v>0</v>
      </c>
      <c r="BC163" s="52">
        <v>200</v>
      </c>
      <c r="BD163" s="52">
        <v>0</v>
      </c>
      <c r="BE163" s="52">
        <v>0</v>
      </c>
      <c r="BF163" s="52">
        <v>188.46420000000083</v>
      </c>
      <c r="BG163" s="52">
        <v>0</v>
      </c>
      <c r="BH163" s="52">
        <v>0</v>
      </c>
      <c r="BI163" s="52">
        <v>188.46420000000083</v>
      </c>
      <c r="BJ163" s="52">
        <v>0</v>
      </c>
      <c r="BK163" s="52">
        <v>0</v>
      </c>
      <c r="BL163" s="52">
        <v>200</v>
      </c>
      <c r="BM163" s="52">
        <v>28.293288380952671</v>
      </c>
      <c r="BN163" s="52">
        <v>0</v>
      </c>
      <c r="BO163" s="52">
        <v>200</v>
      </c>
      <c r="BP163" s="52">
        <v>0</v>
      </c>
      <c r="BQ163" s="52">
        <v>0</v>
      </c>
      <c r="BR163" s="52">
        <v>0</v>
      </c>
      <c r="BS163" s="52">
        <v>0</v>
      </c>
      <c r="BT163" s="52">
        <v>0</v>
      </c>
      <c r="BU163" s="52">
        <v>0</v>
      </c>
      <c r="BV163" s="52">
        <v>0</v>
      </c>
      <c r="BW163" s="52">
        <v>0</v>
      </c>
    </row>
    <row r="164" spans="1:75" x14ac:dyDescent="0.3">
      <c r="A164" s="8" t="s">
        <v>103</v>
      </c>
      <c r="B164" s="8" t="s">
        <v>10</v>
      </c>
      <c r="C164" s="8" t="s">
        <v>146</v>
      </c>
      <c r="D164" s="52">
        <v>200</v>
      </c>
      <c r="E164" s="52">
        <v>200</v>
      </c>
      <c r="F164" s="52">
        <v>104.29276999999936</v>
      </c>
      <c r="G164" s="52">
        <v>200</v>
      </c>
      <c r="H164" s="52">
        <v>200</v>
      </c>
      <c r="I164" s="52">
        <v>52.656606666666384</v>
      </c>
      <c r="J164" s="52">
        <v>200</v>
      </c>
      <c r="K164" s="52">
        <v>200</v>
      </c>
      <c r="L164" s="52">
        <v>141.64256999999947</v>
      </c>
      <c r="M164" s="52">
        <v>200</v>
      </c>
      <c r="N164" s="52">
        <v>200</v>
      </c>
      <c r="O164" s="52">
        <v>0</v>
      </c>
      <c r="P164" s="52">
        <v>200</v>
      </c>
      <c r="Q164" s="52">
        <v>200</v>
      </c>
      <c r="R164" s="52">
        <v>36.078280000000461</v>
      </c>
      <c r="S164" s="52">
        <v>200</v>
      </c>
      <c r="T164" s="52">
        <v>200</v>
      </c>
      <c r="U164" s="52">
        <v>0</v>
      </c>
      <c r="V164" s="52">
        <v>200</v>
      </c>
      <c r="W164" s="52">
        <v>200</v>
      </c>
      <c r="X164" s="52">
        <v>0</v>
      </c>
      <c r="Y164" s="52">
        <v>200</v>
      </c>
      <c r="Z164" s="52">
        <v>200</v>
      </c>
      <c r="AA164" s="52">
        <v>0</v>
      </c>
      <c r="AB164" s="52">
        <v>200</v>
      </c>
      <c r="AC164" s="52">
        <v>200</v>
      </c>
      <c r="AD164" s="52">
        <v>200</v>
      </c>
      <c r="AE164" s="52">
        <v>200</v>
      </c>
      <c r="AF164" s="52">
        <v>200</v>
      </c>
      <c r="AG164" s="52">
        <v>115.54297000000113</v>
      </c>
      <c r="AH164" s="52">
        <v>200</v>
      </c>
      <c r="AI164" s="52">
        <v>200</v>
      </c>
      <c r="AJ164" s="52">
        <v>136.12744446368021</v>
      </c>
      <c r="AK164" s="52">
        <v>200</v>
      </c>
      <c r="AL164" s="52">
        <v>200</v>
      </c>
      <c r="AM164" s="52">
        <v>136.12744446368021</v>
      </c>
      <c r="AN164" s="52">
        <v>200</v>
      </c>
      <c r="AO164" s="52">
        <v>200</v>
      </c>
      <c r="AP164" s="52">
        <v>0</v>
      </c>
      <c r="AQ164" s="52">
        <v>200</v>
      </c>
      <c r="AR164" s="52">
        <v>200</v>
      </c>
      <c r="AS164" s="52">
        <v>0</v>
      </c>
      <c r="AT164" s="52">
        <v>200</v>
      </c>
      <c r="AU164" s="52">
        <v>200</v>
      </c>
      <c r="AV164" s="52">
        <v>45.144800000000096</v>
      </c>
      <c r="AW164" s="52">
        <v>200</v>
      </c>
      <c r="AX164" s="52">
        <v>200</v>
      </c>
      <c r="AY164" s="52">
        <v>45.144800000000096</v>
      </c>
      <c r="AZ164" s="52">
        <v>200</v>
      </c>
      <c r="BA164" s="52">
        <v>200</v>
      </c>
      <c r="BB164" s="52">
        <v>55.934638181818656</v>
      </c>
      <c r="BC164" s="52">
        <v>200</v>
      </c>
      <c r="BD164" s="52">
        <v>200</v>
      </c>
      <c r="BE164" s="52">
        <v>55.934638181818656</v>
      </c>
      <c r="BF164" s="52">
        <v>200</v>
      </c>
      <c r="BG164" s="52">
        <v>200</v>
      </c>
      <c r="BH164" s="52">
        <v>0</v>
      </c>
      <c r="BI164" s="52">
        <v>200</v>
      </c>
      <c r="BJ164" s="52">
        <v>200</v>
      </c>
      <c r="BK164" s="52">
        <v>0</v>
      </c>
      <c r="BL164" s="52">
        <v>200</v>
      </c>
      <c r="BM164" s="52">
        <v>200</v>
      </c>
      <c r="BN164" s="52">
        <v>200</v>
      </c>
      <c r="BO164" s="52">
        <v>200</v>
      </c>
      <c r="BP164" s="52">
        <v>162.28105379953399</v>
      </c>
      <c r="BQ164" s="52">
        <v>0</v>
      </c>
      <c r="BR164" s="52">
        <v>200</v>
      </c>
      <c r="BS164" s="52">
        <v>200</v>
      </c>
      <c r="BT164" s="52">
        <v>200</v>
      </c>
      <c r="BU164" s="52">
        <v>200</v>
      </c>
      <c r="BV164" s="52">
        <v>200</v>
      </c>
      <c r="BW164" s="52">
        <v>200</v>
      </c>
    </row>
    <row r="165" spans="1:75" x14ac:dyDescent="0.3">
      <c r="A165" s="8" t="s">
        <v>103</v>
      </c>
      <c r="B165" s="8" t="s">
        <v>10</v>
      </c>
      <c r="C165" s="8" t="s">
        <v>28</v>
      </c>
      <c r="D165" s="52">
        <v>200</v>
      </c>
      <c r="E165" s="52">
        <v>200</v>
      </c>
      <c r="F165" s="52">
        <v>200</v>
      </c>
      <c r="G165" s="52">
        <v>200</v>
      </c>
      <c r="H165" s="52">
        <v>200</v>
      </c>
      <c r="I165" s="52">
        <v>200</v>
      </c>
      <c r="J165" s="52">
        <v>200</v>
      </c>
      <c r="K165" s="52">
        <v>200</v>
      </c>
      <c r="L165" s="52">
        <v>200</v>
      </c>
      <c r="M165" s="52">
        <v>200</v>
      </c>
      <c r="N165" s="52">
        <v>200</v>
      </c>
      <c r="O165" s="52">
        <v>200</v>
      </c>
      <c r="P165" s="52">
        <v>200</v>
      </c>
      <c r="Q165" s="52">
        <v>200</v>
      </c>
      <c r="R165" s="52">
        <v>200</v>
      </c>
      <c r="S165" s="52">
        <v>200</v>
      </c>
      <c r="T165" s="52">
        <v>200</v>
      </c>
      <c r="U165" s="52">
        <v>200</v>
      </c>
      <c r="V165" s="52">
        <v>200</v>
      </c>
      <c r="W165" s="52">
        <v>200</v>
      </c>
      <c r="X165" s="52">
        <v>200</v>
      </c>
      <c r="Y165" s="52">
        <v>200</v>
      </c>
      <c r="Z165" s="52">
        <v>200</v>
      </c>
      <c r="AA165" s="52">
        <v>200</v>
      </c>
      <c r="AB165" s="52">
        <v>200</v>
      </c>
      <c r="AC165" s="52">
        <v>200</v>
      </c>
      <c r="AD165" s="52">
        <v>200</v>
      </c>
      <c r="AE165" s="52">
        <v>200</v>
      </c>
      <c r="AF165" s="52">
        <v>200</v>
      </c>
      <c r="AG165" s="52">
        <v>200</v>
      </c>
      <c r="AH165" s="52">
        <v>200</v>
      </c>
      <c r="AI165" s="52">
        <v>200</v>
      </c>
      <c r="AJ165" s="52">
        <v>200</v>
      </c>
      <c r="AK165" s="52">
        <v>200</v>
      </c>
      <c r="AL165" s="52">
        <v>200</v>
      </c>
      <c r="AM165" s="52">
        <v>200</v>
      </c>
      <c r="AN165" s="52">
        <v>200</v>
      </c>
      <c r="AO165" s="52">
        <v>200</v>
      </c>
      <c r="AP165" s="52">
        <v>200</v>
      </c>
      <c r="AQ165" s="52">
        <v>200</v>
      </c>
      <c r="AR165" s="52">
        <v>200</v>
      </c>
      <c r="AS165" s="52">
        <v>200</v>
      </c>
      <c r="AT165" s="52">
        <v>200</v>
      </c>
      <c r="AU165" s="52">
        <v>200</v>
      </c>
      <c r="AV165" s="52">
        <v>200</v>
      </c>
      <c r="AW165" s="52">
        <v>200</v>
      </c>
      <c r="AX165" s="52">
        <v>200</v>
      </c>
      <c r="AY165" s="52">
        <v>200</v>
      </c>
      <c r="AZ165" s="52">
        <v>200</v>
      </c>
      <c r="BA165" s="52">
        <v>200</v>
      </c>
      <c r="BB165" s="52">
        <v>200</v>
      </c>
      <c r="BC165" s="52">
        <v>200</v>
      </c>
      <c r="BD165" s="52">
        <v>200</v>
      </c>
      <c r="BE165" s="52">
        <v>200</v>
      </c>
      <c r="BF165" s="52">
        <v>200</v>
      </c>
      <c r="BG165" s="52">
        <v>200</v>
      </c>
      <c r="BH165" s="52">
        <v>200</v>
      </c>
      <c r="BI165" s="52">
        <v>200</v>
      </c>
      <c r="BJ165" s="52">
        <v>200</v>
      </c>
      <c r="BK165" s="52">
        <v>200</v>
      </c>
      <c r="BL165" s="52">
        <v>200</v>
      </c>
      <c r="BM165" s="52">
        <v>200</v>
      </c>
      <c r="BN165" s="52">
        <v>200</v>
      </c>
      <c r="BO165" s="52">
        <v>200</v>
      </c>
      <c r="BP165" s="52">
        <v>200</v>
      </c>
      <c r="BQ165" s="52">
        <v>200</v>
      </c>
      <c r="BR165" s="52">
        <v>200</v>
      </c>
      <c r="BS165" s="52">
        <v>200</v>
      </c>
      <c r="BT165" s="52">
        <v>200</v>
      </c>
      <c r="BU165" s="52">
        <v>200</v>
      </c>
      <c r="BV165" s="52">
        <v>200</v>
      </c>
      <c r="BW165" s="52">
        <v>200</v>
      </c>
    </row>
    <row r="166" spans="1:75" x14ac:dyDescent="0.3">
      <c r="A166" s="8" t="s">
        <v>104</v>
      </c>
      <c r="B166" s="8" t="s">
        <v>8</v>
      </c>
      <c r="C166" s="8" t="s">
        <v>60</v>
      </c>
      <c r="D166" s="52">
        <v>771.6</v>
      </c>
      <c r="E166" s="52">
        <v>771.6</v>
      </c>
      <c r="F166" s="52">
        <v>771.6</v>
      </c>
      <c r="G166" s="52">
        <v>771.6</v>
      </c>
      <c r="H166" s="52">
        <v>771.6</v>
      </c>
      <c r="I166" s="52">
        <v>771.6</v>
      </c>
      <c r="J166" s="52">
        <v>771.6</v>
      </c>
      <c r="K166" s="52">
        <v>771.6</v>
      </c>
      <c r="L166" s="52">
        <v>771.6</v>
      </c>
      <c r="M166" s="52">
        <v>771.6</v>
      </c>
      <c r="N166" s="52">
        <v>771.6</v>
      </c>
      <c r="O166" s="52">
        <v>771.6</v>
      </c>
      <c r="P166" s="52">
        <v>771.6</v>
      </c>
      <c r="Q166" s="52">
        <v>771.6</v>
      </c>
      <c r="R166" s="52">
        <v>771.6</v>
      </c>
      <c r="S166" s="52">
        <v>771.6</v>
      </c>
      <c r="T166" s="52">
        <v>771.6</v>
      </c>
      <c r="U166" s="52">
        <v>771.6</v>
      </c>
      <c r="V166" s="52">
        <v>771.6</v>
      </c>
      <c r="W166" s="52">
        <v>771.6</v>
      </c>
      <c r="X166" s="52">
        <v>771.6</v>
      </c>
      <c r="Y166" s="52">
        <v>771.6</v>
      </c>
      <c r="Z166" s="52">
        <v>771.6</v>
      </c>
      <c r="AA166" s="52">
        <v>771.6</v>
      </c>
      <c r="AB166" s="52">
        <v>771.6</v>
      </c>
      <c r="AC166" s="52">
        <v>771.6</v>
      </c>
      <c r="AD166" s="52">
        <v>771.6</v>
      </c>
      <c r="AE166" s="52">
        <v>771.6</v>
      </c>
      <c r="AF166" s="52">
        <v>771.6</v>
      </c>
      <c r="AG166" s="52">
        <v>771.6</v>
      </c>
      <c r="AH166" s="52">
        <v>771.6</v>
      </c>
      <c r="AI166" s="52">
        <v>771.6</v>
      </c>
      <c r="AJ166" s="52">
        <v>771.6</v>
      </c>
      <c r="AK166" s="52">
        <v>771.6</v>
      </c>
      <c r="AL166" s="52">
        <v>771.6</v>
      </c>
      <c r="AM166" s="52">
        <v>771.6</v>
      </c>
      <c r="AN166" s="52">
        <v>771.6</v>
      </c>
      <c r="AO166" s="52">
        <v>771.6</v>
      </c>
      <c r="AP166" s="52">
        <v>771.6</v>
      </c>
      <c r="AQ166" s="52">
        <v>771.6</v>
      </c>
      <c r="AR166" s="52">
        <v>771.6</v>
      </c>
      <c r="AS166" s="52">
        <v>771.6</v>
      </c>
      <c r="AT166" s="52">
        <v>771.6</v>
      </c>
      <c r="AU166" s="52">
        <v>771.6</v>
      </c>
      <c r="AV166" s="52">
        <v>771.6</v>
      </c>
      <c r="AW166" s="52">
        <v>771.6</v>
      </c>
      <c r="AX166" s="52">
        <v>771.6</v>
      </c>
      <c r="AY166" s="52">
        <v>771.6</v>
      </c>
      <c r="AZ166" s="52">
        <v>771.6</v>
      </c>
      <c r="BA166" s="52">
        <v>771.6</v>
      </c>
      <c r="BB166" s="52">
        <v>771.6</v>
      </c>
      <c r="BC166" s="52">
        <v>771.6</v>
      </c>
      <c r="BD166" s="52">
        <v>771.6</v>
      </c>
      <c r="BE166" s="52">
        <v>771.6</v>
      </c>
      <c r="BF166" s="52">
        <v>771.6</v>
      </c>
      <c r="BG166" s="52">
        <v>771.6</v>
      </c>
      <c r="BH166" s="52">
        <v>771.6</v>
      </c>
      <c r="BI166" s="52">
        <v>771.6</v>
      </c>
      <c r="BJ166" s="52">
        <v>771.6</v>
      </c>
      <c r="BK166" s="52">
        <v>771.6</v>
      </c>
      <c r="BL166" s="52">
        <v>771.6</v>
      </c>
      <c r="BM166" s="52">
        <v>771.6</v>
      </c>
      <c r="BN166" s="52">
        <v>771.6</v>
      </c>
      <c r="BO166" s="52">
        <v>771.6</v>
      </c>
      <c r="BP166" s="52">
        <v>771.6</v>
      </c>
      <c r="BQ166" s="52">
        <v>771.6</v>
      </c>
      <c r="BR166" s="52">
        <v>771.6</v>
      </c>
      <c r="BS166" s="52">
        <v>771.6</v>
      </c>
      <c r="BT166" s="52">
        <v>771.6</v>
      </c>
      <c r="BU166" s="52">
        <v>771.6</v>
      </c>
      <c r="BV166" s="52">
        <v>771.6</v>
      </c>
      <c r="BW166" s="52">
        <v>771.6</v>
      </c>
    </row>
    <row r="167" spans="1:75" x14ac:dyDescent="0.3">
      <c r="A167" s="8" t="s">
        <v>104</v>
      </c>
      <c r="B167" s="8" t="s">
        <v>8</v>
      </c>
      <c r="C167" s="8" t="s">
        <v>150</v>
      </c>
      <c r="D167" s="52">
        <v>536.03793740000015</v>
      </c>
      <c r="E167" s="52">
        <v>264.78948106221998</v>
      </c>
      <c r="F167" s="52">
        <v>235.19999999999996</v>
      </c>
      <c r="G167" s="52">
        <v>0</v>
      </c>
      <c r="H167" s="52">
        <v>0</v>
      </c>
      <c r="I167" s="52">
        <v>0</v>
      </c>
      <c r="J167" s="52">
        <v>235.19999999999996</v>
      </c>
      <c r="K167" s="52">
        <v>235.19999999999996</v>
      </c>
      <c r="L167" s="52">
        <v>235.19999999999996</v>
      </c>
      <c r="M167" s="52">
        <v>235.19999999999996</v>
      </c>
      <c r="N167" s="52">
        <v>235.19999999999996</v>
      </c>
      <c r="O167" s="52">
        <v>235.19999999999996</v>
      </c>
      <c r="P167" s="52">
        <v>235.19999999999996</v>
      </c>
      <c r="Q167" s="52">
        <v>235.19999999999996</v>
      </c>
      <c r="R167" s="52">
        <v>235.19999999999996</v>
      </c>
      <c r="S167" s="52">
        <v>235.19999999999996</v>
      </c>
      <c r="T167" s="52">
        <v>235.19999999999996</v>
      </c>
      <c r="U167" s="52">
        <v>235.19999999999996</v>
      </c>
      <c r="V167" s="52">
        <v>256.63281190000009</v>
      </c>
      <c r="W167" s="52">
        <v>235.19999999999996</v>
      </c>
      <c r="X167" s="52">
        <v>235.19999999999996</v>
      </c>
      <c r="Y167" s="52">
        <v>256.63281190000009</v>
      </c>
      <c r="Z167" s="52">
        <v>235.19999999999996</v>
      </c>
      <c r="AA167" s="52">
        <v>235.19999999999996</v>
      </c>
      <c r="AB167" s="52">
        <v>235.19999999999945</v>
      </c>
      <c r="AC167" s="52">
        <v>235.19999999999945</v>
      </c>
      <c r="AD167" s="52">
        <v>235.19999999999945</v>
      </c>
      <c r="AE167" s="52">
        <v>0</v>
      </c>
      <c r="AF167" s="52">
        <v>0</v>
      </c>
      <c r="AG167" s="52">
        <v>0</v>
      </c>
      <c r="AH167" s="52">
        <v>235.19999999999996</v>
      </c>
      <c r="AI167" s="52">
        <v>235.19999999999996</v>
      </c>
      <c r="AJ167" s="52">
        <v>235.19999999999996</v>
      </c>
      <c r="AK167" s="52">
        <v>235.19999999999996</v>
      </c>
      <c r="AL167" s="52">
        <v>235.19999999999996</v>
      </c>
      <c r="AM167" s="52">
        <v>235.19999999999996</v>
      </c>
      <c r="AN167" s="52">
        <v>235.19999999999996</v>
      </c>
      <c r="AO167" s="52">
        <v>235.19999999999996</v>
      </c>
      <c r="AP167" s="52">
        <v>235.19999999999996</v>
      </c>
      <c r="AQ167" s="52">
        <v>235.19999999999996</v>
      </c>
      <c r="AR167" s="52">
        <v>235.19999999999996</v>
      </c>
      <c r="AS167" s="52">
        <v>235.19999999999996</v>
      </c>
      <c r="AT167" s="52">
        <v>252.40857780000019</v>
      </c>
      <c r="AU167" s="52">
        <v>235.19999999999996</v>
      </c>
      <c r="AV167" s="52">
        <v>235.19999999999996</v>
      </c>
      <c r="AW167" s="52">
        <v>252.40857780000019</v>
      </c>
      <c r="AX167" s="52">
        <v>235.19999999999993</v>
      </c>
      <c r="AY167" s="52">
        <v>235.19999999999996</v>
      </c>
      <c r="AZ167" s="52">
        <v>235.19999999999996</v>
      </c>
      <c r="BA167" s="52">
        <v>235.19999999999996</v>
      </c>
      <c r="BB167" s="52">
        <v>235.19999999999996</v>
      </c>
      <c r="BC167" s="52">
        <v>0</v>
      </c>
      <c r="BD167" s="52">
        <v>0</v>
      </c>
      <c r="BE167" s="52">
        <v>0</v>
      </c>
      <c r="BF167" s="52">
        <v>235.19999999999987</v>
      </c>
      <c r="BG167" s="52">
        <v>235.19999999999987</v>
      </c>
      <c r="BH167" s="52">
        <v>235.19999999999987</v>
      </c>
      <c r="BI167" s="52">
        <v>235.19999999999996</v>
      </c>
      <c r="BJ167" s="52">
        <v>235.19999999999996</v>
      </c>
      <c r="BK167" s="52">
        <v>235.19999999999996</v>
      </c>
      <c r="BL167" s="52">
        <v>235.19999999999996</v>
      </c>
      <c r="BM167" s="52">
        <v>235.19999999999996</v>
      </c>
      <c r="BN167" s="52">
        <v>235.19999999999996</v>
      </c>
      <c r="BO167" s="52">
        <v>235.19999999999996</v>
      </c>
      <c r="BP167" s="52">
        <v>235.19999999999996</v>
      </c>
      <c r="BQ167" s="52">
        <v>235.19999999999996</v>
      </c>
      <c r="BR167" s="52">
        <v>588</v>
      </c>
      <c r="BS167" s="52">
        <v>313.94627450641735</v>
      </c>
      <c r="BT167" s="52">
        <v>235.19999999999996</v>
      </c>
      <c r="BU167" s="52">
        <v>387.71075030000014</v>
      </c>
      <c r="BV167" s="52">
        <v>235.1999999999999</v>
      </c>
      <c r="BW167" s="52">
        <v>235.1999999999999</v>
      </c>
    </row>
    <row r="168" spans="1:75" x14ac:dyDescent="0.3">
      <c r="A168" s="8" t="s">
        <v>104</v>
      </c>
      <c r="B168" s="8" t="s">
        <v>8</v>
      </c>
      <c r="C168" s="8" t="s">
        <v>61</v>
      </c>
      <c r="D168" s="52">
        <v>203.1</v>
      </c>
      <c r="E168" s="52">
        <v>203.1</v>
      </c>
      <c r="F168" s="52">
        <v>81.239999999999995</v>
      </c>
      <c r="G168" s="52">
        <v>0</v>
      </c>
      <c r="H168" s="52">
        <v>0</v>
      </c>
      <c r="I168" s="52">
        <v>0</v>
      </c>
      <c r="J168" s="52">
        <v>0</v>
      </c>
      <c r="K168" s="52">
        <v>0</v>
      </c>
      <c r="L168" s="52">
        <v>0</v>
      </c>
      <c r="M168" s="52">
        <v>0</v>
      </c>
      <c r="N168" s="52">
        <v>0</v>
      </c>
      <c r="O168" s="52">
        <v>0</v>
      </c>
      <c r="P168" s="52">
        <v>0</v>
      </c>
      <c r="Q168" s="52">
        <v>0</v>
      </c>
      <c r="R168" s="52">
        <v>0</v>
      </c>
      <c r="S168" s="52">
        <v>0</v>
      </c>
      <c r="T168" s="52">
        <v>0</v>
      </c>
      <c r="U168" s="52">
        <v>0</v>
      </c>
      <c r="V168" s="52">
        <v>81.239999999999995</v>
      </c>
      <c r="W168" s="52">
        <v>91.302526154271206</v>
      </c>
      <c r="X168" s="52">
        <v>81.239999999999995</v>
      </c>
      <c r="Y168" s="52">
        <v>0</v>
      </c>
      <c r="Z168" s="52">
        <v>0</v>
      </c>
      <c r="AA168" s="52">
        <v>0</v>
      </c>
      <c r="AB168" s="52">
        <v>0</v>
      </c>
      <c r="AC168" s="52">
        <v>0</v>
      </c>
      <c r="AD168" s="52">
        <v>0</v>
      </c>
      <c r="AE168" s="52">
        <v>0</v>
      </c>
      <c r="AF168" s="52">
        <v>0</v>
      </c>
      <c r="AG168" s="52">
        <v>0</v>
      </c>
      <c r="AH168" s="52">
        <v>0</v>
      </c>
      <c r="AI168" s="52">
        <v>0</v>
      </c>
      <c r="AJ168" s="52">
        <v>0</v>
      </c>
      <c r="AK168" s="52">
        <v>0</v>
      </c>
      <c r="AL168" s="52">
        <v>0</v>
      </c>
      <c r="AM168" s="52">
        <v>0</v>
      </c>
      <c r="AN168" s="52">
        <v>0</v>
      </c>
      <c r="AO168" s="52">
        <v>0</v>
      </c>
      <c r="AP168" s="52">
        <v>0</v>
      </c>
      <c r="AQ168" s="52">
        <v>0</v>
      </c>
      <c r="AR168" s="52">
        <v>0</v>
      </c>
      <c r="AS168" s="52">
        <v>0</v>
      </c>
      <c r="AT168" s="52">
        <v>0</v>
      </c>
      <c r="AU168" s="52">
        <v>0</v>
      </c>
      <c r="AV168" s="52">
        <v>0</v>
      </c>
      <c r="AW168" s="52">
        <v>0</v>
      </c>
      <c r="AX168" s="52">
        <v>0</v>
      </c>
      <c r="AY168" s="52">
        <v>0</v>
      </c>
      <c r="AZ168" s="52">
        <v>0</v>
      </c>
      <c r="BA168" s="52">
        <v>0</v>
      </c>
      <c r="BB168" s="52">
        <v>0</v>
      </c>
      <c r="BC168" s="52">
        <v>0</v>
      </c>
      <c r="BD168" s="52">
        <v>0</v>
      </c>
      <c r="BE168" s="52">
        <v>0</v>
      </c>
      <c r="BF168" s="52">
        <v>0</v>
      </c>
      <c r="BG168" s="52">
        <v>0</v>
      </c>
      <c r="BH168" s="52">
        <v>0</v>
      </c>
      <c r="BI168" s="52">
        <v>0</v>
      </c>
      <c r="BJ168" s="52">
        <v>0</v>
      </c>
      <c r="BK168" s="52">
        <v>0</v>
      </c>
      <c r="BL168" s="52">
        <v>0</v>
      </c>
      <c r="BM168" s="52">
        <v>0</v>
      </c>
      <c r="BN168" s="52">
        <v>0</v>
      </c>
      <c r="BO168" s="52">
        <v>0</v>
      </c>
      <c r="BP168" s="52">
        <v>0</v>
      </c>
      <c r="BQ168" s="52">
        <v>0</v>
      </c>
      <c r="BR168" s="52">
        <v>0</v>
      </c>
      <c r="BS168" s="52">
        <v>0</v>
      </c>
      <c r="BT168" s="52">
        <v>0</v>
      </c>
      <c r="BU168" s="52">
        <v>0</v>
      </c>
      <c r="BV168" s="52">
        <v>0</v>
      </c>
      <c r="BW168" s="52">
        <v>0</v>
      </c>
    </row>
    <row r="169" spans="1:75" x14ac:dyDescent="0.3">
      <c r="A169" s="8" t="s">
        <v>104</v>
      </c>
      <c r="B169" s="8" t="s">
        <v>8</v>
      </c>
      <c r="C169" s="8" t="s">
        <v>152</v>
      </c>
      <c r="D169" s="52">
        <v>0</v>
      </c>
      <c r="E169" s="52">
        <v>0</v>
      </c>
      <c r="F169" s="52">
        <v>0</v>
      </c>
      <c r="G169" s="52">
        <v>0</v>
      </c>
      <c r="H169" s="52">
        <v>0</v>
      </c>
      <c r="I169" s="52">
        <v>0</v>
      </c>
      <c r="J169" s="52">
        <v>110.24728230000045</v>
      </c>
      <c r="K169" s="52">
        <v>60.159999999999769</v>
      </c>
      <c r="L169" s="52">
        <v>60.159999999999769</v>
      </c>
      <c r="M169" s="52">
        <v>0</v>
      </c>
      <c r="N169" s="52">
        <v>0</v>
      </c>
      <c r="O169" s="52">
        <v>0</v>
      </c>
      <c r="P169" s="52">
        <v>0</v>
      </c>
      <c r="Q169" s="52">
        <v>0</v>
      </c>
      <c r="R169" s="52">
        <v>0</v>
      </c>
      <c r="S169" s="52">
        <v>0</v>
      </c>
      <c r="T169" s="52">
        <v>0</v>
      </c>
      <c r="U169" s="52">
        <v>0</v>
      </c>
      <c r="V169" s="52">
        <v>0</v>
      </c>
      <c r="W169" s="52">
        <v>0</v>
      </c>
      <c r="X169" s="52">
        <v>0</v>
      </c>
      <c r="Y169" s="52">
        <v>0</v>
      </c>
      <c r="Z169" s="52">
        <v>0</v>
      </c>
      <c r="AA169" s="52">
        <v>0</v>
      </c>
      <c r="AB169" s="52">
        <v>150.4</v>
      </c>
      <c r="AC169" s="52">
        <v>77.329265984741099</v>
      </c>
      <c r="AD169" s="52">
        <v>60.159999999999989</v>
      </c>
      <c r="AE169" s="52">
        <v>0</v>
      </c>
      <c r="AF169" s="52">
        <v>0</v>
      </c>
      <c r="AG169" s="52">
        <v>0</v>
      </c>
      <c r="AH169" s="52">
        <v>0</v>
      </c>
      <c r="AI169" s="52">
        <v>0</v>
      </c>
      <c r="AJ169" s="52">
        <v>0</v>
      </c>
      <c r="AK169" s="52">
        <v>0</v>
      </c>
      <c r="AL169" s="52">
        <v>0</v>
      </c>
      <c r="AM169" s="52">
        <v>0</v>
      </c>
      <c r="AN169" s="52">
        <v>150.4</v>
      </c>
      <c r="AO169" s="52">
        <v>60.159999999999989</v>
      </c>
      <c r="AP169" s="52">
        <v>60.159999999999989</v>
      </c>
      <c r="AQ169" s="52">
        <v>0</v>
      </c>
      <c r="AR169" s="52">
        <v>0</v>
      </c>
      <c r="AS169" s="52">
        <v>0</v>
      </c>
      <c r="AT169" s="52">
        <v>60.159999999999989</v>
      </c>
      <c r="AU169" s="52">
        <v>97.831662745105291</v>
      </c>
      <c r="AV169" s="52">
        <v>60.159999999999989</v>
      </c>
      <c r="AW169" s="52">
        <v>0</v>
      </c>
      <c r="AX169" s="52">
        <v>0</v>
      </c>
      <c r="AY169" s="52">
        <v>0</v>
      </c>
      <c r="AZ169" s="52">
        <v>0</v>
      </c>
      <c r="BA169" s="52">
        <v>0</v>
      </c>
      <c r="BB169" s="52">
        <v>0</v>
      </c>
      <c r="BC169" s="52">
        <v>0</v>
      </c>
      <c r="BD169" s="52">
        <v>0</v>
      </c>
      <c r="BE169" s="52">
        <v>0</v>
      </c>
      <c r="BF169" s="52">
        <v>0</v>
      </c>
      <c r="BG169" s="52">
        <v>0</v>
      </c>
      <c r="BH169" s="52">
        <v>0</v>
      </c>
      <c r="BI169" s="52">
        <v>0</v>
      </c>
      <c r="BJ169" s="52">
        <v>0</v>
      </c>
      <c r="BK169" s="52">
        <v>0</v>
      </c>
      <c r="BL169" s="52">
        <v>65.745905500000646</v>
      </c>
      <c r="BM169" s="52">
        <v>60.159999999999975</v>
      </c>
      <c r="BN169" s="52">
        <v>60.159999999999975</v>
      </c>
      <c r="BO169" s="52">
        <v>0</v>
      </c>
      <c r="BP169" s="52">
        <v>0</v>
      </c>
      <c r="BQ169" s="52">
        <v>0</v>
      </c>
      <c r="BR169" s="52">
        <v>0</v>
      </c>
      <c r="BS169" s="52">
        <v>0</v>
      </c>
      <c r="BT169" s="52">
        <v>0</v>
      </c>
      <c r="BU169" s="52">
        <v>0</v>
      </c>
      <c r="BV169" s="52">
        <v>0</v>
      </c>
      <c r="BW169" s="52">
        <v>0</v>
      </c>
    </row>
    <row r="170" spans="1:75" x14ac:dyDescent="0.3">
      <c r="A170" s="8" t="s">
        <v>104</v>
      </c>
      <c r="B170" s="8" t="s">
        <v>8</v>
      </c>
      <c r="C170" s="8" t="s">
        <v>151</v>
      </c>
      <c r="D170" s="52">
        <v>0</v>
      </c>
      <c r="E170" s="52">
        <v>0</v>
      </c>
      <c r="F170" s="52">
        <v>0</v>
      </c>
      <c r="G170" s="52">
        <v>0</v>
      </c>
      <c r="H170" s="52">
        <v>0</v>
      </c>
      <c r="I170" s="52">
        <v>0</v>
      </c>
      <c r="J170" s="52">
        <v>194.4</v>
      </c>
      <c r="K170" s="52">
        <v>179.58231976399807</v>
      </c>
      <c r="L170" s="52">
        <v>77.75999999999982</v>
      </c>
      <c r="M170" s="52">
        <v>194.4</v>
      </c>
      <c r="N170" s="52">
        <v>91.786020863997564</v>
      </c>
      <c r="O170" s="52">
        <v>77.759999999993354</v>
      </c>
      <c r="P170" s="52">
        <v>104.37456659999917</v>
      </c>
      <c r="Q170" s="52">
        <v>90.389452499999805</v>
      </c>
      <c r="R170" s="52">
        <v>77.759999999999479</v>
      </c>
      <c r="S170" s="52">
        <v>0</v>
      </c>
      <c r="T170" s="52">
        <v>0</v>
      </c>
      <c r="U170" s="52">
        <v>0</v>
      </c>
      <c r="V170" s="52">
        <v>194.4</v>
      </c>
      <c r="W170" s="52">
        <v>194.4</v>
      </c>
      <c r="X170" s="52">
        <v>77.760000000000005</v>
      </c>
      <c r="Y170" s="52">
        <v>194.4</v>
      </c>
      <c r="Z170" s="52">
        <v>194.4</v>
      </c>
      <c r="AA170" s="52">
        <v>77.759999999999948</v>
      </c>
      <c r="AB170" s="52">
        <v>194.4</v>
      </c>
      <c r="AC170" s="52">
        <v>194.4</v>
      </c>
      <c r="AD170" s="52">
        <v>77.760000000000005</v>
      </c>
      <c r="AE170" s="52">
        <v>194.4</v>
      </c>
      <c r="AF170" s="52">
        <v>77.759999999999977</v>
      </c>
      <c r="AG170" s="52">
        <v>77.760000000000005</v>
      </c>
      <c r="AH170" s="52">
        <v>194.4</v>
      </c>
      <c r="AI170" s="52">
        <v>194.4</v>
      </c>
      <c r="AJ170" s="52">
        <v>77.759999999999991</v>
      </c>
      <c r="AK170" s="52">
        <v>0</v>
      </c>
      <c r="AL170" s="52">
        <v>0</v>
      </c>
      <c r="AM170" s="52">
        <v>0</v>
      </c>
      <c r="AN170" s="52">
        <v>194.4</v>
      </c>
      <c r="AO170" s="52">
        <v>194.4</v>
      </c>
      <c r="AP170" s="52">
        <v>77.760000000000005</v>
      </c>
      <c r="AQ170" s="52">
        <v>194.4</v>
      </c>
      <c r="AR170" s="52">
        <v>77.760000000000005</v>
      </c>
      <c r="AS170" s="52">
        <v>77.760000000000005</v>
      </c>
      <c r="AT170" s="52">
        <v>194.4</v>
      </c>
      <c r="AU170" s="52">
        <v>194.4</v>
      </c>
      <c r="AV170" s="52">
        <v>147.87684800000022</v>
      </c>
      <c r="AW170" s="52">
        <v>194.4</v>
      </c>
      <c r="AX170" s="52">
        <v>194.4</v>
      </c>
      <c r="AY170" s="52">
        <v>147.87684800000022</v>
      </c>
      <c r="AZ170" s="52">
        <v>77.760000000000005</v>
      </c>
      <c r="BA170" s="52">
        <v>85.743836800000082</v>
      </c>
      <c r="BB170" s="52">
        <v>77.760000000000005</v>
      </c>
      <c r="BC170" s="52">
        <v>0</v>
      </c>
      <c r="BD170" s="52">
        <v>0</v>
      </c>
      <c r="BE170" s="52">
        <v>0</v>
      </c>
      <c r="BF170" s="52">
        <v>0</v>
      </c>
      <c r="BG170" s="52">
        <v>0</v>
      </c>
      <c r="BH170" s="52">
        <v>0</v>
      </c>
      <c r="BI170" s="52">
        <v>0</v>
      </c>
      <c r="BJ170" s="52">
        <v>0</v>
      </c>
      <c r="BK170" s="52">
        <v>0</v>
      </c>
      <c r="BL170" s="52">
        <v>194.4</v>
      </c>
      <c r="BM170" s="52">
        <v>190.6203387000005</v>
      </c>
      <c r="BN170" s="52">
        <v>77.759999999999991</v>
      </c>
      <c r="BO170" s="52">
        <v>0</v>
      </c>
      <c r="BP170" s="52">
        <v>0</v>
      </c>
      <c r="BQ170" s="52">
        <v>0</v>
      </c>
      <c r="BR170" s="52">
        <v>194.4</v>
      </c>
      <c r="BS170" s="52">
        <v>194.4</v>
      </c>
      <c r="BT170" s="52">
        <v>77.760000000000005</v>
      </c>
      <c r="BU170" s="52">
        <v>194.4</v>
      </c>
      <c r="BV170" s="52">
        <v>83.687420699999407</v>
      </c>
      <c r="BW170" s="52">
        <v>77.760000000000005</v>
      </c>
    </row>
    <row r="171" spans="1:75" x14ac:dyDescent="0.3">
      <c r="A171" s="8" t="s">
        <v>104</v>
      </c>
      <c r="B171" s="8" t="s">
        <v>8</v>
      </c>
      <c r="C171" s="8" t="s">
        <v>62</v>
      </c>
      <c r="D171" s="52">
        <v>500</v>
      </c>
      <c r="E171" s="52">
        <v>500</v>
      </c>
      <c r="F171" s="52">
        <v>500</v>
      </c>
      <c r="G171" s="52">
        <v>500</v>
      </c>
      <c r="H171" s="52">
        <v>500</v>
      </c>
      <c r="I171" s="52">
        <v>500</v>
      </c>
      <c r="J171" s="52">
        <v>500</v>
      </c>
      <c r="K171" s="52">
        <v>500</v>
      </c>
      <c r="L171" s="52">
        <v>500</v>
      </c>
      <c r="M171" s="52">
        <v>500</v>
      </c>
      <c r="N171" s="52">
        <v>500</v>
      </c>
      <c r="O171" s="52">
        <v>500</v>
      </c>
      <c r="P171" s="52">
        <v>500</v>
      </c>
      <c r="Q171" s="52">
        <v>500</v>
      </c>
      <c r="R171" s="52">
        <v>500</v>
      </c>
      <c r="S171" s="52">
        <v>500</v>
      </c>
      <c r="T171" s="52">
        <v>500</v>
      </c>
      <c r="U171" s="52">
        <v>500</v>
      </c>
      <c r="V171" s="52">
        <v>500</v>
      </c>
      <c r="W171" s="52">
        <v>500</v>
      </c>
      <c r="X171" s="52">
        <v>500</v>
      </c>
      <c r="Y171" s="52">
        <v>500</v>
      </c>
      <c r="Z171" s="52">
        <v>500</v>
      </c>
      <c r="AA171" s="52">
        <v>500</v>
      </c>
      <c r="AB171" s="52">
        <v>500</v>
      </c>
      <c r="AC171" s="52">
        <v>500</v>
      </c>
      <c r="AD171" s="52">
        <v>500</v>
      </c>
      <c r="AE171" s="52">
        <v>500</v>
      </c>
      <c r="AF171" s="52">
        <v>500</v>
      </c>
      <c r="AG171" s="52">
        <v>500</v>
      </c>
      <c r="AH171" s="52">
        <v>500</v>
      </c>
      <c r="AI171" s="52">
        <v>500</v>
      </c>
      <c r="AJ171" s="52">
        <v>500</v>
      </c>
      <c r="AK171" s="52">
        <v>500</v>
      </c>
      <c r="AL171" s="52">
        <v>500</v>
      </c>
      <c r="AM171" s="52">
        <v>500</v>
      </c>
      <c r="AN171" s="52">
        <v>500</v>
      </c>
      <c r="AO171" s="52">
        <v>500</v>
      </c>
      <c r="AP171" s="52">
        <v>500</v>
      </c>
      <c r="AQ171" s="52">
        <v>500</v>
      </c>
      <c r="AR171" s="52">
        <v>500</v>
      </c>
      <c r="AS171" s="52">
        <v>500</v>
      </c>
      <c r="AT171" s="52">
        <v>500</v>
      </c>
      <c r="AU171" s="52">
        <v>500</v>
      </c>
      <c r="AV171" s="52">
        <v>500</v>
      </c>
      <c r="AW171" s="52">
        <v>500</v>
      </c>
      <c r="AX171" s="52">
        <v>500</v>
      </c>
      <c r="AY171" s="52">
        <v>500</v>
      </c>
      <c r="AZ171" s="52">
        <v>500</v>
      </c>
      <c r="BA171" s="52">
        <v>500</v>
      </c>
      <c r="BB171" s="52">
        <v>500</v>
      </c>
      <c r="BC171" s="52">
        <v>500</v>
      </c>
      <c r="BD171" s="52">
        <v>500</v>
      </c>
      <c r="BE171" s="52">
        <v>500</v>
      </c>
      <c r="BF171" s="52">
        <v>500</v>
      </c>
      <c r="BG171" s="52">
        <v>500</v>
      </c>
      <c r="BH171" s="52">
        <v>500</v>
      </c>
      <c r="BI171" s="52">
        <v>500</v>
      </c>
      <c r="BJ171" s="52">
        <v>500</v>
      </c>
      <c r="BK171" s="52">
        <v>500</v>
      </c>
      <c r="BL171" s="52">
        <v>500</v>
      </c>
      <c r="BM171" s="52">
        <v>500</v>
      </c>
      <c r="BN171" s="52">
        <v>500</v>
      </c>
      <c r="BO171" s="52">
        <v>500</v>
      </c>
      <c r="BP171" s="52">
        <v>500</v>
      </c>
      <c r="BQ171" s="52">
        <v>500</v>
      </c>
      <c r="BR171" s="52">
        <v>500</v>
      </c>
      <c r="BS171" s="52">
        <v>500</v>
      </c>
      <c r="BT171" s="52">
        <v>500</v>
      </c>
      <c r="BU171" s="52">
        <v>500</v>
      </c>
      <c r="BV171" s="52">
        <v>500</v>
      </c>
      <c r="BW171" s="52">
        <v>500</v>
      </c>
    </row>
    <row r="172" spans="1:75" x14ac:dyDescent="0.3">
      <c r="A172" s="8" t="s">
        <v>104</v>
      </c>
      <c r="B172" s="8" t="s">
        <v>8</v>
      </c>
      <c r="C172" s="8" t="s">
        <v>63</v>
      </c>
      <c r="D172" s="52">
        <v>500</v>
      </c>
      <c r="E172" s="52">
        <v>500</v>
      </c>
      <c r="F172" s="52">
        <v>396.6902976999998</v>
      </c>
      <c r="G172" s="52">
        <v>500</v>
      </c>
      <c r="H172" s="52">
        <v>500</v>
      </c>
      <c r="I172" s="52">
        <v>333.67043939999991</v>
      </c>
      <c r="J172" s="52">
        <v>500</v>
      </c>
      <c r="K172" s="52">
        <v>500</v>
      </c>
      <c r="L172" s="52">
        <v>210.91959569999941</v>
      </c>
      <c r="M172" s="52">
        <v>500</v>
      </c>
      <c r="N172" s="52">
        <v>500</v>
      </c>
      <c r="O172" s="52">
        <v>185.26190420000577</v>
      </c>
      <c r="P172" s="52">
        <v>500</v>
      </c>
      <c r="Q172" s="52">
        <v>500</v>
      </c>
      <c r="R172" s="52">
        <v>227.94356571262185</v>
      </c>
      <c r="S172" s="52">
        <v>500</v>
      </c>
      <c r="T172" s="52">
        <v>500</v>
      </c>
      <c r="U172" s="52">
        <v>147.30407491262082</v>
      </c>
      <c r="V172" s="52">
        <v>444.3165401000013</v>
      </c>
      <c r="W172" s="52">
        <v>500</v>
      </c>
      <c r="X172" s="52">
        <v>107.5910538491229</v>
      </c>
      <c r="Y172" s="52">
        <v>0</v>
      </c>
      <c r="Z172" s="52">
        <v>0</v>
      </c>
      <c r="AA172" s="52">
        <v>0</v>
      </c>
      <c r="AB172" s="52">
        <v>500</v>
      </c>
      <c r="AC172" s="52">
        <v>500</v>
      </c>
      <c r="AD172" s="52">
        <v>240.71697530000054</v>
      </c>
      <c r="AE172" s="52">
        <v>500</v>
      </c>
      <c r="AF172" s="52">
        <v>490.55162953846212</v>
      </c>
      <c r="AG172" s="52">
        <v>240.71697530000054</v>
      </c>
      <c r="AH172" s="52">
        <v>500</v>
      </c>
      <c r="AI172" s="52">
        <v>500</v>
      </c>
      <c r="AJ172" s="52">
        <v>308.67375659999976</v>
      </c>
      <c r="AK172" s="52">
        <v>500</v>
      </c>
      <c r="AL172" s="52">
        <v>500</v>
      </c>
      <c r="AM172" s="52">
        <v>214.22823240000059</v>
      </c>
      <c r="AN172" s="52">
        <v>500</v>
      </c>
      <c r="AO172" s="52">
        <v>500</v>
      </c>
      <c r="AP172" s="52">
        <v>365.04079970000004</v>
      </c>
      <c r="AQ172" s="52">
        <v>500</v>
      </c>
      <c r="AR172" s="52">
        <v>500</v>
      </c>
      <c r="AS172" s="52">
        <v>226.00138929999994</v>
      </c>
      <c r="AT172" s="52">
        <v>496.51163029999827</v>
      </c>
      <c r="AU172" s="52">
        <v>500</v>
      </c>
      <c r="AV172" s="52">
        <v>164.96076849999946</v>
      </c>
      <c r="AW172" s="52">
        <v>0</v>
      </c>
      <c r="AX172" s="52">
        <v>0</v>
      </c>
      <c r="AY172" s="52">
        <v>0</v>
      </c>
      <c r="AZ172" s="52">
        <v>500</v>
      </c>
      <c r="BA172" s="52">
        <v>500</v>
      </c>
      <c r="BB172" s="52">
        <v>411.94949365454517</v>
      </c>
      <c r="BC172" s="52">
        <v>500</v>
      </c>
      <c r="BD172" s="52">
        <v>500</v>
      </c>
      <c r="BE172" s="52">
        <v>411.94949365454517</v>
      </c>
      <c r="BF172" s="52">
        <v>500</v>
      </c>
      <c r="BG172" s="52">
        <v>500</v>
      </c>
      <c r="BH172" s="52">
        <v>167.0385517246753</v>
      </c>
      <c r="BI172" s="52">
        <v>500</v>
      </c>
      <c r="BJ172" s="52">
        <v>405.8760439999993</v>
      </c>
      <c r="BK172" s="52">
        <v>100</v>
      </c>
      <c r="BL172" s="52">
        <v>500</v>
      </c>
      <c r="BM172" s="52">
        <v>500</v>
      </c>
      <c r="BN172" s="52">
        <v>213.90746859999959</v>
      </c>
      <c r="BO172" s="52">
        <v>500</v>
      </c>
      <c r="BP172" s="52">
        <v>500</v>
      </c>
      <c r="BQ172" s="52">
        <v>200.2644461999999</v>
      </c>
      <c r="BR172" s="52">
        <v>500</v>
      </c>
      <c r="BS172" s="52">
        <v>500</v>
      </c>
      <c r="BT172" s="52">
        <v>402.64903340000035</v>
      </c>
      <c r="BU172" s="52">
        <v>500</v>
      </c>
      <c r="BV172" s="52">
        <v>500</v>
      </c>
      <c r="BW172" s="52">
        <v>142.1584297081634</v>
      </c>
    </row>
    <row r="173" spans="1:75" x14ac:dyDescent="0.3">
      <c r="A173" s="8" t="s">
        <v>104</v>
      </c>
      <c r="B173" s="8" t="s">
        <v>8</v>
      </c>
      <c r="C173" s="8" t="s">
        <v>64</v>
      </c>
      <c r="D173" s="52">
        <v>500</v>
      </c>
      <c r="E173" s="52">
        <v>500</v>
      </c>
      <c r="F173" s="52">
        <v>100</v>
      </c>
      <c r="G173" s="52">
        <v>500</v>
      </c>
      <c r="H173" s="52">
        <v>497.45715990000008</v>
      </c>
      <c r="I173" s="52">
        <v>100</v>
      </c>
      <c r="J173" s="52">
        <v>500</v>
      </c>
      <c r="K173" s="52">
        <v>500</v>
      </c>
      <c r="L173" s="52">
        <v>100</v>
      </c>
      <c r="M173" s="52">
        <v>0</v>
      </c>
      <c r="N173" s="52">
        <v>0</v>
      </c>
      <c r="O173" s="52">
        <v>0</v>
      </c>
      <c r="P173" s="52">
        <v>500</v>
      </c>
      <c r="Q173" s="52">
        <v>500</v>
      </c>
      <c r="R173" s="52">
        <v>100</v>
      </c>
      <c r="S173" s="52">
        <v>0</v>
      </c>
      <c r="T173" s="52">
        <v>0</v>
      </c>
      <c r="U173" s="52">
        <v>0</v>
      </c>
      <c r="V173" s="52">
        <v>0</v>
      </c>
      <c r="W173" s="52">
        <v>0</v>
      </c>
      <c r="X173" s="52">
        <v>0</v>
      </c>
      <c r="Y173" s="52">
        <v>0</v>
      </c>
      <c r="Z173" s="52">
        <v>0</v>
      </c>
      <c r="AA173" s="52">
        <v>0</v>
      </c>
      <c r="AB173" s="52">
        <v>0</v>
      </c>
      <c r="AC173" s="52">
        <v>0</v>
      </c>
      <c r="AD173" s="52">
        <v>0</v>
      </c>
      <c r="AE173" s="52">
        <v>0</v>
      </c>
      <c r="AF173" s="52">
        <v>0</v>
      </c>
      <c r="AG173" s="52">
        <v>0</v>
      </c>
      <c r="AH173" s="52">
        <v>500</v>
      </c>
      <c r="AI173" s="52">
        <v>500</v>
      </c>
      <c r="AJ173" s="52">
        <v>99.999999999999943</v>
      </c>
      <c r="AK173" s="52">
        <v>0</v>
      </c>
      <c r="AL173" s="52">
        <v>0</v>
      </c>
      <c r="AM173" s="52">
        <v>0</v>
      </c>
      <c r="AN173" s="52">
        <v>500</v>
      </c>
      <c r="AO173" s="52">
        <v>500</v>
      </c>
      <c r="AP173" s="52">
        <v>100</v>
      </c>
      <c r="AQ173" s="52">
        <v>0</v>
      </c>
      <c r="AR173" s="52">
        <v>0</v>
      </c>
      <c r="AS173" s="52">
        <v>0</v>
      </c>
      <c r="AT173" s="52">
        <v>0</v>
      </c>
      <c r="AU173" s="52">
        <v>0</v>
      </c>
      <c r="AV173" s="52">
        <v>0</v>
      </c>
      <c r="AW173" s="52">
        <v>0</v>
      </c>
      <c r="AX173" s="52">
        <v>0</v>
      </c>
      <c r="AY173" s="52">
        <v>0</v>
      </c>
      <c r="AZ173" s="52">
        <v>462.75362289999725</v>
      </c>
      <c r="BA173" s="52">
        <v>500</v>
      </c>
      <c r="BB173" s="52">
        <v>100</v>
      </c>
      <c r="BC173" s="52">
        <v>0</v>
      </c>
      <c r="BD173" s="52">
        <v>0</v>
      </c>
      <c r="BE173" s="52">
        <v>0</v>
      </c>
      <c r="BF173" s="52">
        <v>500</v>
      </c>
      <c r="BG173" s="52">
        <v>500</v>
      </c>
      <c r="BH173" s="52">
        <v>100</v>
      </c>
      <c r="BI173" s="52">
        <v>0</v>
      </c>
      <c r="BJ173" s="52">
        <v>0</v>
      </c>
      <c r="BK173" s="52">
        <v>0</v>
      </c>
      <c r="BL173" s="52">
        <v>500</v>
      </c>
      <c r="BM173" s="52">
        <v>500</v>
      </c>
      <c r="BN173" s="52">
        <v>100</v>
      </c>
      <c r="BO173" s="52">
        <v>0</v>
      </c>
      <c r="BP173" s="52">
        <v>0</v>
      </c>
      <c r="BQ173" s="52">
        <v>0</v>
      </c>
      <c r="BR173" s="52">
        <v>500</v>
      </c>
      <c r="BS173" s="52">
        <v>500</v>
      </c>
      <c r="BT173" s="52">
        <v>100</v>
      </c>
      <c r="BU173" s="52">
        <v>0</v>
      </c>
      <c r="BV173" s="52">
        <v>0</v>
      </c>
      <c r="BW173" s="52">
        <v>0</v>
      </c>
    </row>
    <row r="174" spans="1:75" x14ac:dyDescent="0.3">
      <c r="A174" s="8" t="s">
        <v>104</v>
      </c>
      <c r="B174" s="8" t="s">
        <v>8</v>
      </c>
      <c r="C174" s="8" t="s">
        <v>65</v>
      </c>
      <c r="D174" s="52">
        <v>667.5</v>
      </c>
      <c r="E174" s="52">
        <v>667.5</v>
      </c>
      <c r="F174" s="52">
        <v>667.5</v>
      </c>
      <c r="G174" s="52">
        <v>667.5</v>
      </c>
      <c r="H174" s="52">
        <v>667.5</v>
      </c>
      <c r="I174" s="52">
        <v>667.5</v>
      </c>
      <c r="J174" s="52">
        <v>667.5</v>
      </c>
      <c r="K174" s="52">
        <v>667.5</v>
      </c>
      <c r="L174" s="52">
        <v>667.5</v>
      </c>
      <c r="M174" s="52">
        <v>667.5</v>
      </c>
      <c r="N174" s="52">
        <v>667.5</v>
      </c>
      <c r="O174" s="52">
        <v>667.5</v>
      </c>
      <c r="P174" s="52">
        <v>667.5</v>
      </c>
      <c r="Q174" s="52">
        <v>667.5</v>
      </c>
      <c r="R174" s="52">
        <v>667.5</v>
      </c>
      <c r="S174" s="52">
        <v>667.5</v>
      </c>
      <c r="T174" s="52">
        <v>667.5</v>
      </c>
      <c r="U174" s="52">
        <v>667.5</v>
      </c>
      <c r="V174" s="52">
        <v>667.5</v>
      </c>
      <c r="W174" s="52">
        <v>667.5</v>
      </c>
      <c r="X174" s="52">
        <v>667.5</v>
      </c>
      <c r="Y174" s="52">
        <v>667.5</v>
      </c>
      <c r="Z174" s="52">
        <v>667.5</v>
      </c>
      <c r="AA174" s="52">
        <v>667.5</v>
      </c>
      <c r="AB174" s="52">
        <v>667.5</v>
      </c>
      <c r="AC174" s="52">
        <v>667.5</v>
      </c>
      <c r="AD174" s="52">
        <v>667.5</v>
      </c>
      <c r="AE174" s="52">
        <v>667.5</v>
      </c>
      <c r="AF174" s="52">
        <v>667.5</v>
      </c>
      <c r="AG174" s="52">
        <v>667.5</v>
      </c>
      <c r="AH174" s="52">
        <v>667.5</v>
      </c>
      <c r="AI174" s="52">
        <v>667.5</v>
      </c>
      <c r="AJ174" s="52">
        <v>667.5</v>
      </c>
      <c r="AK174" s="52">
        <v>667.5</v>
      </c>
      <c r="AL174" s="52">
        <v>667.5</v>
      </c>
      <c r="AM174" s="52">
        <v>667.5</v>
      </c>
      <c r="AN174" s="52">
        <v>667.5</v>
      </c>
      <c r="AO174" s="52">
        <v>667.5</v>
      </c>
      <c r="AP174" s="52">
        <v>667.5</v>
      </c>
      <c r="AQ174" s="52">
        <v>667.5</v>
      </c>
      <c r="AR174" s="52">
        <v>667.5</v>
      </c>
      <c r="AS174" s="52">
        <v>667.5</v>
      </c>
      <c r="AT174" s="52">
        <v>667.5</v>
      </c>
      <c r="AU174" s="52">
        <v>667.5</v>
      </c>
      <c r="AV174" s="52">
        <v>667.5</v>
      </c>
      <c r="AW174" s="52">
        <v>667.5</v>
      </c>
      <c r="AX174" s="52">
        <v>667.5</v>
      </c>
      <c r="AY174" s="52">
        <v>667.5</v>
      </c>
      <c r="AZ174" s="52">
        <v>667.5</v>
      </c>
      <c r="BA174" s="52">
        <v>667.5</v>
      </c>
      <c r="BB174" s="52">
        <v>667.5</v>
      </c>
      <c r="BC174" s="52">
        <v>667.5</v>
      </c>
      <c r="BD174" s="52">
        <v>667.5</v>
      </c>
      <c r="BE174" s="52">
        <v>667.5</v>
      </c>
      <c r="BF174" s="52">
        <v>667.5</v>
      </c>
      <c r="BG174" s="52">
        <v>667.5</v>
      </c>
      <c r="BH174" s="52">
        <v>667.5</v>
      </c>
      <c r="BI174" s="52">
        <v>667.5</v>
      </c>
      <c r="BJ174" s="52">
        <v>667.5</v>
      </c>
      <c r="BK174" s="52">
        <v>667.5</v>
      </c>
      <c r="BL174" s="52">
        <v>667.5</v>
      </c>
      <c r="BM174" s="52">
        <v>667.5</v>
      </c>
      <c r="BN174" s="52">
        <v>667.5</v>
      </c>
      <c r="BO174" s="52">
        <v>667.5</v>
      </c>
      <c r="BP174" s="52">
        <v>667.5</v>
      </c>
      <c r="BQ174" s="52">
        <v>667.5</v>
      </c>
      <c r="BR174" s="52">
        <v>667.5</v>
      </c>
      <c r="BS174" s="52">
        <v>667.5</v>
      </c>
      <c r="BT174" s="52">
        <v>667.5</v>
      </c>
      <c r="BU174" s="52">
        <v>667.5</v>
      </c>
      <c r="BV174" s="52">
        <v>667.5</v>
      </c>
      <c r="BW174" s="52">
        <v>667.5</v>
      </c>
    </row>
    <row r="175" spans="1:75" x14ac:dyDescent="0.3">
      <c r="A175" s="8" t="s">
        <v>104</v>
      </c>
      <c r="B175" s="8" t="s">
        <v>8</v>
      </c>
      <c r="C175" s="8" t="s">
        <v>66</v>
      </c>
      <c r="D175" s="52">
        <v>0</v>
      </c>
      <c r="E175" s="52">
        <v>0</v>
      </c>
      <c r="F175" s="52">
        <v>0</v>
      </c>
      <c r="G175" s="52">
        <v>0</v>
      </c>
      <c r="H175" s="52">
        <v>0</v>
      </c>
      <c r="I175" s="52">
        <v>0</v>
      </c>
      <c r="J175" s="52">
        <v>0</v>
      </c>
      <c r="K175" s="52">
        <v>0</v>
      </c>
      <c r="L175" s="52">
        <v>0</v>
      </c>
      <c r="M175" s="52">
        <v>0</v>
      </c>
      <c r="N175" s="52">
        <v>0</v>
      </c>
      <c r="O175" s="52">
        <v>0</v>
      </c>
      <c r="P175" s="52">
        <v>0</v>
      </c>
      <c r="Q175" s="52">
        <v>0</v>
      </c>
      <c r="R175" s="52">
        <v>0</v>
      </c>
      <c r="S175" s="52">
        <v>0</v>
      </c>
      <c r="T175" s="52">
        <v>0</v>
      </c>
      <c r="U175" s="52">
        <v>0</v>
      </c>
      <c r="V175" s="52">
        <v>0</v>
      </c>
      <c r="W175" s="52">
        <v>0</v>
      </c>
      <c r="X175" s="52">
        <v>0</v>
      </c>
      <c r="Y175" s="52">
        <v>0</v>
      </c>
      <c r="Z175" s="52">
        <v>0</v>
      </c>
      <c r="AA175" s="52">
        <v>0</v>
      </c>
      <c r="AB175" s="52">
        <v>0</v>
      </c>
      <c r="AC175" s="52">
        <v>0</v>
      </c>
      <c r="AD175" s="52">
        <v>0</v>
      </c>
      <c r="AE175" s="52">
        <v>0</v>
      </c>
      <c r="AF175" s="52">
        <v>0</v>
      </c>
      <c r="AG175" s="52">
        <v>0</v>
      </c>
      <c r="AH175" s="52">
        <v>0</v>
      </c>
      <c r="AI175" s="52">
        <v>0</v>
      </c>
      <c r="AJ175" s="52">
        <v>0</v>
      </c>
      <c r="AK175" s="52">
        <v>0</v>
      </c>
      <c r="AL175" s="52">
        <v>0</v>
      </c>
      <c r="AM175" s="52">
        <v>0</v>
      </c>
      <c r="AN175" s="52">
        <v>0</v>
      </c>
      <c r="AO175" s="52">
        <v>0</v>
      </c>
      <c r="AP175" s="52">
        <v>0</v>
      </c>
      <c r="AQ175" s="52">
        <v>0</v>
      </c>
      <c r="AR175" s="52">
        <v>0</v>
      </c>
      <c r="AS175" s="52">
        <v>0</v>
      </c>
      <c r="AT175" s="52">
        <v>0</v>
      </c>
      <c r="AU175" s="52">
        <v>0</v>
      </c>
      <c r="AV175" s="52">
        <v>0</v>
      </c>
      <c r="AW175" s="52">
        <v>0</v>
      </c>
      <c r="AX175" s="52">
        <v>0</v>
      </c>
      <c r="AY175" s="52">
        <v>0</v>
      </c>
      <c r="AZ175" s="52">
        <v>0</v>
      </c>
      <c r="BA175" s="52">
        <v>0</v>
      </c>
      <c r="BB175" s="52">
        <v>0</v>
      </c>
      <c r="BC175" s="52">
        <v>0</v>
      </c>
      <c r="BD175" s="52">
        <v>0</v>
      </c>
      <c r="BE175" s="52">
        <v>0</v>
      </c>
      <c r="BF175" s="52">
        <v>0</v>
      </c>
      <c r="BG175" s="52">
        <v>0</v>
      </c>
      <c r="BH175" s="52">
        <v>0</v>
      </c>
      <c r="BI175" s="52">
        <v>0</v>
      </c>
      <c r="BJ175" s="52">
        <v>0</v>
      </c>
      <c r="BK175" s="52">
        <v>0</v>
      </c>
      <c r="BL175" s="52">
        <v>0</v>
      </c>
      <c r="BM175" s="52">
        <v>0</v>
      </c>
      <c r="BN175" s="52">
        <v>0</v>
      </c>
      <c r="BO175" s="52">
        <v>0</v>
      </c>
      <c r="BP175" s="52">
        <v>0</v>
      </c>
      <c r="BQ175" s="52">
        <v>0</v>
      </c>
      <c r="BR175" s="52">
        <v>0</v>
      </c>
      <c r="BS175" s="52">
        <v>0</v>
      </c>
      <c r="BT175" s="52">
        <v>0</v>
      </c>
      <c r="BU175" s="52">
        <v>0</v>
      </c>
      <c r="BV175" s="52">
        <v>0</v>
      </c>
      <c r="BW175" s="52">
        <v>0</v>
      </c>
    </row>
    <row r="176" spans="1:75" x14ac:dyDescent="0.3">
      <c r="A176" s="8" t="s">
        <v>104</v>
      </c>
      <c r="B176" s="8" t="s">
        <v>8</v>
      </c>
      <c r="C176" s="8" t="s">
        <v>67</v>
      </c>
      <c r="D176" s="52">
        <v>0</v>
      </c>
      <c r="E176" s="52">
        <v>0</v>
      </c>
      <c r="F176" s="52">
        <v>0</v>
      </c>
      <c r="G176" s="52">
        <v>0</v>
      </c>
      <c r="H176" s="52">
        <v>0</v>
      </c>
      <c r="I176" s="52">
        <v>0</v>
      </c>
      <c r="J176" s="52">
        <v>0</v>
      </c>
      <c r="K176" s="52">
        <v>0</v>
      </c>
      <c r="L176" s="52">
        <v>0</v>
      </c>
      <c r="M176" s="52">
        <v>0</v>
      </c>
      <c r="N176" s="52">
        <v>0</v>
      </c>
      <c r="O176" s="52">
        <v>0</v>
      </c>
      <c r="P176" s="52">
        <v>0</v>
      </c>
      <c r="Q176" s="52">
        <v>0</v>
      </c>
      <c r="R176" s="52">
        <v>0</v>
      </c>
      <c r="S176" s="52">
        <v>0</v>
      </c>
      <c r="T176" s="52">
        <v>0</v>
      </c>
      <c r="U176" s="52">
        <v>0</v>
      </c>
      <c r="V176" s="52">
        <v>0</v>
      </c>
      <c r="W176" s="52">
        <v>0</v>
      </c>
      <c r="X176" s="52">
        <v>0</v>
      </c>
      <c r="Y176" s="52">
        <v>0</v>
      </c>
      <c r="Z176" s="52">
        <v>0</v>
      </c>
      <c r="AA176" s="52">
        <v>0</v>
      </c>
      <c r="AB176" s="52">
        <v>0</v>
      </c>
      <c r="AC176" s="52">
        <v>0</v>
      </c>
      <c r="AD176" s="52">
        <v>0</v>
      </c>
      <c r="AE176" s="52">
        <v>0</v>
      </c>
      <c r="AF176" s="52">
        <v>0</v>
      </c>
      <c r="AG176" s="52">
        <v>0</v>
      </c>
      <c r="AH176" s="52">
        <v>0</v>
      </c>
      <c r="AI176" s="52">
        <v>0</v>
      </c>
      <c r="AJ176" s="52">
        <v>0</v>
      </c>
      <c r="AK176" s="52">
        <v>0</v>
      </c>
      <c r="AL176" s="52">
        <v>0</v>
      </c>
      <c r="AM176" s="52">
        <v>0</v>
      </c>
      <c r="AN176" s="52">
        <v>0</v>
      </c>
      <c r="AO176" s="52">
        <v>0</v>
      </c>
      <c r="AP176" s="52">
        <v>0</v>
      </c>
      <c r="AQ176" s="52">
        <v>0</v>
      </c>
      <c r="AR176" s="52">
        <v>0</v>
      </c>
      <c r="AS176" s="52">
        <v>0</v>
      </c>
      <c r="AT176" s="52">
        <v>0</v>
      </c>
      <c r="AU176" s="52">
        <v>0</v>
      </c>
      <c r="AV176" s="52">
        <v>0</v>
      </c>
      <c r="AW176" s="52">
        <v>0</v>
      </c>
      <c r="AX176" s="52">
        <v>0</v>
      </c>
      <c r="AY176" s="52">
        <v>0</v>
      </c>
      <c r="AZ176" s="52">
        <v>0</v>
      </c>
      <c r="BA176" s="52">
        <v>0</v>
      </c>
      <c r="BB176" s="52">
        <v>0</v>
      </c>
      <c r="BC176" s="52">
        <v>0</v>
      </c>
      <c r="BD176" s="52">
        <v>0</v>
      </c>
      <c r="BE176" s="52">
        <v>0</v>
      </c>
      <c r="BF176" s="52">
        <v>0</v>
      </c>
      <c r="BG176" s="52">
        <v>0</v>
      </c>
      <c r="BH176" s="52">
        <v>0</v>
      </c>
      <c r="BI176" s="52">
        <v>0</v>
      </c>
      <c r="BJ176" s="52">
        <v>0</v>
      </c>
      <c r="BK176" s="52">
        <v>0</v>
      </c>
      <c r="BL176" s="52">
        <v>0</v>
      </c>
      <c r="BM176" s="52">
        <v>0</v>
      </c>
      <c r="BN176" s="52">
        <v>0</v>
      </c>
      <c r="BO176" s="52">
        <v>0</v>
      </c>
      <c r="BP176" s="52">
        <v>0</v>
      </c>
      <c r="BQ176" s="52">
        <v>0</v>
      </c>
      <c r="BR176" s="52">
        <v>0</v>
      </c>
      <c r="BS176" s="52">
        <v>0</v>
      </c>
      <c r="BT176" s="52">
        <v>0</v>
      </c>
      <c r="BU176" s="52">
        <v>0</v>
      </c>
      <c r="BV176" s="52">
        <v>0</v>
      </c>
      <c r="BW176" s="52">
        <v>0</v>
      </c>
    </row>
    <row r="177" spans="1:75" x14ac:dyDescent="0.3">
      <c r="A177" s="8" t="s">
        <v>104</v>
      </c>
      <c r="B177" s="8" t="s">
        <v>8</v>
      </c>
      <c r="C177" s="8" t="s">
        <v>68</v>
      </c>
      <c r="D177" s="52">
        <v>0</v>
      </c>
      <c r="E177" s="52">
        <v>0</v>
      </c>
      <c r="F177" s="52">
        <v>0</v>
      </c>
      <c r="G177" s="52">
        <v>0</v>
      </c>
      <c r="H177" s="52">
        <v>0</v>
      </c>
      <c r="I177" s="52">
        <v>0</v>
      </c>
      <c r="J177" s="52">
        <v>0</v>
      </c>
      <c r="K177" s="52">
        <v>0</v>
      </c>
      <c r="L177" s="52">
        <v>0</v>
      </c>
      <c r="M177" s="52">
        <v>0</v>
      </c>
      <c r="N177" s="52">
        <v>0</v>
      </c>
      <c r="O177" s="52">
        <v>0</v>
      </c>
      <c r="P177" s="52">
        <v>0</v>
      </c>
      <c r="Q177" s="52">
        <v>0</v>
      </c>
      <c r="R177" s="52">
        <v>0</v>
      </c>
      <c r="S177" s="52">
        <v>0</v>
      </c>
      <c r="T177" s="52">
        <v>0</v>
      </c>
      <c r="U177" s="52">
        <v>0</v>
      </c>
      <c r="V177" s="52">
        <v>0</v>
      </c>
      <c r="W177" s="52">
        <v>0</v>
      </c>
      <c r="X177" s="52">
        <v>0</v>
      </c>
      <c r="Y177" s="52">
        <v>0</v>
      </c>
      <c r="Z177" s="52">
        <v>0</v>
      </c>
      <c r="AA177" s="52">
        <v>0</v>
      </c>
      <c r="AB177" s="52">
        <v>0</v>
      </c>
      <c r="AC177" s="52">
        <v>0</v>
      </c>
      <c r="AD177" s="52">
        <v>0</v>
      </c>
      <c r="AE177" s="52">
        <v>0</v>
      </c>
      <c r="AF177" s="52">
        <v>0</v>
      </c>
      <c r="AG177" s="52">
        <v>0</v>
      </c>
      <c r="AH177" s="52">
        <v>0</v>
      </c>
      <c r="AI177" s="52">
        <v>0</v>
      </c>
      <c r="AJ177" s="52">
        <v>0</v>
      </c>
      <c r="AK177" s="52">
        <v>0</v>
      </c>
      <c r="AL177" s="52">
        <v>0</v>
      </c>
      <c r="AM177" s="52">
        <v>0</v>
      </c>
      <c r="AN177" s="52">
        <v>0</v>
      </c>
      <c r="AO177" s="52">
        <v>0</v>
      </c>
      <c r="AP177" s="52">
        <v>0</v>
      </c>
      <c r="AQ177" s="52">
        <v>0</v>
      </c>
      <c r="AR177" s="52">
        <v>0</v>
      </c>
      <c r="AS177" s="52">
        <v>0</v>
      </c>
      <c r="AT177" s="52">
        <v>0</v>
      </c>
      <c r="AU177" s="52">
        <v>0</v>
      </c>
      <c r="AV177" s="52">
        <v>0</v>
      </c>
      <c r="AW177" s="52">
        <v>0</v>
      </c>
      <c r="AX177" s="52">
        <v>0</v>
      </c>
      <c r="AY177" s="52">
        <v>0</v>
      </c>
      <c r="AZ177" s="52">
        <v>0</v>
      </c>
      <c r="BA177" s="52">
        <v>0</v>
      </c>
      <c r="BB177" s="52">
        <v>0</v>
      </c>
      <c r="BC177" s="52">
        <v>0</v>
      </c>
      <c r="BD177" s="52">
        <v>0</v>
      </c>
      <c r="BE177" s="52">
        <v>0</v>
      </c>
      <c r="BF177" s="52">
        <v>0</v>
      </c>
      <c r="BG177" s="52">
        <v>0</v>
      </c>
      <c r="BH177" s="52">
        <v>0</v>
      </c>
      <c r="BI177" s="52">
        <v>0</v>
      </c>
      <c r="BJ177" s="52">
        <v>0</v>
      </c>
      <c r="BK177" s="52">
        <v>0</v>
      </c>
      <c r="BL177" s="52">
        <v>0</v>
      </c>
      <c r="BM177" s="52">
        <v>0</v>
      </c>
      <c r="BN177" s="52">
        <v>0</v>
      </c>
      <c r="BO177" s="52">
        <v>0</v>
      </c>
      <c r="BP177" s="52">
        <v>0</v>
      </c>
      <c r="BQ177" s="52">
        <v>0</v>
      </c>
      <c r="BR177" s="52">
        <v>0</v>
      </c>
      <c r="BS177" s="52">
        <v>0</v>
      </c>
      <c r="BT177" s="52">
        <v>0</v>
      </c>
      <c r="BU177" s="52">
        <v>0</v>
      </c>
      <c r="BV177" s="52">
        <v>0</v>
      </c>
      <c r="BW177" s="52">
        <v>0</v>
      </c>
    </row>
    <row r="178" spans="1:75" x14ac:dyDescent="0.3">
      <c r="A178" s="8" t="s">
        <v>104</v>
      </c>
      <c r="B178" s="8" t="s">
        <v>8</v>
      </c>
      <c r="C178" s="8" t="s">
        <v>69</v>
      </c>
      <c r="D178" s="52">
        <v>0</v>
      </c>
      <c r="E178" s="52">
        <v>0</v>
      </c>
      <c r="F178" s="52">
        <v>0</v>
      </c>
      <c r="G178" s="52">
        <v>0</v>
      </c>
      <c r="H178" s="52">
        <v>0</v>
      </c>
      <c r="I178" s="52">
        <v>0</v>
      </c>
      <c r="J178" s="52">
        <v>0</v>
      </c>
      <c r="K178" s="52">
        <v>0</v>
      </c>
      <c r="L178" s="52">
        <v>0</v>
      </c>
      <c r="M178" s="52">
        <v>0</v>
      </c>
      <c r="N178" s="52">
        <v>0</v>
      </c>
      <c r="O178" s="52">
        <v>0</v>
      </c>
      <c r="P178" s="52">
        <v>0</v>
      </c>
      <c r="Q178" s="52">
        <v>0</v>
      </c>
      <c r="R178" s="52">
        <v>0</v>
      </c>
      <c r="S178" s="52">
        <v>0</v>
      </c>
      <c r="T178" s="52">
        <v>0</v>
      </c>
      <c r="U178" s="52">
        <v>0</v>
      </c>
      <c r="V178" s="52">
        <v>0</v>
      </c>
      <c r="W178" s="52">
        <v>0</v>
      </c>
      <c r="X178" s="52">
        <v>0</v>
      </c>
      <c r="Y178" s="52">
        <v>0</v>
      </c>
      <c r="Z178" s="52">
        <v>0</v>
      </c>
      <c r="AA178" s="52">
        <v>0</v>
      </c>
      <c r="AB178" s="52">
        <v>0</v>
      </c>
      <c r="AC178" s="52">
        <v>0</v>
      </c>
      <c r="AD178" s="52">
        <v>0</v>
      </c>
      <c r="AE178" s="52">
        <v>0</v>
      </c>
      <c r="AF178" s="52">
        <v>0</v>
      </c>
      <c r="AG178" s="52">
        <v>0</v>
      </c>
      <c r="AH178" s="52">
        <v>0</v>
      </c>
      <c r="AI178" s="52">
        <v>0</v>
      </c>
      <c r="AJ178" s="52">
        <v>0</v>
      </c>
      <c r="AK178" s="52">
        <v>0</v>
      </c>
      <c r="AL178" s="52">
        <v>0</v>
      </c>
      <c r="AM178" s="52">
        <v>0</v>
      </c>
      <c r="AN178" s="52">
        <v>0</v>
      </c>
      <c r="AO178" s="52">
        <v>0</v>
      </c>
      <c r="AP178" s="52">
        <v>0</v>
      </c>
      <c r="AQ178" s="52">
        <v>0</v>
      </c>
      <c r="AR178" s="52">
        <v>0</v>
      </c>
      <c r="AS178" s="52">
        <v>0</v>
      </c>
      <c r="AT178" s="52">
        <v>0</v>
      </c>
      <c r="AU178" s="52">
        <v>0</v>
      </c>
      <c r="AV178" s="52">
        <v>0</v>
      </c>
      <c r="AW178" s="52">
        <v>0</v>
      </c>
      <c r="AX178" s="52">
        <v>0</v>
      </c>
      <c r="AY178" s="52">
        <v>0</v>
      </c>
      <c r="AZ178" s="52">
        <v>0</v>
      </c>
      <c r="BA178" s="52">
        <v>0</v>
      </c>
      <c r="BB178" s="52">
        <v>0</v>
      </c>
      <c r="BC178" s="52">
        <v>0</v>
      </c>
      <c r="BD178" s="52">
        <v>0</v>
      </c>
      <c r="BE178" s="52">
        <v>0</v>
      </c>
      <c r="BF178" s="52">
        <v>0</v>
      </c>
      <c r="BG178" s="52">
        <v>0</v>
      </c>
      <c r="BH178" s="52">
        <v>0</v>
      </c>
      <c r="BI178" s="52">
        <v>0</v>
      </c>
      <c r="BJ178" s="52">
        <v>0</v>
      </c>
      <c r="BK178" s="52">
        <v>0</v>
      </c>
      <c r="BL178" s="52">
        <v>0</v>
      </c>
      <c r="BM178" s="52">
        <v>0</v>
      </c>
      <c r="BN178" s="52">
        <v>0</v>
      </c>
      <c r="BO178" s="52">
        <v>0</v>
      </c>
      <c r="BP178" s="52">
        <v>0</v>
      </c>
      <c r="BQ178" s="52">
        <v>0</v>
      </c>
      <c r="BR178" s="52">
        <v>0</v>
      </c>
      <c r="BS178" s="52">
        <v>0</v>
      </c>
      <c r="BT178" s="52">
        <v>0</v>
      </c>
      <c r="BU178" s="52">
        <v>0</v>
      </c>
      <c r="BV178" s="52">
        <v>0</v>
      </c>
      <c r="BW178" s="52">
        <v>0</v>
      </c>
    </row>
    <row r="179" spans="1:75" x14ac:dyDescent="0.3">
      <c r="A179" s="8" t="s">
        <v>104</v>
      </c>
      <c r="B179" s="8" t="s">
        <v>8</v>
      </c>
      <c r="C179" s="8" t="s">
        <v>27</v>
      </c>
      <c r="D179" s="52">
        <v>150</v>
      </c>
      <c r="E179" s="52">
        <v>150</v>
      </c>
      <c r="F179" s="52">
        <v>126.00000000000003</v>
      </c>
      <c r="G179" s="52">
        <v>150</v>
      </c>
      <c r="H179" s="52">
        <v>150</v>
      </c>
      <c r="I179" s="52">
        <v>126</v>
      </c>
      <c r="J179" s="52">
        <v>150</v>
      </c>
      <c r="K179" s="52">
        <v>150</v>
      </c>
      <c r="L179" s="52">
        <v>150</v>
      </c>
      <c r="M179" s="52">
        <v>150</v>
      </c>
      <c r="N179" s="52">
        <v>150</v>
      </c>
      <c r="O179" s="52">
        <v>87.000000000000242</v>
      </c>
      <c r="P179" s="52">
        <v>150</v>
      </c>
      <c r="Q179" s="52">
        <v>150</v>
      </c>
      <c r="R179" s="52">
        <v>128.33009708737873</v>
      </c>
      <c r="S179" s="52">
        <v>150</v>
      </c>
      <c r="T179" s="52">
        <v>150</v>
      </c>
      <c r="U179" s="52">
        <v>128.33009708737876</v>
      </c>
      <c r="V179" s="52">
        <v>150</v>
      </c>
      <c r="W179" s="52">
        <v>150</v>
      </c>
      <c r="X179" s="52">
        <v>60.867258450876989</v>
      </c>
      <c r="Y179" s="52">
        <v>150</v>
      </c>
      <c r="Z179" s="52">
        <v>150</v>
      </c>
      <c r="AA179" s="52">
        <v>57.547175800000325</v>
      </c>
      <c r="AB179" s="52">
        <v>150</v>
      </c>
      <c r="AC179" s="52">
        <v>150</v>
      </c>
      <c r="AD179" s="52">
        <v>0</v>
      </c>
      <c r="AE179" s="52">
        <v>150</v>
      </c>
      <c r="AF179" s="52">
        <v>144.4615384615384</v>
      </c>
      <c r="AG179" s="52">
        <v>0</v>
      </c>
      <c r="AH179" s="52">
        <v>150</v>
      </c>
      <c r="AI179" s="52">
        <v>105.49071554571407</v>
      </c>
      <c r="AJ179" s="52">
        <v>0</v>
      </c>
      <c r="AK179" s="52">
        <v>150</v>
      </c>
      <c r="AL179" s="52">
        <v>33.140711345714841</v>
      </c>
      <c r="AM179" s="52">
        <v>0</v>
      </c>
      <c r="AN179" s="52">
        <v>150</v>
      </c>
      <c r="AO179" s="52">
        <v>105.75648890000025</v>
      </c>
      <c r="AP179" s="52">
        <v>0</v>
      </c>
      <c r="AQ179" s="52">
        <v>150</v>
      </c>
      <c r="AR179" s="52">
        <v>40.462594685713796</v>
      </c>
      <c r="AS179" s="52">
        <v>0</v>
      </c>
      <c r="AT179" s="52">
        <v>150</v>
      </c>
      <c r="AU179" s="52">
        <v>89.111666820186258</v>
      </c>
      <c r="AV179" s="52">
        <v>0</v>
      </c>
      <c r="AW179" s="52">
        <v>150</v>
      </c>
      <c r="AX179" s="52">
        <v>85.968756265291574</v>
      </c>
      <c r="AY179" s="52">
        <v>0</v>
      </c>
      <c r="AZ179" s="52">
        <v>150</v>
      </c>
      <c r="BA179" s="52">
        <v>150</v>
      </c>
      <c r="BB179" s="52">
        <v>12.545454545454536</v>
      </c>
      <c r="BC179" s="52">
        <v>150</v>
      </c>
      <c r="BD179" s="52">
        <v>150</v>
      </c>
      <c r="BE179" s="52">
        <v>12.545454545454536</v>
      </c>
      <c r="BF179" s="52">
        <v>150</v>
      </c>
      <c r="BG179" s="52">
        <v>150</v>
      </c>
      <c r="BH179" s="52">
        <v>84.013653475324801</v>
      </c>
      <c r="BI179" s="52">
        <v>150</v>
      </c>
      <c r="BJ179" s="52">
        <v>150</v>
      </c>
      <c r="BK179" s="52">
        <v>43.137463399999618</v>
      </c>
      <c r="BL179" s="52">
        <v>150</v>
      </c>
      <c r="BM179" s="52">
        <v>150</v>
      </c>
      <c r="BN179" s="52">
        <v>150</v>
      </c>
      <c r="BO179" s="52">
        <v>150</v>
      </c>
      <c r="BP179" s="52">
        <v>150</v>
      </c>
      <c r="BQ179" s="52">
        <v>90.000000000000142</v>
      </c>
      <c r="BR179" s="52">
        <v>150</v>
      </c>
      <c r="BS179" s="52">
        <v>150</v>
      </c>
      <c r="BT179" s="52">
        <v>150</v>
      </c>
      <c r="BU179" s="52">
        <v>150</v>
      </c>
      <c r="BV179" s="52">
        <v>150</v>
      </c>
      <c r="BW179" s="52">
        <v>104.44897959183683</v>
      </c>
    </row>
    <row r="180" spans="1:75" x14ac:dyDescent="0.3">
      <c r="A180" s="8" t="s">
        <v>104</v>
      </c>
      <c r="B180" s="8" t="s">
        <v>8</v>
      </c>
      <c r="C180" s="8" t="s">
        <v>144</v>
      </c>
      <c r="D180" s="52">
        <v>200</v>
      </c>
      <c r="E180" s="52">
        <v>146.90546213777986</v>
      </c>
      <c r="F180" s="52">
        <v>0</v>
      </c>
      <c r="G180" s="52">
        <v>200</v>
      </c>
      <c r="H180" s="52">
        <v>0</v>
      </c>
      <c r="I180" s="52">
        <v>0</v>
      </c>
      <c r="J180" s="52">
        <v>200</v>
      </c>
      <c r="K180" s="52">
        <v>0</v>
      </c>
      <c r="L180" s="52">
        <v>0</v>
      </c>
      <c r="M180" s="52">
        <v>200</v>
      </c>
      <c r="N180" s="52">
        <v>0</v>
      </c>
      <c r="O180" s="52">
        <v>0</v>
      </c>
      <c r="P180" s="52">
        <v>200</v>
      </c>
      <c r="Q180" s="52">
        <v>0</v>
      </c>
      <c r="R180" s="52">
        <v>0</v>
      </c>
      <c r="S180" s="52">
        <v>200</v>
      </c>
      <c r="T180" s="52">
        <v>0</v>
      </c>
      <c r="U180" s="52">
        <v>0</v>
      </c>
      <c r="V180" s="52">
        <v>200</v>
      </c>
      <c r="W180" s="52">
        <v>42.06320144572863</v>
      </c>
      <c r="X180" s="52">
        <v>0</v>
      </c>
      <c r="Y180" s="52">
        <v>200</v>
      </c>
      <c r="Z180" s="52">
        <v>18.173000499999592</v>
      </c>
      <c r="AA180" s="52">
        <v>0</v>
      </c>
      <c r="AB180" s="52">
        <v>127.97998660113907</v>
      </c>
      <c r="AC180" s="52">
        <v>51.091016815258961</v>
      </c>
      <c r="AD180" s="52">
        <v>0</v>
      </c>
      <c r="AE180" s="52">
        <v>0</v>
      </c>
      <c r="AF180" s="52">
        <v>0</v>
      </c>
      <c r="AG180" s="52">
        <v>0</v>
      </c>
      <c r="AH180" s="52">
        <v>200</v>
      </c>
      <c r="AI180" s="52">
        <v>0</v>
      </c>
      <c r="AJ180" s="52">
        <v>0</v>
      </c>
      <c r="AK180" s="52">
        <v>176.51754080000032</v>
      </c>
      <c r="AL180" s="52">
        <v>0</v>
      </c>
      <c r="AM180" s="52">
        <v>0</v>
      </c>
      <c r="AN180" s="52">
        <v>200</v>
      </c>
      <c r="AO180" s="52">
        <v>0</v>
      </c>
      <c r="AP180" s="52">
        <v>0</v>
      </c>
      <c r="AQ180" s="52">
        <v>97.614282900000731</v>
      </c>
      <c r="AR180" s="52">
        <v>0</v>
      </c>
      <c r="AS180" s="52">
        <v>0</v>
      </c>
      <c r="AT180" s="52">
        <v>200</v>
      </c>
      <c r="AU180" s="52">
        <v>142.68291293470818</v>
      </c>
      <c r="AV180" s="52">
        <v>0</v>
      </c>
      <c r="AW180" s="52">
        <v>200</v>
      </c>
      <c r="AX180" s="52">
        <v>142.68291293470818</v>
      </c>
      <c r="AY180" s="52">
        <v>0</v>
      </c>
      <c r="AZ180" s="52">
        <v>165.86914630000183</v>
      </c>
      <c r="BA180" s="52">
        <v>8.4577293999998915</v>
      </c>
      <c r="BB180" s="52">
        <v>0</v>
      </c>
      <c r="BC180" s="52">
        <v>165.86914630000183</v>
      </c>
      <c r="BD180" s="52">
        <v>8.4577293999998915</v>
      </c>
      <c r="BE180" s="52">
        <v>0</v>
      </c>
      <c r="BF180" s="52">
        <v>200</v>
      </c>
      <c r="BG180" s="52">
        <v>0</v>
      </c>
      <c r="BH180" s="52">
        <v>0</v>
      </c>
      <c r="BI180" s="52">
        <v>115.93584199999988</v>
      </c>
      <c r="BJ180" s="52">
        <v>0</v>
      </c>
      <c r="BK180" s="52">
        <v>0</v>
      </c>
      <c r="BL180" s="52">
        <v>200</v>
      </c>
      <c r="BM180" s="52">
        <v>36.191091785016155</v>
      </c>
      <c r="BN180" s="52">
        <v>0</v>
      </c>
      <c r="BO180" s="52">
        <v>200</v>
      </c>
      <c r="BP180" s="52">
        <v>36.191091785016155</v>
      </c>
      <c r="BQ180" s="52">
        <v>0</v>
      </c>
      <c r="BR180" s="52">
        <v>200</v>
      </c>
      <c r="BS180" s="52">
        <v>129.21832079358413</v>
      </c>
      <c r="BT180" s="52">
        <v>0</v>
      </c>
      <c r="BU180" s="52">
        <v>200</v>
      </c>
      <c r="BV180" s="52">
        <v>0</v>
      </c>
      <c r="BW180" s="52">
        <v>0</v>
      </c>
    </row>
    <row r="181" spans="1:75" x14ac:dyDescent="0.3">
      <c r="A181" s="8" t="s">
        <v>104</v>
      </c>
      <c r="B181" s="8" t="s">
        <v>8</v>
      </c>
      <c r="C181" s="8" t="s">
        <v>145</v>
      </c>
      <c r="D181" s="52">
        <v>120.23188730000034</v>
      </c>
      <c r="E181" s="52">
        <v>0</v>
      </c>
      <c r="F181" s="52">
        <v>0</v>
      </c>
      <c r="G181" s="52">
        <v>120.23188730000034</v>
      </c>
      <c r="H181" s="52">
        <v>0</v>
      </c>
      <c r="I181" s="52">
        <v>0</v>
      </c>
      <c r="J181" s="52">
        <v>50.510951300000386</v>
      </c>
      <c r="K181" s="52">
        <v>0</v>
      </c>
      <c r="L181" s="52">
        <v>0</v>
      </c>
      <c r="M181" s="52">
        <v>50.510951300000386</v>
      </c>
      <c r="N181" s="52">
        <v>0</v>
      </c>
      <c r="O181" s="52">
        <v>0</v>
      </c>
      <c r="P181" s="52">
        <v>121.99604200000053</v>
      </c>
      <c r="Q181" s="52">
        <v>0</v>
      </c>
      <c r="R181" s="52">
        <v>0</v>
      </c>
      <c r="S181" s="52">
        <v>121.99604200000053</v>
      </c>
      <c r="T181" s="52">
        <v>0</v>
      </c>
      <c r="U181" s="52">
        <v>0</v>
      </c>
      <c r="V181" s="52">
        <v>200</v>
      </c>
      <c r="W181" s="52">
        <v>0</v>
      </c>
      <c r="X181" s="52">
        <v>0</v>
      </c>
      <c r="Y181" s="52">
        <v>200</v>
      </c>
      <c r="Z181" s="52">
        <v>0</v>
      </c>
      <c r="AA181" s="52">
        <v>0</v>
      </c>
      <c r="AB181" s="52">
        <v>162.7366496988615</v>
      </c>
      <c r="AC181" s="52">
        <v>0</v>
      </c>
      <c r="AD181" s="52">
        <v>0</v>
      </c>
      <c r="AE181" s="52">
        <v>19.602778900000381</v>
      </c>
      <c r="AF181" s="52">
        <v>0</v>
      </c>
      <c r="AG181" s="52">
        <v>0</v>
      </c>
      <c r="AH181" s="52">
        <v>108.62500299999947</v>
      </c>
      <c r="AI181" s="52">
        <v>0</v>
      </c>
      <c r="AJ181" s="52">
        <v>0</v>
      </c>
      <c r="AK181" s="52">
        <v>0</v>
      </c>
      <c r="AL181" s="52">
        <v>0</v>
      </c>
      <c r="AM181" s="52">
        <v>0</v>
      </c>
      <c r="AN181" s="52">
        <v>42.194534499999698</v>
      </c>
      <c r="AO181" s="52">
        <v>0</v>
      </c>
      <c r="AP181" s="52">
        <v>0</v>
      </c>
      <c r="AQ181" s="52">
        <v>0</v>
      </c>
      <c r="AR181" s="52">
        <v>0</v>
      </c>
      <c r="AS181" s="52">
        <v>0</v>
      </c>
      <c r="AT181" s="52">
        <v>200</v>
      </c>
      <c r="AU181" s="52">
        <v>0</v>
      </c>
      <c r="AV181" s="52">
        <v>0</v>
      </c>
      <c r="AW181" s="52">
        <v>200</v>
      </c>
      <c r="AX181" s="52">
        <v>0</v>
      </c>
      <c r="AY181" s="52">
        <v>0</v>
      </c>
      <c r="AZ181" s="52">
        <v>200</v>
      </c>
      <c r="BA181" s="52">
        <v>0</v>
      </c>
      <c r="BB181" s="52">
        <v>0</v>
      </c>
      <c r="BC181" s="52">
        <v>200</v>
      </c>
      <c r="BD181" s="52">
        <v>0</v>
      </c>
      <c r="BE181" s="52">
        <v>0</v>
      </c>
      <c r="BF181" s="52">
        <v>80.479987000000165</v>
      </c>
      <c r="BG181" s="52">
        <v>0</v>
      </c>
      <c r="BH181" s="52">
        <v>0</v>
      </c>
      <c r="BI181" s="52">
        <v>0</v>
      </c>
      <c r="BJ181" s="52">
        <v>0</v>
      </c>
      <c r="BK181" s="52">
        <v>0</v>
      </c>
      <c r="BL181" s="52">
        <v>200</v>
      </c>
      <c r="BM181" s="52">
        <v>0</v>
      </c>
      <c r="BN181" s="52">
        <v>0</v>
      </c>
      <c r="BO181" s="52">
        <v>185.05046319999985</v>
      </c>
      <c r="BP181" s="52">
        <v>0</v>
      </c>
      <c r="BQ181" s="52">
        <v>0</v>
      </c>
      <c r="BR181" s="52">
        <v>117.25459380000002</v>
      </c>
      <c r="BS181" s="52">
        <v>0</v>
      </c>
      <c r="BT181" s="52">
        <v>0</v>
      </c>
      <c r="BU181" s="52">
        <v>0</v>
      </c>
      <c r="BV181" s="52">
        <v>0</v>
      </c>
      <c r="BW181" s="52">
        <v>0</v>
      </c>
    </row>
    <row r="182" spans="1:75" x14ac:dyDescent="0.3">
      <c r="A182" s="8" t="s">
        <v>104</v>
      </c>
      <c r="B182" s="8" t="s">
        <v>8</v>
      </c>
      <c r="C182" s="8" t="s">
        <v>146</v>
      </c>
      <c r="D182" s="52">
        <v>200</v>
      </c>
      <c r="E182" s="52">
        <v>200</v>
      </c>
      <c r="F182" s="52">
        <v>0</v>
      </c>
      <c r="G182" s="52">
        <v>200</v>
      </c>
      <c r="H182" s="52">
        <v>0</v>
      </c>
      <c r="I182" s="52">
        <v>0</v>
      </c>
      <c r="J182" s="52">
        <v>200</v>
      </c>
      <c r="K182" s="52">
        <v>168.51356713600242</v>
      </c>
      <c r="L182" s="52">
        <v>0</v>
      </c>
      <c r="M182" s="52">
        <v>200</v>
      </c>
      <c r="N182" s="52">
        <v>168.51356713600242</v>
      </c>
      <c r="O182" s="52">
        <v>0</v>
      </c>
      <c r="P182" s="52">
        <v>200</v>
      </c>
      <c r="Q182" s="52">
        <v>200</v>
      </c>
      <c r="R182" s="52">
        <v>0</v>
      </c>
      <c r="S182" s="52">
        <v>200</v>
      </c>
      <c r="T182" s="52">
        <v>108.94837110000016</v>
      </c>
      <c r="U182" s="52">
        <v>0</v>
      </c>
      <c r="V182" s="52">
        <v>200</v>
      </c>
      <c r="W182" s="52">
        <v>200</v>
      </c>
      <c r="X182" s="52">
        <v>0</v>
      </c>
      <c r="Y182" s="52">
        <v>200</v>
      </c>
      <c r="Z182" s="52">
        <v>200</v>
      </c>
      <c r="AA182" s="52">
        <v>0</v>
      </c>
      <c r="AB182" s="52">
        <v>200</v>
      </c>
      <c r="AC182" s="52">
        <v>200</v>
      </c>
      <c r="AD182" s="52">
        <v>0</v>
      </c>
      <c r="AE182" s="52">
        <v>200</v>
      </c>
      <c r="AF182" s="52">
        <v>0</v>
      </c>
      <c r="AG182" s="52">
        <v>0</v>
      </c>
      <c r="AH182" s="52">
        <v>200</v>
      </c>
      <c r="AI182" s="52">
        <v>167.28656295428502</v>
      </c>
      <c r="AJ182" s="52">
        <v>0</v>
      </c>
      <c r="AK182" s="52">
        <v>200</v>
      </c>
      <c r="AL182" s="52">
        <v>167.28656295428502</v>
      </c>
      <c r="AM182" s="52">
        <v>0</v>
      </c>
      <c r="AN182" s="52">
        <v>200</v>
      </c>
      <c r="AO182" s="52">
        <v>200</v>
      </c>
      <c r="AP182" s="52">
        <v>0</v>
      </c>
      <c r="AQ182" s="52">
        <v>200</v>
      </c>
      <c r="AR182" s="52">
        <v>198.42263241428603</v>
      </c>
      <c r="AS182" s="52">
        <v>0</v>
      </c>
      <c r="AT182" s="52">
        <v>200</v>
      </c>
      <c r="AU182" s="52">
        <v>200</v>
      </c>
      <c r="AV182" s="52">
        <v>0</v>
      </c>
      <c r="AW182" s="52">
        <v>200</v>
      </c>
      <c r="AX182" s="52">
        <v>200</v>
      </c>
      <c r="AY182" s="52">
        <v>0</v>
      </c>
      <c r="AZ182" s="52">
        <v>200</v>
      </c>
      <c r="BA182" s="52">
        <v>200</v>
      </c>
      <c r="BB182" s="52">
        <v>0</v>
      </c>
      <c r="BC182" s="52">
        <v>200</v>
      </c>
      <c r="BD182" s="52">
        <v>200</v>
      </c>
      <c r="BE182" s="52">
        <v>0</v>
      </c>
      <c r="BF182" s="52">
        <v>200</v>
      </c>
      <c r="BG182" s="52">
        <v>140.58368710000013</v>
      </c>
      <c r="BH182" s="52">
        <v>0</v>
      </c>
      <c r="BI182" s="52">
        <v>200</v>
      </c>
      <c r="BJ182" s="52">
        <v>0</v>
      </c>
      <c r="BK182" s="52">
        <v>0</v>
      </c>
      <c r="BL182" s="52">
        <v>200</v>
      </c>
      <c r="BM182" s="52">
        <v>150.02985431498365</v>
      </c>
      <c r="BN182" s="52">
        <v>0</v>
      </c>
      <c r="BO182" s="52">
        <v>200</v>
      </c>
      <c r="BP182" s="52">
        <v>150.02985431498365</v>
      </c>
      <c r="BQ182" s="52">
        <v>0</v>
      </c>
      <c r="BR182" s="52">
        <v>200</v>
      </c>
      <c r="BS182" s="52">
        <v>200</v>
      </c>
      <c r="BT182" s="52">
        <v>0</v>
      </c>
      <c r="BU182" s="52">
        <v>200</v>
      </c>
      <c r="BV182" s="52">
        <v>200</v>
      </c>
      <c r="BW182" s="52">
        <v>0</v>
      </c>
    </row>
    <row r="183" spans="1:75" x14ac:dyDescent="0.3">
      <c r="A183" s="8" t="s">
        <v>104</v>
      </c>
      <c r="B183" s="8" t="s">
        <v>8</v>
      </c>
      <c r="C183" s="8" t="s">
        <v>28</v>
      </c>
      <c r="D183" s="52">
        <v>200</v>
      </c>
      <c r="E183" s="52">
        <v>200</v>
      </c>
      <c r="F183" s="52">
        <v>200</v>
      </c>
      <c r="G183" s="52">
        <v>200</v>
      </c>
      <c r="H183" s="52">
        <v>200</v>
      </c>
      <c r="I183" s="52">
        <v>200</v>
      </c>
      <c r="J183" s="52">
        <v>200</v>
      </c>
      <c r="K183" s="52">
        <v>200</v>
      </c>
      <c r="L183" s="52">
        <v>200</v>
      </c>
      <c r="M183" s="52">
        <v>200</v>
      </c>
      <c r="N183" s="52">
        <v>200</v>
      </c>
      <c r="O183" s="52">
        <v>200</v>
      </c>
      <c r="P183" s="52">
        <v>200</v>
      </c>
      <c r="Q183" s="52">
        <v>200</v>
      </c>
      <c r="R183" s="52">
        <v>200</v>
      </c>
      <c r="S183" s="52">
        <v>200</v>
      </c>
      <c r="T183" s="52">
        <v>200</v>
      </c>
      <c r="U183" s="52">
        <v>200</v>
      </c>
      <c r="V183" s="52">
        <v>200</v>
      </c>
      <c r="W183" s="52">
        <v>200</v>
      </c>
      <c r="X183" s="52">
        <v>200</v>
      </c>
      <c r="Y183" s="52">
        <v>200</v>
      </c>
      <c r="Z183" s="52">
        <v>200</v>
      </c>
      <c r="AA183" s="52">
        <v>200</v>
      </c>
      <c r="AB183" s="52">
        <v>200</v>
      </c>
      <c r="AC183" s="52">
        <v>200</v>
      </c>
      <c r="AD183" s="52">
        <v>200</v>
      </c>
      <c r="AE183" s="52">
        <v>200</v>
      </c>
      <c r="AF183" s="52">
        <v>200</v>
      </c>
      <c r="AG183" s="52">
        <v>200</v>
      </c>
      <c r="AH183" s="52">
        <v>200</v>
      </c>
      <c r="AI183" s="52">
        <v>200</v>
      </c>
      <c r="AJ183" s="52">
        <v>200</v>
      </c>
      <c r="AK183" s="52">
        <v>200</v>
      </c>
      <c r="AL183" s="52">
        <v>200</v>
      </c>
      <c r="AM183" s="52">
        <v>200</v>
      </c>
      <c r="AN183" s="52">
        <v>200</v>
      </c>
      <c r="AO183" s="52">
        <v>200</v>
      </c>
      <c r="AP183" s="52">
        <v>200</v>
      </c>
      <c r="AQ183" s="52">
        <v>200</v>
      </c>
      <c r="AR183" s="52">
        <v>200</v>
      </c>
      <c r="AS183" s="52">
        <v>200</v>
      </c>
      <c r="AT183" s="52">
        <v>200</v>
      </c>
      <c r="AU183" s="52">
        <v>200</v>
      </c>
      <c r="AV183" s="52">
        <v>200</v>
      </c>
      <c r="AW183" s="52">
        <v>200</v>
      </c>
      <c r="AX183" s="52">
        <v>200</v>
      </c>
      <c r="AY183" s="52">
        <v>200</v>
      </c>
      <c r="AZ183" s="52">
        <v>200</v>
      </c>
      <c r="BA183" s="52">
        <v>200</v>
      </c>
      <c r="BB183" s="52">
        <v>200</v>
      </c>
      <c r="BC183" s="52">
        <v>200</v>
      </c>
      <c r="BD183" s="52">
        <v>200</v>
      </c>
      <c r="BE183" s="52">
        <v>200</v>
      </c>
      <c r="BF183" s="52">
        <v>200</v>
      </c>
      <c r="BG183" s="52">
        <v>200</v>
      </c>
      <c r="BH183" s="52">
        <v>200</v>
      </c>
      <c r="BI183" s="52">
        <v>200</v>
      </c>
      <c r="BJ183" s="52">
        <v>200</v>
      </c>
      <c r="BK183" s="52">
        <v>200</v>
      </c>
      <c r="BL183" s="52">
        <v>200</v>
      </c>
      <c r="BM183" s="52">
        <v>200</v>
      </c>
      <c r="BN183" s="52">
        <v>200</v>
      </c>
      <c r="BO183" s="52">
        <v>200</v>
      </c>
      <c r="BP183" s="52">
        <v>200</v>
      </c>
      <c r="BQ183" s="52">
        <v>200</v>
      </c>
      <c r="BR183" s="52">
        <v>200</v>
      </c>
      <c r="BS183" s="52">
        <v>200</v>
      </c>
      <c r="BT183" s="52">
        <v>200</v>
      </c>
      <c r="BU183" s="52">
        <v>200</v>
      </c>
      <c r="BV183" s="52">
        <v>200</v>
      </c>
      <c r="BW183" s="52">
        <v>200</v>
      </c>
    </row>
    <row r="184" spans="1:75" x14ac:dyDescent="0.3">
      <c r="A184" s="8" t="s">
        <v>104</v>
      </c>
      <c r="B184" s="8" t="s">
        <v>9</v>
      </c>
      <c r="C184" s="8" t="s">
        <v>60</v>
      </c>
      <c r="D184" s="52">
        <v>771.6</v>
      </c>
      <c r="E184" s="52">
        <v>771.6</v>
      </c>
      <c r="F184" s="52">
        <v>771.6</v>
      </c>
      <c r="G184" s="52">
        <v>771.6</v>
      </c>
      <c r="H184" s="52">
        <v>771.6</v>
      </c>
      <c r="I184" s="52">
        <v>771.6</v>
      </c>
      <c r="J184" s="52">
        <v>771.6</v>
      </c>
      <c r="K184" s="52">
        <v>771.6</v>
      </c>
      <c r="L184" s="52">
        <v>771.6</v>
      </c>
      <c r="M184" s="52">
        <v>771.6</v>
      </c>
      <c r="N184" s="52">
        <v>771.6</v>
      </c>
      <c r="O184" s="52">
        <v>771.6</v>
      </c>
      <c r="P184" s="52">
        <v>771.6</v>
      </c>
      <c r="Q184" s="52">
        <v>771.6</v>
      </c>
      <c r="R184" s="52">
        <v>771.6</v>
      </c>
      <c r="S184" s="52">
        <v>771.6</v>
      </c>
      <c r="T184" s="52">
        <v>771.6</v>
      </c>
      <c r="U184" s="52">
        <v>771.6</v>
      </c>
      <c r="V184" s="52">
        <v>771.6</v>
      </c>
      <c r="W184" s="52">
        <v>771.6</v>
      </c>
      <c r="X184" s="52">
        <v>771.6</v>
      </c>
      <c r="Y184" s="52">
        <v>771.6</v>
      </c>
      <c r="Z184" s="52">
        <v>771.6</v>
      </c>
      <c r="AA184" s="52">
        <v>771.6</v>
      </c>
      <c r="AB184" s="52">
        <v>771.6</v>
      </c>
      <c r="AC184" s="52">
        <v>771.6</v>
      </c>
      <c r="AD184" s="52">
        <v>771.6</v>
      </c>
      <c r="AE184" s="52">
        <v>771.6</v>
      </c>
      <c r="AF184" s="52">
        <v>771.6</v>
      </c>
      <c r="AG184" s="52">
        <v>771.6</v>
      </c>
      <c r="AH184" s="52">
        <v>771.6</v>
      </c>
      <c r="AI184" s="52">
        <v>771.6</v>
      </c>
      <c r="AJ184" s="52">
        <v>771.6</v>
      </c>
      <c r="AK184" s="52">
        <v>771.6</v>
      </c>
      <c r="AL184" s="52">
        <v>771.6</v>
      </c>
      <c r="AM184" s="52">
        <v>771.6</v>
      </c>
      <c r="AN184" s="52">
        <v>771.6</v>
      </c>
      <c r="AO184" s="52">
        <v>771.6</v>
      </c>
      <c r="AP184" s="52">
        <v>771.6</v>
      </c>
      <c r="AQ184" s="52">
        <v>771.6</v>
      </c>
      <c r="AR184" s="52">
        <v>771.6</v>
      </c>
      <c r="AS184" s="52">
        <v>771.6</v>
      </c>
      <c r="AT184" s="52">
        <v>771.6</v>
      </c>
      <c r="AU184" s="52">
        <v>771.6</v>
      </c>
      <c r="AV184" s="52">
        <v>771.6</v>
      </c>
      <c r="AW184" s="52">
        <v>771.6</v>
      </c>
      <c r="AX184" s="52">
        <v>771.6</v>
      </c>
      <c r="AY184" s="52">
        <v>771.6</v>
      </c>
      <c r="AZ184" s="52">
        <v>771.6</v>
      </c>
      <c r="BA184" s="52">
        <v>771.6</v>
      </c>
      <c r="BB184" s="52">
        <v>771.6</v>
      </c>
      <c r="BC184" s="52">
        <v>771.6</v>
      </c>
      <c r="BD184" s="52">
        <v>771.6</v>
      </c>
      <c r="BE184" s="52">
        <v>771.6</v>
      </c>
      <c r="BF184" s="52">
        <v>771.6</v>
      </c>
      <c r="BG184" s="52">
        <v>771.6</v>
      </c>
      <c r="BH184" s="52">
        <v>771.6</v>
      </c>
      <c r="BI184" s="52">
        <v>771.6</v>
      </c>
      <c r="BJ184" s="52">
        <v>771.6</v>
      </c>
      <c r="BK184" s="52">
        <v>771.6</v>
      </c>
      <c r="BL184" s="52">
        <v>771.6</v>
      </c>
      <c r="BM184" s="52">
        <v>771.6</v>
      </c>
      <c r="BN184" s="52">
        <v>771.6</v>
      </c>
      <c r="BO184" s="52">
        <v>771.6</v>
      </c>
      <c r="BP184" s="52">
        <v>771.6</v>
      </c>
      <c r="BQ184" s="52">
        <v>771.6</v>
      </c>
      <c r="BR184" s="52">
        <v>771.6</v>
      </c>
      <c r="BS184" s="52">
        <v>771.6</v>
      </c>
      <c r="BT184" s="52">
        <v>771.6</v>
      </c>
      <c r="BU184" s="52">
        <v>771.6</v>
      </c>
      <c r="BV184" s="52">
        <v>771.6</v>
      </c>
      <c r="BW184" s="52">
        <v>771.6</v>
      </c>
    </row>
    <row r="185" spans="1:75" x14ac:dyDescent="0.3">
      <c r="A185" s="8" t="s">
        <v>104</v>
      </c>
      <c r="B185" s="8" t="s">
        <v>9</v>
      </c>
      <c r="C185" s="8" t="s">
        <v>150</v>
      </c>
      <c r="D185" s="52">
        <v>235.19999999999996</v>
      </c>
      <c r="E185" s="52">
        <v>235.19999999999996</v>
      </c>
      <c r="F185" s="52">
        <v>235.19999999999996</v>
      </c>
      <c r="G185" s="52">
        <v>0</v>
      </c>
      <c r="H185" s="52">
        <v>0</v>
      </c>
      <c r="I185" s="52">
        <v>0</v>
      </c>
      <c r="J185" s="52">
        <v>235.19999999999996</v>
      </c>
      <c r="K185" s="52">
        <v>235.19999999999996</v>
      </c>
      <c r="L185" s="52">
        <v>235.19999999999996</v>
      </c>
      <c r="M185" s="52">
        <v>235.19999999999996</v>
      </c>
      <c r="N185" s="52">
        <v>235.19999999999996</v>
      </c>
      <c r="O185" s="52">
        <v>235.19999999999996</v>
      </c>
      <c r="P185" s="52">
        <v>357.19604200000066</v>
      </c>
      <c r="Q185" s="52">
        <v>235.19999999999996</v>
      </c>
      <c r="R185" s="52">
        <v>235.19999999999996</v>
      </c>
      <c r="S185" s="52">
        <v>357.19604200000066</v>
      </c>
      <c r="T185" s="52">
        <v>235.19999999999996</v>
      </c>
      <c r="U185" s="52">
        <v>235.19999999999996</v>
      </c>
      <c r="V185" s="52">
        <v>0</v>
      </c>
      <c r="W185" s="52">
        <v>0</v>
      </c>
      <c r="X185" s="52">
        <v>0</v>
      </c>
      <c r="Y185" s="52">
        <v>0</v>
      </c>
      <c r="Z185" s="52">
        <v>0</v>
      </c>
      <c r="AA185" s="52">
        <v>0</v>
      </c>
      <c r="AB185" s="52">
        <v>0</v>
      </c>
      <c r="AC185" s="52">
        <v>0</v>
      </c>
      <c r="AD185" s="52">
        <v>0</v>
      </c>
      <c r="AE185" s="52">
        <v>0</v>
      </c>
      <c r="AF185" s="52">
        <v>0</v>
      </c>
      <c r="AG185" s="52">
        <v>0</v>
      </c>
      <c r="AH185" s="52">
        <v>235.19999999999996</v>
      </c>
      <c r="AI185" s="52">
        <v>235.19999999999996</v>
      </c>
      <c r="AJ185" s="52">
        <v>235.19999999999996</v>
      </c>
      <c r="AK185" s="52">
        <v>0</v>
      </c>
      <c r="AL185" s="52">
        <v>0</v>
      </c>
      <c r="AM185" s="52">
        <v>0</v>
      </c>
      <c r="AN185" s="52">
        <v>235.19999999999996</v>
      </c>
      <c r="AO185" s="52">
        <v>235.19999999999996</v>
      </c>
      <c r="AP185" s="52">
        <v>235.19999999999996</v>
      </c>
      <c r="AQ185" s="52">
        <v>235.19999999999996</v>
      </c>
      <c r="AR185" s="52">
        <v>235.19999999999996</v>
      </c>
      <c r="AS185" s="52">
        <v>235.19999999999985</v>
      </c>
      <c r="AT185" s="52">
        <v>235.19999999999965</v>
      </c>
      <c r="AU185" s="52">
        <v>235.19999999999965</v>
      </c>
      <c r="AV185" s="52">
        <v>235.19999999999965</v>
      </c>
      <c r="AW185" s="52">
        <v>0</v>
      </c>
      <c r="AX185" s="52">
        <v>0</v>
      </c>
      <c r="AY185" s="52">
        <v>0</v>
      </c>
      <c r="AZ185" s="52">
        <v>235.19999999999996</v>
      </c>
      <c r="BA185" s="52">
        <v>235.19999999999996</v>
      </c>
      <c r="BB185" s="52">
        <v>235.19999999999996</v>
      </c>
      <c r="BC185" s="52">
        <v>0</v>
      </c>
      <c r="BD185" s="52">
        <v>0</v>
      </c>
      <c r="BE185" s="52">
        <v>0</v>
      </c>
      <c r="BF185" s="52">
        <v>235.19999999999996</v>
      </c>
      <c r="BG185" s="52">
        <v>235.19999999999996</v>
      </c>
      <c r="BH185" s="52">
        <v>235.19999999999996</v>
      </c>
      <c r="BI185" s="52">
        <v>235.19999999999996</v>
      </c>
      <c r="BJ185" s="52">
        <v>235.19999999999996</v>
      </c>
      <c r="BK185" s="52">
        <v>235.19999999999996</v>
      </c>
      <c r="BL185" s="52">
        <v>235.19999999999996</v>
      </c>
      <c r="BM185" s="52">
        <v>235.19999999999996</v>
      </c>
      <c r="BN185" s="52">
        <v>235.19999999999996</v>
      </c>
      <c r="BO185" s="52">
        <v>235.19999999999996</v>
      </c>
      <c r="BP185" s="52">
        <v>235.19999999999996</v>
      </c>
      <c r="BQ185" s="52">
        <v>235.19999999999996</v>
      </c>
      <c r="BR185" s="52">
        <v>525.25383990441492</v>
      </c>
      <c r="BS185" s="52">
        <v>235.19999999999996</v>
      </c>
      <c r="BT185" s="52">
        <v>235.19999999999996</v>
      </c>
      <c r="BU185" s="52">
        <v>235.19999999999996</v>
      </c>
      <c r="BV185" s="52">
        <v>235.19999999999996</v>
      </c>
      <c r="BW185" s="52">
        <v>235.19999999999996</v>
      </c>
    </row>
    <row r="186" spans="1:75" x14ac:dyDescent="0.3">
      <c r="A186" s="8" t="s">
        <v>104</v>
      </c>
      <c r="B186" s="8" t="s">
        <v>9</v>
      </c>
      <c r="C186" s="8" t="s">
        <v>61</v>
      </c>
      <c r="D186" s="52">
        <v>203.1</v>
      </c>
      <c r="E186" s="52">
        <v>81.239999999999995</v>
      </c>
      <c r="F186" s="52">
        <v>81.239999999999995</v>
      </c>
      <c r="G186" s="52">
        <v>0</v>
      </c>
      <c r="H186" s="52">
        <v>0</v>
      </c>
      <c r="I186" s="52">
        <v>0</v>
      </c>
      <c r="J186" s="52">
        <v>0</v>
      </c>
      <c r="K186" s="52">
        <v>0</v>
      </c>
      <c r="L186" s="52">
        <v>0</v>
      </c>
      <c r="M186" s="52">
        <v>0</v>
      </c>
      <c r="N186" s="52">
        <v>0</v>
      </c>
      <c r="O186" s="52">
        <v>0</v>
      </c>
      <c r="P186" s="52">
        <v>0</v>
      </c>
      <c r="Q186" s="52">
        <v>0</v>
      </c>
      <c r="R186" s="52">
        <v>0</v>
      </c>
      <c r="S186" s="52">
        <v>0</v>
      </c>
      <c r="T186" s="52">
        <v>0</v>
      </c>
      <c r="U186" s="52">
        <v>0</v>
      </c>
      <c r="V186" s="52">
        <v>156.63281190000043</v>
      </c>
      <c r="W186" s="52">
        <v>81.239999999999995</v>
      </c>
      <c r="X186" s="52">
        <v>81.239999999999995</v>
      </c>
      <c r="Y186" s="52">
        <v>156.63281190000043</v>
      </c>
      <c r="Z186" s="52">
        <v>81.239999999999995</v>
      </c>
      <c r="AA186" s="52">
        <v>81.239999999999995</v>
      </c>
      <c r="AB186" s="52">
        <v>91.097160321871712</v>
      </c>
      <c r="AC186" s="52">
        <v>81.239999999999995</v>
      </c>
      <c r="AD186" s="52">
        <v>81.239999999999995</v>
      </c>
      <c r="AE186" s="52">
        <v>0</v>
      </c>
      <c r="AF186" s="52">
        <v>0</v>
      </c>
      <c r="AG186" s="52">
        <v>0</v>
      </c>
      <c r="AH186" s="52">
        <v>0</v>
      </c>
      <c r="AI186" s="52">
        <v>0</v>
      </c>
      <c r="AJ186" s="52">
        <v>0</v>
      </c>
      <c r="AK186" s="52">
        <v>0</v>
      </c>
      <c r="AL186" s="52">
        <v>0</v>
      </c>
      <c r="AM186" s="52">
        <v>0</v>
      </c>
      <c r="AN186" s="52">
        <v>0</v>
      </c>
      <c r="AO186" s="52">
        <v>0</v>
      </c>
      <c r="AP186" s="52">
        <v>0</v>
      </c>
      <c r="AQ186" s="52">
        <v>0</v>
      </c>
      <c r="AR186" s="52">
        <v>0</v>
      </c>
      <c r="AS186" s="52">
        <v>0</v>
      </c>
      <c r="AT186" s="52">
        <v>0</v>
      </c>
      <c r="AU186" s="52">
        <v>0</v>
      </c>
      <c r="AV186" s="52">
        <v>0</v>
      </c>
      <c r="AW186" s="52">
        <v>0</v>
      </c>
      <c r="AX186" s="52">
        <v>0</v>
      </c>
      <c r="AY186" s="52">
        <v>0</v>
      </c>
      <c r="AZ186" s="52">
        <v>0</v>
      </c>
      <c r="BA186" s="52">
        <v>0</v>
      </c>
      <c r="BB186" s="52">
        <v>0</v>
      </c>
      <c r="BC186" s="52">
        <v>0</v>
      </c>
      <c r="BD186" s="52">
        <v>0</v>
      </c>
      <c r="BE186" s="52">
        <v>0</v>
      </c>
      <c r="BF186" s="52">
        <v>0</v>
      </c>
      <c r="BG186" s="52">
        <v>0</v>
      </c>
      <c r="BH186" s="52">
        <v>0</v>
      </c>
      <c r="BI186" s="52">
        <v>0</v>
      </c>
      <c r="BJ186" s="52">
        <v>0</v>
      </c>
      <c r="BK186" s="52">
        <v>0</v>
      </c>
      <c r="BL186" s="52">
        <v>0</v>
      </c>
      <c r="BM186" s="52">
        <v>0</v>
      </c>
      <c r="BN186" s="52">
        <v>0</v>
      </c>
      <c r="BO186" s="52">
        <v>0</v>
      </c>
      <c r="BP186" s="52">
        <v>0</v>
      </c>
      <c r="BQ186" s="52">
        <v>0</v>
      </c>
      <c r="BR186" s="52">
        <v>0</v>
      </c>
      <c r="BS186" s="52">
        <v>0</v>
      </c>
      <c r="BT186" s="52">
        <v>0</v>
      </c>
      <c r="BU186" s="52">
        <v>0</v>
      </c>
      <c r="BV186" s="52">
        <v>0</v>
      </c>
      <c r="BW186" s="52">
        <v>0</v>
      </c>
    </row>
    <row r="187" spans="1:75" x14ac:dyDescent="0.3">
      <c r="A187" s="8" t="s">
        <v>104</v>
      </c>
      <c r="B187" s="8" t="s">
        <v>9</v>
      </c>
      <c r="C187" s="8" t="s">
        <v>152</v>
      </c>
      <c r="D187" s="52">
        <v>106.43793739999948</v>
      </c>
      <c r="E187" s="52">
        <v>60.159999999999989</v>
      </c>
      <c r="F187" s="52">
        <v>60.159999999999989</v>
      </c>
      <c r="G187" s="52">
        <v>0</v>
      </c>
      <c r="H187" s="52">
        <v>0</v>
      </c>
      <c r="I187" s="52">
        <v>0</v>
      </c>
      <c r="J187" s="52">
        <v>110.24728230000045</v>
      </c>
      <c r="K187" s="52">
        <v>60.159999999999989</v>
      </c>
      <c r="L187" s="52">
        <v>60.159999999999989</v>
      </c>
      <c r="M187" s="52">
        <v>0</v>
      </c>
      <c r="N187" s="52">
        <v>0</v>
      </c>
      <c r="O187" s="52">
        <v>0</v>
      </c>
      <c r="P187" s="52">
        <v>0</v>
      </c>
      <c r="Q187" s="52">
        <v>0</v>
      </c>
      <c r="R187" s="52">
        <v>0</v>
      </c>
      <c r="S187" s="52">
        <v>0</v>
      </c>
      <c r="T187" s="52">
        <v>0</v>
      </c>
      <c r="U187" s="52">
        <v>0</v>
      </c>
      <c r="V187" s="52">
        <v>0</v>
      </c>
      <c r="W187" s="52">
        <v>0</v>
      </c>
      <c r="X187" s="52">
        <v>0</v>
      </c>
      <c r="Y187" s="52">
        <v>0</v>
      </c>
      <c r="Z187" s="52">
        <v>0</v>
      </c>
      <c r="AA187" s="52">
        <v>0</v>
      </c>
      <c r="AB187" s="52">
        <v>0</v>
      </c>
      <c r="AC187" s="52">
        <v>0</v>
      </c>
      <c r="AD187" s="52">
        <v>0</v>
      </c>
      <c r="AE187" s="52">
        <v>0</v>
      </c>
      <c r="AF187" s="52">
        <v>0</v>
      </c>
      <c r="AG187" s="52">
        <v>0</v>
      </c>
      <c r="AH187" s="52">
        <v>0</v>
      </c>
      <c r="AI187" s="52">
        <v>0</v>
      </c>
      <c r="AJ187" s="52">
        <v>0</v>
      </c>
      <c r="AK187" s="52">
        <v>0</v>
      </c>
      <c r="AL187" s="52">
        <v>0</v>
      </c>
      <c r="AM187" s="52">
        <v>0</v>
      </c>
      <c r="AN187" s="52">
        <v>100.58025160000034</v>
      </c>
      <c r="AO187" s="52">
        <v>60.159999999999982</v>
      </c>
      <c r="AP187" s="52">
        <v>60.159999999999982</v>
      </c>
      <c r="AQ187" s="52">
        <v>0</v>
      </c>
      <c r="AR187" s="52">
        <v>0</v>
      </c>
      <c r="AS187" s="52">
        <v>0</v>
      </c>
      <c r="AT187" s="52">
        <v>150.4</v>
      </c>
      <c r="AU187" s="52">
        <v>150.4</v>
      </c>
      <c r="AV187" s="52">
        <v>60.159999999999989</v>
      </c>
      <c r="AW187" s="52">
        <v>150.4</v>
      </c>
      <c r="AX187" s="52">
        <v>60.159999999999989</v>
      </c>
      <c r="AY187" s="52">
        <v>60.159999999999989</v>
      </c>
      <c r="AZ187" s="52">
        <v>60.159999999999989</v>
      </c>
      <c r="BA187" s="52">
        <v>77.066913723076254</v>
      </c>
      <c r="BB187" s="52">
        <v>60.159999999999989</v>
      </c>
      <c r="BC187" s="52">
        <v>0</v>
      </c>
      <c r="BD187" s="52">
        <v>0</v>
      </c>
      <c r="BE187" s="52">
        <v>0</v>
      </c>
      <c r="BF187" s="52">
        <v>0</v>
      </c>
      <c r="BG187" s="52">
        <v>0</v>
      </c>
      <c r="BH187" s="52">
        <v>0</v>
      </c>
      <c r="BI187" s="52">
        <v>0</v>
      </c>
      <c r="BJ187" s="52">
        <v>0</v>
      </c>
      <c r="BK187" s="52">
        <v>0</v>
      </c>
      <c r="BL187" s="52">
        <v>80.695442300001389</v>
      </c>
      <c r="BM187" s="52">
        <v>60.159999999999989</v>
      </c>
      <c r="BN187" s="52">
        <v>60.159999999999989</v>
      </c>
      <c r="BO187" s="52">
        <v>0</v>
      </c>
      <c r="BP187" s="52">
        <v>0</v>
      </c>
      <c r="BQ187" s="52">
        <v>0</v>
      </c>
      <c r="BR187" s="52">
        <v>0</v>
      </c>
      <c r="BS187" s="52">
        <v>0</v>
      </c>
      <c r="BT187" s="52">
        <v>0</v>
      </c>
      <c r="BU187" s="52">
        <v>0</v>
      </c>
      <c r="BV187" s="52">
        <v>0</v>
      </c>
      <c r="BW187" s="52">
        <v>0</v>
      </c>
    </row>
    <row r="188" spans="1:75" x14ac:dyDescent="0.3">
      <c r="A188" s="8" t="s">
        <v>104</v>
      </c>
      <c r="B188" s="8" t="s">
        <v>9</v>
      </c>
      <c r="C188" s="8" t="s">
        <v>151</v>
      </c>
      <c r="D188" s="52">
        <v>194.4</v>
      </c>
      <c r="E188" s="52">
        <v>194.4</v>
      </c>
      <c r="F188" s="52">
        <v>77.760000000000005</v>
      </c>
      <c r="G188" s="52">
        <v>0</v>
      </c>
      <c r="H188" s="52">
        <v>0</v>
      </c>
      <c r="I188" s="52">
        <v>0</v>
      </c>
      <c r="J188" s="52">
        <v>194.4</v>
      </c>
      <c r="K188" s="52">
        <v>194.4</v>
      </c>
      <c r="L188" s="52">
        <v>77.760000000000005</v>
      </c>
      <c r="M188" s="52">
        <v>194.4</v>
      </c>
      <c r="N188" s="52">
        <v>194.4</v>
      </c>
      <c r="O188" s="52">
        <v>77.760000000000005</v>
      </c>
      <c r="P188" s="52">
        <v>104.3745665999986</v>
      </c>
      <c r="Q188" s="52">
        <v>181.44108139999966</v>
      </c>
      <c r="R188" s="52">
        <v>77.760000000000005</v>
      </c>
      <c r="S188" s="52">
        <v>0</v>
      </c>
      <c r="T188" s="52">
        <v>0</v>
      </c>
      <c r="U188" s="52">
        <v>0</v>
      </c>
      <c r="V188" s="52">
        <v>194.4</v>
      </c>
      <c r="W188" s="52">
        <v>181.72572759999994</v>
      </c>
      <c r="X188" s="52">
        <v>77.760000000000005</v>
      </c>
      <c r="Y188" s="52">
        <v>194.4</v>
      </c>
      <c r="Z188" s="52">
        <v>77.760000000000005</v>
      </c>
      <c r="AA188" s="52">
        <v>77.760000000000005</v>
      </c>
      <c r="AB188" s="52">
        <v>194.4</v>
      </c>
      <c r="AC188" s="52">
        <v>186.23528492986998</v>
      </c>
      <c r="AD188" s="52">
        <v>77.760000000000005</v>
      </c>
      <c r="AE188" s="52">
        <v>194.4</v>
      </c>
      <c r="AF188" s="52">
        <v>77.759999999999977</v>
      </c>
      <c r="AG188" s="52">
        <v>77.759999999999977</v>
      </c>
      <c r="AH188" s="52">
        <v>194.4</v>
      </c>
      <c r="AI188" s="52">
        <v>194.4</v>
      </c>
      <c r="AJ188" s="52">
        <v>77.759999999999906</v>
      </c>
      <c r="AK188" s="52">
        <v>0</v>
      </c>
      <c r="AL188" s="52">
        <v>0</v>
      </c>
      <c r="AM188" s="52">
        <v>0</v>
      </c>
      <c r="AN188" s="52">
        <v>194.4</v>
      </c>
      <c r="AO188" s="52">
        <v>183.51126180000037</v>
      </c>
      <c r="AP188" s="52">
        <v>77.760000000000005</v>
      </c>
      <c r="AQ188" s="52">
        <v>0</v>
      </c>
      <c r="AR188" s="52">
        <v>0</v>
      </c>
      <c r="AS188" s="52">
        <v>0</v>
      </c>
      <c r="AT188" s="52">
        <v>194.4</v>
      </c>
      <c r="AU188" s="52">
        <v>194.4</v>
      </c>
      <c r="AV188" s="52">
        <v>77.760000000000005</v>
      </c>
      <c r="AW188" s="52">
        <v>194.4</v>
      </c>
      <c r="AX188" s="52">
        <v>194.4</v>
      </c>
      <c r="AY188" s="52">
        <v>77.760000000000005</v>
      </c>
      <c r="AZ188" s="52">
        <v>194.4</v>
      </c>
      <c r="BA188" s="52">
        <v>194.4</v>
      </c>
      <c r="BB188" s="52">
        <v>77.760000000000005</v>
      </c>
      <c r="BC188" s="52">
        <v>194.4</v>
      </c>
      <c r="BD188" s="52">
        <v>194.4</v>
      </c>
      <c r="BE188" s="52">
        <v>77.760000000000005</v>
      </c>
      <c r="BF188" s="52">
        <v>0</v>
      </c>
      <c r="BG188" s="52">
        <v>0</v>
      </c>
      <c r="BH188" s="52">
        <v>0</v>
      </c>
      <c r="BI188" s="52">
        <v>0</v>
      </c>
      <c r="BJ188" s="52">
        <v>0</v>
      </c>
      <c r="BK188" s="52">
        <v>0</v>
      </c>
      <c r="BL188" s="52">
        <v>194.4</v>
      </c>
      <c r="BM188" s="52">
        <v>190.6203387000005</v>
      </c>
      <c r="BN188" s="52">
        <v>77.760000000000005</v>
      </c>
      <c r="BO188" s="52">
        <v>0</v>
      </c>
      <c r="BP188" s="52">
        <v>0</v>
      </c>
      <c r="BQ188" s="52">
        <v>0</v>
      </c>
      <c r="BR188" s="52">
        <v>194.4</v>
      </c>
      <c r="BS188" s="52">
        <v>194.4</v>
      </c>
      <c r="BT188" s="52">
        <v>77.759999999999877</v>
      </c>
      <c r="BU188" s="52">
        <v>194.4</v>
      </c>
      <c r="BV188" s="52">
        <v>194.4</v>
      </c>
      <c r="BW188" s="52">
        <v>77.760000000000005</v>
      </c>
    </row>
    <row r="189" spans="1:75" x14ac:dyDescent="0.3">
      <c r="A189" s="8" t="s">
        <v>104</v>
      </c>
      <c r="B189" s="8" t="s">
        <v>9</v>
      </c>
      <c r="C189" s="8" t="s">
        <v>62</v>
      </c>
      <c r="D189" s="52">
        <v>500</v>
      </c>
      <c r="E189" s="52">
        <v>500</v>
      </c>
      <c r="F189" s="52">
        <v>500</v>
      </c>
      <c r="G189" s="52">
        <v>500</v>
      </c>
      <c r="H189" s="52">
        <v>500</v>
      </c>
      <c r="I189" s="52">
        <v>500</v>
      </c>
      <c r="J189" s="52">
        <v>500</v>
      </c>
      <c r="K189" s="52">
        <v>500</v>
      </c>
      <c r="L189" s="52">
        <v>500</v>
      </c>
      <c r="M189" s="52">
        <v>500</v>
      </c>
      <c r="N189" s="52">
        <v>500</v>
      </c>
      <c r="O189" s="52">
        <v>500</v>
      </c>
      <c r="P189" s="52">
        <v>500</v>
      </c>
      <c r="Q189" s="52">
        <v>500</v>
      </c>
      <c r="R189" s="52">
        <v>500</v>
      </c>
      <c r="S189" s="52">
        <v>500</v>
      </c>
      <c r="T189" s="52">
        <v>500</v>
      </c>
      <c r="U189" s="52">
        <v>500</v>
      </c>
      <c r="V189" s="52">
        <v>500</v>
      </c>
      <c r="W189" s="52">
        <v>500</v>
      </c>
      <c r="X189" s="52">
        <v>500</v>
      </c>
      <c r="Y189" s="52">
        <v>500</v>
      </c>
      <c r="Z189" s="52">
        <v>500</v>
      </c>
      <c r="AA189" s="52">
        <v>500</v>
      </c>
      <c r="AB189" s="52">
        <v>500</v>
      </c>
      <c r="AC189" s="52">
        <v>500</v>
      </c>
      <c r="AD189" s="52">
        <v>500</v>
      </c>
      <c r="AE189" s="52">
        <v>500</v>
      </c>
      <c r="AF189" s="52">
        <v>500</v>
      </c>
      <c r="AG189" s="52">
        <v>500</v>
      </c>
      <c r="AH189" s="52">
        <v>500</v>
      </c>
      <c r="AI189" s="52">
        <v>500</v>
      </c>
      <c r="AJ189" s="52">
        <v>500</v>
      </c>
      <c r="AK189" s="52">
        <v>500</v>
      </c>
      <c r="AL189" s="52">
        <v>500</v>
      </c>
      <c r="AM189" s="52">
        <v>500</v>
      </c>
      <c r="AN189" s="52">
        <v>500</v>
      </c>
      <c r="AO189" s="52">
        <v>500</v>
      </c>
      <c r="AP189" s="52">
        <v>500</v>
      </c>
      <c r="AQ189" s="52">
        <v>500</v>
      </c>
      <c r="AR189" s="52">
        <v>500</v>
      </c>
      <c r="AS189" s="52">
        <v>500</v>
      </c>
      <c r="AT189" s="52">
        <v>500</v>
      </c>
      <c r="AU189" s="52">
        <v>500</v>
      </c>
      <c r="AV189" s="52">
        <v>500</v>
      </c>
      <c r="AW189" s="52">
        <v>500</v>
      </c>
      <c r="AX189" s="52">
        <v>500</v>
      </c>
      <c r="AY189" s="52">
        <v>500</v>
      </c>
      <c r="AZ189" s="52">
        <v>500</v>
      </c>
      <c r="BA189" s="52">
        <v>500</v>
      </c>
      <c r="BB189" s="52">
        <v>500</v>
      </c>
      <c r="BC189" s="52">
        <v>500</v>
      </c>
      <c r="BD189" s="52">
        <v>500</v>
      </c>
      <c r="BE189" s="52">
        <v>500</v>
      </c>
      <c r="BF189" s="52">
        <v>500</v>
      </c>
      <c r="BG189" s="52">
        <v>500</v>
      </c>
      <c r="BH189" s="52">
        <v>500</v>
      </c>
      <c r="BI189" s="52">
        <v>500</v>
      </c>
      <c r="BJ189" s="52">
        <v>500</v>
      </c>
      <c r="BK189" s="52">
        <v>500</v>
      </c>
      <c r="BL189" s="52">
        <v>500</v>
      </c>
      <c r="BM189" s="52">
        <v>500</v>
      </c>
      <c r="BN189" s="52">
        <v>500</v>
      </c>
      <c r="BO189" s="52">
        <v>500</v>
      </c>
      <c r="BP189" s="52">
        <v>500</v>
      </c>
      <c r="BQ189" s="52">
        <v>500</v>
      </c>
      <c r="BR189" s="52">
        <v>500</v>
      </c>
      <c r="BS189" s="52">
        <v>500</v>
      </c>
      <c r="BT189" s="52">
        <v>500</v>
      </c>
      <c r="BU189" s="52">
        <v>500</v>
      </c>
      <c r="BV189" s="52">
        <v>500</v>
      </c>
      <c r="BW189" s="52">
        <v>500</v>
      </c>
    </row>
    <row r="190" spans="1:75" x14ac:dyDescent="0.3">
      <c r="A190" s="8" t="s">
        <v>104</v>
      </c>
      <c r="B190" s="8" t="s">
        <v>9</v>
      </c>
      <c r="C190" s="8" t="s">
        <v>63</v>
      </c>
      <c r="D190" s="52">
        <v>500</v>
      </c>
      <c r="E190" s="52">
        <v>500</v>
      </c>
      <c r="F190" s="52">
        <v>333.67043940000002</v>
      </c>
      <c r="G190" s="52">
        <v>500</v>
      </c>
      <c r="H190" s="52">
        <v>500</v>
      </c>
      <c r="I190" s="52">
        <v>333.67043940000002</v>
      </c>
      <c r="J190" s="52">
        <v>500</v>
      </c>
      <c r="K190" s="52">
        <v>500</v>
      </c>
      <c r="L190" s="52">
        <v>259.12829135217294</v>
      </c>
      <c r="M190" s="52">
        <v>500</v>
      </c>
      <c r="N190" s="52">
        <v>500</v>
      </c>
      <c r="O190" s="52">
        <v>170.47059985217285</v>
      </c>
      <c r="P190" s="52">
        <v>500</v>
      </c>
      <c r="Q190" s="52">
        <v>500</v>
      </c>
      <c r="R190" s="52">
        <v>222.63114210097103</v>
      </c>
      <c r="S190" s="52">
        <v>500</v>
      </c>
      <c r="T190" s="52">
        <v>500</v>
      </c>
      <c r="U190" s="52">
        <v>222.63114210097103</v>
      </c>
      <c r="V190" s="52">
        <v>500</v>
      </c>
      <c r="W190" s="52">
        <v>500</v>
      </c>
      <c r="X190" s="52">
        <v>258.82607186544419</v>
      </c>
      <c r="Y190" s="52">
        <v>500</v>
      </c>
      <c r="Z190" s="52">
        <v>500</v>
      </c>
      <c r="AA190" s="52">
        <v>166.67493536544563</v>
      </c>
      <c r="AB190" s="52">
        <v>500</v>
      </c>
      <c r="AC190" s="52">
        <v>500</v>
      </c>
      <c r="AD190" s="52">
        <v>283.1553224000001</v>
      </c>
      <c r="AE190" s="52">
        <v>500</v>
      </c>
      <c r="AF190" s="52">
        <v>500</v>
      </c>
      <c r="AG190" s="52">
        <v>240.7169753000002</v>
      </c>
      <c r="AH190" s="52">
        <v>500</v>
      </c>
      <c r="AI190" s="52">
        <v>500</v>
      </c>
      <c r="AJ190" s="52">
        <v>349.42823239999979</v>
      </c>
      <c r="AK190" s="52">
        <v>500</v>
      </c>
      <c r="AL190" s="52">
        <v>500</v>
      </c>
      <c r="AM190" s="52">
        <v>349.42823239999979</v>
      </c>
      <c r="AN190" s="52">
        <v>500</v>
      </c>
      <c r="AO190" s="52">
        <v>500</v>
      </c>
      <c r="AP190" s="52">
        <v>365.04079969999987</v>
      </c>
      <c r="AQ190" s="52">
        <v>500</v>
      </c>
      <c r="AR190" s="52">
        <v>500</v>
      </c>
      <c r="AS190" s="52">
        <v>303.76138929999991</v>
      </c>
      <c r="AT190" s="52">
        <v>500</v>
      </c>
      <c r="AU190" s="52">
        <v>500</v>
      </c>
      <c r="AV190" s="52">
        <v>245.15684800000031</v>
      </c>
      <c r="AW190" s="52">
        <v>500</v>
      </c>
      <c r="AX190" s="52">
        <v>500</v>
      </c>
      <c r="AY190" s="52">
        <v>245.15684800000031</v>
      </c>
      <c r="AZ190" s="52">
        <v>500</v>
      </c>
      <c r="BA190" s="52">
        <v>500</v>
      </c>
      <c r="BB190" s="52">
        <v>346.73494819999985</v>
      </c>
      <c r="BC190" s="52">
        <v>500</v>
      </c>
      <c r="BD190" s="52">
        <v>500</v>
      </c>
      <c r="BE190" s="52">
        <v>346.73494819999985</v>
      </c>
      <c r="BF190" s="52">
        <v>500</v>
      </c>
      <c r="BG190" s="52">
        <v>500</v>
      </c>
      <c r="BH190" s="52">
        <v>143.1374633999996</v>
      </c>
      <c r="BI190" s="52">
        <v>500</v>
      </c>
      <c r="BJ190" s="52">
        <v>450.85100329230869</v>
      </c>
      <c r="BK190" s="52">
        <v>143.1374633999996</v>
      </c>
      <c r="BL190" s="52">
        <v>500</v>
      </c>
      <c r="BM190" s="52">
        <v>500</v>
      </c>
      <c r="BN190" s="52">
        <v>233.09332424931503</v>
      </c>
      <c r="BO190" s="52">
        <v>500</v>
      </c>
      <c r="BP190" s="52">
        <v>500</v>
      </c>
      <c r="BQ190" s="52">
        <v>233.09332424931503</v>
      </c>
      <c r="BR190" s="52">
        <v>500</v>
      </c>
      <c r="BS190" s="52">
        <v>500</v>
      </c>
      <c r="BT190" s="52">
        <v>402.64903340000029</v>
      </c>
      <c r="BU190" s="52">
        <v>500</v>
      </c>
      <c r="BV190" s="52">
        <v>500</v>
      </c>
      <c r="BW190" s="52">
        <v>196.81965419795952</v>
      </c>
    </row>
    <row r="191" spans="1:75" x14ac:dyDescent="0.3">
      <c r="A191" s="8" t="s">
        <v>104</v>
      </c>
      <c r="B191" s="8" t="s">
        <v>9</v>
      </c>
      <c r="C191" s="8" t="s">
        <v>64</v>
      </c>
      <c r="D191" s="52">
        <v>500</v>
      </c>
      <c r="E191" s="52">
        <v>500</v>
      </c>
      <c r="F191" s="52">
        <v>100</v>
      </c>
      <c r="G191" s="52">
        <v>500</v>
      </c>
      <c r="H191" s="52">
        <v>497.45715990000008</v>
      </c>
      <c r="I191" s="52">
        <v>100</v>
      </c>
      <c r="J191" s="52">
        <v>500</v>
      </c>
      <c r="K191" s="52">
        <v>500</v>
      </c>
      <c r="L191" s="52">
        <v>100</v>
      </c>
      <c r="M191" s="52">
        <v>0</v>
      </c>
      <c r="N191" s="52">
        <v>0</v>
      </c>
      <c r="O191" s="52">
        <v>0</v>
      </c>
      <c r="P191" s="52">
        <v>500</v>
      </c>
      <c r="Q191" s="52">
        <v>500</v>
      </c>
      <c r="R191" s="52">
        <v>100</v>
      </c>
      <c r="S191" s="52">
        <v>0</v>
      </c>
      <c r="T191" s="52">
        <v>0</v>
      </c>
      <c r="U191" s="52">
        <v>0</v>
      </c>
      <c r="V191" s="52">
        <v>500</v>
      </c>
      <c r="W191" s="52">
        <v>500</v>
      </c>
      <c r="X191" s="52">
        <v>100</v>
      </c>
      <c r="Y191" s="52">
        <v>0</v>
      </c>
      <c r="Z191" s="52">
        <v>0</v>
      </c>
      <c r="AA191" s="52">
        <v>0</v>
      </c>
      <c r="AB191" s="52">
        <v>500</v>
      </c>
      <c r="AC191" s="52">
        <v>500</v>
      </c>
      <c r="AD191" s="52">
        <v>100</v>
      </c>
      <c r="AE191" s="52">
        <v>0</v>
      </c>
      <c r="AF191" s="52">
        <v>0</v>
      </c>
      <c r="AG191" s="52">
        <v>0</v>
      </c>
      <c r="AH191" s="52">
        <v>500</v>
      </c>
      <c r="AI191" s="52">
        <v>500</v>
      </c>
      <c r="AJ191" s="52">
        <v>100</v>
      </c>
      <c r="AK191" s="52">
        <v>500</v>
      </c>
      <c r="AL191" s="52">
        <v>435.62727429999956</v>
      </c>
      <c r="AM191" s="52">
        <v>100</v>
      </c>
      <c r="AN191" s="52">
        <v>500</v>
      </c>
      <c r="AO191" s="52">
        <v>500</v>
      </c>
      <c r="AP191" s="52">
        <v>100</v>
      </c>
      <c r="AQ191" s="52">
        <v>0</v>
      </c>
      <c r="AR191" s="52">
        <v>0</v>
      </c>
      <c r="AS191" s="52">
        <v>0</v>
      </c>
      <c r="AT191" s="52">
        <v>0</v>
      </c>
      <c r="AU191" s="52">
        <v>0</v>
      </c>
      <c r="AV191" s="52">
        <v>0</v>
      </c>
      <c r="AW191" s="52">
        <v>0</v>
      </c>
      <c r="AX191" s="52">
        <v>0</v>
      </c>
      <c r="AY191" s="52">
        <v>0</v>
      </c>
      <c r="AZ191" s="52">
        <v>480.3536229</v>
      </c>
      <c r="BA191" s="52">
        <v>500</v>
      </c>
      <c r="BB191" s="52">
        <v>100</v>
      </c>
      <c r="BC191" s="52">
        <v>0</v>
      </c>
      <c r="BD191" s="52">
        <v>0</v>
      </c>
      <c r="BE191" s="52">
        <v>0</v>
      </c>
      <c r="BF191" s="52">
        <v>500</v>
      </c>
      <c r="BG191" s="52">
        <v>500</v>
      </c>
      <c r="BH191" s="52">
        <v>99.999999999999943</v>
      </c>
      <c r="BI191" s="52">
        <v>0</v>
      </c>
      <c r="BJ191" s="52">
        <v>0</v>
      </c>
      <c r="BK191" s="52">
        <v>0</v>
      </c>
      <c r="BL191" s="52">
        <v>500</v>
      </c>
      <c r="BM191" s="52">
        <v>500</v>
      </c>
      <c r="BN191" s="52">
        <v>100</v>
      </c>
      <c r="BO191" s="52">
        <v>0</v>
      </c>
      <c r="BP191" s="52">
        <v>0</v>
      </c>
      <c r="BQ191" s="52">
        <v>0</v>
      </c>
      <c r="BR191" s="52">
        <v>500</v>
      </c>
      <c r="BS191" s="52">
        <v>500</v>
      </c>
      <c r="BT191" s="52">
        <v>100</v>
      </c>
      <c r="BU191" s="52">
        <v>0</v>
      </c>
      <c r="BV191" s="52">
        <v>0</v>
      </c>
      <c r="BW191" s="52">
        <v>0</v>
      </c>
    </row>
    <row r="192" spans="1:75" x14ac:dyDescent="0.3">
      <c r="A192" s="8" t="s">
        <v>104</v>
      </c>
      <c r="B192" s="8" t="s">
        <v>9</v>
      </c>
      <c r="C192" s="8" t="s">
        <v>65</v>
      </c>
      <c r="D192" s="52">
        <v>667.5</v>
      </c>
      <c r="E192" s="52">
        <v>667.5</v>
      </c>
      <c r="F192" s="52">
        <v>667.5</v>
      </c>
      <c r="G192" s="52">
        <v>667.5</v>
      </c>
      <c r="H192" s="52">
        <v>667.5</v>
      </c>
      <c r="I192" s="52">
        <v>667.5</v>
      </c>
      <c r="J192" s="52">
        <v>667.5</v>
      </c>
      <c r="K192" s="52">
        <v>667.5</v>
      </c>
      <c r="L192" s="52">
        <v>667.5</v>
      </c>
      <c r="M192" s="52">
        <v>667.5</v>
      </c>
      <c r="N192" s="52">
        <v>667.5</v>
      </c>
      <c r="O192" s="52">
        <v>667.5</v>
      </c>
      <c r="P192" s="52">
        <v>667.5</v>
      </c>
      <c r="Q192" s="52">
        <v>667.5</v>
      </c>
      <c r="R192" s="52">
        <v>667.5</v>
      </c>
      <c r="S192" s="52">
        <v>667.5</v>
      </c>
      <c r="T192" s="52">
        <v>667.5</v>
      </c>
      <c r="U192" s="52">
        <v>667.5</v>
      </c>
      <c r="V192" s="52">
        <v>667.5</v>
      </c>
      <c r="W192" s="52">
        <v>667.5</v>
      </c>
      <c r="X192" s="52">
        <v>667.5</v>
      </c>
      <c r="Y192" s="52">
        <v>667.5</v>
      </c>
      <c r="Z192" s="52">
        <v>667.5</v>
      </c>
      <c r="AA192" s="52">
        <v>667.5</v>
      </c>
      <c r="AB192" s="52">
        <v>667.5</v>
      </c>
      <c r="AC192" s="52">
        <v>667.5</v>
      </c>
      <c r="AD192" s="52">
        <v>667.5</v>
      </c>
      <c r="AE192" s="52">
        <v>667.5</v>
      </c>
      <c r="AF192" s="52">
        <v>667.5</v>
      </c>
      <c r="AG192" s="52">
        <v>667.5</v>
      </c>
      <c r="AH192" s="52">
        <v>667.5</v>
      </c>
      <c r="AI192" s="52">
        <v>667.5</v>
      </c>
      <c r="AJ192" s="52">
        <v>667.5</v>
      </c>
      <c r="AK192" s="52">
        <v>667.5</v>
      </c>
      <c r="AL192" s="52">
        <v>667.5</v>
      </c>
      <c r="AM192" s="52">
        <v>667.5</v>
      </c>
      <c r="AN192" s="52">
        <v>667.5</v>
      </c>
      <c r="AO192" s="52">
        <v>667.5</v>
      </c>
      <c r="AP192" s="52">
        <v>667.5</v>
      </c>
      <c r="AQ192" s="52">
        <v>667.5</v>
      </c>
      <c r="AR192" s="52">
        <v>667.5</v>
      </c>
      <c r="AS192" s="52">
        <v>667.5</v>
      </c>
      <c r="AT192" s="52">
        <v>667.5</v>
      </c>
      <c r="AU192" s="52">
        <v>667.5</v>
      </c>
      <c r="AV192" s="52">
        <v>667.5</v>
      </c>
      <c r="AW192" s="52">
        <v>667.5</v>
      </c>
      <c r="AX192" s="52">
        <v>667.5</v>
      </c>
      <c r="AY192" s="52">
        <v>667.5</v>
      </c>
      <c r="AZ192" s="52">
        <v>667.5</v>
      </c>
      <c r="BA192" s="52">
        <v>667.5</v>
      </c>
      <c r="BB192" s="52">
        <v>667.5</v>
      </c>
      <c r="BC192" s="52">
        <v>667.5</v>
      </c>
      <c r="BD192" s="52">
        <v>667.5</v>
      </c>
      <c r="BE192" s="52">
        <v>667.5</v>
      </c>
      <c r="BF192" s="52">
        <v>667.5</v>
      </c>
      <c r="BG192" s="52">
        <v>667.5</v>
      </c>
      <c r="BH192" s="52">
        <v>667.5</v>
      </c>
      <c r="BI192" s="52">
        <v>667.5</v>
      </c>
      <c r="BJ192" s="52">
        <v>667.5</v>
      </c>
      <c r="BK192" s="52">
        <v>667.5</v>
      </c>
      <c r="BL192" s="52">
        <v>667.5</v>
      </c>
      <c r="BM192" s="52">
        <v>667.5</v>
      </c>
      <c r="BN192" s="52">
        <v>667.5</v>
      </c>
      <c r="BO192" s="52">
        <v>667.5</v>
      </c>
      <c r="BP192" s="52">
        <v>667.5</v>
      </c>
      <c r="BQ192" s="52">
        <v>667.5</v>
      </c>
      <c r="BR192" s="52">
        <v>667.5</v>
      </c>
      <c r="BS192" s="52">
        <v>667.5</v>
      </c>
      <c r="BT192" s="52">
        <v>667.5</v>
      </c>
      <c r="BU192" s="52">
        <v>667.5</v>
      </c>
      <c r="BV192" s="52">
        <v>667.5</v>
      </c>
      <c r="BW192" s="52">
        <v>667.5</v>
      </c>
    </row>
    <row r="193" spans="1:75" x14ac:dyDescent="0.3">
      <c r="A193" s="8" t="s">
        <v>104</v>
      </c>
      <c r="B193" s="8" t="s">
        <v>9</v>
      </c>
      <c r="C193" s="8" t="s">
        <v>66</v>
      </c>
      <c r="D193" s="52">
        <v>0</v>
      </c>
      <c r="E193" s="52">
        <v>0</v>
      </c>
      <c r="F193" s="52">
        <v>0</v>
      </c>
      <c r="G193" s="52">
        <v>0</v>
      </c>
      <c r="H193" s="52">
        <v>0</v>
      </c>
      <c r="I193" s="52">
        <v>0</v>
      </c>
      <c r="J193" s="52">
        <v>0</v>
      </c>
      <c r="K193" s="52">
        <v>0</v>
      </c>
      <c r="L193" s="52">
        <v>0</v>
      </c>
      <c r="M193" s="52">
        <v>0</v>
      </c>
      <c r="N193" s="52">
        <v>0</v>
      </c>
      <c r="O193" s="52">
        <v>0</v>
      </c>
      <c r="P193" s="52">
        <v>0</v>
      </c>
      <c r="Q193" s="52">
        <v>0</v>
      </c>
      <c r="R193" s="52">
        <v>0</v>
      </c>
      <c r="S193" s="52">
        <v>0</v>
      </c>
      <c r="T193" s="52">
        <v>0</v>
      </c>
      <c r="U193" s="52">
        <v>0</v>
      </c>
      <c r="V193" s="52">
        <v>0</v>
      </c>
      <c r="W193" s="52">
        <v>0</v>
      </c>
      <c r="X193" s="52">
        <v>0</v>
      </c>
      <c r="Y193" s="52">
        <v>0</v>
      </c>
      <c r="Z193" s="52">
        <v>0</v>
      </c>
      <c r="AA193" s="52">
        <v>0</v>
      </c>
      <c r="AB193" s="52">
        <v>0</v>
      </c>
      <c r="AC193" s="52">
        <v>0</v>
      </c>
      <c r="AD193" s="52">
        <v>0</v>
      </c>
      <c r="AE193" s="52">
        <v>0</v>
      </c>
      <c r="AF193" s="52">
        <v>0</v>
      </c>
      <c r="AG193" s="52">
        <v>0</v>
      </c>
      <c r="AH193" s="52">
        <v>0</v>
      </c>
      <c r="AI193" s="52">
        <v>0</v>
      </c>
      <c r="AJ193" s="52">
        <v>0</v>
      </c>
      <c r="AK193" s="52">
        <v>0</v>
      </c>
      <c r="AL193" s="52">
        <v>0</v>
      </c>
      <c r="AM193" s="52">
        <v>0</v>
      </c>
      <c r="AN193" s="52">
        <v>0</v>
      </c>
      <c r="AO193" s="52">
        <v>0</v>
      </c>
      <c r="AP193" s="52">
        <v>0</v>
      </c>
      <c r="AQ193" s="52">
        <v>0</v>
      </c>
      <c r="AR193" s="52">
        <v>0</v>
      </c>
      <c r="AS193" s="52">
        <v>0</v>
      </c>
      <c r="AT193" s="52">
        <v>0</v>
      </c>
      <c r="AU193" s="52">
        <v>0</v>
      </c>
      <c r="AV193" s="52">
        <v>0</v>
      </c>
      <c r="AW193" s="52">
        <v>0</v>
      </c>
      <c r="AX193" s="52">
        <v>0</v>
      </c>
      <c r="AY193" s="52">
        <v>0</v>
      </c>
      <c r="AZ193" s="52">
        <v>0</v>
      </c>
      <c r="BA193" s="52">
        <v>0</v>
      </c>
      <c r="BB193" s="52">
        <v>0</v>
      </c>
      <c r="BC193" s="52">
        <v>0</v>
      </c>
      <c r="BD193" s="52">
        <v>0</v>
      </c>
      <c r="BE193" s="52">
        <v>0</v>
      </c>
      <c r="BF193" s="52">
        <v>0</v>
      </c>
      <c r="BG193" s="52">
        <v>0</v>
      </c>
      <c r="BH193" s="52">
        <v>0</v>
      </c>
      <c r="BI193" s="52">
        <v>0</v>
      </c>
      <c r="BJ193" s="52">
        <v>0</v>
      </c>
      <c r="BK193" s="52">
        <v>0</v>
      </c>
      <c r="BL193" s="52">
        <v>0</v>
      </c>
      <c r="BM193" s="52">
        <v>0</v>
      </c>
      <c r="BN193" s="52">
        <v>0</v>
      </c>
      <c r="BO193" s="52">
        <v>0</v>
      </c>
      <c r="BP193" s="52">
        <v>0</v>
      </c>
      <c r="BQ193" s="52">
        <v>0</v>
      </c>
      <c r="BR193" s="52">
        <v>0</v>
      </c>
      <c r="BS193" s="52">
        <v>0</v>
      </c>
      <c r="BT193" s="52">
        <v>0</v>
      </c>
      <c r="BU193" s="52">
        <v>0</v>
      </c>
      <c r="BV193" s="52">
        <v>0</v>
      </c>
      <c r="BW193" s="52">
        <v>0</v>
      </c>
    </row>
    <row r="194" spans="1:75" x14ac:dyDescent="0.3">
      <c r="A194" s="8" t="s">
        <v>104</v>
      </c>
      <c r="B194" s="8" t="s">
        <v>9</v>
      </c>
      <c r="C194" s="8" t="s">
        <v>67</v>
      </c>
      <c r="D194" s="52">
        <v>0</v>
      </c>
      <c r="E194" s="52">
        <v>0</v>
      </c>
      <c r="F194" s="52">
        <v>0</v>
      </c>
      <c r="G194" s="52">
        <v>0</v>
      </c>
      <c r="H194" s="52">
        <v>0</v>
      </c>
      <c r="I194" s="52">
        <v>0</v>
      </c>
      <c r="J194" s="52">
        <v>0</v>
      </c>
      <c r="K194" s="52">
        <v>0</v>
      </c>
      <c r="L194" s="52">
        <v>0</v>
      </c>
      <c r="M194" s="52">
        <v>0</v>
      </c>
      <c r="N194" s="52">
        <v>0</v>
      </c>
      <c r="O194" s="52">
        <v>0</v>
      </c>
      <c r="P194" s="52">
        <v>0</v>
      </c>
      <c r="Q194" s="52">
        <v>0</v>
      </c>
      <c r="R194" s="52">
        <v>0</v>
      </c>
      <c r="S194" s="52">
        <v>0</v>
      </c>
      <c r="T194" s="52">
        <v>0</v>
      </c>
      <c r="U194" s="52">
        <v>0</v>
      </c>
      <c r="V194" s="52">
        <v>0</v>
      </c>
      <c r="W194" s="52">
        <v>0</v>
      </c>
      <c r="X194" s="52">
        <v>0</v>
      </c>
      <c r="Y194" s="52">
        <v>0</v>
      </c>
      <c r="Z194" s="52">
        <v>0</v>
      </c>
      <c r="AA194" s="52">
        <v>0</v>
      </c>
      <c r="AB194" s="52">
        <v>0</v>
      </c>
      <c r="AC194" s="52">
        <v>0</v>
      </c>
      <c r="AD194" s="52">
        <v>0</v>
      </c>
      <c r="AE194" s="52">
        <v>0</v>
      </c>
      <c r="AF194" s="52">
        <v>0</v>
      </c>
      <c r="AG194" s="52">
        <v>0</v>
      </c>
      <c r="AH194" s="52">
        <v>0</v>
      </c>
      <c r="AI194" s="52">
        <v>0</v>
      </c>
      <c r="AJ194" s="52">
        <v>0</v>
      </c>
      <c r="AK194" s="52">
        <v>0</v>
      </c>
      <c r="AL194" s="52">
        <v>0</v>
      </c>
      <c r="AM194" s="52">
        <v>0</v>
      </c>
      <c r="AN194" s="52">
        <v>0</v>
      </c>
      <c r="AO194" s="52">
        <v>0</v>
      </c>
      <c r="AP194" s="52">
        <v>0</v>
      </c>
      <c r="AQ194" s="52">
        <v>0</v>
      </c>
      <c r="AR194" s="52">
        <v>0</v>
      </c>
      <c r="AS194" s="52">
        <v>0</v>
      </c>
      <c r="AT194" s="52">
        <v>0</v>
      </c>
      <c r="AU194" s="52">
        <v>0</v>
      </c>
      <c r="AV194" s="52">
        <v>0</v>
      </c>
      <c r="AW194" s="52">
        <v>0</v>
      </c>
      <c r="AX194" s="52">
        <v>0</v>
      </c>
      <c r="AY194" s="52">
        <v>0</v>
      </c>
      <c r="AZ194" s="52">
        <v>0</v>
      </c>
      <c r="BA194" s="52">
        <v>0</v>
      </c>
      <c r="BB194" s="52">
        <v>0</v>
      </c>
      <c r="BC194" s="52">
        <v>0</v>
      </c>
      <c r="BD194" s="52">
        <v>0</v>
      </c>
      <c r="BE194" s="52">
        <v>0</v>
      </c>
      <c r="BF194" s="52">
        <v>0</v>
      </c>
      <c r="BG194" s="52">
        <v>0</v>
      </c>
      <c r="BH194" s="52">
        <v>0</v>
      </c>
      <c r="BI194" s="52">
        <v>0</v>
      </c>
      <c r="BJ194" s="52">
        <v>0</v>
      </c>
      <c r="BK194" s="52">
        <v>0</v>
      </c>
      <c r="BL194" s="52">
        <v>0</v>
      </c>
      <c r="BM194" s="52">
        <v>0</v>
      </c>
      <c r="BN194" s="52">
        <v>0</v>
      </c>
      <c r="BO194" s="52">
        <v>0</v>
      </c>
      <c r="BP194" s="52">
        <v>0</v>
      </c>
      <c r="BQ194" s="52">
        <v>0</v>
      </c>
      <c r="BR194" s="52">
        <v>0</v>
      </c>
      <c r="BS194" s="52">
        <v>0</v>
      </c>
      <c r="BT194" s="52">
        <v>0</v>
      </c>
      <c r="BU194" s="52">
        <v>0</v>
      </c>
      <c r="BV194" s="52">
        <v>0</v>
      </c>
      <c r="BW194" s="52">
        <v>0</v>
      </c>
    </row>
    <row r="195" spans="1:75" x14ac:dyDescent="0.3">
      <c r="A195" s="8" t="s">
        <v>104</v>
      </c>
      <c r="B195" s="8" t="s">
        <v>9</v>
      </c>
      <c r="C195" s="8" t="s">
        <v>68</v>
      </c>
      <c r="D195" s="52">
        <v>0</v>
      </c>
      <c r="E195" s="52">
        <v>0</v>
      </c>
      <c r="F195" s="52">
        <v>0</v>
      </c>
      <c r="G195" s="52">
        <v>0</v>
      </c>
      <c r="H195" s="52">
        <v>0</v>
      </c>
      <c r="I195" s="52">
        <v>0</v>
      </c>
      <c r="J195" s="52">
        <v>0</v>
      </c>
      <c r="K195" s="52">
        <v>0</v>
      </c>
      <c r="L195" s="52">
        <v>0</v>
      </c>
      <c r="M195" s="52">
        <v>0</v>
      </c>
      <c r="N195" s="52">
        <v>0</v>
      </c>
      <c r="O195" s="52">
        <v>0</v>
      </c>
      <c r="P195" s="52">
        <v>0</v>
      </c>
      <c r="Q195" s="52">
        <v>0</v>
      </c>
      <c r="R195" s="52">
        <v>0</v>
      </c>
      <c r="S195" s="52">
        <v>0</v>
      </c>
      <c r="T195" s="52">
        <v>0</v>
      </c>
      <c r="U195" s="52">
        <v>0</v>
      </c>
      <c r="V195" s="52">
        <v>0</v>
      </c>
      <c r="W195" s="52">
        <v>0</v>
      </c>
      <c r="X195" s="52">
        <v>0</v>
      </c>
      <c r="Y195" s="52">
        <v>0</v>
      </c>
      <c r="Z195" s="52">
        <v>0</v>
      </c>
      <c r="AA195" s="52">
        <v>0</v>
      </c>
      <c r="AB195" s="52">
        <v>0</v>
      </c>
      <c r="AC195" s="52">
        <v>0</v>
      </c>
      <c r="AD195" s="52">
        <v>0</v>
      </c>
      <c r="AE195" s="52">
        <v>0</v>
      </c>
      <c r="AF195" s="52">
        <v>0</v>
      </c>
      <c r="AG195" s="52">
        <v>0</v>
      </c>
      <c r="AH195" s="52">
        <v>0</v>
      </c>
      <c r="AI195" s="52">
        <v>0</v>
      </c>
      <c r="AJ195" s="52">
        <v>0</v>
      </c>
      <c r="AK195" s="52">
        <v>0</v>
      </c>
      <c r="AL195" s="52">
        <v>0</v>
      </c>
      <c r="AM195" s="52">
        <v>0</v>
      </c>
      <c r="AN195" s="52">
        <v>0</v>
      </c>
      <c r="AO195" s="52">
        <v>0</v>
      </c>
      <c r="AP195" s="52">
        <v>0</v>
      </c>
      <c r="AQ195" s="52">
        <v>0</v>
      </c>
      <c r="AR195" s="52">
        <v>0</v>
      </c>
      <c r="AS195" s="52">
        <v>0</v>
      </c>
      <c r="AT195" s="52">
        <v>0</v>
      </c>
      <c r="AU195" s="52">
        <v>0</v>
      </c>
      <c r="AV195" s="52">
        <v>0</v>
      </c>
      <c r="AW195" s="52">
        <v>0</v>
      </c>
      <c r="AX195" s="52">
        <v>0</v>
      </c>
      <c r="AY195" s="52">
        <v>0</v>
      </c>
      <c r="AZ195" s="52">
        <v>0</v>
      </c>
      <c r="BA195" s="52">
        <v>0</v>
      </c>
      <c r="BB195" s="52">
        <v>0</v>
      </c>
      <c r="BC195" s="52">
        <v>0</v>
      </c>
      <c r="BD195" s="52">
        <v>0</v>
      </c>
      <c r="BE195" s="52">
        <v>0</v>
      </c>
      <c r="BF195" s="52">
        <v>0</v>
      </c>
      <c r="BG195" s="52">
        <v>0</v>
      </c>
      <c r="BH195" s="52">
        <v>0</v>
      </c>
      <c r="BI195" s="52">
        <v>0</v>
      </c>
      <c r="BJ195" s="52">
        <v>0</v>
      </c>
      <c r="BK195" s="52">
        <v>0</v>
      </c>
      <c r="BL195" s="52">
        <v>0</v>
      </c>
      <c r="BM195" s="52">
        <v>0</v>
      </c>
      <c r="BN195" s="52">
        <v>0</v>
      </c>
      <c r="BO195" s="52">
        <v>0</v>
      </c>
      <c r="BP195" s="52">
        <v>0</v>
      </c>
      <c r="BQ195" s="52">
        <v>0</v>
      </c>
      <c r="BR195" s="52">
        <v>0</v>
      </c>
      <c r="BS195" s="52">
        <v>0</v>
      </c>
      <c r="BT195" s="52">
        <v>0</v>
      </c>
      <c r="BU195" s="52">
        <v>0</v>
      </c>
      <c r="BV195" s="52">
        <v>0</v>
      </c>
      <c r="BW195" s="52">
        <v>0</v>
      </c>
    </row>
    <row r="196" spans="1:75" x14ac:dyDescent="0.3">
      <c r="A196" s="8" t="s">
        <v>104</v>
      </c>
      <c r="B196" s="8" t="s">
        <v>9</v>
      </c>
      <c r="C196" s="8" t="s">
        <v>69</v>
      </c>
      <c r="D196" s="52">
        <v>0</v>
      </c>
      <c r="E196" s="52">
        <v>0</v>
      </c>
      <c r="F196" s="52">
        <v>0</v>
      </c>
      <c r="G196" s="52">
        <v>0</v>
      </c>
      <c r="H196" s="52">
        <v>0</v>
      </c>
      <c r="I196" s="52">
        <v>0</v>
      </c>
      <c r="J196" s="52">
        <v>0</v>
      </c>
      <c r="K196" s="52">
        <v>0</v>
      </c>
      <c r="L196" s="52">
        <v>0</v>
      </c>
      <c r="M196" s="52">
        <v>0</v>
      </c>
      <c r="N196" s="52">
        <v>0</v>
      </c>
      <c r="O196" s="52">
        <v>0</v>
      </c>
      <c r="P196" s="52">
        <v>0</v>
      </c>
      <c r="Q196" s="52">
        <v>0</v>
      </c>
      <c r="R196" s="52">
        <v>0</v>
      </c>
      <c r="S196" s="52">
        <v>0</v>
      </c>
      <c r="T196" s="52">
        <v>0</v>
      </c>
      <c r="U196" s="52">
        <v>0</v>
      </c>
      <c r="V196" s="52">
        <v>0</v>
      </c>
      <c r="W196" s="52">
        <v>0</v>
      </c>
      <c r="X196" s="52">
        <v>0</v>
      </c>
      <c r="Y196" s="52">
        <v>0</v>
      </c>
      <c r="Z196" s="52">
        <v>0</v>
      </c>
      <c r="AA196" s="52">
        <v>0</v>
      </c>
      <c r="AB196" s="52">
        <v>0</v>
      </c>
      <c r="AC196" s="52">
        <v>0</v>
      </c>
      <c r="AD196" s="52">
        <v>0</v>
      </c>
      <c r="AE196" s="52">
        <v>0</v>
      </c>
      <c r="AF196" s="52">
        <v>0</v>
      </c>
      <c r="AG196" s="52">
        <v>0</v>
      </c>
      <c r="AH196" s="52">
        <v>0</v>
      </c>
      <c r="AI196" s="52">
        <v>0</v>
      </c>
      <c r="AJ196" s="52">
        <v>0</v>
      </c>
      <c r="AK196" s="52">
        <v>0</v>
      </c>
      <c r="AL196" s="52">
        <v>0</v>
      </c>
      <c r="AM196" s="52">
        <v>0</v>
      </c>
      <c r="AN196" s="52">
        <v>0</v>
      </c>
      <c r="AO196" s="52">
        <v>0</v>
      </c>
      <c r="AP196" s="52">
        <v>0</v>
      </c>
      <c r="AQ196" s="52">
        <v>0</v>
      </c>
      <c r="AR196" s="52">
        <v>0</v>
      </c>
      <c r="AS196" s="52">
        <v>0</v>
      </c>
      <c r="AT196" s="52">
        <v>0</v>
      </c>
      <c r="AU196" s="52">
        <v>0</v>
      </c>
      <c r="AV196" s="52">
        <v>0</v>
      </c>
      <c r="AW196" s="52">
        <v>0</v>
      </c>
      <c r="AX196" s="52">
        <v>0</v>
      </c>
      <c r="AY196" s="52">
        <v>0</v>
      </c>
      <c r="AZ196" s="52">
        <v>0</v>
      </c>
      <c r="BA196" s="52">
        <v>0</v>
      </c>
      <c r="BB196" s="52">
        <v>0</v>
      </c>
      <c r="BC196" s="52">
        <v>0</v>
      </c>
      <c r="BD196" s="52">
        <v>0</v>
      </c>
      <c r="BE196" s="52">
        <v>0</v>
      </c>
      <c r="BF196" s="52">
        <v>0</v>
      </c>
      <c r="BG196" s="52">
        <v>0</v>
      </c>
      <c r="BH196" s="52">
        <v>0</v>
      </c>
      <c r="BI196" s="52">
        <v>0</v>
      </c>
      <c r="BJ196" s="52">
        <v>0</v>
      </c>
      <c r="BK196" s="52">
        <v>0</v>
      </c>
      <c r="BL196" s="52">
        <v>0</v>
      </c>
      <c r="BM196" s="52">
        <v>0</v>
      </c>
      <c r="BN196" s="52">
        <v>0</v>
      </c>
      <c r="BO196" s="52">
        <v>0</v>
      </c>
      <c r="BP196" s="52">
        <v>0</v>
      </c>
      <c r="BQ196" s="52">
        <v>0</v>
      </c>
      <c r="BR196" s="52">
        <v>0</v>
      </c>
      <c r="BS196" s="52">
        <v>0</v>
      </c>
      <c r="BT196" s="52">
        <v>0</v>
      </c>
      <c r="BU196" s="52">
        <v>0</v>
      </c>
      <c r="BV196" s="52">
        <v>0</v>
      </c>
      <c r="BW196" s="52">
        <v>0</v>
      </c>
    </row>
    <row r="197" spans="1:75" x14ac:dyDescent="0.3">
      <c r="A197" s="8" t="s">
        <v>104</v>
      </c>
      <c r="B197" s="8" t="s">
        <v>9</v>
      </c>
      <c r="C197" s="8" t="s">
        <v>27</v>
      </c>
      <c r="D197" s="52">
        <v>150</v>
      </c>
      <c r="E197" s="52">
        <v>150</v>
      </c>
      <c r="F197" s="52">
        <v>126.00000000000003</v>
      </c>
      <c r="G197" s="52">
        <v>150</v>
      </c>
      <c r="H197" s="52">
        <v>150</v>
      </c>
      <c r="I197" s="52">
        <v>126.00000000000003</v>
      </c>
      <c r="J197" s="52">
        <v>150</v>
      </c>
      <c r="K197" s="52">
        <v>150</v>
      </c>
      <c r="L197" s="52">
        <v>101.79130434782611</v>
      </c>
      <c r="M197" s="52">
        <v>150</v>
      </c>
      <c r="N197" s="52">
        <v>150</v>
      </c>
      <c r="O197" s="52">
        <v>101.79130434782611</v>
      </c>
      <c r="P197" s="52">
        <v>150</v>
      </c>
      <c r="Q197" s="52">
        <v>150</v>
      </c>
      <c r="R197" s="52">
        <v>133.64252069902909</v>
      </c>
      <c r="S197" s="52">
        <v>150</v>
      </c>
      <c r="T197" s="52">
        <v>150</v>
      </c>
      <c r="U197" s="52">
        <v>53.003029899029293</v>
      </c>
      <c r="V197" s="52">
        <v>150</v>
      </c>
      <c r="W197" s="52">
        <v>150</v>
      </c>
      <c r="X197" s="52">
        <v>44.832240434555302</v>
      </c>
      <c r="Y197" s="52">
        <v>150</v>
      </c>
      <c r="Z197" s="52">
        <v>138.77300049999985</v>
      </c>
      <c r="AA197" s="52">
        <v>44.832240434555302</v>
      </c>
      <c r="AB197" s="52">
        <v>150</v>
      </c>
      <c r="AC197" s="52">
        <v>140.54499787012972</v>
      </c>
      <c r="AD197" s="52">
        <v>0</v>
      </c>
      <c r="AE197" s="52">
        <v>150</v>
      </c>
      <c r="AF197" s="52">
        <v>135.01316800000041</v>
      </c>
      <c r="AG197" s="52">
        <v>0</v>
      </c>
      <c r="AH197" s="52">
        <v>150</v>
      </c>
      <c r="AI197" s="52">
        <v>110.87755102040818</v>
      </c>
      <c r="AJ197" s="52">
        <v>0</v>
      </c>
      <c r="AK197" s="52">
        <v>150</v>
      </c>
      <c r="AL197" s="52">
        <v>0</v>
      </c>
      <c r="AM197" s="52">
        <v>0</v>
      </c>
      <c r="AN197" s="52">
        <v>150</v>
      </c>
      <c r="AO197" s="52">
        <v>77.793846153846161</v>
      </c>
      <c r="AP197" s="52">
        <v>0</v>
      </c>
      <c r="AQ197" s="52">
        <v>150</v>
      </c>
      <c r="AR197" s="52">
        <v>77.793846153846161</v>
      </c>
      <c r="AS197" s="52">
        <v>0</v>
      </c>
      <c r="AT197" s="52">
        <v>150</v>
      </c>
      <c r="AU197" s="52">
        <v>131.78181818181815</v>
      </c>
      <c r="AV197" s="52">
        <v>0</v>
      </c>
      <c r="AW197" s="52">
        <v>0</v>
      </c>
      <c r="AX197" s="52">
        <v>0</v>
      </c>
      <c r="AY197" s="52">
        <v>0</v>
      </c>
      <c r="AZ197" s="52">
        <v>150</v>
      </c>
      <c r="BA197" s="52">
        <v>150</v>
      </c>
      <c r="BB197" s="52">
        <v>0</v>
      </c>
      <c r="BC197" s="52">
        <v>150</v>
      </c>
      <c r="BD197" s="52">
        <v>141.32307692307691</v>
      </c>
      <c r="BE197" s="52">
        <v>0</v>
      </c>
      <c r="BF197" s="52">
        <v>150</v>
      </c>
      <c r="BG197" s="52">
        <v>150</v>
      </c>
      <c r="BH197" s="52">
        <v>107.91474180000088</v>
      </c>
      <c r="BI197" s="52">
        <v>150</v>
      </c>
      <c r="BJ197" s="52">
        <v>105.02504070769118</v>
      </c>
      <c r="BK197" s="52">
        <v>0</v>
      </c>
      <c r="BL197" s="52">
        <v>150</v>
      </c>
      <c r="BM197" s="52">
        <v>150</v>
      </c>
      <c r="BN197" s="52">
        <v>130.8141443506849</v>
      </c>
      <c r="BO197" s="52">
        <v>150</v>
      </c>
      <c r="BP197" s="52">
        <v>150</v>
      </c>
      <c r="BQ197" s="52">
        <v>57.171121950685034</v>
      </c>
      <c r="BR197" s="52">
        <v>150</v>
      </c>
      <c r="BS197" s="52">
        <v>150</v>
      </c>
      <c r="BT197" s="52">
        <v>150</v>
      </c>
      <c r="BU197" s="52">
        <v>150</v>
      </c>
      <c r="BV197" s="52">
        <v>150</v>
      </c>
      <c r="BW197" s="52">
        <v>49.787755102040819</v>
      </c>
    </row>
    <row r="198" spans="1:75" x14ac:dyDescent="0.3">
      <c r="A198" s="8" t="s">
        <v>104</v>
      </c>
      <c r="B198" s="8" t="s">
        <v>9</v>
      </c>
      <c r="C198" s="8" t="s">
        <v>144</v>
      </c>
      <c r="D198" s="52">
        <v>200</v>
      </c>
      <c r="E198" s="52">
        <v>43.794943199999601</v>
      </c>
      <c r="F198" s="52">
        <v>0</v>
      </c>
      <c r="G198" s="52">
        <v>200</v>
      </c>
      <c r="H198" s="52">
        <v>0</v>
      </c>
      <c r="I198" s="52">
        <v>0</v>
      </c>
      <c r="J198" s="52">
        <v>200</v>
      </c>
      <c r="K198" s="52">
        <v>0</v>
      </c>
      <c r="L198" s="52">
        <v>0</v>
      </c>
      <c r="M198" s="52">
        <v>200</v>
      </c>
      <c r="N198" s="52">
        <v>0</v>
      </c>
      <c r="O198" s="52">
        <v>0</v>
      </c>
      <c r="P198" s="52">
        <v>200</v>
      </c>
      <c r="Q198" s="52">
        <v>3.3764733358492784</v>
      </c>
      <c r="R198" s="52">
        <v>0</v>
      </c>
      <c r="S198" s="52">
        <v>200</v>
      </c>
      <c r="T198" s="52">
        <v>3.3764733358492784</v>
      </c>
      <c r="U198" s="52">
        <v>0</v>
      </c>
      <c r="V198" s="52">
        <v>200</v>
      </c>
      <c r="W198" s="52">
        <v>0</v>
      </c>
      <c r="X198" s="52">
        <v>0</v>
      </c>
      <c r="Y198" s="52">
        <v>200</v>
      </c>
      <c r="Z198" s="52">
        <v>0</v>
      </c>
      <c r="AA198" s="52">
        <v>0</v>
      </c>
      <c r="AB198" s="52">
        <v>179.74296714008193</v>
      </c>
      <c r="AC198" s="52">
        <v>0</v>
      </c>
      <c r="AD198" s="52">
        <v>0</v>
      </c>
      <c r="AE198" s="52">
        <v>114.12627006195473</v>
      </c>
      <c r="AF198" s="52">
        <v>0</v>
      </c>
      <c r="AG198" s="52">
        <v>0</v>
      </c>
      <c r="AH198" s="52">
        <v>200</v>
      </c>
      <c r="AI198" s="52">
        <v>0</v>
      </c>
      <c r="AJ198" s="52">
        <v>0</v>
      </c>
      <c r="AK198" s="52">
        <v>0</v>
      </c>
      <c r="AL198" s="52">
        <v>0</v>
      </c>
      <c r="AM198" s="52">
        <v>0</v>
      </c>
      <c r="AN198" s="52">
        <v>200</v>
      </c>
      <c r="AO198" s="52">
        <v>38.851380946154286</v>
      </c>
      <c r="AP198" s="52">
        <v>0</v>
      </c>
      <c r="AQ198" s="52">
        <v>200</v>
      </c>
      <c r="AR198" s="52">
        <v>38.851380946154286</v>
      </c>
      <c r="AS198" s="52">
        <v>0</v>
      </c>
      <c r="AT198" s="52">
        <v>200</v>
      </c>
      <c r="AU198" s="52">
        <v>11.231103833565774</v>
      </c>
      <c r="AV198" s="52">
        <v>0</v>
      </c>
      <c r="AW198" s="52">
        <v>152.0085778000003</v>
      </c>
      <c r="AX198" s="52">
        <v>0</v>
      </c>
      <c r="AY198" s="52">
        <v>0</v>
      </c>
      <c r="AZ198" s="52">
        <v>0</v>
      </c>
      <c r="BA198" s="52">
        <v>0</v>
      </c>
      <c r="BB198" s="52">
        <v>0</v>
      </c>
      <c r="BC198" s="52">
        <v>0</v>
      </c>
      <c r="BD198" s="52">
        <v>0</v>
      </c>
      <c r="BE198" s="52">
        <v>0</v>
      </c>
      <c r="BF198" s="52">
        <v>200</v>
      </c>
      <c r="BG198" s="52">
        <v>0</v>
      </c>
      <c r="BH198" s="52">
        <v>0</v>
      </c>
      <c r="BI198" s="52">
        <v>115.93584200000031</v>
      </c>
      <c r="BJ198" s="52">
        <v>0</v>
      </c>
      <c r="BK198" s="52">
        <v>0</v>
      </c>
      <c r="BL198" s="52">
        <v>200</v>
      </c>
      <c r="BM198" s="52">
        <v>0</v>
      </c>
      <c r="BN198" s="52">
        <v>0</v>
      </c>
      <c r="BO198" s="52">
        <v>200</v>
      </c>
      <c r="BP198" s="52">
        <v>0</v>
      </c>
      <c r="BQ198" s="52">
        <v>0</v>
      </c>
      <c r="BR198" s="52">
        <v>200</v>
      </c>
      <c r="BS198" s="52">
        <v>200</v>
      </c>
      <c r="BT198" s="52">
        <v>0</v>
      </c>
      <c r="BU198" s="52">
        <v>200</v>
      </c>
      <c r="BV198" s="52">
        <v>0</v>
      </c>
      <c r="BW198" s="52">
        <v>0</v>
      </c>
    </row>
    <row r="199" spans="1:75" x14ac:dyDescent="0.3">
      <c r="A199" s="8" t="s">
        <v>104</v>
      </c>
      <c r="B199" s="8" t="s">
        <v>9</v>
      </c>
      <c r="C199" s="8" t="s">
        <v>145</v>
      </c>
      <c r="D199" s="52">
        <v>120.23188730000034</v>
      </c>
      <c r="E199" s="52">
        <v>0</v>
      </c>
      <c r="F199" s="52">
        <v>0</v>
      </c>
      <c r="G199" s="52">
        <v>120.23188730000034</v>
      </c>
      <c r="H199" s="52">
        <v>0</v>
      </c>
      <c r="I199" s="52">
        <v>0</v>
      </c>
      <c r="J199" s="52">
        <v>50.510951300000386</v>
      </c>
      <c r="K199" s="52">
        <v>0</v>
      </c>
      <c r="L199" s="52">
        <v>0</v>
      </c>
      <c r="M199" s="52">
        <v>50.510951300000386</v>
      </c>
      <c r="N199" s="52">
        <v>0</v>
      </c>
      <c r="O199" s="52">
        <v>0</v>
      </c>
      <c r="P199" s="52">
        <v>0</v>
      </c>
      <c r="Q199" s="52">
        <v>0</v>
      </c>
      <c r="R199" s="52">
        <v>0</v>
      </c>
      <c r="S199" s="52">
        <v>0</v>
      </c>
      <c r="T199" s="52">
        <v>0</v>
      </c>
      <c r="U199" s="52">
        <v>0</v>
      </c>
      <c r="V199" s="52">
        <v>0</v>
      </c>
      <c r="W199" s="52">
        <v>0</v>
      </c>
      <c r="X199" s="52">
        <v>0</v>
      </c>
      <c r="Y199" s="52">
        <v>0</v>
      </c>
      <c r="Z199" s="52">
        <v>0</v>
      </c>
      <c r="AA199" s="52">
        <v>0</v>
      </c>
      <c r="AB199" s="52">
        <v>0</v>
      </c>
      <c r="AC199" s="52">
        <v>0</v>
      </c>
      <c r="AD199" s="52">
        <v>0</v>
      </c>
      <c r="AE199" s="52">
        <v>0</v>
      </c>
      <c r="AF199" s="52">
        <v>0</v>
      </c>
      <c r="AG199" s="52">
        <v>0</v>
      </c>
      <c r="AH199" s="52">
        <v>108.62500299999944</v>
      </c>
      <c r="AI199" s="52">
        <v>0</v>
      </c>
      <c r="AJ199" s="52">
        <v>0</v>
      </c>
      <c r="AK199" s="52">
        <v>0</v>
      </c>
      <c r="AL199" s="52">
        <v>0</v>
      </c>
      <c r="AM199" s="52">
        <v>0</v>
      </c>
      <c r="AN199" s="52">
        <v>92.014282899999813</v>
      </c>
      <c r="AO199" s="52">
        <v>0</v>
      </c>
      <c r="AP199" s="52">
        <v>0</v>
      </c>
      <c r="AQ199" s="52">
        <v>92.014282899999813</v>
      </c>
      <c r="AR199" s="52">
        <v>0</v>
      </c>
      <c r="AS199" s="52">
        <v>0</v>
      </c>
      <c r="AT199" s="52">
        <v>123.48020809999996</v>
      </c>
      <c r="AU199" s="52">
        <v>36.21332048461624</v>
      </c>
      <c r="AV199" s="52">
        <v>0</v>
      </c>
      <c r="AW199" s="52">
        <v>0</v>
      </c>
      <c r="AX199" s="52">
        <v>0</v>
      </c>
      <c r="AY199" s="52">
        <v>0</v>
      </c>
      <c r="AZ199" s="52">
        <v>171.46914630000038</v>
      </c>
      <c r="BA199" s="52">
        <v>0</v>
      </c>
      <c r="BB199" s="52">
        <v>0</v>
      </c>
      <c r="BC199" s="52">
        <v>171.46914630000038</v>
      </c>
      <c r="BD199" s="52">
        <v>0</v>
      </c>
      <c r="BE199" s="52">
        <v>0</v>
      </c>
      <c r="BF199" s="52">
        <v>80.479987000000079</v>
      </c>
      <c r="BG199" s="52">
        <v>0</v>
      </c>
      <c r="BH199" s="52">
        <v>0</v>
      </c>
      <c r="BI199" s="52">
        <v>0</v>
      </c>
      <c r="BJ199" s="52">
        <v>0</v>
      </c>
      <c r="BK199" s="52">
        <v>0</v>
      </c>
      <c r="BL199" s="52">
        <v>185.05046319999985</v>
      </c>
      <c r="BM199" s="52">
        <v>0</v>
      </c>
      <c r="BN199" s="52">
        <v>0</v>
      </c>
      <c r="BO199" s="52">
        <v>185.05046319999985</v>
      </c>
      <c r="BP199" s="52">
        <v>0</v>
      </c>
      <c r="BQ199" s="52">
        <v>0</v>
      </c>
      <c r="BR199" s="52">
        <v>180.00075389558495</v>
      </c>
      <c r="BS199" s="52">
        <v>7.9645953000002656</v>
      </c>
      <c r="BT199" s="52">
        <v>0</v>
      </c>
      <c r="BU199" s="52">
        <v>152.51075030000055</v>
      </c>
      <c r="BV199" s="52">
        <v>0</v>
      </c>
      <c r="BW199" s="52">
        <v>0</v>
      </c>
    </row>
    <row r="200" spans="1:75" x14ac:dyDescent="0.3">
      <c r="A200" s="8" t="s">
        <v>104</v>
      </c>
      <c r="B200" s="8" t="s">
        <v>9</v>
      </c>
      <c r="C200" s="8" t="s">
        <v>146</v>
      </c>
      <c r="D200" s="52">
        <v>200</v>
      </c>
      <c r="E200" s="52">
        <v>200</v>
      </c>
      <c r="F200" s="52">
        <v>0</v>
      </c>
      <c r="G200" s="52">
        <v>200</v>
      </c>
      <c r="H200" s="52">
        <v>0</v>
      </c>
      <c r="I200" s="52">
        <v>0</v>
      </c>
      <c r="J200" s="52">
        <v>200</v>
      </c>
      <c r="K200" s="52">
        <v>153.69588689999946</v>
      </c>
      <c r="L200" s="52">
        <v>0</v>
      </c>
      <c r="M200" s="52">
        <v>200</v>
      </c>
      <c r="N200" s="52">
        <v>65.899587999999738</v>
      </c>
      <c r="O200" s="52">
        <v>0</v>
      </c>
      <c r="P200" s="52">
        <v>200</v>
      </c>
      <c r="Q200" s="52">
        <v>105.57189776415088</v>
      </c>
      <c r="R200" s="52">
        <v>0</v>
      </c>
      <c r="S200" s="52">
        <v>200</v>
      </c>
      <c r="T200" s="52">
        <v>105.57189776415088</v>
      </c>
      <c r="U200" s="52">
        <v>0</v>
      </c>
      <c r="V200" s="52">
        <v>25.556540099999857</v>
      </c>
      <c r="W200" s="52">
        <v>0</v>
      </c>
      <c r="X200" s="52">
        <v>0</v>
      </c>
      <c r="Y200" s="52">
        <v>0</v>
      </c>
      <c r="Z200" s="52">
        <v>0</v>
      </c>
      <c r="AA200" s="52">
        <v>0</v>
      </c>
      <c r="AB200" s="52">
        <v>105.47650883804572</v>
      </c>
      <c r="AC200" s="52">
        <v>0</v>
      </c>
      <c r="AD200" s="52">
        <v>0</v>
      </c>
      <c r="AE200" s="52">
        <v>105.47650883804572</v>
      </c>
      <c r="AF200" s="52">
        <v>0</v>
      </c>
      <c r="AG200" s="52">
        <v>0</v>
      </c>
      <c r="AH200" s="52">
        <v>200</v>
      </c>
      <c r="AI200" s="52">
        <v>161.89972747959203</v>
      </c>
      <c r="AJ200" s="52">
        <v>0</v>
      </c>
      <c r="AK200" s="52">
        <v>111.71754080000018</v>
      </c>
      <c r="AL200" s="52">
        <v>0</v>
      </c>
      <c r="AM200" s="52">
        <v>0</v>
      </c>
      <c r="AN200" s="52">
        <v>200</v>
      </c>
      <c r="AO200" s="52">
        <v>200</v>
      </c>
      <c r="AP200" s="52">
        <v>0</v>
      </c>
      <c r="AQ200" s="52">
        <v>200</v>
      </c>
      <c r="AR200" s="52">
        <v>200</v>
      </c>
      <c r="AS200" s="52">
        <v>0</v>
      </c>
      <c r="AT200" s="52">
        <v>200</v>
      </c>
      <c r="AU200" s="52">
        <v>200</v>
      </c>
      <c r="AV200" s="52">
        <v>0</v>
      </c>
      <c r="AW200" s="52">
        <v>200</v>
      </c>
      <c r="AX200" s="52">
        <v>103.69166919999951</v>
      </c>
      <c r="AY200" s="52">
        <v>0</v>
      </c>
      <c r="AZ200" s="52">
        <v>200</v>
      </c>
      <c r="BA200" s="52">
        <v>22.734652476923188</v>
      </c>
      <c r="BB200" s="52">
        <v>0</v>
      </c>
      <c r="BC200" s="52">
        <v>200</v>
      </c>
      <c r="BD200" s="52">
        <v>22.734652476923188</v>
      </c>
      <c r="BE200" s="52">
        <v>0</v>
      </c>
      <c r="BF200" s="52">
        <v>200</v>
      </c>
      <c r="BG200" s="52">
        <v>140.58368710000013</v>
      </c>
      <c r="BH200" s="52">
        <v>0</v>
      </c>
      <c r="BI200" s="52">
        <v>200</v>
      </c>
      <c r="BJ200" s="52">
        <v>0</v>
      </c>
      <c r="BK200" s="52">
        <v>0</v>
      </c>
      <c r="BL200" s="52">
        <v>200</v>
      </c>
      <c r="BM200" s="52">
        <v>186.22094609999985</v>
      </c>
      <c r="BN200" s="52">
        <v>0</v>
      </c>
      <c r="BO200" s="52">
        <v>200</v>
      </c>
      <c r="BP200" s="52">
        <v>186.22094609999985</v>
      </c>
      <c r="BQ200" s="52">
        <v>0</v>
      </c>
      <c r="BR200" s="52">
        <v>200</v>
      </c>
      <c r="BS200" s="52">
        <v>200</v>
      </c>
      <c r="BT200" s="52">
        <v>0</v>
      </c>
      <c r="BU200" s="52">
        <v>200</v>
      </c>
      <c r="BV200" s="52">
        <v>89.287420699999444</v>
      </c>
      <c r="BW200" s="52">
        <v>0</v>
      </c>
    </row>
    <row r="201" spans="1:75" x14ac:dyDescent="0.3">
      <c r="A201" s="8" t="s">
        <v>104</v>
      </c>
      <c r="B201" s="8" t="s">
        <v>9</v>
      </c>
      <c r="C201" s="8" t="s">
        <v>28</v>
      </c>
      <c r="D201" s="52">
        <v>200</v>
      </c>
      <c r="E201" s="52">
        <v>200</v>
      </c>
      <c r="F201" s="52">
        <v>200</v>
      </c>
      <c r="G201" s="52">
        <v>200</v>
      </c>
      <c r="H201" s="52">
        <v>200</v>
      </c>
      <c r="I201" s="52">
        <v>200</v>
      </c>
      <c r="J201" s="52">
        <v>200</v>
      </c>
      <c r="K201" s="52">
        <v>200</v>
      </c>
      <c r="L201" s="52">
        <v>200</v>
      </c>
      <c r="M201" s="52">
        <v>200</v>
      </c>
      <c r="N201" s="52">
        <v>200</v>
      </c>
      <c r="O201" s="52">
        <v>200</v>
      </c>
      <c r="P201" s="52">
        <v>200</v>
      </c>
      <c r="Q201" s="52">
        <v>200</v>
      </c>
      <c r="R201" s="52">
        <v>200</v>
      </c>
      <c r="S201" s="52">
        <v>200</v>
      </c>
      <c r="T201" s="52">
        <v>200</v>
      </c>
      <c r="U201" s="52">
        <v>200</v>
      </c>
      <c r="V201" s="52">
        <v>200</v>
      </c>
      <c r="W201" s="52">
        <v>200</v>
      </c>
      <c r="X201" s="52">
        <v>200</v>
      </c>
      <c r="Y201" s="52">
        <v>200</v>
      </c>
      <c r="Z201" s="52">
        <v>200</v>
      </c>
      <c r="AA201" s="52">
        <v>200</v>
      </c>
      <c r="AB201" s="52">
        <v>200</v>
      </c>
      <c r="AC201" s="52">
        <v>200</v>
      </c>
      <c r="AD201" s="52">
        <v>200</v>
      </c>
      <c r="AE201" s="52">
        <v>200</v>
      </c>
      <c r="AF201" s="52">
        <v>200</v>
      </c>
      <c r="AG201" s="52">
        <v>200</v>
      </c>
      <c r="AH201" s="52">
        <v>200</v>
      </c>
      <c r="AI201" s="52">
        <v>200</v>
      </c>
      <c r="AJ201" s="52">
        <v>200</v>
      </c>
      <c r="AK201" s="52">
        <v>200</v>
      </c>
      <c r="AL201" s="52">
        <v>200</v>
      </c>
      <c r="AM201" s="52">
        <v>200</v>
      </c>
      <c r="AN201" s="52">
        <v>200</v>
      </c>
      <c r="AO201" s="52">
        <v>200</v>
      </c>
      <c r="AP201" s="52">
        <v>200</v>
      </c>
      <c r="AQ201" s="52">
        <v>200</v>
      </c>
      <c r="AR201" s="52">
        <v>200</v>
      </c>
      <c r="AS201" s="52">
        <v>200</v>
      </c>
      <c r="AT201" s="52">
        <v>200</v>
      </c>
      <c r="AU201" s="52">
        <v>200</v>
      </c>
      <c r="AV201" s="52">
        <v>200</v>
      </c>
      <c r="AW201" s="52">
        <v>200</v>
      </c>
      <c r="AX201" s="52">
        <v>200</v>
      </c>
      <c r="AY201" s="52">
        <v>200</v>
      </c>
      <c r="AZ201" s="52">
        <v>200</v>
      </c>
      <c r="BA201" s="52">
        <v>200</v>
      </c>
      <c r="BB201" s="52">
        <v>200</v>
      </c>
      <c r="BC201" s="52">
        <v>200</v>
      </c>
      <c r="BD201" s="52">
        <v>200</v>
      </c>
      <c r="BE201" s="52">
        <v>200</v>
      </c>
      <c r="BF201" s="52">
        <v>200</v>
      </c>
      <c r="BG201" s="52">
        <v>200</v>
      </c>
      <c r="BH201" s="52">
        <v>200</v>
      </c>
      <c r="BI201" s="52">
        <v>200</v>
      </c>
      <c r="BJ201" s="52">
        <v>200</v>
      </c>
      <c r="BK201" s="52">
        <v>200</v>
      </c>
      <c r="BL201" s="52">
        <v>200</v>
      </c>
      <c r="BM201" s="52">
        <v>200</v>
      </c>
      <c r="BN201" s="52">
        <v>200</v>
      </c>
      <c r="BO201" s="52">
        <v>200</v>
      </c>
      <c r="BP201" s="52">
        <v>200</v>
      </c>
      <c r="BQ201" s="52">
        <v>200</v>
      </c>
      <c r="BR201" s="52">
        <v>200</v>
      </c>
      <c r="BS201" s="52">
        <v>200</v>
      </c>
      <c r="BT201" s="52">
        <v>200</v>
      </c>
      <c r="BU201" s="52">
        <v>200</v>
      </c>
      <c r="BV201" s="52">
        <v>200</v>
      </c>
      <c r="BW201" s="52">
        <v>200</v>
      </c>
    </row>
    <row r="202" spans="1:75" x14ac:dyDescent="0.3">
      <c r="A202" s="8" t="s">
        <v>104</v>
      </c>
      <c r="B202" s="8" t="s">
        <v>10</v>
      </c>
      <c r="C202" s="8" t="s">
        <v>60</v>
      </c>
      <c r="D202" s="52">
        <v>771.6</v>
      </c>
      <c r="E202" s="52">
        <v>771.6</v>
      </c>
      <c r="F202" s="52">
        <v>771.6</v>
      </c>
      <c r="G202" s="52">
        <v>771.6</v>
      </c>
      <c r="H202" s="52">
        <v>771.6</v>
      </c>
      <c r="I202" s="52">
        <v>771.6</v>
      </c>
      <c r="J202" s="52">
        <v>771.6</v>
      </c>
      <c r="K202" s="52">
        <v>771.6</v>
      </c>
      <c r="L202" s="52">
        <v>771.6</v>
      </c>
      <c r="M202" s="52">
        <v>771.6</v>
      </c>
      <c r="N202" s="52">
        <v>771.6</v>
      </c>
      <c r="O202" s="52">
        <v>771.6</v>
      </c>
      <c r="P202" s="52">
        <v>771.6</v>
      </c>
      <c r="Q202" s="52">
        <v>771.6</v>
      </c>
      <c r="R202" s="52">
        <v>771.6</v>
      </c>
      <c r="S202" s="52">
        <v>771.6</v>
      </c>
      <c r="T202" s="52">
        <v>771.6</v>
      </c>
      <c r="U202" s="52">
        <v>771.6</v>
      </c>
      <c r="V202" s="52">
        <v>771.6</v>
      </c>
      <c r="W202" s="52">
        <v>771.6</v>
      </c>
      <c r="X202" s="52">
        <v>771.6</v>
      </c>
      <c r="Y202" s="52">
        <v>771.6</v>
      </c>
      <c r="Z202" s="52">
        <v>771.6</v>
      </c>
      <c r="AA202" s="52">
        <v>771.6</v>
      </c>
      <c r="AB202" s="52">
        <v>771.6</v>
      </c>
      <c r="AC202" s="52">
        <v>771.6</v>
      </c>
      <c r="AD202" s="52">
        <v>771.6</v>
      </c>
      <c r="AE202" s="52">
        <v>771.6</v>
      </c>
      <c r="AF202" s="52">
        <v>771.6</v>
      </c>
      <c r="AG202" s="52">
        <v>771.6</v>
      </c>
      <c r="AH202" s="52">
        <v>771.6</v>
      </c>
      <c r="AI202" s="52">
        <v>771.6</v>
      </c>
      <c r="AJ202" s="52">
        <v>771.6</v>
      </c>
      <c r="AK202" s="52">
        <v>771.6</v>
      </c>
      <c r="AL202" s="52">
        <v>771.6</v>
      </c>
      <c r="AM202" s="52">
        <v>771.6</v>
      </c>
      <c r="AN202" s="52">
        <v>771.6</v>
      </c>
      <c r="AO202" s="52">
        <v>771.6</v>
      </c>
      <c r="AP202" s="52">
        <v>771.6</v>
      </c>
      <c r="AQ202" s="52">
        <v>771.6</v>
      </c>
      <c r="AR202" s="52">
        <v>771.6</v>
      </c>
      <c r="AS202" s="52">
        <v>771.6</v>
      </c>
      <c r="AT202" s="52">
        <v>771.6</v>
      </c>
      <c r="AU202" s="52">
        <v>771.6</v>
      </c>
      <c r="AV202" s="52">
        <v>771.6</v>
      </c>
      <c r="AW202" s="52">
        <v>771.6</v>
      </c>
      <c r="AX202" s="52">
        <v>771.6</v>
      </c>
      <c r="AY202" s="52">
        <v>771.6</v>
      </c>
      <c r="AZ202" s="52">
        <v>771.6</v>
      </c>
      <c r="BA202" s="52">
        <v>771.6</v>
      </c>
      <c r="BB202" s="52">
        <v>771.6</v>
      </c>
      <c r="BC202" s="52">
        <v>771.6</v>
      </c>
      <c r="BD202" s="52">
        <v>771.6</v>
      </c>
      <c r="BE202" s="52">
        <v>771.6</v>
      </c>
      <c r="BF202" s="52">
        <v>771.6</v>
      </c>
      <c r="BG202" s="52">
        <v>771.6</v>
      </c>
      <c r="BH202" s="52">
        <v>771.6</v>
      </c>
      <c r="BI202" s="52">
        <v>771.6</v>
      </c>
      <c r="BJ202" s="52">
        <v>771.6</v>
      </c>
      <c r="BK202" s="52">
        <v>771.6</v>
      </c>
      <c r="BL202" s="52">
        <v>771.6</v>
      </c>
      <c r="BM202" s="52">
        <v>771.6</v>
      </c>
      <c r="BN202" s="52">
        <v>771.6</v>
      </c>
      <c r="BO202" s="52">
        <v>771.6</v>
      </c>
      <c r="BP202" s="52">
        <v>771.6</v>
      </c>
      <c r="BQ202" s="52">
        <v>771.6</v>
      </c>
      <c r="BR202" s="52">
        <v>771.6</v>
      </c>
      <c r="BS202" s="52">
        <v>771.6</v>
      </c>
      <c r="BT202" s="52">
        <v>771.6</v>
      </c>
      <c r="BU202" s="52">
        <v>771.6</v>
      </c>
      <c r="BV202" s="52">
        <v>771.6</v>
      </c>
      <c r="BW202" s="52">
        <v>771.6</v>
      </c>
    </row>
    <row r="203" spans="1:75" x14ac:dyDescent="0.3">
      <c r="A203" s="8" t="s">
        <v>104</v>
      </c>
      <c r="B203" s="8" t="s">
        <v>10</v>
      </c>
      <c r="C203" s="8" t="s">
        <v>150</v>
      </c>
      <c r="D203" s="52">
        <v>235.19999999999996</v>
      </c>
      <c r="E203" s="52">
        <v>235.19999999999996</v>
      </c>
      <c r="F203" s="52">
        <v>235.19999999999996</v>
      </c>
      <c r="G203" s="52">
        <v>235.19999999999925</v>
      </c>
      <c r="H203" s="52">
        <v>235.19999999999925</v>
      </c>
      <c r="I203" s="52">
        <v>235.19999999999925</v>
      </c>
      <c r="J203" s="52">
        <v>390.35823360000029</v>
      </c>
      <c r="K203" s="52">
        <v>235.19999999999996</v>
      </c>
      <c r="L203" s="52">
        <v>235.19999999999996</v>
      </c>
      <c r="M203" s="52">
        <v>280.11095130000155</v>
      </c>
      <c r="N203" s="52">
        <v>235.19999999999996</v>
      </c>
      <c r="O203" s="52">
        <v>235.19999999999996</v>
      </c>
      <c r="P203" s="52">
        <v>235.19999999999996</v>
      </c>
      <c r="Q203" s="52">
        <v>235.19999999999996</v>
      </c>
      <c r="R203" s="52">
        <v>235.19999999999996</v>
      </c>
      <c r="S203" s="52">
        <v>235.19999999999979</v>
      </c>
      <c r="T203" s="52">
        <v>235.19999999999979</v>
      </c>
      <c r="U203" s="52">
        <v>235.19999999999979</v>
      </c>
      <c r="V203" s="52">
        <v>256.63281190000009</v>
      </c>
      <c r="W203" s="52">
        <v>235.19999999999996</v>
      </c>
      <c r="X203" s="52">
        <v>235.19999999999996</v>
      </c>
      <c r="Y203" s="52">
        <v>256.63281190000009</v>
      </c>
      <c r="Z203" s="52">
        <v>235.1999999999999</v>
      </c>
      <c r="AA203" s="52">
        <v>235.1999999999999</v>
      </c>
      <c r="AB203" s="52">
        <v>235.19999999999996</v>
      </c>
      <c r="AC203" s="52">
        <v>235.19999999999996</v>
      </c>
      <c r="AD203" s="52">
        <v>235.19999999999996</v>
      </c>
      <c r="AE203" s="52">
        <v>235.19999999999996</v>
      </c>
      <c r="AF203" s="52">
        <v>235.19999999999996</v>
      </c>
      <c r="AG203" s="52">
        <v>235.19999999999996</v>
      </c>
      <c r="AH203" s="52">
        <v>235.19999999999996</v>
      </c>
      <c r="AI203" s="52">
        <v>235.19999999999996</v>
      </c>
      <c r="AJ203" s="52">
        <v>235.19999999999996</v>
      </c>
      <c r="AK203" s="52">
        <v>235.19999999999996</v>
      </c>
      <c r="AL203" s="52">
        <v>235.19999999999996</v>
      </c>
      <c r="AM203" s="52">
        <v>235.19999999999996</v>
      </c>
      <c r="AN203" s="52">
        <v>235.19999999999996</v>
      </c>
      <c r="AO203" s="52">
        <v>235.19999999999996</v>
      </c>
      <c r="AP203" s="52">
        <v>235.19999999999996</v>
      </c>
      <c r="AQ203" s="52">
        <v>235.19999999999996</v>
      </c>
      <c r="AR203" s="52">
        <v>235.19999999999996</v>
      </c>
      <c r="AS203" s="52">
        <v>235.19999999999996</v>
      </c>
      <c r="AT203" s="52">
        <v>252.40857780000019</v>
      </c>
      <c r="AU203" s="52">
        <v>235.19999999999996</v>
      </c>
      <c r="AV203" s="52">
        <v>235.19999999999996</v>
      </c>
      <c r="AW203" s="52">
        <v>252.40857780000019</v>
      </c>
      <c r="AX203" s="52">
        <v>235.19999999999996</v>
      </c>
      <c r="AY203" s="52">
        <v>235.19999999999996</v>
      </c>
      <c r="AZ203" s="52">
        <v>235.19999999999996</v>
      </c>
      <c r="BA203" s="52">
        <v>235.19999999999996</v>
      </c>
      <c r="BB203" s="52">
        <v>235.19999999999996</v>
      </c>
      <c r="BC203" s="52">
        <v>0</v>
      </c>
      <c r="BD203" s="52">
        <v>0</v>
      </c>
      <c r="BE203" s="52">
        <v>0</v>
      </c>
      <c r="BF203" s="52">
        <v>235.19999999999996</v>
      </c>
      <c r="BG203" s="52">
        <v>235.19999999999996</v>
      </c>
      <c r="BH203" s="52">
        <v>235.19999999999996</v>
      </c>
      <c r="BI203" s="52">
        <v>235.19999999999996</v>
      </c>
      <c r="BJ203" s="52">
        <v>235.19999999999996</v>
      </c>
      <c r="BK203" s="52">
        <v>235.19999999999996</v>
      </c>
      <c r="BL203" s="52">
        <v>235.19999999999996</v>
      </c>
      <c r="BM203" s="52">
        <v>235.19999999999996</v>
      </c>
      <c r="BN203" s="52">
        <v>235.19999999999996</v>
      </c>
      <c r="BO203" s="52">
        <v>235.19999999999996</v>
      </c>
      <c r="BP203" s="52">
        <v>235.19999999999996</v>
      </c>
      <c r="BQ203" s="52">
        <v>235.19999999999996</v>
      </c>
      <c r="BR203" s="52">
        <v>588</v>
      </c>
      <c r="BS203" s="52">
        <v>243.16459530000057</v>
      </c>
      <c r="BT203" s="52">
        <v>235.19999999999996</v>
      </c>
      <c r="BU203" s="52">
        <v>387.71075030000014</v>
      </c>
      <c r="BV203" s="52">
        <v>235.19999999999996</v>
      </c>
      <c r="BW203" s="52">
        <v>235.19999999999996</v>
      </c>
    </row>
    <row r="204" spans="1:75" x14ac:dyDescent="0.3">
      <c r="A204" s="8" t="s">
        <v>104</v>
      </c>
      <c r="B204" s="8" t="s">
        <v>10</v>
      </c>
      <c r="C204" s="8" t="s">
        <v>61</v>
      </c>
      <c r="D204" s="52">
        <v>169.60982469999979</v>
      </c>
      <c r="E204" s="52">
        <v>81.239999999999995</v>
      </c>
      <c r="F204" s="52">
        <v>81.239999999999995</v>
      </c>
      <c r="G204" s="52">
        <v>0</v>
      </c>
      <c r="H204" s="52">
        <v>0</v>
      </c>
      <c r="I204" s="52">
        <v>0</v>
      </c>
      <c r="J204" s="52">
        <v>0</v>
      </c>
      <c r="K204" s="52">
        <v>0</v>
      </c>
      <c r="L204" s="52">
        <v>0</v>
      </c>
      <c r="M204" s="52">
        <v>0</v>
      </c>
      <c r="N204" s="52">
        <v>0</v>
      </c>
      <c r="O204" s="52">
        <v>0</v>
      </c>
      <c r="P204" s="52">
        <v>0</v>
      </c>
      <c r="Q204" s="52">
        <v>0</v>
      </c>
      <c r="R204" s="52">
        <v>0</v>
      </c>
      <c r="S204" s="52">
        <v>0</v>
      </c>
      <c r="T204" s="52">
        <v>0</v>
      </c>
      <c r="U204" s="52">
        <v>0</v>
      </c>
      <c r="V204" s="52">
        <v>0</v>
      </c>
      <c r="W204" s="52">
        <v>0</v>
      </c>
      <c r="X204" s="52">
        <v>0</v>
      </c>
      <c r="Y204" s="52">
        <v>0</v>
      </c>
      <c r="Z204" s="52">
        <v>0</v>
      </c>
      <c r="AA204" s="52">
        <v>0</v>
      </c>
      <c r="AB204" s="52">
        <v>0</v>
      </c>
      <c r="AC204" s="52">
        <v>0</v>
      </c>
      <c r="AD204" s="52">
        <v>0</v>
      </c>
      <c r="AE204" s="52">
        <v>0</v>
      </c>
      <c r="AF204" s="52">
        <v>0</v>
      </c>
      <c r="AG204" s="52">
        <v>0</v>
      </c>
      <c r="AH204" s="52">
        <v>0</v>
      </c>
      <c r="AI204" s="52">
        <v>0</v>
      </c>
      <c r="AJ204" s="52">
        <v>0</v>
      </c>
      <c r="AK204" s="52">
        <v>0</v>
      </c>
      <c r="AL204" s="52">
        <v>0</v>
      </c>
      <c r="AM204" s="52">
        <v>0</v>
      </c>
      <c r="AN204" s="52">
        <v>0</v>
      </c>
      <c r="AO204" s="52">
        <v>0</v>
      </c>
      <c r="AP204" s="52">
        <v>0</v>
      </c>
      <c r="AQ204" s="52">
        <v>0</v>
      </c>
      <c r="AR204" s="52">
        <v>0</v>
      </c>
      <c r="AS204" s="52">
        <v>0</v>
      </c>
      <c r="AT204" s="52">
        <v>0</v>
      </c>
      <c r="AU204" s="52">
        <v>0</v>
      </c>
      <c r="AV204" s="52">
        <v>0</v>
      </c>
      <c r="AW204" s="52">
        <v>0</v>
      </c>
      <c r="AX204" s="52">
        <v>0</v>
      </c>
      <c r="AY204" s="52">
        <v>0</v>
      </c>
      <c r="AZ204" s="52">
        <v>0</v>
      </c>
      <c r="BA204" s="52">
        <v>0</v>
      </c>
      <c r="BB204" s="52">
        <v>0</v>
      </c>
      <c r="BC204" s="52">
        <v>0</v>
      </c>
      <c r="BD204" s="52">
        <v>0</v>
      </c>
      <c r="BE204" s="52">
        <v>0</v>
      </c>
      <c r="BF204" s="52">
        <v>0</v>
      </c>
      <c r="BG204" s="52">
        <v>0</v>
      </c>
      <c r="BH204" s="52">
        <v>0</v>
      </c>
      <c r="BI204" s="52">
        <v>0</v>
      </c>
      <c r="BJ204" s="52">
        <v>0</v>
      </c>
      <c r="BK204" s="52">
        <v>0</v>
      </c>
      <c r="BL204" s="52">
        <v>0</v>
      </c>
      <c r="BM204" s="52">
        <v>0</v>
      </c>
      <c r="BN204" s="52">
        <v>0</v>
      </c>
      <c r="BO204" s="52">
        <v>0</v>
      </c>
      <c r="BP204" s="52">
        <v>0</v>
      </c>
      <c r="BQ204" s="52">
        <v>0</v>
      </c>
      <c r="BR204" s="52">
        <v>0</v>
      </c>
      <c r="BS204" s="52">
        <v>0</v>
      </c>
      <c r="BT204" s="52">
        <v>0</v>
      </c>
      <c r="BU204" s="52">
        <v>0</v>
      </c>
      <c r="BV204" s="52">
        <v>0</v>
      </c>
      <c r="BW204" s="52">
        <v>0</v>
      </c>
    </row>
    <row r="205" spans="1:75" x14ac:dyDescent="0.3">
      <c r="A205" s="8" t="s">
        <v>104</v>
      </c>
      <c r="B205" s="8" t="s">
        <v>10</v>
      </c>
      <c r="C205" s="8" t="s">
        <v>152</v>
      </c>
      <c r="D205" s="52">
        <v>60.159999999999989</v>
      </c>
      <c r="E205" s="52">
        <v>60.159999999999989</v>
      </c>
      <c r="F205" s="52">
        <v>60.159999999999989</v>
      </c>
      <c r="G205" s="52">
        <v>60.159999999999989</v>
      </c>
      <c r="H205" s="52">
        <v>60.159999999999989</v>
      </c>
      <c r="I205" s="52">
        <v>60.159999999999989</v>
      </c>
      <c r="J205" s="52">
        <v>0</v>
      </c>
      <c r="K205" s="52">
        <v>0</v>
      </c>
      <c r="L205" s="52">
        <v>0</v>
      </c>
      <c r="M205" s="52">
        <v>0</v>
      </c>
      <c r="N205" s="52">
        <v>0</v>
      </c>
      <c r="O205" s="52">
        <v>0</v>
      </c>
      <c r="P205" s="52">
        <v>0</v>
      </c>
      <c r="Q205" s="52">
        <v>0</v>
      </c>
      <c r="R205" s="52">
        <v>0</v>
      </c>
      <c r="S205" s="52">
        <v>0</v>
      </c>
      <c r="T205" s="52">
        <v>0</v>
      </c>
      <c r="U205" s="52">
        <v>0</v>
      </c>
      <c r="V205" s="52">
        <v>60.159999999999989</v>
      </c>
      <c r="W205" s="52">
        <v>60.159999999999989</v>
      </c>
      <c r="X205" s="52">
        <v>60.159999999999989</v>
      </c>
      <c r="Y205" s="52">
        <v>0</v>
      </c>
      <c r="Z205" s="52">
        <v>0</v>
      </c>
      <c r="AA205" s="52">
        <v>0</v>
      </c>
      <c r="AB205" s="52">
        <v>60.159999999999989</v>
      </c>
      <c r="AC205" s="52">
        <v>60.159999999999989</v>
      </c>
      <c r="AD205" s="52">
        <v>60.159999999999989</v>
      </c>
      <c r="AE205" s="52">
        <v>0</v>
      </c>
      <c r="AF205" s="52">
        <v>0</v>
      </c>
      <c r="AG205" s="52">
        <v>0</v>
      </c>
      <c r="AH205" s="52">
        <v>0</v>
      </c>
      <c r="AI205" s="52">
        <v>0</v>
      </c>
      <c r="AJ205" s="52">
        <v>0</v>
      </c>
      <c r="AK205" s="52">
        <v>0</v>
      </c>
      <c r="AL205" s="52">
        <v>0</v>
      </c>
      <c r="AM205" s="52">
        <v>0</v>
      </c>
      <c r="AN205" s="52">
        <v>60.159999999999989</v>
      </c>
      <c r="AO205" s="52">
        <v>60.159999999999989</v>
      </c>
      <c r="AP205" s="52">
        <v>60.159999999999989</v>
      </c>
      <c r="AQ205" s="52">
        <v>0</v>
      </c>
      <c r="AR205" s="52">
        <v>0</v>
      </c>
      <c r="AS205" s="52">
        <v>0</v>
      </c>
      <c r="AT205" s="52">
        <v>60.15999999999989</v>
      </c>
      <c r="AU205" s="52">
        <v>60.15999999999989</v>
      </c>
      <c r="AV205" s="52">
        <v>60.15999999999989</v>
      </c>
      <c r="AW205" s="52">
        <v>0</v>
      </c>
      <c r="AX205" s="52">
        <v>0</v>
      </c>
      <c r="AY205" s="52">
        <v>0</v>
      </c>
      <c r="AZ205" s="52">
        <v>0</v>
      </c>
      <c r="BA205" s="52">
        <v>0</v>
      </c>
      <c r="BB205" s="52">
        <v>0</v>
      </c>
      <c r="BC205" s="52">
        <v>0</v>
      </c>
      <c r="BD205" s="52">
        <v>0</v>
      </c>
      <c r="BE205" s="52">
        <v>0</v>
      </c>
      <c r="BF205" s="52">
        <v>0</v>
      </c>
      <c r="BG205" s="52">
        <v>0</v>
      </c>
      <c r="BH205" s="52">
        <v>0</v>
      </c>
      <c r="BI205" s="52">
        <v>0</v>
      </c>
      <c r="BJ205" s="52">
        <v>0</v>
      </c>
      <c r="BK205" s="52">
        <v>0</v>
      </c>
      <c r="BL205" s="52">
        <v>65.745905500000646</v>
      </c>
      <c r="BM205" s="52">
        <v>60.159999999999989</v>
      </c>
      <c r="BN205" s="52">
        <v>60.159999999999989</v>
      </c>
      <c r="BO205" s="52">
        <v>0</v>
      </c>
      <c r="BP205" s="52">
        <v>0</v>
      </c>
      <c r="BQ205" s="52">
        <v>0</v>
      </c>
      <c r="BR205" s="52">
        <v>0</v>
      </c>
      <c r="BS205" s="52">
        <v>0</v>
      </c>
      <c r="BT205" s="52">
        <v>0</v>
      </c>
      <c r="BU205" s="52">
        <v>0</v>
      </c>
      <c r="BV205" s="52">
        <v>0</v>
      </c>
      <c r="BW205" s="52">
        <v>0</v>
      </c>
    </row>
    <row r="206" spans="1:75" x14ac:dyDescent="0.3">
      <c r="A206" s="8" t="s">
        <v>104</v>
      </c>
      <c r="B206" s="8" t="s">
        <v>10</v>
      </c>
      <c r="C206" s="8" t="s">
        <v>151</v>
      </c>
      <c r="D206" s="52">
        <v>194.4</v>
      </c>
      <c r="E206" s="52">
        <v>194.4</v>
      </c>
      <c r="F206" s="52">
        <v>77.760000000000005</v>
      </c>
      <c r="G206" s="52">
        <v>194.4</v>
      </c>
      <c r="H206" s="52">
        <v>77.759999999999991</v>
      </c>
      <c r="I206" s="52">
        <v>77.759999999999991</v>
      </c>
      <c r="J206" s="52">
        <v>0</v>
      </c>
      <c r="K206" s="52">
        <v>0</v>
      </c>
      <c r="L206" s="52">
        <v>0</v>
      </c>
      <c r="M206" s="52">
        <v>0</v>
      </c>
      <c r="N206" s="52">
        <v>0</v>
      </c>
      <c r="O206" s="52">
        <v>0</v>
      </c>
      <c r="P206" s="52">
        <v>104.37456659999866</v>
      </c>
      <c r="Q206" s="52">
        <v>90.389452499999805</v>
      </c>
      <c r="R206" s="52">
        <v>77.760000000000005</v>
      </c>
      <c r="S206" s="52">
        <v>0</v>
      </c>
      <c r="T206" s="52">
        <v>0</v>
      </c>
      <c r="U206" s="52">
        <v>0</v>
      </c>
      <c r="V206" s="52">
        <v>194.4</v>
      </c>
      <c r="W206" s="52">
        <v>173.20360875285701</v>
      </c>
      <c r="X206" s="52">
        <v>77.760000000000005</v>
      </c>
      <c r="Y206" s="52">
        <v>194.4</v>
      </c>
      <c r="Z206" s="52">
        <v>173.20360875285701</v>
      </c>
      <c r="AA206" s="52">
        <v>77.760000000000005</v>
      </c>
      <c r="AB206" s="52">
        <v>194.4</v>
      </c>
      <c r="AC206" s="52">
        <v>194.4</v>
      </c>
      <c r="AD206" s="52">
        <v>77.760000000000005</v>
      </c>
      <c r="AE206" s="52">
        <v>133.70305018519014</v>
      </c>
      <c r="AF206" s="52">
        <v>127.57316800000018</v>
      </c>
      <c r="AG206" s="52">
        <v>77.760000000000005</v>
      </c>
      <c r="AH206" s="52">
        <v>194.4</v>
      </c>
      <c r="AI206" s="52">
        <v>138.85019197551028</v>
      </c>
      <c r="AJ206" s="52">
        <v>77.759999999999977</v>
      </c>
      <c r="AK206" s="52">
        <v>0</v>
      </c>
      <c r="AL206" s="52">
        <v>0</v>
      </c>
      <c r="AM206" s="52">
        <v>0</v>
      </c>
      <c r="AN206" s="52">
        <v>194.4</v>
      </c>
      <c r="AO206" s="52">
        <v>183.51126180000023</v>
      </c>
      <c r="AP206" s="52">
        <v>77.760000000000005</v>
      </c>
      <c r="AQ206" s="52">
        <v>0</v>
      </c>
      <c r="AR206" s="52">
        <v>0</v>
      </c>
      <c r="AS206" s="52">
        <v>0</v>
      </c>
      <c r="AT206" s="52">
        <v>194.4</v>
      </c>
      <c r="AU206" s="52">
        <v>194.4</v>
      </c>
      <c r="AV206" s="52">
        <v>77.760000000000005</v>
      </c>
      <c r="AW206" s="52">
        <v>194.4</v>
      </c>
      <c r="AX206" s="52">
        <v>194.4</v>
      </c>
      <c r="AY206" s="52">
        <v>77.759999999999977</v>
      </c>
      <c r="AZ206" s="52">
        <v>77.760000000000005</v>
      </c>
      <c r="BA206" s="52">
        <v>85.743836800000082</v>
      </c>
      <c r="BB206" s="52">
        <v>77.760000000000005</v>
      </c>
      <c r="BC206" s="52">
        <v>0</v>
      </c>
      <c r="BD206" s="52">
        <v>0</v>
      </c>
      <c r="BE206" s="52">
        <v>0</v>
      </c>
      <c r="BF206" s="52">
        <v>0</v>
      </c>
      <c r="BG206" s="52">
        <v>0</v>
      </c>
      <c r="BH206" s="52">
        <v>0</v>
      </c>
      <c r="BI206" s="52">
        <v>0</v>
      </c>
      <c r="BJ206" s="52">
        <v>0</v>
      </c>
      <c r="BK206" s="52">
        <v>0</v>
      </c>
      <c r="BL206" s="52">
        <v>194.4</v>
      </c>
      <c r="BM206" s="52">
        <v>77.760000000000005</v>
      </c>
      <c r="BN206" s="52">
        <v>77.760000000000005</v>
      </c>
      <c r="BO206" s="52">
        <v>0</v>
      </c>
      <c r="BP206" s="52">
        <v>0</v>
      </c>
      <c r="BQ206" s="52">
        <v>0</v>
      </c>
      <c r="BR206" s="52">
        <v>194.4</v>
      </c>
      <c r="BS206" s="52">
        <v>194.4</v>
      </c>
      <c r="BT206" s="52">
        <v>77.760000000000005</v>
      </c>
      <c r="BU206" s="52">
        <v>194.4</v>
      </c>
      <c r="BV206" s="52">
        <v>77.759999999999991</v>
      </c>
      <c r="BW206" s="52">
        <v>77.759999999999991</v>
      </c>
    </row>
    <row r="207" spans="1:75" x14ac:dyDescent="0.3">
      <c r="A207" s="8" t="s">
        <v>104</v>
      </c>
      <c r="B207" s="8" t="s">
        <v>10</v>
      </c>
      <c r="C207" s="8" t="s">
        <v>62</v>
      </c>
      <c r="D207" s="52">
        <v>500</v>
      </c>
      <c r="E207" s="52">
        <v>500</v>
      </c>
      <c r="F207" s="52">
        <v>500</v>
      </c>
      <c r="G207" s="52">
        <v>500</v>
      </c>
      <c r="H207" s="52">
        <v>500</v>
      </c>
      <c r="I207" s="52">
        <v>500</v>
      </c>
      <c r="J207" s="52">
        <v>500</v>
      </c>
      <c r="K207" s="52">
        <v>500</v>
      </c>
      <c r="L207" s="52">
        <v>500</v>
      </c>
      <c r="M207" s="52">
        <v>500</v>
      </c>
      <c r="N207" s="52">
        <v>500</v>
      </c>
      <c r="O207" s="52">
        <v>500</v>
      </c>
      <c r="P207" s="52">
        <v>500</v>
      </c>
      <c r="Q207" s="52">
        <v>500</v>
      </c>
      <c r="R207" s="52">
        <v>500</v>
      </c>
      <c r="S207" s="52">
        <v>500</v>
      </c>
      <c r="T207" s="52">
        <v>500</v>
      </c>
      <c r="U207" s="52">
        <v>500</v>
      </c>
      <c r="V207" s="52">
        <v>500</v>
      </c>
      <c r="W207" s="52">
        <v>500</v>
      </c>
      <c r="X207" s="52">
        <v>500</v>
      </c>
      <c r="Y207" s="52">
        <v>500</v>
      </c>
      <c r="Z207" s="52">
        <v>500</v>
      </c>
      <c r="AA207" s="52">
        <v>483.53896284155951</v>
      </c>
      <c r="AB207" s="52">
        <v>500</v>
      </c>
      <c r="AC207" s="52">
        <v>500</v>
      </c>
      <c r="AD207" s="52">
        <v>500</v>
      </c>
      <c r="AE207" s="52">
        <v>500</v>
      </c>
      <c r="AF207" s="52">
        <v>500</v>
      </c>
      <c r="AG207" s="52">
        <v>500</v>
      </c>
      <c r="AH207" s="52">
        <v>500</v>
      </c>
      <c r="AI207" s="52">
        <v>500</v>
      </c>
      <c r="AJ207" s="52">
        <v>500</v>
      </c>
      <c r="AK207" s="52">
        <v>500</v>
      </c>
      <c r="AL207" s="52">
        <v>500</v>
      </c>
      <c r="AM207" s="52">
        <v>500</v>
      </c>
      <c r="AN207" s="52">
        <v>500</v>
      </c>
      <c r="AO207" s="52">
        <v>500</v>
      </c>
      <c r="AP207" s="52">
        <v>500</v>
      </c>
      <c r="AQ207" s="52">
        <v>500</v>
      </c>
      <c r="AR207" s="52">
        <v>500</v>
      </c>
      <c r="AS207" s="52">
        <v>500</v>
      </c>
      <c r="AT207" s="52">
        <v>500</v>
      </c>
      <c r="AU207" s="52">
        <v>500</v>
      </c>
      <c r="AV207" s="52">
        <v>500</v>
      </c>
      <c r="AW207" s="52">
        <v>500</v>
      </c>
      <c r="AX207" s="52">
        <v>500</v>
      </c>
      <c r="AY207" s="52">
        <v>500</v>
      </c>
      <c r="AZ207" s="52">
        <v>500</v>
      </c>
      <c r="BA207" s="52">
        <v>500</v>
      </c>
      <c r="BB207" s="52">
        <v>500</v>
      </c>
      <c r="BC207" s="52">
        <v>500</v>
      </c>
      <c r="BD207" s="52">
        <v>500</v>
      </c>
      <c r="BE207" s="52">
        <v>500</v>
      </c>
      <c r="BF207" s="52">
        <v>500</v>
      </c>
      <c r="BG207" s="52">
        <v>500</v>
      </c>
      <c r="BH207" s="52">
        <v>500</v>
      </c>
      <c r="BI207" s="52">
        <v>500</v>
      </c>
      <c r="BJ207" s="52">
        <v>500</v>
      </c>
      <c r="BK207" s="52">
        <v>500</v>
      </c>
      <c r="BL207" s="52">
        <v>500</v>
      </c>
      <c r="BM207" s="52">
        <v>500</v>
      </c>
      <c r="BN207" s="52">
        <v>500</v>
      </c>
      <c r="BO207" s="52">
        <v>500</v>
      </c>
      <c r="BP207" s="52">
        <v>500</v>
      </c>
      <c r="BQ207" s="52">
        <v>500</v>
      </c>
      <c r="BR207" s="52">
        <v>500</v>
      </c>
      <c r="BS207" s="52">
        <v>500</v>
      </c>
      <c r="BT207" s="52">
        <v>500</v>
      </c>
      <c r="BU207" s="52">
        <v>500</v>
      </c>
      <c r="BV207" s="52">
        <v>500</v>
      </c>
      <c r="BW207" s="52">
        <v>296.60740930000071</v>
      </c>
    </row>
    <row r="208" spans="1:75" x14ac:dyDescent="0.3">
      <c r="A208" s="8" t="s">
        <v>104</v>
      </c>
      <c r="B208" s="8" t="s">
        <v>10</v>
      </c>
      <c r="C208" s="8" t="s">
        <v>63</v>
      </c>
      <c r="D208" s="52">
        <v>500</v>
      </c>
      <c r="E208" s="52">
        <v>500</v>
      </c>
      <c r="F208" s="52">
        <v>100</v>
      </c>
      <c r="G208" s="52">
        <v>500</v>
      </c>
      <c r="H208" s="52">
        <v>424.33715990000104</v>
      </c>
      <c r="I208" s="52">
        <v>100</v>
      </c>
      <c r="J208" s="52">
        <v>500</v>
      </c>
      <c r="K208" s="52">
        <v>500</v>
      </c>
      <c r="L208" s="52">
        <v>148.83959569999939</v>
      </c>
      <c r="M208" s="52">
        <v>500</v>
      </c>
      <c r="N208" s="52">
        <v>500</v>
      </c>
      <c r="O208" s="52">
        <v>100</v>
      </c>
      <c r="P208" s="52">
        <v>500</v>
      </c>
      <c r="Q208" s="52">
        <v>500</v>
      </c>
      <c r="R208" s="52">
        <v>100</v>
      </c>
      <c r="S208" s="52">
        <v>500</v>
      </c>
      <c r="T208" s="52">
        <v>408.94837110000037</v>
      </c>
      <c r="U208" s="52">
        <v>100</v>
      </c>
      <c r="V208" s="52">
        <v>465.39654010000163</v>
      </c>
      <c r="W208" s="52">
        <v>500</v>
      </c>
      <c r="X208" s="52">
        <v>99.999999999999773</v>
      </c>
      <c r="Y208" s="52">
        <v>0</v>
      </c>
      <c r="Z208" s="52">
        <v>0</v>
      </c>
      <c r="AA208" s="52">
        <v>0</v>
      </c>
      <c r="AB208" s="52">
        <v>500</v>
      </c>
      <c r="AC208" s="52">
        <v>500</v>
      </c>
      <c r="AD208" s="52">
        <v>99.999999999999943</v>
      </c>
      <c r="AE208" s="52">
        <v>0</v>
      </c>
      <c r="AF208" s="52">
        <v>0</v>
      </c>
      <c r="AG208" s="52">
        <v>0</v>
      </c>
      <c r="AH208" s="52">
        <v>500</v>
      </c>
      <c r="AI208" s="52">
        <v>500</v>
      </c>
      <c r="AJ208" s="52">
        <v>108.67375660000012</v>
      </c>
      <c r="AK208" s="52">
        <v>500</v>
      </c>
      <c r="AL208" s="52">
        <v>500</v>
      </c>
      <c r="AM208" s="52">
        <v>100</v>
      </c>
      <c r="AN208" s="52">
        <v>500</v>
      </c>
      <c r="AO208" s="52">
        <v>500</v>
      </c>
      <c r="AP208" s="52">
        <v>284.32379770562733</v>
      </c>
      <c r="AQ208" s="52">
        <v>500</v>
      </c>
      <c r="AR208" s="52">
        <v>500</v>
      </c>
      <c r="AS208" s="52">
        <v>284.32379770562733</v>
      </c>
      <c r="AT208" s="52">
        <v>496.51163029999844</v>
      </c>
      <c r="AU208" s="52">
        <v>500</v>
      </c>
      <c r="AV208" s="52">
        <v>100</v>
      </c>
      <c r="AW208" s="52">
        <v>0</v>
      </c>
      <c r="AX208" s="52">
        <v>0</v>
      </c>
      <c r="AY208" s="52">
        <v>0</v>
      </c>
      <c r="AZ208" s="52">
        <v>500</v>
      </c>
      <c r="BA208" s="52">
        <v>500</v>
      </c>
      <c r="BB208" s="52">
        <v>394.27676638181788</v>
      </c>
      <c r="BC208" s="52">
        <v>500</v>
      </c>
      <c r="BD208" s="52">
        <v>500</v>
      </c>
      <c r="BE208" s="52">
        <v>394.27676638181788</v>
      </c>
      <c r="BF208" s="52">
        <v>500</v>
      </c>
      <c r="BG208" s="52">
        <v>500</v>
      </c>
      <c r="BH208" s="52">
        <v>124.94131400707975</v>
      </c>
      <c r="BI208" s="52">
        <v>500</v>
      </c>
      <c r="BJ208" s="52">
        <v>405.8760439999993</v>
      </c>
      <c r="BK208" s="52">
        <v>124.94131400707975</v>
      </c>
      <c r="BL208" s="52">
        <v>500</v>
      </c>
      <c r="BM208" s="52">
        <v>500</v>
      </c>
      <c r="BN208" s="52">
        <v>100</v>
      </c>
      <c r="BO208" s="52">
        <v>500</v>
      </c>
      <c r="BP208" s="52">
        <v>491.42226831022742</v>
      </c>
      <c r="BQ208" s="52">
        <v>100</v>
      </c>
      <c r="BR208" s="52">
        <v>500</v>
      </c>
      <c r="BS208" s="52">
        <v>500</v>
      </c>
      <c r="BT208" s="52">
        <v>202.64903340000026</v>
      </c>
      <c r="BU208" s="52">
        <v>500</v>
      </c>
      <c r="BV208" s="52">
        <v>461.89149102966951</v>
      </c>
      <c r="BW208" s="52">
        <v>100</v>
      </c>
    </row>
    <row r="209" spans="1:75" x14ac:dyDescent="0.3">
      <c r="A209" s="8" t="s">
        <v>104</v>
      </c>
      <c r="B209" s="8" t="s">
        <v>10</v>
      </c>
      <c r="C209" s="8" t="s">
        <v>64</v>
      </c>
      <c r="D209" s="52">
        <v>500</v>
      </c>
      <c r="E209" s="52">
        <v>500</v>
      </c>
      <c r="F209" s="52">
        <v>100</v>
      </c>
      <c r="G209" s="52">
        <v>0</v>
      </c>
      <c r="H209" s="52">
        <v>0</v>
      </c>
      <c r="I209" s="52">
        <v>0</v>
      </c>
      <c r="J209" s="52">
        <v>500</v>
      </c>
      <c r="K209" s="52">
        <v>500</v>
      </c>
      <c r="L209" s="52">
        <v>100</v>
      </c>
      <c r="M209" s="52">
        <v>0</v>
      </c>
      <c r="N209" s="52">
        <v>0</v>
      </c>
      <c r="O209" s="52">
        <v>0</v>
      </c>
      <c r="P209" s="52">
        <v>500</v>
      </c>
      <c r="Q209" s="52">
        <v>500</v>
      </c>
      <c r="R209" s="52">
        <v>100</v>
      </c>
      <c r="S209" s="52">
        <v>0</v>
      </c>
      <c r="T209" s="52">
        <v>0</v>
      </c>
      <c r="U209" s="52">
        <v>0</v>
      </c>
      <c r="V209" s="52">
        <v>0</v>
      </c>
      <c r="W209" s="52">
        <v>0</v>
      </c>
      <c r="X209" s="52">
        <v>0</v>
      </c>
      <c r="Y209" s="52">
        <v>0</v>
      </c>
      <c r="Z209" s="52">
        <v>0</v>
      </c>
      <c r="AA209" s="52">
        <v>0</v>
      </c>
      <c r="AB209" s="52">
        <v>0</v>
      </c>
      <c r="AC209" s="52">
        <v>0</v>
      </c>
      <c r="AD209" s="52">
        <v>0</v>
      </c>
      <c r="AE209" s="52">
        <v>0</v>
      </c>
      <c r="AF209" s="52">
        <v>0</v>
      </c>
      <c r="AG209" s="52">
        <v>0</v>
      </c>
      <c r="AH209" s="52">
        <v>500</v>
      </c>
      <c r="AI209" s="52">
        <v>500</v>
      </c>
      <c r="AJ209" s="52">
        <v>99.999999999999929</v>
      </c>
      <c r="AK209" s="52">
        <v>0</v>
      </c>
      <c r="AL209" s="52">
        <v>0</v>
      </c>
      <c r="AM209" s="52">
        <v>0</v>
      </c>
      <c r="AN209" s="52">
        <v>500</v>
      </c>
      <c r="AO209" s="52">
        <v>500</v>
      </c>
      <c r="AP209" s="52">
        <v>99.999999999999432</v>
      </c>
      <c r="AQ209" s="52">
        <v>0</v>
      </c>
      <c r="AR209" s="52">
        <v>0</v>
      </c>
      <c r="AS209" s="52">
        <v>0</v>
      </c>
      <c r="AT209" s="52">
        <v>0</v>
      </c>
      <c r="AU209" s="52">
        <v>0</v>
      </c>
      <c r="AV209" s="52">
        <v>0</v>
      </c>
      <c r="AW209" s="52">
        <v>0</v>
      </c>
      <c r="AX209" s="52">
        <v>0</v>
      </c>
      <c r="AY209" s="52">
        <v>0</v>
      </c>
      <c r="AZ209" s="52">
        <v>462.75362289999725</v>
      </c>
      <c r="BA209" s="52">
        <v>500</v>
      </c>
      <c r="BB209" s="52">
        <v>100</v>
      </c>
      <c r="BC209" s="52">
        <v>0</v>
      </c>
      <c r="BD209" s="52">
        <v>0</v>
      </c>
      <c r="BE209" s="52">
        <v>0</v>
      </c>
      <c r="BF209" s="52">
        <v>497.89539866451565</v>
      </c>
      <c r="BG209" s="52">
        <v>440.58368709999996</v>
      </c>
      <c r="BH209" s="52">
        <v>100</v>
      </c>
      <c r="BI209" s="52">
        <v>0</v>
      </c>
      <c r="BJ209" s="52">
        <v>0</v>
      </c>
      <c r="BK209" s="52">
        <v>0</v>
      </c>
      <c r="BL209" s="52">
        <v>500</v>
      </c>
      <c r="BM209" s="52">
        <v>423.25914082838688</v>
      </c>
      <c r="BN209" s="52">
        <v>100</v>
      </c>
      <c r="BO209" s="52">
        <v>0</v>
      </c>
      <c r="BP209" s="52">
        <v>0</v>
      </c>
      <c r="BQ209" s="52">
        <v>0</v>
      </c>
      <c r="BR209" s="52">
        <v>500</v>
      </c>
      <c r="BS209" s="52">
        <v>500</v>
      </c>
      <c r="BT209" s="52">
        <v>100</v>
      </c>
      <c r="BU209" s="52">
        <v>0</v>
      </c>
      <c r="BV209" s="52">
        <v>0</v>
      </c>
      <c r="BW209" s="52">
        <v>0</v>
      </c>
    </row>
    <row r="210" spans="1:75" x14ac:dyDescent="0.3">
      <c r="A210" s="8" t="s">
        <v>104</v>
      </c>
      <c r="B210" s="8" t="s">
        <v>10</v>
      </c>
      <c r="C210" s="8" t="s">
        <v>65</v>
      </c>
      <c r="D210" s="52">
        <v>667.5</v>
      </c>
      <c r="E210" s="52">
        <v>667.5</v>
      </c>
      <c r="F210" s="52">
        <v>667.5</v>
      </c>
      <c r="G210" s="52">
        <v>667.5</v>
      </c>
      <c r="H210" s="52">
        <v>667.5</v>
      </c>
      <c r="I210" s="52">
        <v>667.5</v>
      </c>
      <c r="J210" s="52">
        <v>667.5</v>
      </c>
      <c r="K210" s="52">
        <v>667.5</v>
      </c>
      <c r="L210" s="52">
        <v>667.5</v>
      </c>
      <c r="M210" s="52">
        <v>667.5</v>
      </c>
      <c r="N210" s="52">
        <v>667.5</v>
      </c>
      <c r="O210" s="52">
        <v>667.5</v>
      </c>
      <c r="P210" s="52">
        <v>667.5</v>
      </c>
      <c r="Q210" s="52">
        <v>667.5</v>
      </c>
      <c r="R210" s="52">
        <v>667.5</v>
      </c>
      <c r="S210" s="52">
        <v>667.5</v>
      </c>
      <c r="T210" s="52">
        <v>667.5</v>
      </c>
      <c r="U210" s="52">
        <v>667.5</v>
      </c>
      <c r="V210" s="52">
        <v>667.5</v>
      </c>
      <c r="W210" s="52">
        <v>667.5</v>
      </c>
      <c r="X210" s="52">
        <v>667.5</v>
      </c>
      <c r="Y210" s="52">
        <v>667.5</v>
      </c>
      <c r="Z210" s="52">
        <v>667.5</v>
      </c>
      <c r="AA210" s="52">
        <v>667.5</v>
      </c>
      <c r="AB210" s="52">
        <v>667.5</v>
      </c>
      <c r="AC210" s="52">
        <v>667.5</v>
      </c>
      <c r="AD210" s="52">
        <v>667.5</v>
      </c>
      <c r="AE210" s="52">
        <v>667.5</v>
      </c>
      <c r="AF210" s="52">
        <v>667.5</v>
      </c>
      <c r="AG210" s="52">
        <v>667.5</v>
      </c>
      <c r="AH210" s="52">
        <v>667.5</v>
      </c>
      <c r="AI210" s="52">
        <v>667.5</v>
      </c>
      <c r="AJ210" s="52">
        <v>667.5</v>
      </c>
      <c r="AK210" s="52">
        <v>667.5</v>
      </c>
      <c r="AL210" s="52">
        <v>667.5</v>
      </c>
      <c r="AM210" s="52">
        <v>667.5</v>
      </c>
      <c r="AN210" s="52">
        <v>667.5</v>
      </c>
      <c r="AO210" s="52">
        <v>667.5</v>
      </c>
      <c r="AP210" s="52">
        <v>667.5</v>
      </c>
      <c r="AQ210" s="52">
        <v>667.5</v>
      </c>
      <c r="AR210" s="52">
        <v>667.5</v>
      </c>
      <c r="AS210" s="52">
        <v>667.5</v>
      </c>
      <c r="AT210" s="52">
        <v>667.5</v>
      </c>
      <c r="AU210" s="52">
        <v>667.5</v>
      </c>
      <c r="AV210" s="52">
        <v>667.5</v>
      </c>
      <c r="AW210" s="52">
        <v>667.5</v>
      </c>
      <c r="AX210" s="52">
        <v>667.5</v>
      </c>
      <c r="AY210" s="52">
        <v>667.5</v>
      </c>
      <c r="AZ210" s="52">
        <v>667.5</v>
      </c>
      <c r="BA210" s="52">
        <v>667.5</v>
      </c>
      <c r="BB210" s="52">
        <v>667.5</v>
      </c>
      <c r="BC210" s="52">
        <v>667.5</v>
      </c>
      <c r="BD210" s="52">
        <v>667.5</v>
      </c>
      <c r="BE210" s="52">
        <v>667.5</v>
      </c>
      <c r="BF210" s="52">
        <v>667.5</v>
      </c>
      <c r="BG210" s="52">
        <v>667.5</v>
      </c>
      <c r="BH210" s="52">
        <v>667.5</v>
      </c>
      <c r="BI210" s="52">
        <v>667.5</v>
      </c>
      <c r="BJ210" s="52">
        <v>667.5</v>
      </c>
      <c r="BK210" s="52">
        <v>667.5</v>
      </c>
      <c r="BL210" s="52">
        <v>667.5</v>
      </c>
      <c r="BM210" s="52">
        <v>667.5</v>
      </c>
      <c r="BN210" s="52">
        <v>667.5</v>
      </c>
      <c r="BO210" s="52">
        <v>667.5</v>
      </c>
      <c r="BP210" s="52">
        <v>667.5</v>
      </c>
      <c r="BQ210" s="52">
        <v>667.5</v>
      </c>
      <c r="BR210" s="52">
        <v>667.5</v>
      </c>
      <c r="BS210" s="52">
        <v>667.5</v>
      </c>
      <c r="BT210" s="52">
        <v>667.5</v>
      </c>
      <c r="BU210" s="52">
        <v>667.5</v>
      </c>
      <c r="BV210" s="52">
        <v>667.5</v>
      </c>
      <c r="BW210" s="52">
        <v>667.5</v>
      </c>
    </row>
    <row r="211" spans="1:75" x14ac:dyDescent="0.3">
      <c r="A211" s="8" t="s">
        <v>104</v>
      </c>
      <c r="B211" s="8" t="s">
        <v>10</v>
      </c>
      <c r="C211" s="8" t="s">
        <v>66</v>
      </c>
      <c r="D211" s="52">
        <v>0</v>
      </c>
      <c r="E211" s="52">
        <v>0</v>
      </c>
      <c r="F211" s="52">
        <v>0</v>
      </c>
      <c r="G211" s="52">
        <v>0</v>
      </c>
      <c r="H211" s="52">
        <v>0</v>
      </c>
      <c r="I211" s="52">
        <v>0</v>
      </c>
      <c r="J211" s="52">
        <v>0</v>
      </c>
      <c r="K211" s="52">
        <v>0</v>
      </c>
      <c r="L211" s="52">
        <v>0</v>
      </c>
      <c r="M211" s="52">
        <v>0</v>
      </c>
      <c r="N211" s="52">
        <v>0</v>
      </c>
      <c r="O211" s="52">
        <v>0</v>
      </c>
      <c r="P211" s="52">
        <v>0</v>
      </c>
      <c r="Q211" s="52">
        <v>0</v>
      </c>
      <c r="R211" s="52">
        <v>0</v>
      </c>
      <c r="S211" s="52">
        <v>0</v>
      </c>
      <c r="T211" s="52">
        <v>0</v>
      </c>
      <c r="U211" s="52">
        <v>0</v>
      </c>
      <c r="V211" s="52">
        <v>0</v>
      </c>
      <c r="W211" s="52">
        <v>0</v>
      </c>
      <c r="X211" s="52">
        <v>0</v>
      </c>
      <c r="Y211" s="52">
        <v>0</v>
      </c>
      <c r="Z211" s="52">
        <v>0</v>
      </c>
      <c r="AA211" s="52">
        <v>0</v>
      </c>
      <c r="AB211" s="52">
        <v>0</v>
      </c>
      <c r="AC211" s="52">
        <v>0</v>
      </c>
      <c r="AD211" s="52">
        <v>0</v>
      </c>
      <c r="AE211" s="52">
        <v>0</v>
      </c>
      <c r="AF211" s="52">
        <v>0</v>
      </c>
      <c r="AG211" s="52">
        <v>0</v>
      </c>
      <c r="AH211" s="52">
        <v>0</v>
      </c>
      <c r="AI211" s="52">
        <v>0</v>
      </c>
      <c r="AJ211" s="52">
        <v>0</v>
      </c>
      <c r="AK211" s="52">
        <v>0</v>
      </c>
      <c r="AL211" s="52">
        <v>0</v>
      </c>
      <c r="AM211" s="52">
        <v>0</v>
      </c>
      <c r="AN211" s="52">
        <v>0</v>
      </c>
      <c r="AO211" s="52">
        <v>0</v>
      </c>
      <c r="AP211" s="52">
        <v>0</v>
      </c>
      <c r="AQ211" s="52">
        <v>0</v>
      </c>
      <c r="AR211" s="52">
        <v>0</v>
      </c>
      <c r="AS211" s="52">
        <v>0</v>
      </c>
      <c r="AT211" s="52">
        <v>0</v>
      </c>
      <c r="AU211" s="52">
        <v>0</v>
      </c>
      <c r="AV211" s="52">
        <v>0</v>
      </c>
      <c r="AW211" s="52">
        <v>0</v>
      </c>
      <c r="AX211" s="52">
        <v>0</v>
      </c>
      <c r="AY211" s="52">
        <v>0</v>
      </c>
      <c r="AZ211" s="52">
        <v>0</v>
      </c>
      <c r="BA211" s="52">
        <v>0</v>
      </c>
      <c r="BB211" s="52">
        <v>0</v>
      </c>
      <c r="BC211" s="52">
        <v>0</v>
      </c>
      <c r="BD211" s="52">
        <v>0</v>
      </c>
      <c r="BE211" s="52">
        <v>0</v>
      </c>
      <c r="BF211" s="52">
        <v>0</v>
      </c>
      <c r="BG211" s="52">
        <v>0</v>
      </c>
      <c r="BH211" s="52">
        <v>0</v>
      </c>
      <c r="BI211" s="52">
        <v>0</v>
      </c>
      <c r="BJ211" s="52">
        <v>0</v>
      </c>
      <c r="BK211" s="52">
        <v>0</v>
      </c>
      <c r="BL211" s="52">
        <v>0</v>
      </c>
      <c r="BM211" s="52">
        <v>0</v>
      </c>
      <c r="BN211" s="52">
        <v>0</v>
      </c>
      <c r="BO211" s="52">
        <v>0</v>
      </c>
      <c r="BP211" s="52">
        <v>0</v>
      </c>
      <c r="BQ211" s="52">
        <v>0</v>
      </c>
      <c r="BR211" s="52">
        <v>0</v>
      </c>
      <c r="BS211" s="52">
        <v>0</v>
      </c>
      <c r="BT211" s="52">
        <v>0</v>
      </c>
      <c r="BU211" s="52">
        <v>0</v>
      </c>
      <c r="BV211" s="52">
        <v>0</v>
      </c>
      <c r="BW211" s="52">
        <v>0</v>
      </c>
    </row>
    <row r="212" spans="1:75" x14ac:dyDescent="0.3">
      <c r="A212" s="8" t="s">
        <v>104</v>
      </c>
      <c r="B212" s="8" t="s">
        <v>10</v>
      </c>
      <c r="C212" s="8" t="s">
        <v>67</v>
      </c>
      <c r="D212" s="52">
        <v>0</v>
      </c>
      <c r="E212" s="52">
        <v>0</v>
      </c>
      <c r="F212" s="52">
        <v>0</v>
      </c>
      <c r="G212" s="52">
        <v>0</v>
      </c>
      <c r="H212" s="52">
        <v>0</v>
      </c>
      <c r="I212" s="52">
        <v>0</v>
      </c>
      <c r="J212" s="52">
        <v>0</v>
      </c>
      <c r="K212" s="52">
        <v>0</v>
      </c>
      <c r="L212" s="52">
        <v>0</v>
      </c>
      <c r="M212" s="52">
        <v>0</v>
      </c>
      <c r="N212" s="52">
        <v>0</v>
      </c>
      <c r="O212" s="52">
        <v>0</v>
      </c>
      <c r="P212" s="52">
        <v>0</v>
      </c>
      <c r="Q212" s="52">
        <v>0</v>
      </c>
      <c r="R212" s="52">
        <v>0</v>
      </c>
      <c r="S212" s="52">
        <v>0</v>
      </c>
      <c r="T212" s="52">
        <v>0</v>
      </c>
      <c r="U212" s="52">
        <v>0</v>
      </c>
      <c r="V212" s="52">
        <v>0</v>
      </c>
      <c r="W212" s="52">
        <v>0</v>
      </c>
      <c r="X212" s="52">
        <v>0</v>
      </c>
      <c r="Y212" s="52">
        <v>0</v>
      </c>
      <c r="Z212" s="52">
        <v>0</v>
      </c>
      <c r="AA212" s="52">
        <v>0</v>
      </c>
      <c r="AB212" s="52">
        <v>0</v>
      </c>
      <c r="AC212" s="52">
        <v>0</v>
      </c>
      <c r="AD212" s="52">
        <v>0</v>
      </c>
      <c r="AE212" s="52">
        <v>0</v>
      </c>
      <c r="AF212" s="52">
        <v>0</v>
      </c>
      <c r="AG212" s="52">
        <v>0</v>
      </c>
      <c r="AH212" s="52">
        <v>0</v>
      </c>
      <c r="AI212" s="52">
        <v>0</v>
      </c>
      <c r="AJ212" s="52">
        <v>0</v>
      </c>
      <c r="AK212" s="52">
        <v>0</v>
      </c>
      <c r="AL212" s="52">
        <v>0</v>
      </c>
      <c r="AM212" s="52">
        <v>0</v>
      </c>
      <c r="AN212" s="52">
        <v>0</v>
      </c>
      <c r="AO212" s="52">
        <v>0</v>
      </c>
      <c r="AP212" s="52">
        <v>0</v>
      </c>
      <c r="AQ212" s="52">
        <v>0</v>
      </c>
      <c r="AR212" s="52">
        <v>0</v>
      </c>
      <c r="AS212" s="52">
        <v>0</v>
      </c>
      <c r="AT212" s="52">
        <v>0</v>
      </c>
      <c r="AU212" s="52">
        <v>0</v>
      </c>
      <c r="AV212" s="52">
        <v>0</v>
      </c>
      <c r="AW212" s="52">
        <v>0</v>
      </c>
      <c r="AX212" s="52">
        <v>0</v>
      </c>
      <c r="AY212" s="52">
        <v>0</v>
      </c>
      <c r="AZ212" s="52">
        <v>0</v>
      </c>
      <c r="BA212" s="52">
        <v>0</v>
      </c>
      <c r="BB212" s="52">
        <v>0</v>
      </c>
      <c r="BC212" s="52">
        <v>0</v>
      </c>
      <c r="BD212" s="52">
        <v>0</v>
      </c>
      <c r="BE212" s="52">
        <v>0</v>
      </c>
      <c r="BF212" s="52">
        <v>0</v>
      </c>
      <c r="BG212" s="52">
        <v>0</v>
      </c>
      <c r="BH212" s="52">
        <v>0</v>
      </c>
      <c r="BI212" s="52">
        <v>0</v>
      </c>
      <c r="BJ212" s="52">
        <v>0</v>
      </c>
      <c r="BK212" s="52">
        <v>0</v>
      </c>
      <c r="BL212" s="52">
        <v>0</v>
      </c>
      <c r="BM212" s="52">
        <v>0</v>
      </c>
      <c r="BN212" s="52">
        <v>0</v>
      </c>
      <c r="BO212" s="52">
        <v>0</v>
      </c>
      <c r="BP212" s="52">
        <v>0</v>
      </c>
      <c r="BQ212" s="52">
        <v>0</v>
      </c>
      <c r="BR212" s="52">
        <v>0</v>
      </c>
      <c r="BS212" s="52">
        <v>0</v>
      </c>
      <c r="BT212" s="52">
        <v>0</v>
      </c>
      <c r="BU212" s="52">
        <v>0</v>
      </c>
      <c r="BV212" s="52">
        <v>0</v>
      </c>
      <c r="BW212" s="52">
        <v>0</v>
      </c>
    </row>
    <row r="213" spans="1:75" x14ac:dyDescent="0.3">
      <c r="A213" s="8" t="s">
        <v>104</v>
      </c>
      <c r="B213" s="8" t="s">
        <v>10</v>
      </c>
      <c r="C213" s="8" t="s">
        <v>68</v>
      </c>
      <c r="D213" s="52">
        <v>0</v>
      </c>
      <c r="E213" s="52">
        <v>0</v>
      </c>
      <c r="F213" s="52">
        <v>0</v>
      </c>
      <c r="G213" s="52">
        <v>0</v>
      </c>
      <c r="H213" s="52">
        <v>0</v>
      </c>
      <c r="I213" s="52">
        <v>0</v>
      </c>
      <c r="J213" s="52">
        <v>0</v>
      </c>
      <c r="K213" s="52">
        <v>0</v>
      </c>
      <c r="L213" s="52">
        <v>0</v>
      </c>
      <c r="M213" s="52">
        <v>0</v>
      </c>
      <c r="N213" s="52">
        <v>0</v>
      </c>
      <c r="O213" s="52">
        <v>0</v>
      </c>
      <c r="P213" s="52">
        <v>0</v>
      </c>
      <c r="Q213" s="52">
        <v>0</v>
      </c>
      <c r="R213" s="52">
        <v>0</v>
      </c>
      <c r="S213" s="52">
        <v>0</v>
      </c>
      <c r="T213" s="52">
        <v>0</v>
      </c>
      <c r="U213" s="52">
        <v>0</v>
      </c>
      <c r="V213" s="52">
        <v>0</v>
      </c>
      <c r="W213" s="52">
        <v>0</v>
      </c>
      <c r="X213" s="52">
        <v>0</v>
      </c>
      <c r="Y213" s="52">
        <v>0</v>
      </c>
      <c r="Z213" s="52">
        <v>0</v>
      </c>
      <c r="AA213" s="52">
        <v>0</v>
      </c>
      <c r="AB213" s="52">
        <v>0</v>
      </c>
      <c r="AC213" s="52">
        <v>0</v>
      </c>
      <c r="AD213" s="52">
        <v>0</v>
      </c>
      <c r="AE213" s="52">
        <v>0</v>
      </c>
      <c r="AF213" s="52">
        <v>0</v>
      </c>
      <c r="AG213" s="52">
        <v>0</v>
      </c>
      <c r="AH213" s="52">
        <v>0</v>
      </c>
      <c r="AI213" s="52">
        <v>0</v>
      </c>
      <c r="AJ213" s="52">
        <v>0</v>
      </c>
      <c r="AK213" s="52">
        <v>0</v>
      </c>
      <c r="AL213" s="52">
        <v>0</v>
      </c>
      <c r="AM213" s="52">
        <v>0</v>
      </c>
      <c r="AN213" s="52">
        <v>0</v>
      </c>
      <c r="AO213" s="52">
        <v>0</v>
      </c>
      <c r="AP213" s="52">
        <v>0</v>
      </c>
      <c r="AQ213" s="52">
        <v>0</v>
      </c>
      <c r="AR213" s="52">
        <v>0</v>
      </c>
      <c r="AS213" s="52">
        <v>0</v>
      </c>
      <c r="AT213" s="52">
        <v>0</v>
      </c>
      <c r="AU213" s="52">
        <v>0</v>
      </c>
      <c r="AV213" s="52">
        <v>0</v>
      </c>
      <c r="AW213" s="52">
        <v>0</v>
      </c>
      <c r="AX213" s="52">
        <v>0</v>
      </c>
      <c r="AY213" s="52">
        <v>0</v>
      </c>
      <c r="AZ213" s="52">
        <v>0</v>
      </c>
      <c r="BA213" s="52">
        <v>0</v>
      </c>
      <c r="BB213" s="52">
        <v>0</v>
      </c>
      <c r="BC213" s="52">
        <v>0</v>
      </c>
      <c r="BD213" s="52">
        <v>0</v>
      </c>
      <c r="BE213" s="52">
        <v>0</v>
      </c>
      <c r="BF213" s="52">
        <v>0</v>
      </c>
      <c r="BG213" s="52">
        <v>0</v>
      </c>
      <c r="BH213" s="52">
        <v>0</v>
      </c>
      <c r="BI213" s="52">
        <v>0</v>
      </c>
      <c r="BJ213" s="52">
        <v>0</v>
      </c>
      <c r="BK213" s="52">
        <v>0</v>
      </c>
      <c r="BL213" s="52">
        <v>0</v>
      </c>
      <c r="BM213" s="52">
        <v>0</v>
      </c>
      <c r="BN213" s="52">
        <v>0</v>
      </c>
      <c r="BO213" s="52">
        <v>0</v>
      </c>
      <c r="BP213" s="52">
        <v>0</v>
      </c>
      <c r="BQ213" s="52">
        <v>0</v>
      </c>
      <c r="BR213" s="52">
        <v>0</v>
      </c>
      <c r="BS213" s="52">
        <v>0</v>
      </c>
      <c r="BT213" s="52">
        <v>0</v>
      </c>
      <c r="BU213" s="52">
        <v>0</v>
      </c>
      <c r="BV213" s="52">
        <v>0</v>
      </c>
      <c r="BW213" s="52">
        <v>0</v>
      </c>
    </row>
    <row r="214" spans="1:75" x14ac:dyDescent="0.3">
      <c r="A214" s="8" t="s">
        <v>104</v>
      </c>
      <c r="B214" s="8" t="s">
        <v>10</v>
      </c>
      <c r="C214" s="8" t="s">
        <v>69</v>
      </c>
      <c r="D214" s="52">
        <v>0</v>
      </c>
      <c r="E214" s="52">
        <v>0</v>
      </c>
      <c r="F214" s="52">
        <v>0</v>
      </c>
      <c r="G214" s="52">
        <v>0</v>
      </c>
      <c r="H214" s="52">
        <v>0</v>
      </c>
      <c r="I214" s="52">
        <v>0</v>
      </c>
      <c r="J214" s="52">
        <v>0</v>
      </c>
      <c r="K214" s="52">
        <v>0</v>
      </c>
      <c r="L214" s="52">
        <v>0</v>
      </c>
      <c r="M214" s="52">
        <v>0</v>
      </c>
      <c r="N214" s="52">
        <v>0</v>
      </c>
      <c r="O214" s="52">
        <v>0</v>
      </c>
      <c r="P214" s="52">
        <v>0</v>
      </c>
      <c r="Q214" s="52">
        <v>0</v>
      </c>
      <c r="R214" s="52">
        <v>0</v>
      </c>
      <c r="S214" s="52">
        <v>0</v>
      </c>
      <c r="T214" s="52">
        <v>0</v>
      </c>
      <c r="U214" s="52">
        <v>0</v>
      </c>
      <c r="V214" s="52">
        <v>0</v>
      </c>
      <c r="W214" s="52">
        <v>0</v>
      </c>
      <c r="X214" s="52">
        <v>0</v>
      </c>
      <c r="Y214" s="52">
        <v>0</v>
      </c>
      <c r="Z214" s="52">
        <v>0</v>
      </c>
      <c r="AA214" s="52">
        <v>0</v>
      </c>
      <c r="AB214" s="52">
        <v>0</v>
      </c>
      <c r="AC214" s="52">
        <v>0</v>
      </c>
      <c r="AD214" s="52">
        <v>0</v>
      </c>
      <c r="AE214" s="52">
        <v>0</v>
      </c>
      <c r="AF214" s="52">
        <v>0</v>
      </c>
      <c r="AG214" s="52">
        <v>0</v>
      </c>
      <c r="AH214" s="52">
        <v>0</v>
      </c>
      <c r="AI214" s="52">
        <v>0</v>
      </c>
      <c r="AJ214" s="52">
        <v>0</v>
      </c>
      <c r="AK214" s="52">
        <v>0</v>
      </c>
      <c r="AL214" s="52">
        <v>0</v>
      </c>
      <c r="AM214" s="52">
        <v>0</v>
      </c>
      <c r="AN214" s="52">
        <v>0</v>
      </c>
      <c r="AO214" s="52">
        <v>0</v>
      </c>
      <c r="AP214" s="52">
        <v>0</v>
      </c>
      <c r="AQ214" s="52">
        <v>0</v>
      </c>
      <c r="AR214" s="52">
        <v>0</v>
      </c>
      <c r="AS214" s="52">
        <v>0</v>
      </c>
      <c r="AT214" s="52">
        <v>0</v>
      </c>
      <c r="AU214" s="52">
        <v>0</v>
      </c>
      <c r="AV214" s="52">
        <v>0</v>
      </c>
      <c r="AW214" s="52">
        <v>0</v>
      </c>
      <c r="AX214" s="52">
        <v>0</v>
      </c>
      <c r="AY214" s="52">
        <v>0</v>
      </c>
      <c r="AZ214" s="52">
        <v>0</v>
      </c>
      <c r="BA214" s="52">
        <v>0</v>
      </c>
      <c r="BB214" s="52">
        <v>0</v>
      </c>
      <c r="BC214" s="52">
        <v>0</v>
      </c>
      <c r="BD214" s="52">
        <v>0</v>
      </c>
      <c r="BE214" s="52">
        <v>0</v>
      </c>
      <c r="BF214" s="52">
        <v>0</v>
      </c>
      <c r="BG214" s="52">
        <v>0</v>
      </c>
      <c r="BH214" s="52">
        <v>0</v>
      </c>
      <c r="BI214" s="52">
        <v>0</v>
      </c>
      <c r="BJ214" s="52">
        <v>0</v>
      </c>
      <c r="BK214" s="52">
        <v>0</v>
      </c>
      <c r="BL214" s="52">
        <v>0</v>
      </c>
      <c r="BM214" s="52">
        <v>0</v>
      </c>
      <c r="BN214" s="52">
        <v>0</v>
      </c>
      <c r="BO214" s="52">
        <v>0</v>
      </c>
      <c r="BP214" s="52">
        <v>0</v>
      </c>
      <c r="BQ214" s="52">
        <v>0</v>
      </c>
      <c r="BR214" s="52">
        <v>0</v>
      </c>
      <c r="BS214" s="52">
        <v>0</v>
      </c>
      <c r="BT214" s="52">
        <v>0</v>
      </c>
      <c r="BU214" s="52">
        <v>0</v>
      </c>
      <c r="BV214" s="52">
        <v>0</v>
      </c>
      <c r="BW214" s="52">
        <v>0</v>
      </c>
    </row>
    <row r="215" spans="1:75" x14ac:dyDescent="0.3">
      <c r="A215" s="8" t="s">
        <v>104</v>
      </c>
      <c r="B215" s="8" t="s">
        <v>10</v>
      </c>
      <c r="C215" s="8" t="s">
        <v>27</v>
      </c>
      <c r="D215" s="52">
        <v>150</v>
      </c>
      <c r="E215" s="52">
        <v>150</v>
      </c>
      <c r="F215" s="52">
        <v>150</v>
      </c>
      <c r="G215" s="52">
        <v>150</v>
      </c>
      <c r="H215" s="52">
        <v>150</v>
      </c>
      <c r="I215" s="52">
        <v>67.333333333333471</v>
      </c>
      <c r="J215" s="52">
        <v>150</v>
      </c>
      <c r="K215" s="52">
        <v>150</v>
      </c>
      <c r="L215" s="52">
        <v>150</v>
      </c>
      <c r="M215" s="52">
        <v>150</v>
      </c>
      <c r="N215" s="52">
        <v>150</v>
      </c>
      <c r="O215" s="52">
        <v>150</v>
      </c>
      <c r="P215" s="52">
        <v>150</v>
      </c>
      <c r="Q215" s="52">
        <v>150</v>
      </c>
      <c r="R215" s="52">
        <v>150</v>
      </c>
      <c r="S215" s="52">
        <v>150</v>
      </c>
      <c r="T215" s="52">
        <v>150</v>
      </c>
      <c r="U215" s="52">
        <v>150</v>
      </c>
      <c r="V215" s="52">
        <v>150</v>
      </c>
      <c r="W215" s="52">
        <v>150</v>
      </c>
      <c r="X215" s="52">
        <v>89.538312300000143</v>
      </c>
      <c r="Y215" s="52">
        <v>150</v>
      </c>
      <c r="Z215" s="52">
        <v>150</v>
      </c>
      <c r="AA215" s="52">
        <v>74.008212958441334</v>
      </c>
      <c r="AB215" s="52">
        <v>150</v>
      </c>
      <c r="AC215" s="52">
        <v>150</v>
      </c>
      <c r="AD215" s="52">
        <v>25.527272727272756</v>
      </c>
      <c r="AE215" s="52">
        <v>150</v>
      </c>
      <c r="AF215" s="52">
        <v>150</v>
      </c>
      <c r="AG215" s="52">
        <v>0</v>
      </c>
      <c r="AH215" s="52">
        <v>150</v>
      </c>
      <c r="AI215" s="52">
        <v>128.32708652448989</v>
      </c>
      <c r="AJ215" s="52">
        <v>0</v>
      </c>
      <c r="AK215" s="52">
        <v>150</v>
      </c>
      <c r="AL215" s="52">
        <v>0.42727429999983579</v>
      </c>
      <c r="AM215" s="52">
        <v>0</v>
      </c>
      <c r="AN215" s="52">
        <v>150</v>
      </c>
      <c r="AO215" s="52">
        <v>94.327555879999977</v>
      </c>
      <c r="AP215" s="52">
        <v>0</v>
      </c>
      <c r="AQ215" s="52">
        <v>109.5797483999999</v>
      </c>
      <c r="AR215" s="52">
        <v>94.327555879999977</v>
      </c>
      <c r="AS215" s="52">
        <v>0</v>
      </c>
      <c r="AT215" s="52">
        <v>150</v>
      </c>
      <c r="AU215" s="52">
        <v>107.13358309660198</v>
      </c>
      <c r="AV215" s="52">
        <v>0</v>
      </c>
      <c r="AW215" s="52">
        <v>150</v>
      </c>
      <c r="AX215" s="52">
        <v>66.319009796601833</v>
      </c>
      <c r="AY215" s="52">
        <v>0</v>
      </c>
      <c r="AZ215" s="52">
        <v>150</v>
      </c>
      <c r="BA215" s="52">
        <v>150</v>
      </c>
      <c r="BB215" s="52">
        <v>30.218181818181819</v>
      </c>
      <c r="BC215" s="52">
        <v>150</v>
      </c>
      <c r="BD215" s="52">
        <v>150</v>
      </c>
      <c r="BE215" s="52">
        <v>30.218181818181819</v>
      </c>
      <c r="BF215" s="52">
        <v>150</v>
      </c>
      <c r="BG215" s="52">
        <v>150</v>
      </c>
      <c r="BH215" s="52">
        <v>126.11089119292049</v>
      </c>
      <c r="BI215" s="52">
        <v>150</v>
      </c>
      <c r="BJ215" s="52">
        <v>150</v>
      </c>
      <c r="BK215" s="52">
        <v>18.196149392919988</v>
      </c>
      <c r="BL215" s="52">
        <v>150</v>
      </c>
      <c r="BM215" s="52">
        <v>150</v>
      </c>
      <c r="BN215" s="52">
        <v>150</v>
      </c>
      <c r="BO215" s="52">
        <v>150</v>
      </c>
      <c r="BP215" s="52">
        <v>150</v>
      </c>
      <c r="BQ215" s="52">
        <v>150</v>
      </c>
      <c r="BR215" s="52">
        <v>150</v>
      </c>
      <c r="BS215" s="52">
        <v>150</v>
      </c>
      <c r="BT215" s="52">
        <v>150</v>
      </c>
      <c r="BU215" s="52">
        <v>150</v>
      </c>
      <c r="BV215" s="52">
        <v>150</v>
      </c>
      <c r="BW215" s="52">
        <v>150</v>
      </c>
    </row>
    <row r="216" spans="1:75" x14ac:dyDescent="0.3">
      <c r="A216" s="8" t="s">
        <v>104</v>
      </c>
      <c r="B216" s="8" t="s">
        <v>10</v>
      </c>
      <c r="C216" s="8" t="s">
        <v>144</v>
      </c>
      <c r="D216" s="52">
        <v>200</v>
      </c>
      <c r="E216" s="52">
        <v>43.794943199999771</v>
      </c>
      <c r="F216" s="52">
        <v>0</v>
      </c>
      <c r="G216" s="52">
        <v>200</v>
      </c>
      <c r="H216" s="52">
        <v>0</v>
      </c>
      <c r="I216" s="52">
        <v>0</v>
      </c>
      <c r="J216" s="52">
        <v>200</v>
      </c>
      <c r="K216" s="52">
        <v>200</v>
      </c>
      <c r="L216" s="52">
        <v>0</v>
      </c>
      <c r="M216" s="52">
        <v>200</v>
      </c>
      <c r="N216" s="52">
        <v>60.299587999999929</v>
      </c>
      <c r="O216" s="52">
        <v>0</v>
      </c>
      <c r="P216" s="52">
        <v>200</v>
      </c>
      <c r="Q216" s="52">
        <v>0</v>
      </c>
      <c r="R216" s="52">
        <v>0</v>
      </c>
      <c r="S216" s="52">
        <v>200</v>
      </c>
      <c r="T216" s="52">
        <v>0</v>
      </c>
      <c r="U216" s="52">
        <v>0</v>
      </c>
      <c r="V216" s="52">
        <v>200</v>
      </c>
      <c r="W216" s="52">
        <v>94.402118847143001</v>
      </c>
      <c r="X216" s="52">
        <v>0</v>
      </c>
      <c r="Y216" s="52">
        <v>200</v>
      </c>
      <c r="Z216" s="52">
        <v>39.369391747143048</v>
      </c>
      <c r="AA216" s="52">
        <v>0</v>
      </c>
      <c r="AB216" s="52">
        <v>181.31474280348095</v>
      </c>
      <c r="AC216" s="52">
        <v>68.260282799999629</v>
      </c>
      <c r="AD216" s="52">
        <v>0</v>
      </c>
      <c r="AE216" s="52">
        <v>145.45783521829534</v>
      </c>
      <c r="AF216" s="52">
        <v>0</v>
      </c>
      <c r="AG216" s="52">
        <v>0</v>
      </c>
      <c r="AH216" s="52">
        <v>108.62500299999999</v>
      </c>
      <c r="AI216" s="52">
        <v>0</v>
      </c>
      <c r="AJ216" s="52">
        <v>0</v>
      </c>
      <c r="AK216" s="52">
        <v>0</v>
      </c>
      <c r="AL216" s="52">
        <v>0</v>
      </c>
      <c r="AM216" s="52">
        <v>0</v>
      </c>
      <c r="AN216" s="52">
        <v>200</v>
      </c>
      <c r="AO216" s="52">
        <v>22.317671220000054</v>
      </c>
      <c r="AP216" s="52">
        <v>0</v>
      </c>
      <c r="AQ216" s="52">
        <v>200</v>
      </c>
      <c r="AR216" s="52">
        <v>22.317671220000054</v>
      </c>
      <c r="AS216" s="52">
        <v>0</v>
      </c>
      <c r="AT216" s="52">
        <v>200</v>
      </c>
      <c r="AU216" s="52">
        <v>162.33265940339788</v>
      </c>
      <c r="AV216" s="52">
        <v>0</v>
      </c>
      <c r="AW216" s="52">
        <v>200</v>
      </c>
      <c r="AX216" s="52">
        <v>162.33265940339788</v>
      </c>
      <c r="AY216" s="52">
        <v>0</v>
      </c>
      <c r="AZ216" s="52">
        <v>200</v>
      </c>
      <c r="BA216" s="52">
        <v>8.4577293999995025</v>
      </c>
      <c r="BB216" s="52">
        <v>0</v>
      </c>
      <c r="BC216" s="52">
        <v>200</v>
      </c>
      <c r="BD216" s="52">
        <v>8.4577293999995025</v>
      </c>
      <c r="BE216" s="52">
        <v>0</v>
      </c>
      <c r="BF216" s="52">
        <v>200</v>
      </c>
      <c r="BG216" s="52">
        <v>0</v>
      </c>
      <c r="BH216" s="52">
        <v>0</v>
      </c>
      <c r="BI216" s="52">
        <v>33.351253664515689</v>
      </c>
      <c r="BJ216" s="52">
        <v>0</v>
      </c>
      <c r="BK216" s="52">
        <v>0</v>
      </c>
      <c r="BL216" s="52">
        <v>200</v>
      </c>
      <c r="BM216" s="52">
        <v>175.82214397161292</v>
      </c>
      <c r="BN216" s="52">
        <v>0</v>
      </c>
      <c r="BO216" s="52">
        <v>200</v>
      </c>
      <c r="BP216" s="52">
        <v>0</v>
      </c>
      <c r="BQ216" s="52">
        <v>0</v>
      </c>
      <c r="BR216" s="52">
        <v>200</v>
      </c>
      <c r="BS216" s="52">
        <v>200</v>
      </c>
      <c r="BT216" s="52">
        <v>0</v>
      </c>
      <c r="BU216" s="52">
        <v>200</v>
      </c>
      <c r="BV216" s="52">
        <v>44.035929670329629</v>
      </c>
      <c r="BW216" s="52">
        <v>0</v>
      </c>
    </row>
    <row r="217" spans="1:75" x14ac:dyDescent="0.3">
      <c r="A217" s="8" t="s">
        <v>104</v>
      </c>
      <c r="B217" s="8" t="s">
        <v>10</v>
      </c>
      <c r="C217" s="8" t="s">
        <v>145</v>
      </c>
      <c r="D217" s="52">
        <v>200</v>
      </c>
      <c r="E217" s="52">
        <v>0</v>
      </c>
      <c r="F217" s="52">
        <v>0</v>
      </c>
      <c r="G217" s="52">
        <v>130.47188730000104</v>
      </c>
      <c r="H217" s="52">
        <v>0</v>
      </c>
      <c r="I217" s="52">
        <v>0</v>
      </c>
      <c r="J217" s="52">
        <v>200</v>
      </c>
      <c r="K217" s="52">
        <v>8.255886899999787</v>
      </c>
      <c r="L217" s="52">
        <v>0</v>
      </c>
      <c r="M217" s="52">
        <v>200</v>
      </c>
      <c r="N217" s="52">
        <v>0</v>
      </c>
      <c r="O217" s="52">
        <v>0</v>
      </c>
      <c r="P217" s="52">
        <v>121.9960420000008</v>
      </c>
      <c r="Q217" s="52">
        <v>0</v>
      </c>
      <c r="R217" s="52">
        <v>0</v>
      </c>
      <c r="S217" s="52">
        <v>121.9960420000008</v>
      </c>
      <c r="T217" s="52">
        <v>0</v>
      </c>
      <c r="U217" s="52">
        <v>0</v>
      </c>
      <c r="V217" s="52">
        <v>200</v>
      </c>
      <c r="W217" s="52">
        <v>0</v>
      </c>
      <c r="X217" s="52">
        <v>0</v>
      </c>
      <c r="Y217" s="52">
        <v>200</v>
      </c>
      <c r="Z217" s="52">
        <v>0</v>
      </c>
      <c r="AA217" s="52">
        <v>0</v>
      </c>
      <c r="AB217" s="52">
        <v>199.64189349651869</v>
      </c>
      <c r="AC217" s="52">
        <v>0</v>
      </c>
      <c r="AD217" s="52">
        <v>0</v>
      </c>
      <c r="AE217" s="52">
        <v>199.64189349651869</v>
      </c>
      <c r="AF217" s="52">
        <v>0</v>
      </c>
      <c r="AG217" s="52">
        <v>0</v>
      </c>
      <c r="AH217" s="52">
        <v>200</v>
      </c>
      <c r="AI217" s="52">
        <v>0</v>
      </c>
      <c r="AJ217" s="52">
        <v>0</v>
      </c>
      <c r="AK217" s="52">
        <v>176.51754080000038</v>
      </c>
      <c r="AL217" s="52">
        <v>0</v>
      </c>
      <c r="AM217" s="52">
        <v>0</v>
      </c>
      <c r="AN217" s="52">
        <v>132.43453449999998</v>
      </c>
      <c r="AO217" s="52">
        <v>0</v>
      </c>
      <c r="AP217" s="52">
        <v>0</v>
      </c>
      <c r="AQ217" s="52">
        <v>132.43453449999998</v>
      </c>
      <c r="AR217" s="52">
        <v>0</v>
      </c>
      <c r="AS217" s="52">
        <v>0</v>
      </c>
      <c r="AT217" s="52">
        <v>200</v>
      </c>
      <c r="AU217" s="52">
        <v>0</v>
      </c>
      <c r="AV217" s="52">
        <v>0</v>
      </c>
      <c r="AW217" s="52">
        <v>200</v>
      </c>
      <c r="AX217" s="52">
        <v>0</v>
      </c>
      <c r="AY217" s="52">
        <v>0</v>
      </c>
      <c r="AZ217" s="52">
        <v>165.86914630000183</v>
      </c>
      <c r="BA217" s="52">
        <v>0</v>
      </c>
      <c r="BB217" s="52">
        <v>0</v>
      </c>
      <c r="BC217" s="52">
        <v>165.86914630000183</v>
      </c>
      <c r="BD217" s="52">
        <v>0</v>
      </c>
      <c r="BE217" s="52">
        <v>0</v>
      </c>
      <c r="BF217" s="52">
        <v>82.584588335484199</v>
      </c>
      <c r="BG217" s="52">
        <v>0</v>
      </c>
      <c r="BH217" s="52">
        <v>0</v>
      </c>
      <c r="BI217" s="52">
        <v>82.584588335484199</v>
      </c>
      <c r="BJ217" s="52">
        <v>0</v>
      </c>
      <c r="BK217" s="52">
        <v>0</v>
      </c>
      <c r="BL217" s="52">
        <v>200</v>
      </c>
      <c r="BM217" s="52">
        <v>0</v>
      </c>
      <c r="BN217" s="52">
        <v>0</v>
      </c>
      <c r="BO217" s="52">
        <v>185.05046320000045</v>
      </c>
      <c r="BP217" s="52">
        <v>0</v>
      </c>
      <c r="BQ217" s="52">
        <v>0</v>
      </c>
      <c r="BR217" s="52">
        <v>117.25459379999987</v>
      </c>
      <c r="BS217" s="52">
        <v>0</v>
      </c>
      <c r="BT217" s="52">
        <v>0</v>
      </c>
      <c r="BU217" s="52">
        <v>0</v>
      </c>
      <c r="BV217" s="52">
        <v>0</v>
      </c>
      <c r="BW217" s="52">
        <v>0</v>
      </c>
    </row>
    <row r="218" spans="1:75" x14ac:dyDescent="0.3">
      <c r="A218" s="8" t="s">
        <v>104</v>
      </c>
      <c r="B218" s="8" t="s">
        <v>10</v>
      </c>
      <c r="C218" s="8" t="s">
        <v>146</v>
      </c>
      <c r="D218" s="52">
        <v>200</v>
      </c>
      <c r="E218" s="52">
        <v>200</v>
      </c>
      <c r="F218" s="52">
        <v>134.77029769999976</v>
      </c>
      <c r="G218" s="52">
        <v>200</v>
      </c>
      <c r="H218" s="52">
        <v>200</v>
      </c>
      <c r="I218" s="52">
        <v>19.217106066666823</v>
      </c>
      <c r="J218" s="52">
        <v>200</v>
      </c>
      <c r="K218" s="52">
        <v>200</v>
      </c>
      <c r="L218" s="52">
        <v>200</v>
      </c>
      <c r="M218" s="52">
        <v>200</v>
      </c>
      <c r="N218" s="52">
        <v>200</v>
      </c>
      <c r="O218" s="52">
        <v>100.02190419999955</v>
      </c>
      <c r="P218" s="52">
        <v>200</v>
      </c>
      <c r="Q218" s="52">
        <v>200</v>
      </c>
      <c r="R218" s="52">
        <v>106.27366279999994</v>
      </c>
      <c r="S218" s="52">
        <v>200</v>
      </c>
      <c r="T218" s="52">
        <v>200</v>
      </c>
      <c r="U218" s="52">
        <v>25.634172000000287</v>
      </c>
      <c r="V218" s="52">
        <v>200</v>
      </c>
      <c r="W218" s="52">
        <v>200</v>
      </c>
      <c r="X218" s="52">
        <v>0</v>
      </c>
      <c r="Y218" s="52">
        <v>200</v>
      </c>
      <c r="Z218" s="52">
        <v>200</v>
      </c>
      <c r="AA218" s="52">
        <v>0</v>
      </c>
      <c r="AB218" s="52">
        <v>200</v>
      </c>
      <c r="AC218" s="52">
        <v>200</v>
      </c>
      <c r="AD218" s="52">
        <v>43.508049672727807</v>
      </c>
      <c r="AE218" s="52">
        <v>200</v>
      </c>
      <c r="AF218" s="52">
        <v>200</v>
      </c>
      <c r="AG218" s="52">
        <v>5.5169752999999488</v>
      </c>
      <c r="AH218" s="52">
        <v>200</v>
      </c>
      <c r="AI218" s="52">
        <v>200</v>
      </c>
      <c r="AJ218" s="52">
        <v>200</v>
      </c>
      <c r="AK218" s="52">
        <v>200</v>
      </c>
      <c r="AL218" s="52">
        <v>200</v>
      </c>
      <c r="AM218" s="52">
        <v>114.2282324000001</v>
      </c>
      <c r="AN218" s="52">
        <v>200</v>
      </c>
      <c r="AO218" s="52">
        <v>200</v>
      </c>
      <c r="AP218" s="52">
        <v>80.717001994373149</v>
      </c>
      <c r="AQ218" s="52">
        <v>200</v>
      </c>
      <c r="AR218" s="52">
        <v>200</v>
      </c>
      <c r="AS218" s="52">
        <v>19.437591594373082</v>
      </c>
      <c r="AT218" s="52">
        <v>200</v>
      </c>
      <c r="AU218" s="52">
        <v>200</v>
      </c>
      <c r="AV218" s="52">
        <v>135.07761649999978</v>
      </c>
      <c r="AW218" s="52">
        <v>200</v>
      </c>
      <c r="AX218" s="52">
        <v>200</v>
      </c>
      <c r="AY218" s="52">
        <v>70.116848000000402</v>
      </c>
      <c r="AZ218" s="52">
        <v>200</v>
      </c>
      <c r="BA218" s="52">
        <v>200</v>
      </c>
      <c r="BB218" s="52">
        <v>0</v>
      </c>
      <c r="BC218" s="52">
        <v>200</v>
      </c>
      <c r="BD218" s="52">
        <v>200</v>
      </c>
      <c r="BE218" s="52">
        <v>0</v>
      </c>
      <c r="BF218" s="52">
        <v>200</v>
      </c>
      <c r="BG218" s="52">
        <v>200</v>
      </c>
      <c r="BH218" s="52">
        <v>0</v>
      </c>
      <c r="BI218" s="52">
        <v>200</v>
      </c>
      <c r="BJ218" s="52">
        <v>0</v>
      </c>
      <c r="BK218" s="52">
        <v>0</v>
      </c>
      <c r="BL218" s="52">
        <v>200</v>
      </c>
      <c r="BM218" s="52">
        <v>200</v>
      </c>
      <c r="BN218" s="52">
        <v>113.90746860000097</v>
      </c>
      <c r="BO218" s="52">
        <v>200</v>
      </c>
      <c r="BP218" s="52">
        <v>194.7986777897722</v>
      </c>
      <c r="BQ218" s="52">
        <v>40.264446200000137</v>
      </c>
      <c r="BR218" s="52">
        <v>200</v>
      </c>
      <c r="BS218" s="52">
        <v>200</v>
      </c>
      <c r="BT218" s="52">
        <v>200</v>
      </c>
      <c r="BU218" s="52">
        <v>200</v>
      </c>
      <c r="BV218" s="52">
        <v>200</v>
      </c>
      <c r="BW218" s="52">
        <v>200</v>
      </c>
    </row>
    <row r="219" spans="1:75" x14ac:dyDescent="0.3">
      <c r="A219" s="8" t="s">
        <v>104</v>
      </c>
      <c r="B219" s="8" t="s">
        <v>10</v>
      </c>
      <c r="C219" s="8" t="s">
        <v>28</v>
      </c>
      <c r="D219" s="52">
        <v>200</v>
      </c>
      <c r="E219" s="52">
        <v>200</v>
      </c>
      <c r="F219" s="52">
        <v>200</v>
      </c>
      <c r="G219" s="52">
        <v>200</v>
      </c>
      <c r="H219" s="52">
        <v>200</v>
      </c>
      <c r="I219" s="52">
        <v>200</v>
      </c>
      <c r="J219" s="52">
        <v>200</v>
      </c>
      <c r="K219" s="52">
        <v>200</v>
      </c>
      <c r="L219" s="52">
        <v>200</v>
      </c>
      <c r="M219" s="52">
        <v>200</v>
      </c>
      <c r="N219" s="52">
        <v>200</v>
      </c>
      <c r="O219" s="52">
        <v>200</v>
      </c>
      <c r="P219" s="52">
        <v>200</v>
      </c>
      <c r="Q219" s="52">
        <v>200</v>
      </c>
      <c r="R219" s="52">
        <v>200</v>
      </c>
      <c r="S219" s="52">
        <v>200</v>
      </c>
      <c r="T219" s="52">
        <v>200</v>
      </c>
      <c r="U219" s="52">
        <v>200</v>
      </c>
      <c r="V219" s="52">
        <v>200</v>
      </c>
      <c r="W219" s="52">
        <v>200</v>
      </c>
      <c r="X219" s="52">
        <v>200</v>
      </c>
      <c r="Y219" s="52">
        <v>200</v>
      </c>
      <c r="Z219" s="52">
        <v>200</v>
      </c>
      <c r="AA219" s="52">
        <v>200</v>
      </c>
      <c r="AB219" s="52">
        <v>200</v>
      </c>
      <c r="AC219" s="52">
        <v>200</v>
      </c>
      <c r="AD219" s="52">
        <v>200</v>
      </c>
      <c r="AE219" s="52">
        <v>200</v>
      </c>
      <c r="AF219" s="52">
        <v>200</v>
      </c>
      <c r="AG219" s="52">
        <v>200</v>
      </c>
      <c r="AH219" s="52">
        <v>200</v>
      </c>
      <c r="AI219" s="52">
        <v>200</v>
      </c>
      <c r="AJ219" s="52">
        <v>200</v>
      </c>
      <c r="AK219" s="52">
        <v>200</v>
      </c>
      <c r="AL219" s="52">
        <v>200</v>
      </c>
      <c r="AM219" s="52">
        <v>200</v>
      </c>
      <c r="AN219" s="52">
        <v>200</v>
      </c>
      <c r="AO219" s="52">
        <v>200</v>
      </c>
      <c r="AP219" s="52">
        <v>200</v>
      </c>
      <c r="AQ219" s="52">
        <v>200</v>
      </c>
      <c r="AR219" s="52">
        <v>200</v>
      </c>
      <c r="AS219" s="52">
        <v>200</v>
      </c>
      <c r="AT219" s="52">
        <v>200</v>
      </c>
      <c r="AU219" s="52">
        <v>200</v>
      </c>
      <c r="AV219" s="52">
        <v>200</v>
      </c>
      <c r="AW219" s="52">
        <v>200</v>
      </c>
      <c r="AX219" s="52">
        <v>200</v>
      </c>
      <c r="AY219" s="52">
        <v>200</v>
      </c>
      <c r="AZ219" s="52">
        <v>200</v>
      </c>
      <c r="BA219" s="52">
        <v>200</v>
      </c>
      <c r="BB219" s="52">
        <v>200</v>
      </c>
      <c r="BC219" s="52">
        <v>200</v>
      </c>
      <c r="BD219" s="52">
        <v>200</v>
      </c>
      <c r="BE219" s="52">
        <v>200</v>
      </c>
      <c r="BF219" s="52">
        <v>200</v>
      </c>
      <c r="BG219" s="52">
        <v>200</v>
      </c>
      <c r="BH219" s="52">
        <v>200</v>
      </c>
      <c r="BI219" s="52">
        <v>200</v>
      </c>
      <c r="BJ219" s="52">
        <v>200</v>
      </c>
      <c r="BK219" s="52">
        <v>200</v>
      </c>
      <c r="BL219" s="52">
        <v>200</v>
      </c>
      <c r="BM219" s="52">
        <v>200</v>
      </c>
      <c r="BN219" s="52">
        <v>200</v>
      </c>
      <c r="BO219" s="52">
        <v>200</v>
      </c>
      <c r="BP219" s="52">
        <v>200</v>
      </c>
      <c r="BQ219" s="52">
        <v>200</v>
      </c>
      <c r="BR219" s="52">
        <v>200</v>
      </c>
      <c r="BS219" s="52">
        <v>200</v>
      </c>
      <c r="BT219" s="52">
        <v>200</v>
      </c>
      <c r="BU219" s="52">
        <v>200</v>
      </c>
      <c r="BV219" s="52">
        <v>200</v>
      </c>
      <c r="BW219" s="52">
        <v>200</v>
      </c>
    </row>
    <row r="220" spans="1:75" x14ac:dyDescent="0.3">
      <c r="A220" s="8" t="s">
        <v>100</v>
      </c>
      <c r="B220" s="8" t="s">
        <v>8</v>
      </c>
      <c r="C220" s="8" t="s">
        <v>60</v>
      </c>
      <c r="D220" s="52">
        <v>771.6</v>
      </c>
      <c r="E220" s="52">
        <v>771.6</v>
      </c>
      <c r="F220" s="52">
        <v>771.6</v>
      </c>
      <c r="G220" s="52">
        <v>771.6</v>
      </c>
      <c r="H220" s="52">
        <v>771.6</v>
      </c>
      <c r="I220" s="52">
        <v>771.6</v>
      </c>
      <c r="J220" s="52">
        <v>771.6</v>
      </c>
      <c r="K220" s="52">
        <v>771.6</v>
      </c>
      <c r="L220" s="52">
        <v>771.6</v>
      </c>
      <c r="M220" s="52">
        <v>771.6</v>
      </c>
      <c r="N220" s="52">
        <v>771.6</v>
      </c>
      <c r="O220" s="52">
        <v>771.6</v>
      </c>
      <c r="P220" s="52">
        <v>771.6</v>
      </c>
      <c r="Q220" s="52">
        <v>771.6</v>
      </c>
      <c r="R220" s="52">
        <v>771.6</v>
      </c>
      <c r="S220" s="52">
        <v>771.6</v>
      </c>
      <c r="T220" s="52">
        <v>771.6</v>
      </c>
      <c r="U220" s="52">
        <v>771.6</v>
      </c>
      <c r="V220" s="52">
        <v>771.6</v>
      </c>
      <c r="W220" s="52">
        <v>771.6</v>
      </c>
      <c r="X220" s="52">
        <v>771.6</v>
      </c>
      <c r="Y220" s="52">
        <v>771.6</v>
      </c>
      <c r="Z220" s="52">
        <v>771.6</v>
      </c>
      <c r="AA220" s="52">
        <v>771.6</v>
      </c>
      <c r="AB220" s="52">
        <v>771.6</v>
      </c>
      <c r="AC220" s="52">
        <v>771.6</v>
      </c>
      <c r="AD220" s="52">
        <v>771.6</v>
      </c>
      <c r="AE220" s="52">
        <v>771.6</v>
      </c>
      <c r="AF220" s="52">
        <v>771.6</v>
      </c>
      <c r="AG220" s="52">
        <v>771.6</v>
      </c>
      <c r="AH220" s="52">
        <v>771.6</v>
      </c>
      <c r="AI220" s="52">
        <v>771.6</v>
      </c>
      <c r="AJ220" s="52">
        <v>771.6</v>
      </c>
      <c r="AK220" s="52">
        <v>771.6</v>
      </c>
      <c r="AL220" s="52">
        <v>771.6</v>
      </c>
      <c r="AM220" s="52">
        <v>771.6</v>
      </c>
      <c r="AN220" s="52">
        <v>771.6</v>
      </c>
      <c r="AO220" s="52">
        <v>771.6</v>
      </c>
      <c r="AP220" s="52">
        <v>771.6</v>
      </c>
      <c r="AQ220" s="52">
        <v>771.6</v>
      </c>
      <c r="AR220" s="52">
        <v>771.6</v>
      </c>
      <c r="AS220" s="52">
        <v>771.6</v>
      </c>
      <c r="AT220" s="52">
        <v>771.6</v>
      </c>
      <c r="AU220" s="52">
        <v>771.6</v>
      </c>
      <c r="AV220" s="52">
        <v>771.6</v>
      </c>
      <c r="AW220" s="52">
        <v>771.6</v>
      </c>
      <c r="AX220" s="52">
        <v>771.6</v>
      </c>
      <c r="AY220" s="52">
        <v>771.6</v>
      </c>
      <c r="AZ220" s="52">
        <v>771.6</v>
      </c>
      <c r="BA220" s="52">
        <v>771.6</v>
      </c>
      <c r="BB220" s="52">
        <v>771.6</v>
      </c>
      <c r="BC220" s="52">
        <v>771.6</v>
      </c>
      <c r="BD220" s="52">
        <v>771.6</v>
      </c>
      <c r="BE220" s="52">
        <v>771.6</v>
      </c>
      <c r="BF220" s="52">
        <v>771.6</v>
      </c>
      <c r="BG220" s="52">
        <v>771.6</v>
      </c>
      <c r="BH220" s="52">
        <v>771.6</v>
      </c>
      <c r="BI220" s="52">
        <v>771.6</v>
      </c>
      <c r="BJ220" s="52">
        <v>771.6</v>
      </c>
      <c r="BK220" s="52">
        <v>771.6</v>
      </c>
      <c r="BL220" s="52">
        <v>771.6</v>
      </c>
      <c r="BM220" s="52">
        <v>771.6</v>
      </c>
      <c r="BN220" s="52">
        <v>771.6</v>
      </c>
      <c r="BO220" s="52">
        <v>771.6</v>
      </c>
      <c r="BP220" s="52">
        <v>771.6</v>
      </c>
      <c r="BQ220" s="52">
        <v>771.6</v>
      </c>
      <c r="BR220" s="52">
        <v>771.6</v>
      </c>
      <c r="BS220" s="52">
        <v>771.6</v>
      </c>
      <c r="BT220" s="52">
        <v>771.6</v>
      </c>
      <c r="BU220" s="52">
        <v>771.6</v>
      </c>
      <c r="BV220" s="52">
        <v>771.6</v>
      </c>
      <c r="BW220" s="52">
        <v>771.6</v>
      </c>
    </row>
    <row r="221" spans="1:75" x14ac:dyDescent="0.3">
      <c r="A221" s="8" t="s">
        <v>100</v>
      </c>
      <c r="B221" s="8" t="s">
        <v>8</v>
      </c>
      <c r="C221" s="8" t="s">
        <v>150</v>
      </c>
      <c r="D221" s="52">
        <v>588</v>
      </c>
      <c r="E221" s="52">
        <v>302.56540739138228</v>
      </c>
      <c r="F221" s="52">
        <v>235.19999999999996</v>
      </c>
      <c r="G221" s="52">
        <v>535.87068322600055</v>
      </c>
      <c r="H221" s="52">
        <v>235.19999999999996</v>
      </c>
      <c r="I221" s="52">
        <v>235.19999999999996</v>
      </c>
      <c r="J221" s="52">
        <v>271.28919622745519</v>
      </c>
      <c r="K221" s="52">
        <v>235.19999999999996</v>
      </c>
      <c r="L221" s="52">
        <v>235.19999999999996</v>
      </c>
      <c r="M221" s="52">
        <v>271.28919622745519</v>
      </c>
      <c r="N221" s="52">
        <v>235.19999999999996</v>
      </c>
      <c r="O221" s="52">
        <v>235.19999999999996</v>
      </c>
      <c r="P221" s="52">
        <v>235.19999999999996</v>
      </c>
      <c r="Q221" s="52">
        <v>235.19999999999996</v>
      </c>
      <c r="R221" s="52">
        <v>235.19999999999996</v>
      </c>
      <c r="S221" s="52">
        <v>235.19999999999996</v>
      </c>
      <c r="T221" s="52">
        <v>235.19999999999996</v>
      </c>
      <c r="U221" s="52">
        <v>235.19999999999996</v>
      </c>
      <c r="V221" s="52">
        <v>235.19999999999951</v>
      </c>
      <c r="W221" s="52">
        <v>235.19999999999951</v>
      </c>
      <c r="X221" s="52">
        <v>235.19999999999951</v>
      </c>
      <c r="Y221" s="52">
        <v>0</v>
      </c>
      <c r="Z221" s="52">
        <v>0</v>
      </c>
      <c r="AA221" s="52">
        <v>0</v>
      </c>
      <c r="AB221" s="52">
        <v>351.66858929769597</v>
      </c>
      <c r="AC221" s="52">
        <v>235.19999999999996</v>
      </c>
      <c r="AD221" s="52">
        <v>235.19999999999996</v>
      </c>
      <c r="AE221" s="52">
        <v>351.66858929769597</v>
      </c>
      <c r="AF221" s="52">
        <v>235.19999999999996</v>
      </c>
      <c r="AG221" s="52">
        <v>235.19999999999996</v>
      </c>
      <c r="AH221" s="52">
        <v>235.19999999999996</v>
      </c>
      <c r="AI221" s="52">
        <v>235.19999999999996</v>
      </c>
      <c r="AJ221" s="52">
        <v>235.19999999999996</v>
      </c>
      <c r="AK221" s="52">
        <v>0</v>
      </c>
      <c r="AL221" s="52">
        <v>0</v>
      </c>
      <c r="AM221" s="52">
        <v>0</v>
      </c>
      <c r="AN221" s="52">
        <v>235.19999999999996</v>
      </c>
      <c r="AO221" s="52">
        <v>235.19999999999996</v>
      </c>
      <c r="AP221" s="52">
        <v>235.19999999999996</v>
      </c>
      <c r="AQ221" s="52">
        <v>235.19999999999996</v>
      </c>
      <c r="AR221" s="52">
        <v>235.19999999999996</v>
      </c>
      <c r="AS221" s="52">
        <v>235.19999999999996</v>
      </c>
      <c r="AT221" s="52">
        <v>235.19999999999996</v>
      </c>
      <c r="AU221" s="52">
        <v>235.19999999999996</v>
      </c>
      <c r="AV221" s="52">
        <v>235.19999999999996</v>
      </c>
      <c r="AW221" s="52">
        <v>0</v>
      </c>
      <c r="AX221" s="52">
        <v>0</v>
      </c>
      <c r="AY221" s="52">
        <v>0</v>
      </c>
      <c r="AZ221" s="52">
        <v>235.19999999999996</v>
      </c>
      <c r="BA221" s="52">
        <v>235.19999999999996</v>
      </c>
      <c r="BB221" s="52">
        <v>235.19999999999996</v>
      </c>
      <c r="BC221" s="52">
        <v>235.19999999999996</v>
      </c>
      <c r="BD221" s="52">
        <v>235.19999999999996</v>
      </c>
      <c r="BE221" s="52">
        <v>235.19999999999996</v>
      </c>
      <c r="BF221" s="52">
        <v>235.19999999999996</v>
      </c>
      <c r="BG221" s="52">
        <v>235.19999999999996</v>
      </c>
      <c r="BH221" s="52">
        <v>235.19999999999996</v>
      </c>
      <c r="BI221" s="52">
        <v>235.19999999999996</v>
      </c>
      <c r="BJ221" s="52">
        <v>235.19999999999996</v>
      </c>
      <c r="BK221" s="52">
        <v>235.19999999999996</v>
      </c>
      <c r="BL221" s="52">
        <v>235.19999999999996</v>
      </c>
      <c r="BM221" s="52">
        <v>235.19999999999996</v>
      </c>
      <c r="BN221" s="52">
        <v>235.19999999999996</v>
      </c>
      <c r="BO221" s="52">
        <v>235.19999999999996</v>
      </c>
      <c r="BP221" s="52">
        <v>235.19999999999996</v>
      </c>
      <c r="BQ221" s="52">
        <v>235.19999999999996</v>
      </c>
      <c r="BR221" s="52">
        <v>548.04213973800017</v>
      </c>
      <c r="BS221" s="52">
        <v>235.19999999999996</v>
      </c>
      <c r="BT221" s="52">
        <v>235.19999999999996</v>
      </c>
      <c r="BU221" s="52">
        <v>416.72285780300081</v>
      </c>
      <c r="BV221" s="52">
        <v>235.19999999999996</v>
      </c>
      <c r="BW221" s="52">
        <v>235.19999999999996</v>
      </c>
    </row>
    <row r="222" spans="1:75" x14ac:dyDescent="0.3">
      <c r="A222" s="8" t="s">
        <v>100</v>
      </c>
      <c r="B222" s="8" t="s">
        <v>8</v>
      </c>
      <c r="C222" s="8" t="s">
        <v>61</v>
      </c>
      <c r="D222" s="52">
        <v>0</v>
      </c>
      <c r="E222" s="52">
        <v>0</v>
      </c>
      <c r="F222" s="52">
        <v>0</v>
      </c>
      <c r="G222" s="52">
        <v>0</v>
      </c>
      <c r="H222" s="52">
        <v>0</v>
      </c>
      <c r="I222" s="52">
        <v>0</v>
      </c>
      <c r="J222" s="52">
        <v>0</v>
      </c>
      <c r="K222" s="52">
        <v>0</v>
      </c>
      <c r="L222" s="52">
        <v>0</v>
      </c>
      <c r="M222" s="52">
        <v>0</v>
      </c>
      <c r="N222" s="52">
        <v>0</v>
      </c>
      <c r="O222" s="52">
        <v>0</v>
      </c>
      <c r="P222" s="52">
        <v>0</v>
      </c>
      <c r="Q222" s="52">
        <v>0</v>
      </c>
      <c r="R222" s="52">
        <v>0</v>
      </c>
      <c r="S222" s="52">
        <v>0</v>
      </c>
      <c r="T222" s="52">
        <v>0</v>
      </c>
      <c r="U222" s="52">
        <v>0</v>
      </c>
      <c r="V222" s="52">
        <v>0</v>
      </c>
      <c r="W222" s="52">
        <v>0</v>
      </c>
      <c r="X222" s="52">
        <v>0</v>
      </c>
      <c r="Y222" s="52">
        <v>0</v>
      </c>
      <c r="Z222" s="52">
        <v>0</v>
      </c>
      <c r="AA222" s="52">
        <v>0</v>
      </c>
      <c r="AB222" s="52">
        <v>0</v>
      </c>
      <c r="AC222" s="52">
        <v>0</v>
      </c>
      <c r="AD222" s="52">
        <v>0</v>
      </c>
      <c r="AE222" s="52">
        <v>0</v>
      </c>
      <c r="AF222" s="52">
        <v>0</v>
      </c>
      <c r="AG222" s="52">
        <v>0</v>
      </c>
      <c r="AH222" s="52">
        <v>203.1</v>
      </c>
      <c r="AI222" s="52">
        <v>81.239999999999995</v>
      </c>
      <c r="AJ222" s="52">
        <v>81.239999999999995</v>
      </c>
      <c r="AK222" s="52">
        <v>203.1</v>
      </c>
      <c r="AL222" s="52">
        <v>81.239999999999995</v>
      </c>
      <c r="AM222" s="52">
        <v>81.239999999999995</v>
      </c>
      <c r="AN222" s="52">
        <v>0</v>
      </c>
      <c r="AO222" s="52">
        <v>0</v>
      </c>
      <c r="AP222" s="52">
        <v>0</v>
      </c>
      <c r="AQ222" s="52">
        <v>0</v>
      </c>
      <c r="AR222" s="52">
        <v>0</v>
      </c>
      <c r="AS222" s="52">
        <v>0</v>
      </c>
      <c r="AT222" s="52">
        <v>0</v>
      </c>
      <c r="AU222" s="52">
        <v>0</v>
      </c>
      <c r="AV222" s="52">
        <v>0</v>
      </c>
      <c r="AW222" s="52">
        <v>0</v>
      </c>
      <c r="AX222" s="52">
        <v>0</v>
      </c>
      <c r="AY222" s="52">
        <v>0</v>
      </c>
      <c r="AZ222" s="52">
        <v>0</v>
      </c>
      <c r="BA222" s="52">
        <v>0</v>
      </c>
      <c r="BB222" s="52">
        <v>0</v>
      </c>
      <c r="BC222" s="52">
        <v>0</v>
      </c>
      <c r="BD222" s="52">
        <v>0</v>
      </c>
      <c r="BE222" s="52">
        <v>0</v>
      </c>
      <c r="BF222" s="52">
        <v>0</v>
      </c>
      <c r="BG222" s="52">
        <v>0</v>
      </c>
      <c r="BH222" s="52">
        <v>0</v>
      </c>
      <c r="BI222" s="52">
        <v>0</v>
      </c>
      <c r="BJ222" s="52">
        <v>0</v>
      </c>
      <c r="BK222" s="52">
        <v>0</v>
      </c>
      <c r="BL222" s="52">
        <v>203.1</v>
      </c>
      <c r="BM222" s="52">
        <v>81.239999999999995</v>
      </c>
      <c r="BN222" s="52">
        <v>81.239999999999995</v>
      </c>
      <c r="BO222" s="52">
        <v>0</v>
      </c>
      <c r="BP222" s="52">
        <v>0</v>
      </c>
      <c r="BQ222" s="52">
        <v>0</v>
      </c>
      <c r="BR222" s="52">
        <v>203.1</v>
      </c>
      <c r="BS222" s="52">
        <v>113.67953934460137</v>
      </c>
      <c r="BT222" s="52">
        <v>81.239999999999256</v>
      </c>
      <c r="BU222" s="52">
        <v>203.1</v>
      </c>
      <c r="BV222" s="52">
        <v>81.239999999999256</v>
      </c>
      <c r="BW222" s="52">
        <v>81.239999999999256</v>
      </c>
    </row>
    <row r="223" spans="1:75" x14ac:dyDescent="0.3">
      <c r="A223" s="8" t="s">
        <v>100</v>
      </c>
      <c r="B223" s="8" t="s">
        <v>8</v>
      </c>
      <c r="C223" s="8" t="s">
        <v>152</v>
      </c>
      <c r="D223" s="52">
        <v>0</v>
      </c>
      <c r="E223" s="52">
        <v>0</v>
      </c>
      <c r="F223" s="52">
        <v>0</v>
      </c>
      <c r="G223" s="52">
        <v>0</v>
      </c>
      <c r="H223" s="52">
        <v>0</v>
      </c>
      <c r="I223" s="52">
        <v>0</v>
      </c>
      <c r="J223" s="52">
        <v>116.34975512300002</v>
      </c>
      <c r="K223" s="52">
        <v>60.159999999999933</v>
      </c>
      <c r="L223" s="52">
        <v>60.159999999999933</v>
      </c>
      <c r="M223" s="52">
        <v>0</v>
      </c>
      <c r="N223" s="52">
        <v>0</v>
      </c>
      <c r="O223" s="52">
        <v>0</v>
      </c>
      <c r="P223" s="52">
        <v>0</v>
      </c>
      <c r="Q223" s="52">
        <v>0</v>
      </c>
      <c r="R223" s="52">
        <v>0</v>
      </c>
      <c r="S223" s="52">
        <v>0</v>
      </c>
      <c r="T223" s="52">
        <v>0</v>
      </c>
      <c r="U223" s="52">
        <v>0</v>
      </c>
      <c r="V223" s="52">
        <v>150.4</v>
      </c>
      <c r="W223" s="52">
        <v>150.4</v>
      </c>
      <c r="X223" s="52">
        <v>60.159999999999989</v>
      </c>
      <c r="Y223" s="52">
        <v>150.4</v>
      </c>
      <c r="Z223" s="52">
        <v>60.159999999999989</v>
      </c>
      <c r="AA223" s="52">
        <v>60.159999999999989</v>
      </c>
      <c r="AB223" s="52">
        <v>60.159999999999989</v>
      </c>
      <c r="AC223" s="52">
        <v>60.159999999999989</v>
      </c>
      <c r="AD223" s="52">
        <v>60.159999999999989</v>
      </c>
      <c r="AE223" s="52">
        <v>0</v>
      </c>
      <c r="AF223" s="52">
        <v>0</v>
      </c>
      <c r="AG223" s="52">
        <v>0</v>
      </c>
      <c r="AH223" s="52">
        <v>99.572536822000018</v>
      </c>
      <c r="AI223" s="52">
        <v>60.159999999999989</v>
      </c>
      <c r="AJ223" s="52">
        <v>60.159999999999989</v>
      </c>
      <c r="AK223" s="52">
        <v>0</v>
      </c>
      <c r="AL223" s="52">
        <v>0</v>
      </c>
      <c r="AM223" s="52">
        <v>0</v>
      </c>
      <c r="AN223" s="52">
        <v>108.53005411599948</v>
      </c>
      <c r="AO223" s="52">
        <v>60.159999999999989</v>
      </c>
      <c r="AP223" s="52">
        <v>60.159999999999989</v>
      </c>
      <c r="AQ223" s="52">
        <v>0</v>
      </c>
      <c r="AR223" s="52">
        <v>0</v>
      </c>
      <c r="AS223" s="52">
        <v>0</v>
      </c>
      <c r="AT223" s="52">
        <v>150.4</v>
      </c>
      <c r="AU223" s="52">
        <v>150.4</v>
      </c>
      <c r="AV223" s="52">
        <v>60.159999999999989</v>
      </c>
      <c r="AW223" s="52">
        <v>150.4</v>
      </c>
      <c r="AX223" s="52">
        <v>60.159999999999989</v>
      </c>
      <c r="AY223" s="52">
        <v>60.159999999999989</v>
      </c>
      <c r="AZ223" s="52">
        <v>0</v>
      </c>
      <c r="BA223" s="52">
        <v>0</v>
      </c>
      <c r="BB223" s="52">
        <v>0</v>
      </c>
      <c r="BC223" s="52">
        <v>0</v>
      </c>
      <c r="BD223" s="52">
        <v>0</v>
      </c>
      <c r="BE223" s="52">
        <v>0</v>
      </c>
      <c r="BF223" s="52">
        <v>0</v>
      </c>
      <c r="BG223" s="52">
        <v>0</v>
      </c>
      <c r="BH223" s="52">
        <v>0</v>
      </c>
      <c r="BI223" s="52">
        <v>0</v>
      </c>
      <c r="BJ223" s="52">
        <v>0</v>
      </c>
      <c r="BK223" s="52">
        <v>0</v>
      </c>
      <c r="BL223" s="52">
        <v>0</v>
      </c>
      <c r="BM223" s="52">
        <v>0</v>
      </c>
      <c r="BN223" s="52">
        <v>0</v>
      </c>
      <c r="BO223" s="52">
        <v>0</v>
      </c>
      <c r="BP223" s="52">
        <v>0</v>
      </c>
      <c r="BQ223" s="52">
        <v>0</v>
      </c>
      <c r="BR223" s="52">
        <v>0</v>
      </c>
      <c r="BS223" s="52">
        <v>0</v>
      </c>
      <c r="BT223" s="52">
        <v>0</v>
      </c>
      <c r="BU223" s="52">
        <v>0</v>
      </c>
      <c r="BV223" s="52">
        <v>0</v>
      </c>
      <c r="BW223" s="52">
        <v>0</v>
      </c>
    </row>
    <row r="224" spans="1:75" x14ac:dyDescent="0.3">
      <c r="A224" s="8" t="s">
        <v>100</v>
      </c>
      <c r="B224" s="8" t="s">
        <v>8</v>
      </c>
      <c r="C224" s="8" t="s">
        <v>151</v>
      </c>
      <c r="D224" s="52">
        <v>194.4</v>
      </c>
      <c r="E224" s="52">
        <v>194.4</v>
      </c>
      <c r="F224" s="52">
        <v>77.75999999999965</v>
      </c>
      <c r="G224" s="52">
        <v>0</v>
      </c>
      <c r="H224" s="52">
        <v>0</v>
      </c>
      <c r="I224" s="52">
        <v>0</v>
      </c>
      <c r="J224" s="52">
        <v>194.4</v>
      </c>
      <c r="K224" s="52">
        <v>187.42144576900043</v>
      </c>
      <c r="L224" s="52">
        <v>77.760000000000005</v>
      </c>
      <c r="M224" s="52">
        <v>194.4</v>
      </c>
      <c r="N224" s="52">
        <v>93.145583880000444</v>
      </c>
      <c r="O224" s="52">
        <v>77.760000000000005</v>
      </c>
      <c r="P224" s="52">
        <v>110.41831226599963</v>
      </c>
      <c r="Q224" s="52">
        <v>128.53634702500059</v>
      </c>
      <c r="R224" s="52">
        <v>77.760000000000005</v>
      </c>
      <c r="S224" s="52">
        <v>0</v>
      </c>
      <c r="T224" s="52">
        <v>0</v>
      </c>
      <c r="U224" s="52">
        <v>0</v>
      </c>
      <c r="V224" s="52">
        <v>194.4</v>
      </c>
      <c r="W224" s="52">
        <v>194.4</v>
      </c>
      <c r="X224" s="52">
        <v>77.760000000000005</v>
      </c>
      <c r="Y224" s="52">
        <v>194.4</v>
      </c>
      <c r="Z224" s="52">
        <v>77.760000000000005</v>
      </c>
      <c r="AA224" s="52">
        <v>77.760000000000005</v>
      </c>
      <c r="AB224" s="52">
        <v>103.12099597400042</v>
      </c>
      <c r="AC224" s="52">
        <v>142.03958594800014</v>
      </c>
      <c r="AD224" s="52">
        <v>77.760000000000005</v>
      </c>
      <c r="AE224" s="52">
        <v>0</v>
      </c>
      <c r="AF224" s="52">
        <v>0</v>
      </c>
      <c r="AG224" s="52">
        <v>0</v>
      </c>
      <c r="AH224" s="52">
        <v>194.4</v>
      </c>
      <c r="AI224" s="52">
        <v>179.14200523772445</v>
      </c>
      <c r="AJ224" s="52">
        <v>77.760000000000005</v>
      </c>
      <c r="AK224" s="52">
        <v>194.4</v>
      </c>
      <c r="AL224" s="52">
        <v>179.14200523772445</v>
      </c>
      <c r="AM224" s="52">
        <v>77.760000000000005</v>
      </c>
      <c r="AN224" s="52">
        <v>194.4</v>
      </c>
      <c r="AO224" s="52">
        <v>190.94797441800009</v>
      </c>
      <c r="AP224" s="52">
        <v>77.760000000000005</v>
      </c>
      <c r="AQ224" s="52">
        <v>0</v>
      </c>
      <c r="AR224" s="52">
        <v>0</v>
      </c>
      <c r="AS224" s="52">
        <v>0</v>
      </c>
      <c r="AT224" s="52">
        <v>194.4</v>
      </c>
      <c r="AU224" s="52">
        <v>194.4</v>
      </c>
      <c r="AV224" s="52">
        <v>77.760000000000005</v>
      </c>
      <c r="AW224" s="52">
        <v>194.4</v>
      </c>
      <c r="AX224" s="52">
        <v>194.4</v>
      </c>
      <c r="AY224" s="52">
        <v>77.760000000000005</v>
      </c>
      <c r="AZ224" s="52">
        <v>194.4</v>
      </c>
      <c r="BA224" s="52">
        <v>194.4</v>
      </c>
      <c r="BB224" s="52">
        <v>77.760000000000005</v>
      </c>
      <c r="BC224" s="52">
        <v>0</v>
      </c>
      <c r="BD224" s="52">
        <v>0</v>
      </c>
      <c r="BE224" s="52">
        <v>0</v>
      </c>
      <c r="BF224" s="52">
        <v>0</v>
      </c>
      <c r="BG224" s="52">
        <v>0</v>
      </c>
      <c r="BH224" s="52">
        <v>0</v>
      </c>
      <c r="BI224" s="52">
        <v>0</v>
      </c>
      <c r="BJ224" s="52">
        <v>0</v>
      </c>
      <c r="BK224" s="52">
        <v>0</v>
      </c>
      <c r="BL224" s="52">
        <v>194.4</v>
      </c>
      <c r="BM224" s="52">
        <v>194.4</v>
      </c>
      <c r="BN224" s="52">
        <v>77.760000000000005</v>
      </c>
      <c r="BO224" s="52">
        <v>194.4</v>
      </c>
      <c r="BP224" s="52">
        <v>194.4</v>
      </c>
      <c r="BQ224" s="52">
        <v>77.760000000000005</v>
      </c>
      <c r="BR224" s="52">
        <v>194.4</v>
      </c>
      <c r="BS224" s="52">
        <v>194.4</v>
      </c>
      <c r="BT224" s="52">
        <v>77.760000000000005</v>
      </c>
      <c r="BU224" s="52">
        <v>0</v>
      </c>
      <c r="BV224" s="52">
        <v>0</v>
      </c>
      <c r="BW224" s="52">
        <v>0</v>
      </c>
    </row>
    <row r="225" spans="1:75" x14ac:dyDescent="0.3">
      <c r="A225" s="8" t="s">
        <v>100</v>
      </c>
      <c r="B225" s="8" t="s">
        <v>8</v>
      </c>
      <c r="C225" s="8" t="s">
        <v>62</v>
      </c>
      <c r="D225" s="52">
        <v>500</v>
      </c>
      <c r="E225" s="52">
        <v>500</v>
      </c>
      <c r="F225" s="52">
        <v>500</v>
      </c>
      <c r="G225" s="52">
        <v>500</v>
      </c>
      <c r="H225" s="52">
        <v>500</v>
      </c>
      <c r="I225" s="52">
        <v>500</v>
      </c>
      <c r="J225" s="52">
        <v>500</v>
      </c>
      <c r="K225" s="52">
        <v>500</v>
      </c>
      <c r="L225" s="52">
        <v>500</v>
      </c>
      <c r="M225" s="52">
        <v>500</v>
      </c>
      <c r="N225" s="52">
        <v>500</v>
      </c>
      <c r="O225" s="52">
        <v>500</v>
      </c>
      <c r="P225" s="52">
        <v>500</v>
      </c>
      <c r="Q225" s="52">
        <v>500</v>
      </c>
      <c r="R225" s="52">
        <v>500</v>
      </c>
      <c r="S225" s="52">
        <v>500</v>
      </c>
      <c r="T225" s="52">
        <v>500</v>
      </c>
      <c r="U225" s="52">
        <v>500</v>
      </c>
      <c r="V225" s="52">
        <v>500</v>
      </c>
      <c r="W225" s="52">
        <v>500</v>
      </c>
      <c r="X225" s="52">
        <v>500</v>
      </c>
      <c r="Y225" s="52">
        <v>500</v>
      </c>
      <c r="Z225" s="52">
        <v>500</v>
      </c>
      <c r="AA225" s="52">
        <v>500</v>
      </c>
      <c r="AB225" s="52">
        <v>500</v>
      </c>
      <c r="AC225" s="52">
        <v>500</v>
      </c>
      <c r="AD225" s="52">
        <v>500</v>
      </c>
      <c r="AE225" s="52">
        <v>500</v>
      </c>
      <c r="AF225" s="52">
        <v>500</v>
      </c>
      <c r="AG225" s="52">
        <v>500</v>
      </c>
      <c r="AH225" s="52">
        <v>500</v>
      </c>
      <c r="AI225" s="52">
        <v>500</v>
      </c>
      <c r="AJ225" s="52">
        <v>500</v>
      </c>
      <c r="AK225" s="52">
        <v>500</v>
      </c>
      <c r="AL225" s="52">
        <v>500</v>
      </c>
      <c r="AM225" s="52">
        <v>500</v>
      </c>
      <c r="AN225" s="52">
        <v>500</v>
      </c>
      <c r="AO225" s="52">
        <v>500</v>
      </c>
      <c r="AP225" s="52">
        <v>500</v>
      </c>
      <c r="AQ225" s="52">
        <v>500</v>
      </c>
      <c r="AR225" s="52">
        <v>500</v>
      </c>
      <c r="AS225" s="52">
        <v>500</v>
      </c>
      <c r="AT225" s="52">
        <v>500</v>
      </c>
      <c r="AU225" s="52">
        <v>500</v>
      </c>
      <c r="AV225" s="52">
        <v>500</v>
      </c>
      <c r="AW225" s="52">
        <v>500</v>
      </c>
      <c r="AX225" s="52">
        <v>500</v>
      </c>
      <c r="AY225" s="52">
        <v>500</v>
      </c>
      <c r="AZ225" s="52">
        <v>500</v>
      </c>
      <c r="BA225" s="52">
        <v>500</v>
      </c>
      <c r="BB225" s="52">
        <v>500</v>
      </c>
      <c r="BC225" s="52">
        <v>500</v>
      </c>
      <c r="BD225" s="52">
        <v>500</v>
      </c>
      <c r="BE225" s="52">
        <v>500</v>
      </c>
      <c r="BF225" s="52">
        <v>500</v>
      </c>
      <c r="BG225" s="52">
        <v>500</v>
      </c>
      <c r="BH225" s="52">
        <v>500</v>
      </c>
      <c r="BI225" s="52">
        <v>500</v>
      </c>
      <c r="BJ225" s="52">
        <v>500</v>
      </c>
      <c r="BK225" s="52">
        <v>500</v>
      </c>
      <c r="BL225" s="52">
        <v>500</v>
      </c>
      <c r="BM225" s="52">
        <v>500</v>
      </c>
      <c r="BN225" s="52">
        <v>500</v>
      </c>
      <c r="BO225" s="52">
        <v>500</v>
      </c>
      <c r="BP225" s="52">
        <v>500</v>
      </c>
      <c r="BQ225" s="52">
        <v>500</v>
      </c>
      <c r="BR225" s="52">
        <v>500</v>
      </c>
      <c r="BS225" s="52">
        <v>500</v>
      </c>
      <c r="BT225" s="52">
        <v>500</v>
      </c>
      <c r="BU225" s="52">
        <v>500</v>
      </c>
      <c r="BV225" s="52">
        <v>500</v>
      </c>
      <c r="BW225" s="52">
        <v>500</v>
      </c>
    </row>
    <row r="226" spans="1:75" x14ac:dyDescent="0.3">
      <c r="A226" s="8" t="s">
        <v>100</v>
      </c>
      <c r="B226" s="8" t="s">
        <v>8</v>
      </c>
      <c r="C226" s="8" t="s">
        <v>63</v>
      </c>
      <c r="D226" s="52">
        <v>500</v>
      </c>
      <c r="E226" s="52">
        <v>500</v>
      </c>
      <c r="F226" s="52">
        <v>406.95260067699991</v>
      </c>
      <c r="G226" s="52">
        <v>500</v>
      </c>
      <c r="H226" s="52">
        <v>500</v>
      </c>
      <c r="I226" s="52">
        <v>284.12481046066716</v>
      </c>
      <c r="J226" s="52">
        <v>500</v>
      </c>
      <c r="K226" s="52">
        <v>500</v>
      </c>
      <c r="L226" s="52">
        <v>262.56403513526038</v>
      </c>
      <c r="M226" s="52">
        <v>500</v>
      </c>
      <c r="N226" s="52">
        <v>500</v>
      </c>
      <c r="O226" s="52">
        <v>171.4181667202603</v>
      </c>
      <c r="P226" s="52">
        <v>500</v>
      </c>
      <c r="Q226" s="52">
        <v>500</v>
      </c>
      <c r="R226" s="52">
        <v>235.35699942800113</v>
      </c>
      <c r="S226" s="52">
        <v>500</v>
      </c>
      <c r="T226" s="52">
        <v>500</v>
      </c>
      <c r="U226" s="52">
        <v>207.93351372000012</v>
      </c>
      <c r="V226" s="52">
        <v>500</v>
      </c>
      <c r="W226" s="52">
        <v>500</v>
      </c>
      <c r="X226" s="52">
        <v>198.15445174648269</v>
      </c>
      <c r="Y226" s="52">
        <v>500</v>
      </c>
      <c r="Z226" s="52">
        <v>500</v>
      </c>
      <c r="AA226" s="52">
        <v>198.15445174648269</v>
      </c>
      <c r="AB226" s="52">
        <v>500</v>
      </c>
      <c r="AC226" s="52">
        <v>500</v>
      </c>
      <c r="AD226" s="52">
        <v>100</v>
      </c>
      <c r="AE226" s="52">
        <v>0</v>
      </c>
      <c r="AF226" s="52">
        <v>0</v>
      </c>
      <c r="AG226" s="52">
        <v>0</v>
      </c>
      <c r="AH226" s="52">
        <v>500</v>
      </c>
      <c r="AI226" s="52">
        <v>500</v>
      </c>
      <c r="AJ226" s="52">
        <v>316.31351472400047</v>
      </c>
      <c r="AK226" s="52">
        <v>500</v>
      </c>
      <c r="AL226" s="52">
        <v>500</v>
      </c>
      <c r="AM226" s="52">
        <v>316.31351472400047</v>
      </c>
      <c r="AN226" s="52">
        <v>500</v>
      </c>
      <c r="AO226" s="52">
        <v>500</v>
      </c>
      <c r="AP226" s="52">
        <v>394.81340769699995</v>
      </c>
      <c r="AQ226" s="52">
        <v>500</v>
      </c>
      <c r="AR226" s="52">
        <v>500</v>
      </c>
      <c r="AS226" s="52">
        <v>330.5420031930006</v>
      </c>
      <c r="AT226" s="52">
        <v>500</v>
      </c>
      <c r="AU226" s="52">
        <v>500</v>
      </c>
      <c r="AV226" s="52">
        <v>270.37861648000023</v>
      </c>
      <c r="AW226" s="52">
        <v>500</v>
      </c>
      <c r="AX226" s="52">
        <v>500</v>
      </c>
      <c r="AY226" s="52">
        <v>270.37861648000023</v>
      </c>
      <c r="AZ226" s="52">
        <v>500</v>
      </c>
      <c r="BA226" s="52">
        <v>500</v>
      </c>
      <c r="BB226" s="52">
        <v>339.10731145871551</v>
      </c>
      <c r="BC226" s="52">
        <v>500</v>
      </c>
      <c r="BD226" s="52">
        <v>500</v>
      </c>
      <c r="BE226" s="52">
        <v>214.93089768199994</v>
      </c>
      <c r="BF226" s="52">
        <v>500</v>
      </c>
      <c r="BG226" s="52">
        <v>500</v>
      </c>
      <c r="BH226" s="52">
        <v>138.71388254307999</v>
      </c>
      <c r="BI226" s="52">
        <v>500</v>
      </c>
      <c r="BJ226" s="52">
        <v>500</v>
      </c>
      <c r="BK226" s="52">
        <v>138.71388254307999</v>
      </c>
      <c r="BL226" s="52">
        <v>500</v>
      </c>
      <c r="BM226" s="52">
        <v>500</v>
      </c>
      <c r="BN226" s="52">
        <v>222.58874328600007</v>
      </c>
      <c r="BO226" s="52">
        <v>500</v>
      </c>
      <c r="BP226" s="52">
        <v>500</v>
      </c>
      <c r="BQ226" s="52">
        <v>149.15009066199951</v>
      </c>
      <c r="BR226" s="52">
        <v>500</v>
      </c>
      <c r="BS226" s="52">
        <v>500</v>
      </c>
      <c r="BT226" s="52">
        <v>374.77612373400063</v>
      </c>
      <c r="BU226" s="52">
        <v>500</v>
      </c>
      <c r="BV226" s="52">
        <v>500</v>
      </c>
      <c r="BW226" s="52">
        <v>142.43408339300066</v>
      </c>
    </row>
    <row r="227" spans="1:75" x14ac:dyDescent="0.3">
      <c r="A227" s="8" t="s">
        <v>100</v>
      </c>
      <c r="B227" s="8" t="s">
        <v>8</v>
      </c>
      <c r="C227" s="8" t="s">
        <v>64</v>
      </c>
      <c r="D227" s="52">
        <v>500</v>
      </c>
      <c r="E227" s="52">
        <v>500</v>
      </c>
      <c r="F227" s="52">
        <v>100</v>
      </c>
      <c r="G227" s="52">
        <v>0</v>
      </c>
      <c r="H227" s="52">
        <v>0</v>
      </c>
      <c r="I227" s="52">
        <v>0</v>
      </c>
      <c r="J227" s="52">
        <v>500</v>
      </c>
      <c r="K227" s="52">
        <v>500</v>
      </c>
      <c r="L227" s="52">
        <v>100</v>
      </c>
      <c r="M227" s="52">
        <v>0</v>
      </c>
      <c r="N227" s="52">
        <v>0</v>
      </c>
      <c r="O227" s="52">
        <v>0</v>
      </c>
      <c r="P227" s="52">
        <v>500</v>
      </c>
      <c r="Q227" s="52">
        <v>500</v>
      </c>
      <c r="R227" s="52">
        <v>99.99999999999919</v>
      </c>
      <c r="S227" s="52">
        <v>0</v>
      </c>
      <c r="T227" s="52">
        <v>0</v>
      </c>
      <c r="U227" s="52">
        <v>0</v>
      </c>
      <c r="V227" s="52">
        <v>0</v>
      </c>
      <c r="W227" s="52">
        <v>0</v>
      </c>
      <c r="X227" s="52">
        <v>0</v>
      </c>
      <c r="Y227" s="52">
        <v>0</v>
      </c>
      <c r="Z227" s="52">
        <v>0</v>
      </c>
      <c r="AA227" s="52">
        <v>0</v>
      </c>
      <c r="AB227" s="52">
        <v>0</v>
      </c>
      <c r="AC227" s="52">
        <v>0</v>
      </c>
      <c r="AD227" s="52">
        <v>0</v>
      </c>
      <c r="AE227" s="52">
        <v>0</v>
      </c>
      <c r="AF227" s="52">
        <v>0</v>
      </c>
      <c r="AG227" s="52">
        <v>0</v>
      </c>
      <c r="AH227" s="52">
        <v>500</v>
      </c>
      <c r="AI227" s="52">
        <v>479.05750424199999</v>
      </c>
      <c r="AJ227" s="52">
        <v>100</v>
      </c>
      <c r="AK227" s="52">
        <v>0</v>
      </c>
      <c r="AL227" s="52">
        <v>0</v>
      </c>
      <c r="AM227" s="52">
        <v>0</v>
      </c>
      <c r="AN227" s="52">
        <v>500</v>
      </c>
      <c r="AO227" s="52">
        <v>500</v>
      </c>
      <c r="AP227" s="52">
        <v>100</v>
      </c>
      <c r="AQ227" s="52">
        <v>0</v>
      </c>
      <c r="AR227" s="52">
        <v>0</v>
      </c>
      <c r="AS227" s="52">
        <v>0</v>
      </c>
      <c r="AT227" s="52">
        <v>0</v>
      </c>
      <c r="AU227" s="52">
        <v>0</v>
      </c>
      <c r="AV227" s="52">
        <v>0</v>
      </c>
      <c r="AW227" s="52">
        <v>0</v>
      </c>
      <c r="AX227" s="52">
        <v>0</v>
      </c>
      <c r="AY227" s="52">
        <v>0</v>
      </c>
      <c r="AZ227" s="52">
        <v>500</v>
      </c>
      <c r="BA227" s="52">
        <v>500</v>
      </c>
      <c r="BB227" s="52">
        <v>99.999999999999758</v>
      </c>
      <c r="BC227" s="52">
        <v>0</v>
      </c>
      <c r="BD227" s="52">
        <v>0</v>
      </c>
      <c r="BE227" s="52">
        <v>0</v>
      </c>
      <c r="BF227" s="52">
        <v>500</v>
      </c>
      <c r="BG227" s="52">
        <v>500</v>
      </c>
      <c r="BH227" s="52">
        <v>99.999999999999943</v>
      </c>
      <c r="BI227" s="52">
        <v>0</v>
      </c>
      <c r="BJ227" s="52">
        <v>0</v>
      </c>
      <c r="BK227" s="52">
        <v>0</v>
      </c>
      <c r="BL227" s="52">
        <v>500</v>
      </c>
      <c r="BM227" s="52">
        <v>500</v>
      </c>
      <c r="BN227" s="52">
        <v>100</v>
      </c>
      <c r="BO227" s="52">
        <v>0</v>
      </c>
      <c r="BP227" s="52">
        <v>0</v>
      </c>
      <c r="BQ227" s="52">
        <v>0</v>
      </c>
      <c r="BR227" s="52">
        <v>500</v>
      </c>
      <c r="BS227" s="52">
        <v>500</v>
      </c>
      <c r="BT227" s="52">
        <v>100</v>
      </c>
      <c r="BU227" s="52">
        <v>0</v>
      </c>
      <c r="BV227" s="52">
        <v>0</v>
      </c>
      <c r="BW227" s="52">
        <v>0</v>
      </c>
    </row>
    <row r="228" spans="1:75" x14ac:dyDescent="0.3">
      <c r="A228" s="8" t="s">
        <v>100</v>
      </c>
      <c r="B228" s="8" t="s">
        <v>8</v>
      </c>
      <c r="C228" s="8" t="s">
        <v>65</v>
      </c>
      <c r="D228" s="52">
        <v>667.5</v>
      </c>
      <c r="E228" s="52">
        <v>667.5</v>
      </c>
      <c r="F228" s="52">
        <v>667.5</v>
      </c>
      <c r="G228" s="52">
        <v>667.5</v>
      </c>
      <c r="H228" s="52">
        <v>667.5</v>
      </c>
      <c r="I228" s="52">
        <v>667.5</v>
      </c>
      <c r="J228" s="52">
        <v>667.5</v>
      </c>
      <c r="K228" s="52">
        <v>667.5</v>
      </c>
      <c r="L228" s="52">
        <v>667.5</v>
      </c>
      <c r="M228" s="52">
        <v>667.5</v>
      </c>
      <c r="N228" s="52">
        <v>667.5</v>
      </c>
      <c r="O228" s="52">
        <v>667.5</v>
      </c>
      <c r="P228" s="52">
        <v>667.5</v>
      </c>
      <c r="Q228" s="52">
        <v>667.5</v>
      </c>
      <c r="R228" s="52">
        <v>667.5</v>
      </c>
      <c r="S228" s="52">
        <v>667.5</v>
      </c>
      <c r="T228" s="52">
        <v>667.5</v>
      </c>
      <c r="U228" s="52">
        <v>667.5</v>
      </c>
      <c r="V228" s="52">
        <v>667.5</v>
      </c>
      <c r="W228" s="52">
        <v>667.5</v>
      </c>
      <c r="X228" s="52">
        <v>667.5</v>
      </c>
      <c r="Y228" s="52">
        <v>667.5</v>
      </c>
      <c r="Z228" s="52">
        <v>667.5</v>
      </c>
      <c r="AA228" s="52">
        <v>667.5</v>
      </c>
      <c r="AB228" s="52">
        <v>667.5</v>
      </c>
      <c r="AC228" s="52">
        <v>667.5</v>
      </c>
      <c r="AD228" s="52">
        <v>667.5</v>
      </c>
      <c r="AE228" s="52">
        <v>667.5</v>
      </c>
      <c r="AF228" s="52">
        <v>667.5</v>
      </c>
      <c r="AG228" s="52">
        <v>667.5</v>
      </c>
      <c r="AH228" s="52">
        <v>667.5</v>
      </c>
      <c r="AI228" s="52">
        <v>667.5</v>
      </c>
      <c r="AJ228" s="52">
        <v>667.5</v>
      </c>
      <c r="AK228" s="52">
        <v>667.5</v>
      </c>
      <c r="AL228" s="52">
        <v>667.5</v>
      </c>
      <c r="AM228" s="52">
        <v>667.5</v>
      </c>
      <c r="AN228" s="52">
        <v>667.5</v>
      </c>
      <c r="AO228" s="52">
        <v>667.5</v>
      </c>
      <c r="AP228" s="52">
        <v>667.5</v>
      </c>
      <c r="AQ228" s="52">
        <v>667.5</v>
      </c>
      <c r="AR228" s="52">
        <v>667.5</v>
      </c>
      <c r="AS228" s="52">
        <v>667.5</v>
      </c>
      <c r="AT228" s="52">
        <v>667.5</v>
      </c>
      <c r="AU228" s="52">
        <v>667.5</v>
      </c>
      <c r="AV228" s="52">
        <v>667.5</v>
      </c>
      <c r="AW228" s="52">
        <v>667.5</v>
      </c>
      <c r="AX228" s="52">
        <v>667.5</v>
      </c>
      <c r="AY228" s="52">
        <v>667.5</v>
      </c>
      <c r="AZ228" s="52">
        <v>667.5</v>
      </c>
      <c r="BA228" s="52">
        <v>667.5</v>
      </c>
      <c r="BB228" s="52">
        <v>667.5</v>
      </c>
      <c r="BC228" s="52">
        <v>667.5</v>
      </c>
      <c r="BD228" s="52">
        <v>667.5</v>
      </c>
      <c r="BE228" s="52">
        <v>667.5</v>
      </c>
      <c r="BF228" s="52">
        <v>667.5</v>
      </c>
      <c r="BG228" s="52">
        <v>667.5</v>
      </c>
      <c r="BH228" s="52">
        <v>667.5</v>
      </c>
      <c r="BI228" s="52">
        <v>667.5</v>
      </c>
      <c r="BJ228" s="52">
        <v>667.5</v>
      </c>
      <c r="BK228" s="52">
        <v>667.5</v>
      </c>
      <c r="BL228" s="52">
        <v>667.5</v>
      </c>
      <c r="BM228" s="52">
        <v>667.5</v>
      </c>
      <c r="BN228" s="52">
        <v>667.5</v>
      </c>
      <c r="BO228" s="52">
        <v>667.5</v>
      </c>
      <c r="BP228" s="52">
        <v>667.5</v>
      </c>
      <c r="BQ228" s="52">
        <v>667.5</v>
      </c>
      <c r="BR228" s="52">
        <v>667.5</v>
      </c>
      <c r="BS228" s="52">
        <v>667.5</v>
      </c>
      <c r="BT228" s="52">
        <v>667.5</v>
      </c>
      <c r="BU228" s="52">
        <v>667.5</v>
      </c>
      <c r="BV228" s="52">
        <v>667.5</v>
      </c>
      <c r="BW228" s="52">
        <v>667.5</v>
      </c>
    </row>
    <row r="229" spans="1:75" x14ac:dyDescent="0.3">
      <c r="A229" s="8" t="s">
        <v>100</v>
      </c>
      <c r="B229" s="8" t="s">
        <v>8</v>
      </c>
      <c r="C229" s="8" t="s">
        <v>66</v>
      </c>
      <c r="D229" s="52">
        <v>0</v>
      </c>
      <c r="E229" s="52">
        <v>0</v>
      </c>
      <c r="F229" s="52">
        <v>0</v>
      </c>
      <c r="G229" s="52">
        <v>0</v>
      </c>
      <c r="H229" s="52">
        <v>0</v>
      </c>
      <c r="I229" s="52">
        <v>0</v>
      </c>
      <c r="J229" s="52">
        <v>0</v>
      </c>
      <c r="K229" s="52">
        <v>0</v>
      </c>
      <c r="L229" s="52">
        <v>0</v>
      </c>
      <c r="M229" s="52">
        <v>0</v>
      </c>
      <c r="N229" s="52">
        <v>0</v>
      </c>
      <c r="O229" s="52">
        <v>0</v>
      </c>
      <c r="P229" s="52">
        <v>0</v>
      </c>
      <c r="Q229" s="52">
        <v>0</v>
      </c>
      <c r="R229" s="52">
        <v>0</v>
      </c>
      <c r="S229" s="52">
        <v>0</v>
      </c>
      <c r="T229" s="52">
        <v>0</v>
      </c>
      <c r="U229" s="52">
        <v>0</v>
      </c>
      <c r="V229" s="52">
        <v>0</v>
      </c>
      <c r="W229" s="52">
        <v>0</v>
      </c>
      <c r="X229" s="52">
        <v>0</v>
      </c>
      <c r="Y229" s="52">
        <v>0</v>
      </c>
      <c r="Z229" s="52">
        <v>0</v>
      </c>
      <c r="AA229" s="52">
        <v>0</v>
      </c>
      <c r="AB229" s="52">
        <v>0</v>
      </c>
      <c r="AC229" s="52">
        <v>0</v>
      </c>
      <c r="AD229" s="52">
        <v>0</v>
      </c>
      <c r="AE229" s="52">
        <v>0</v>
      </c>
      <c r="AF229" s="52">
        <v>0</v>
      </c>
      <c r="AG229" s="52">
        <v>0</v>
      </c>
      <c r="AH229" s="52">
        <v>0</v>
      </c>
      <c r="AI229" s="52">
        <v>0</v>
      </c>
      <c r="AJ229" s="52">
        <v>0</v>
      </c>
      <c r="AK229" s="52">
        <v>0</v>
      </c>
      <c r="AL229" s="52">
        <v>0</v>
      </c>
      <c r="AM229" s="52">
        <v>0</v>
      </c>
      <c r="AN229" s="52">
        <v>0</v>
      </c>
      <c r="AO229" s="52">
        <v>0</v>
      </c>
      <c r="AP229" s="52">
        <v>0</v>
      </c>
      <c r="AQ229" s="52">
        <v>0</v>
      </c>
      <c r="AR229" s="52">
        <v>0</v>
      </c>
      <c r="AS229" s="52">
        <v>0</v>
      </c>
      <c r="AT229" s="52">
        <v>0</v>
      </c>
      <c r="AU229" s="52">
        <v>0</v>
      </c>
      <c r="AV229" s="52">
        <v>0</v>
      </c>
      <c r="AW229" s="52">
        <v>0</v>
      </c>
      <c r="AX229" s="52">
        <v>0</v>
      </c>
      <c r="AY229" s="52">
        <v>0</v>
      </c>
      <c r="AZ229" s="52">
        <v>0</v>
      </c>
      <c r="BA229" s="52">
        <v>0</v>
      </c>
      <c r="BB229" s="52">
        <v>0</v>
      </c>
      <c r="BC229" s="52">
        <v>0</v>
      </c>
      <c r="BD229" s="52">
        <v>0</v>
      </c>
      <c r="BE229" s="52">
        <v>0</v>
      </c>
      <c r="BF229" s="52">
        <v>0</v>
      </c>
      <c r="BG229" s="52">
        <v>0</v>
      </c>
      <c r="BH229" s="52">
        <v>0</v>
      </c>
      <c r="BI229" s="52">
        <v>0</v>
      </c>
      <c r="BJ229" s="52">
        <v>0</v>
      </c>
      <c r="BK229" s="52">
        <v>0</v>
      </c>
      <c r="BL229" s="52">
        <v>0</v>
      </c>
      <c r="BM229" s="52">
        <v>0</v>
      </c>
      <c r="BN229" s="52">
        <v>0</v>
      </c>
      <c r="BO229" s="52">
        <v>0</v>
      </c>
      <c r="BP229" s="52">
        <v>0</v>
      </c>
      <c r="BQ229" s="52">
        <v>0</v>
      </c>
      <c r="BR229" s="52">
        <v>0</v>
      </c>
      <c r="BS229" s="52">
        <v>0</v>
      </c>
      <c r="BT229" s="52">
        <v>0</v>
      </c>
      <c r="BU229" s="52">
        <v>0</v>
      </c>
      <c r="BV229" s="52">
        <v>0</v>
      </c>
      <c r="BW229" s="52">
        <v>0</v>
      </c>
    </row>
    <row r="230" spans="1:75" x14ac:dyDescent="0.3">
      <c r="A230" s="8" t="s">
        <v>100</v>
      </c>
      <c r="B230" s="8" t="s">
        <v>8</v>
      </c>
      <c r="C230" s="8" t="s">
        <v>67</v>
      </c>
      <c r="D230" s="52">
        <v>0</v>
      </c>
      <c r="E230" s="52">
        <v>0</v>
      </c>
      <c r="F230" s="52">
        <v>0</v>
      </c>
      <c r="G230" s="52">
        <v>0</v>
      </c>
      <c r="H230" s="52">
        <v>0</v>
      </c>
      <c r="I230" s="52">
        <v>0</v>
      </c>
      <c r="J230" s="52">
        <v>0</v>
      </c>
      <c r="K230" s="52">
        <v>0</v>
      </c>
      <c r="L230" s="52">
        <v>0</v>
      </c>
      <c r="M230" s="52">
        <v>0</v>
      </c>
      <c r="N230" s="52">
        <v>0</v>
      </c>
      <c r="O230" s="52">
        <v>0</v>
      </c>
      <c r="P230" s="52">
        <v>0</v>
      </c>
      <c r="Q230" s="52">
        <v>0</v>
      </c>
      <c r="R230" s="52">
        <v>0</v>
      </c>
      <c r="S230" s="52">
        <v>0</v>
      </c>
      <c r="T230" s="52">
        <v>0</v>
      </c>
      <c r="U230" s="52">
        <v>0</v>
      </c>
      <c r="V230" s="52">
        <v>0</v>
      </c>
      <c r="W230" s="52">
        <v>0</v>
      </c>
      <c r="X230" s="52">
        <v>0</v>
      </c>
      <c r="Y230" s="52">
        <v>0</v>
      </c>
      <c r="Z230" s="52">
        <v>0</v>
      </c>
      <c r="AA230" s="52">
        <v>0</v>
      </c>
      <c r="AB230" s="52">
        <v>0</v>
      </c>
      <c r="AC230" s="52">
        <v>0</v>
      </c>
      <c r="AD230" s="52">
        <v>0</v>
      </c>
      <c r="AE230" s="52">
        <v>0</v>
      </c>
      <c r="AF230" s="52">
        <v>0</v>
      </c>
      <c r="AG230" s="52">
        <v>0</v>
      </c>
      <c r="AH230" s="52">
        <v>0</v>
      </c>
      <c r="AI230" s="52">
        <v>0</v>
      </c>
      <c r="AJ230" s="52">
        <v>0</v>
      </c>
      <c r="AK230" s="52">
        <v>0</v>
      </c>
      <c r="AL230" s="52">
        <v>0</v>
      </c>
      <c r="AM230" s="52">
        <v>0</v>
      </c>
      <c r="AN230" s="52">
        <v>0</v>
      </c>
      <c r="AO230" s="52">
        <v>0</v>
      </c>
      <c r="AP230" s="52">
        <v>0</v>
      </c>
      <c r="AQ230" s="52">
        <v>0</v>
      </c>
      <c r="AR230" s="52">
        <v>0</v>
      </c>
      <c r="AS230" s="52">
        <v>0</v>
      </c>
      <c r="AT230" s="52">
        <v>0</v>
      </c>
      <c r="AU230" s="52">
        <v>0</v>
      </c>
      <c r="AV230" s="52">
        <v>0</v>
      </c>
      <c r="AW230" s="52">
        <v>0</v>
      </c>
      <c r="AX230" s="52">
        <v>0</v>
      </c>
      <c r="AY230" s="52">
        <v>0</v>
      </c>
      <c r="AZ230" s="52">
        <v>0</v>
      </c>
      <c r="BA230" s="52">
        <v>0</v>
      </c>
      <c r="BB230" s="52">
        <v>0</v>
      </c>
      <c r="BC230" s="52">
        <v>0</v>
      </c>
      <c r="BD230" s="52">
        <v>0</v>
      </c>
      <c r="BE230" s="52">
        <v>0</v>
      </c>
      <c r="BF230" s="52">
        <v>0</v>
      </c>
      <c r="BG230" s="52">
        <v>0</v>
      </c>
      <c r="BH230" s="52">
        <v>0</v>
      </c>
      <c r="BI230" s="52">
        <v>0</v>
      </c>
      <c r="BJ230" s="52">
        <v>0</v>
      </c>
      <c r="BK230" s="52">
        <v>0</v>
      </c>
      <c r="BL230" s="52">
        <v>0</v>
      </c>
      <c r="BM230" s="52">
        <v>0</v>
      </c>
      <c r="BN230" s="52">
        <v>0</v>
      </c>
      <c r="BO230" s="52">
        <v>0</v>
      </c>
      <c r="BP230" s="52">
        <v>0</v>
      </c>
      <c r="BQ230" s="52">
        <v>0</v>
      </c>
      <c r="BR230" s="52">
        <v>0</v>
      </c>
      <c r="BS230" s="52">
        <v>0</v>
      </c>
      <c r="BT230" s="52">
        <v>0</v>
      </c>
      <c r="BU230" s="52">
        <v>0</v>
      </c>
      <c r="BV230" s="52">
        <v>0</v>
      </c>
      <c r="BW230" s="52">
        <v>0</v>
      </c>
    </row>
    <row r="231" spans="1:75" x14ac:dyDescent="0.3">
      <c r="A231" s="8" t="s">
        <v>100</v>
      </c>
      <c r="B231" s="8" t="s">
        <v>8</v>
      </c>
      <c r="C231" s="8" t="s">
        <v>68</v>
      </c>
      <c r="D231" s="52">
        <v>0</v>
      </c>
      <c r="E231" s="52">
        <v>0</v>
      </c>
      <c r="F231" s="52">
        <v>0</v>
      </c>
      <c r="G231" s="52">
        <v>0</v>
      </c>
      <c r="H231" s="52">
        <v>0</v>
      </c>
      <c r="I231" s="52">
        <v>0</v>
      </c>
      <c r="J231" s="52">
        <v>0</v>
      </c>
      <c r="K231" s="52">
        <v>0</v>
      </c>
      <c r="L231" s="52">
        <v>0</v>
      </c>
      <c r="M231" s="52">
        <v>0</v>
      </c>
      <c r="N231" s="52">
        <v>0</v>
      </c>
      <c r="O231" s="52">
        <v>0</v>
      </c>
      <c r="P231" s="52">
        <v>0</v>
      </c>
      <c r="Q231" s="52">
        <v>0</v>
      </c>
      <c r="R231" s="52">
        <v>0</v>
      </c>
      <c r="S231" s="52">
        <v>0</v>
      </c>
      <c r="T231" s="52">
        <v>0</v>
      </c>
      <c r="U231" s="52">
        <v>0</v>
      </c>
      <c r="V231" s="52">
        <v>0</v>
      </c>
      <c r="W231" s="52">
        <v>0</v>
      </c>
      <c r="X231" s="52">
        <v>0</v>
      </c>
      <c r="Y231" s="52">
        <v>0</v>
      </c>
      <c r="Z231" s="52">
        <v>0</v>
      </c>
      <c r="AA231" s="52">
        <v>0</v>
      </c>
      <c r="AB231" s="52">
        <v>0</v>
      </c>
      <c r="AC231" s="52">
        <v>0</v>
      </c>
      <c r="AD231" s="52">
        <v>0</v>
      </c>
      <c r="AE231" s="52">
        <v>0</v>
      </c>
      <c r="AF231" s="52">
        <v>0</v>
      </c>
      <c r="AG231" s="52">
        <v>0</v>
      </c>
      <c r="AH231" s="52">
        <v>0</v>
      </c>
      <c r="AI231" s="52">
        <v>0</v>
      </c>
      <c r="AJ231" s="52">
        <v>0</v>
      </c>
      <c r="AK231" s="52">
        <v>0</v>
      </c>
      <c r="AL231" s="52">
        <v>0</v>
      </c>
      <c r="AM231" s="52">
        <v>0</v>
      </c>
      <c r="AN231" s="52">
        <v>0</v>
      </c>
      <c r="AO231" s="52">
        <v>0</v>
      </c>
      <c r="AP231" s="52">
        <v>0</v>
      </c>
      <c r="AQ231" s="52">
        <v>0</v>
      </c>
      <c r="AR231" s="52">
        <v>0</v>
      </c>
      <c r="AS231" s="52">
        <v>0</v>
      </c>
      <c r="AT231" s="52">
        <v>0</v>
      </c>
      <c r="AU231" s="52">
        <v>0</v>
      </c>
      <c r="AV231" s="52">
        <v>0</v>
      </c>
      <c r="AW231" s="52">
        <v>0</v>
      </c>
      <c r="AX231" s="52">
        <v>0</v>
      </c>
      <c r="AY231" s="52">
        <v>0</v>
      </c>
      <c r="AZ231" s="52">
        <v>0</v>
      </c>
      <c r="BA231" s="52">
        <v>0</v>
      </c>
      <c r="BB231" s="52">
        <v>0</v>
      </c>
      <c r="BC231" s="52">
        <v>0</v>
      </c>
      <c r="BD231" s="52">
        <v>0</v>
      </c>
      <c r="BE231" s="52">
        <v>0</v>
      </c>
      <c r="BF231" s="52">
        <v>0</v>
      </c>
      <c r="BG231" s="52">
        <v>0</v>
      </c>
      <c r="BH231" s="52">
        <v>0</v>
      </c>
      <c r="BI231" s="52">
        <v>0</v>
      </c>
      <c r="BJ231" s="52">
        <v>0</v>
      </c>
      <c r="BK231" s="52">
        <v>0</v>
      </c>
      <c r="BL231" s="52">
        <v>0</v>
      </c>
      <c r="BM231" s="52">
        <v>0</v>
      </c>
      <c r="BN231" s="52">
        <v>0</v>
      </c>
      <c r="BO231" s="52">
        <v>0</v>
      </c>
      <c r="BP231" s="52">
        <v>0</v>
      </c>
      <c r="BQ231" s="52">
        <v>0</v>
      </c>
      <c r="BR231" s="52">
        <v>0</v>
      </c>
      <c r="BS231" s="52">
        <v>0</v>
      </c>
      <c r="BT231" s="52">
        <v>0</v>
      </c>
      <c r="BU231" s="52">
        <v>0</v>
      </c>
      <c r="BV231" s="52">
        <v>0</v>
      </c>
      <c r="BW231" s="52">
        <v>0</v>
      </c>
    </row>
    <row r="232" spans="1:75" x14ac:dyDescent="0.3">
      <c r="A232" s="8" t="s">
        <v>100</v>
      </c>
      <c r="B232" s="8" t="s">
        <v>8</v>
      </c>
      <c r="C232" s="8" t="s">
        <v>69</v>
      </c>
      <c r="D232" s="52">
        <v>0</v>
      </c>
      <c r="E232" s="52">
        <v>0</v>
      </c>
      <c r="F232" s="52">
        <v>0</v>
      </c>
      <c r="G232" s="52">
        <v>0</v>
      </c>
      <c r="H232" s="52">
        <v>0</v>
      </c>
      <c r="I232" s="52">
        <v>0</v>
      </c>
      <c r="J232" s="52">
        <v>0</v>
      </c>
      <c r="K232" s="52">
        <v>0</v>
      </c>
      <c r="L232" s="52">
        <v>0</v>
      </c>
      <c r="M232" s="52">
        <v>0</v>
      </c>
      <c r="N232" s="52">
        <v>0</v>
      </c>
      <c r="O232" s="52">
        <v>0</v>
      </c>
      <c r="P232" s="52">
        <v>0</v>
      </c>
      <c r="Q232" s="52">
        <v>0</v>
      </c>
      <c r="R232" s="52">
        <v>0</v>
      </c>
      <c r="S232" s="52">
        <v>0</v>
      </c>
      <c r="T232" s="52">
        <v>0</v>
      </c>
      <c r="U232" s="52">
        <v>0</v>
      </c>
      <c r="V232" s="52">
        <v>0</v>
      </c>
      <c r="W232" s="52">
        <v>0</v>
      </c>
      <c r="X232" s="52">
        <v>0</v>
      </c>
      <c r="Y232" s="52">
        <v>0</v>
      </c>
      <c r="Z232" s="52">
        <v>0</v>
      </c>
      <c r="AA232" s="52">
        <v>0</v>
      </c>
      <c r="AB232" s="52">
        <v>0</v>
      </c>
      <c r="AC232" s="52">
        <v>0</v>
      </c>
      <c r="AD232" s="52">
        <v>0</v>
      </c>
      <c r="AE232" s="52">
        <v>0</v>
      </c>
      <c r="AF232" s="52">
        <v>0</v>
      </c>
      <c r="AG232" s="52">
        <v>0</v>
      </c>
      <c r="AH232" s="52">
        <v>0</v>
      </c>
      <c r="AI232" s="52">
        <v>0</v>
      </c>
      <c r="AJ232" s="52">
        <v>0</v>
      </c>
      <c r="AK232" s="52">
        <v>0</v>
      </c>
      <c r="AL232" s="52">
        <v>0</v>
      </c>
      <c r="AM232" s="52">
        <v>0</v>
      </c>
      <c r="AN232" s="52">
        <v>0</v>
      </c>
      <c r="AO232" s="52">
        <v>0</v>
      </c>
      <c r="AP232" s="52">
        <v>0</v>
      </c>
      <c r="AQ232" s="52">
        <v>0</v>
      </c>
      <c r="AR232" s="52">
        <v>0</v>
      </c>
      <c r="AS232" s="52">
        <v>0</v>
      </c>
      <c r="AT232" s="52">
        <v>0</v>
      </c>
      <c r="AU232" s="52">
        <v>0</v>
      </c>
      <c r="AV232" s="52">
        <v>0</v>
      </c>
      <c r="AW232" s="52">
        <v>0</v>
      </c>
      <c r="AX232" s="52">
        <v>0</v>
      </c>
      <c r="AY232" s="52">
        <v>0</v>
      </c>
      <c r="AZ232" s="52">
        <v>0</v>
      </c>
      <c r="BA232" s="52">
        <v>0</v>
      </c>
      <c r="BB232" s="52">
        <v>0</v>
      </c>
      <c r="BC232" s="52">
        <v>0</v>
      </c>
      <c r="BD232" s="52">
        <v>0</v>
      </c>
      <c r="BE232" s="52">
        <v>0</v>
      </c>
      <c r="BF232" s="52">
        <v>0</v>
      </c>
      <c r="BG232" s="52">
        <v>0</v>
      </c>
      <c r="BH232" s="52">
        <v>0</v>
      </c>
      <c r="BI232" s="52">
        <v>0</v>
      </c>
      <c r="BJ232" s="52">
        <v>0</v>
      </c>
      <c r="BK232" s="52">
        <v>0</v>
      </c>
      <c r="BL232" s="52">
        <v>0</v>
      </c>
      <c r="BM232" s="52">
        <v>0</v>
      </c>
      <c r="BN232" s="52">
        <v>0</v>
      </c>
      <c r="BO232" s="52">
        <v>0</v>
      </c>
      <c r="BP232" s="52">
        <v>0</v>
      </c>
      <c r="BQ232" s="52">
        <v>0</v>
      </c>
      <c r="BR232" s="52">
        <v>0</v>
      </c>
      <c r="BS232" s="52">
        <v>0</v>
      </c>
      <c r="BT232" s="52">
        <v>0</v>
      </c>
      <c r="BU232" s="52">
        <v>0</v>
      </c>
      <c r="BV232" s="52">
        <v>0</v>
      </c>
      <c r="BW232" s="52">
        <v>0</v>
      </c>
    </row>
    <row r="233" spans="1:75" x14ac:dyDescent="0.3">
      <c r="A233" s="8" t="s">
        <v>100</v>
      </c>
      <c r="B233" s="8" t="s">
        <v>8</v>
      </c>
      <c r="C233" s="8" t="s">
        <v>27</v>
      </c>
      <c r="D233" s="52">
        <v>150</v>
      </c>
      <c r="E233" s="52">
        <v>150</v>
      </c>
      <c r="F233" s="52">
        <v>150</v>
      </c>
      <c r="G233" s="52">
        <v>150</v>
      </c>
      <c r="H233" s="52">
        <v>150</v>
      </c>
      <c r="I233" s="52">
        <v>67.333333333333471</v>
      </c>
      <c r="J233" s="52">
        <v>150</v>
      </c>
      <c r="K233" s="52">
        <v>150</v>
      </c>
      <c r="L233" s="52">
        <v>128.08695652173918</v>
      </c>
      <c r="M233" s="52">
        <v>150</v>
      </c>
      <c r="N233" s="52">
        <v>150</v>
      </c>
      <c r="O233" s="52">
        <v>128.08695652173921</v>
      </c>
      <c r="P233" s="52">
        <v>150</v>
      </c>
      <c r="Q233" s="52">
        <v>150</v>
      </c>
      <c r="R233" s="52">
        <v>150</v>
      </c>
      <c r="S233" s="52">
        <v>150</v>
      </c>
      <c r="T233" s="52">
        <v>150</v>
      </c>
      <c r="U233" s="52">
        <v>94.200000000000188</v>
      </c>
      <c r="V233" s="52">
        <v>150</v>
      </c>
      <c r="W233" s="52">
        <v>150</v>
      </c>
      <c r="X233" s="52">
        <v>59.528795811518336</v>
      </c>
      <c r="Y233" s="52">
        <v>150</v>
      </c>
      <c r="Z233" s="52">
        <v>150</v>
      </c>
      <c r="AA233" s="52">
        <v>59.528795811518336</v>
      </c>
      <c r="AB233" s="52">
        <v>144.36521739130433</v>
      </c>
      <c r="AC233" s="52">
        <v>150</v>
      </c>
      <c r="AD233" s="52">
        <v>0</v>
      </c>
      <c r="AE233" s="52">
        <v>144.36521739130433</v>
      </c>
      <c r="AF233" s="52">
        <v>150</v>
      </c>
      <c r="AG233" s="52">
        <v>0</v>
      </c>
      <c r="AH233" s="52">
        <v>150</v>
      </c>
      <c r="AI233" s="52">
        <v>83.785714285714292</v>
      </c>
      <c r="AJ233" s="52">
        <v>0</v>
      </c>
      <c r="AK233" s="52">
        <v>150</v>
      </c>
      <c r="AL233" s="52">
        <v>83.785714285714306</v>
      </c>
      <c r="AM233" s="52">
        <v>0</v>
      </c>
      <c r="AN233" s="52">
        <v>77.177425729000547</v>
      </c>
      <c r="AO233" s="52">
        <v>110.24280173109463</v>
      </c>
      <c r="AP233" s="52">
        <v>0</v>
      </c>
      <c r="AQ233" s="52">
        <v>77.177425729000547</v>
      </c>
      <c r="AR233" s="52">
        <v>110.24280173109463</v>
      </c>
      <c r="AS233" s="52">
        <v>0</v>
      </c>
      <c r="AT233" s="52">
        <v>121.22727272727278</v>
      </c>
      <c r="AU233" s="52">
        <v>150</v>
      </c>
      <c r="AV233" s="52">
        <v>0</v>
      </c>
      <c r="AW233" s="52">
        <v>0</v>
      </c>
      <c r="AX233" s="52">
        <v>0</v>
      </c>
      <c r="AY233" s="52">
        <v>0</v>
      </c>
      <c r="AZ233" s="52">
        <v>150</v>
      </c>
      <c r="BA233" s="52">
        <v>150</v>
      </c>
      <c r="BB233" s="52">
        <v>19.714285714285701</v>
      </c>
      <c r="BC233" s="52">
        <v>150</v>
      </c>
      <c r="BD233" s="52">
        <v>150</v>
      </c>
      <c r="BE233" s="52">
        <v>0</v>
      </c>
      <c r="BF233" s="52">
        <v>150</v>
      </c>
      <c r="BG233" s="52">
        <v>150</v>
      </c>
      <c r="BH233" s="52">
        <v>139.59184470892049</v>
      </c>
      <c r="BI233" s="52">
        <v>150</v>
      </c>
      <c r="BJ233" s="52">
        <v>85.17780444000006</v>
      </c>
      <c r="BK233" s="52">
        <v>29.597955490920146</v>
      </c>
      <c r="BL233" s="52">
        <v>150</v>
      </c>
      <c r="BM233" s="52">
        <v>150</v>
      </c>
      <c r="BN233" s="52">
        <v>150</v>
      </c>
      <c r="BO233" s="52">
        <v>150</v>
      </c>
      <c r="BP233" s="52">
        <v>150</v>
      </c>
      <c r="BQ233" s="52">
        <v>90.000000000000142</v>
      </c>
      <c r="BR233" s="52">
        <v>150</v>
      </c>
      <c r="BS233" s="52">
        <v>150</v>
      </c>
      <c r="BT233" s="52">
        <v>127.68000000000005</v>
      </c>
      <c r="BU233" s="52">
        <v>150</v>
      </c>
      <c r="BV233" s="52">
        <v>150</v>
      </c>
      <c r="BW233" s="52">
        <v>127.68000000000005</v>
      </c>
    </row>
    <row r="234" spans="1:75" x14ac:dyDescent="0.3">
      <c r="A234" s="8" t="s">
        <v>100</v>
      </c>
      <c r="B234" s="8" t="s">
        <v>8</v>
      </c>
      <c r="C234" s="8" t="s">
        <v>144</v>
      </c>
      <c r="D234" s="52">
        <v>200</v>
      </c>
      <c r="E234" s="52">
        <v>158.86848524061594</v>
      </c>
      <c r="F234" s="52">
        <v>0</v>
      </c>
      <c r="G234" s="52">
        <v>200</v>
      </c>
      <c r="H234" s="52">
        <v>95.122731499000778</v>
      </c>
      <c r="I234" s="52">
        <v>0</v>
      </c>
      <c r="J234" s="52">
        <v>200</v>
      </c>
      <c r="K234" s="52">
        <v>0</v>
      </c>
      <c r="L234" s="52">
        <v>0</v>
      </c>
      <c r="M234" s="52">
        <v>200</v>
      </c>
      <c r="N234" s="52">
        <v>0</v>
      </c>
      <c r="O234" s="52">
        <v>0</v>
      </c>
      <c r="P234" s="52">
        <v>200</v>
      </c>
      <c r="Q234" s="52">
        <v>0</v>
      </c>
      <c r="R234" s="52">
        <v>0</v>
      </c>
      <c r="S234" s="52">
        <v>200</v>
      </c>
      <c r="T234" s="52">
        <v>0</v>
      </c>
      <c r="U234" s="52">
        <v>0</v>
      </c>
      <c r="V234" s="52">
        <v>200</v>
      </c>
      <c r="W234" s="52">
        <v>18.486384876000599</v>
      </c>
      <c r="X234" s="52">
        <v>0</v>
      </c>
      <c r="Y234" s="52">
        <v>0</v>
      </c>
      <c r="Z234" s="52">
        <v>0</v>
      </c>
      <c r="AA234" s="52">
        <v>0</v>
      </c>
      <c r="AB234" s="52">
        <v>200</v>
      </c>
      <c r="AC234" s="52">
        <v>156.09189968000047</v>
      </c>
      <c r="AD234" s="52">
        <v>0</v>
      </c>
      <c r="AE234" s="52">
        <v>200</v>
      </c>
      <c r="AF234" s="52">
        <v>156.09189968000047</v>
      </c>
      <c r="AG234" s="52">
        <v>0</v>
      </c>
      <c r="AH234" s="52">
        <v>34.765354116580561</v>
      </c>
      <c r="AI234" s="52">
        <v>0</v>
      </c>
      <c r="AJ234" s="52">
        <v>0</v>
      </c>
      <c r="AK234" s="52">
        <v>34.765354116580561</v>
      </c>
      <c r="AL234" s="52">
        <v>0</v>
      </c>
      <c r="AM234" s="52">
        <v>0</v>
      </c>
      <c r="AN234" s="52">
        <v>200</v>
      </c>
      <c r="AO234" s="52">
        <v>38.311877639905845</v>
      </c>
      <c r="AP234" s="52">
        <v>0</v>
      </c>
      <c r="AQ234" s="52">
        <v>200</v>
      </c>
      <c r="AR234" s="52">
        <v>38.311877639905845</v>
      </c>
      <c r="AS234" s="52">
        <v>0</v>
      </c>
      <c r="AT234" s="52">
        <v>200</v>
      </c>
      <c r="AU234" s="52">
        <v>0</v>
      </c>
      <c r="AV234" s="52">
        <v>0</v>
      </c>
      <c r="AW234" s="52">
        <v>185.3676635780003</v>
      </c>
      <c r="AX234" s="52">
        <v>0</v>
      </c>
      <c r="AY234" s="52">
        <v>0</v>
      </c>
      <c r="AZ234" s="52">
        <v>200</v>
      </c>
      <c r="BA234" s="52">
        <v>0</v>
      </c>
      <c r="BB234" s="52">
        <v>0</v>
      </c>
      <c r="BC234" s="52">
        <v>164.21883776300089</v>
      </c>
      <c r="BD234" s="52">
        <v>0</v>
      </c>
      <c r="BE234" s="52">
        <v>0</v>
      </c>
      <c r="BF234" s="52">
        <v>139.10400000000001</v>
      </c>
      <c r="BG234" s="52">
        <v>0</v>
      </c>
      <c r="BH234" s="52">
        <v>0</v>
      </c>
      <c r="BI234" s="52">
        <v>139.10400000000004</v>
      </c>
      <c r="BJ234" s="52">
        <v>0</v>
      </c>
      <c r="BK234" s="52">
        <v>0</v>
      </c>
      <c r="BL234" s="52">
        <v>200</v>
      </c>
      <c r="BM234" s="52">
        <v>24.321394516593578</v>
      </c>
      <c r="BN234" s="52">
        <v>0</v>
      </c>
      <c r="BO234" s="52">
        <v>200</v>
      </c>
      <c r="BP234" s="52">
        <v>0</v>
      </c>
      <c r="BQ234" s="52">
        <v>0</v>
      </c>
      <c r="BR234" s="52">
        <v>200</v>
      </c>
      <c r="BS234" s="52">
        <v>135.55170190839937</v>
      </c>
      <c r="BT234" s="52">
        <v>0</v>
      </c>
      <c r="BU234" s="52">
        <v>200</v>
      </c>
      <c r="BV234" s="52">
        <v>35.527294906999906</v>
      </c>
      <c r="BW234" s="52">
        <v>0</v>
      </c>
    </row>
    <row r="235" spans="1:75" x14ac:dyDescent="0.3">
      <c r="A235" s="8" t="s">
        <v>100</v>
      </c>
      <c r="B235" s="8" t="s">
        <v>8</v>
      </c>
      <c r="C235" s="8" t="s">
        <v>145</v>
      </c>
      <c r="D235" s="52">
        <v>122.45452294700021</v>
      </c>
      <c r="E235" s="52">
        <v>0</v>
      </c>
      <c r="F235" s="52">
        <v>0</v>
      </c>
      <c r="G235" s="52">
        <v>122.45452294700021</v>
      </c>
      <c r="H235" s="52">
        <v>0</v>
      </c>
      <c r="I235" s="52">
        <v>0</v>
      </c>
      <c r="J235" s="52">
        <v>51.1138645855455</v>
      </c>
      <c r="K235" s="52">
        <v>0</v>
      </c>
      <c r="L235" s="52">
        <v>0</v>
      </c>
      <c r="M235" s="52">
        <v>51.1138645855455</v>
      </c>
      <c r="N235" s="52">
        <v>0</v>
      </c>
      <c r="O235" s="52">
        <v>0</v>
      </c>
      <c r="P235" s="52">
        <v>157.45900242000076</v>
      </c>
      <c r="Q235" s="52">
        <v>0</v>
      </c>
      <c r="R235" s="52">
        <v>0</v>
      </c>
      <c r="S235" s="52">
        <v>157.45900242000076</v>
      </c>
      <c r="T235" s="52">
        <v>0</v>
      </c>
      <c r="U235" s="52">
        <v>0</v>
      </c>
      <c r="V235" s="52">
        <v>135.24624552000097</v>
      </c>
      <c r="W235" s="52">
        <v>0</v>
      </c>
      <c r="X235" s="52">
        <v>0</v>
      </c>
      <c r="Y235" s="52">
        <v>39.634140019000782</v>
      </c>
      <c r="Z235" s="52">
        <v>0</v>
      </c>
      <c r="AA235" s="52">
        <v>0</v>
      </c>
      <c r="AB235" s="52">
        <v>200</v>
      </c>
      <c r="AC235" s="52">
        <v>0</v>
      </c>
      <c r="AD235" s="52">
        <v>0</v>
      </c>
      <c r="AE235" s="52">
        <v>200</v>
      </c>
      <c r="AF235" s="52">
        <v>0</v>
      </c>
      <c r="AG235" s="52">
        <v>0</v>
      </c>
      <c r="AH235" s="52">
        <v>13.460362091419864</v>
      </c>
      <c r="AI235" s="52">
        <v>0</v>
      </c>
      <c r="AJ235" s="52">
        <v>0</v>
      </c>
      <c r="AK235" s="52">
        <v>13.460362091419864</v>
      </c>
      <c r="AL235" s="52">
        <v>0</v>
      </c>
      <c r="AM235" s="52">
        <v>0</v>
      </c>
      <c r="AN235" s="52">
        <v>200</v>
      </c>
      <c r="AO235" s="52">
        <v>0</v>
      </c>
      <c r="AP235" s="52">
        <v>0</v>
      </c>
      <c r="AQ235" s="52">
        <v>200</v>
      </c>
      <c r="AR235" s="52">
        <v>0</v>
      </c>
      <c r="AS235" s="52">
        <v>0</v>
      </c>
      <c r="AT235" s="52">
        <v>191.17873745372788</v>
      </c>
      <c r="AU235" s="52">
        <v>65.209504925000587</v>
      </c>
      <c r="AV235" s="52">
        <v>0</v>
      </c>
      <c r="AW235" s="52">
        <v>0</v>
      </c>
      <c r="AX235" s="52">
        <v>0</v>
      </c>
      <c r="AY235" s="52">
        <v>0</v>
      </c>
      <c r="AZ235" s="52">
        <v>53.28959689199975</v>
      </c>
      <c r="BA235" s="52">
        <v>0</v>
      </c>
      <c r="BB235" s="52">
        <v>0</v>
      </c>
      <c r="BC235" s="52">
        <v>0</v>
      </c>
      <c r="BD235" s="52">
        <v>0</v>
      </c>
      <c r="BE235" s="52">
        <v>0</v>
      </c>
      <c r="BF235" s="52">
        <v>181.42378686999967</v>
      </c>
      <c r="BG235" s="52">
        <v>0</v>
      </c>
      <c r="BH235" s="52">
        <v>0</v>
      </c>
      <c r="BI235" s="52">
        <v>10.234200420000491</v>
      </c>
      <c r="BJ235" s="52">
        <v>0</v>
      </c>
      <c r="BK235" s="52">
        <v>0</v>
      </c>
      <c r="BL235" s="52">
        <v>106.49036455500102</v>
      </c>
      <c r="BM235" s="52">
        <v>0</v>
      </c>
      <c r="BN235" s="52">
        <v>0</v>
      </c>
      <c r="BO235" s="52">
        <v>26.743967832000045</v>
      </c>
      <c r="BP235" s="52">
        <v>0</v>
      </c>
      <c r="BQ235" s="52">
        <v>0</v>
      </c>
      <c r="BR235" s="52">
        <v>0</v>
      </c>
      <c r="BS235" s="52">
        <v>0</v>
      </c>
      <c r="BT235" s="52">
        <v>0</v>
      </c>
      <c r="BU235" s="52">
        <v>0</v>
      </c>
      <c r="BV235" s="52">
        <v>0</v>
      </c>
      <c r="BW235" s="52">
        <v>0</v>
      </c>
    </row>
    <row r="236" spans="1:75" x14ac:dyDescent="0.3">
      <c r="A236" s="8" t="s">
        <v>100</v>
      </c>
      <c r="B236" s="8" t="s">
        <v>8</v>
      </c>
      <c r="C236" s="8" t="s">
        <v>146</v>
      </c>
      <c r="D236" s="52">
        <v>200</v>
      </c>
      <c r="E236" s="52">
        <v>200</v>
      </c>
      <c r="F236" s="52">
        <v>0</v>
      </c>
      <c r="G236" s="52">
        <v>200</v>
      </c>
      <c r="H236" s="52">
        <v>200</v>
      </c>
      <c r="I236" s="52">
        <v>0</v>
      </c>
      <c r="J236" s="52">
        <v>200</v>
      </c>
      <c r="K236" s="52">
        <v>200</v>
      </c>
      <c r="L236" s="52">
        <v>0</v>
      </c>
      <c r="M236" s="52">
        <v>200</v>
      </c>
      <c r="N236" s="52">
        <v>200</v>
      </c>
      <c r="O236" s="52">
        <v>0</v>
      </c>
      <c r="P236" s="52">
        <v>200</v>
      </c>
      <c r="Q236" s="52">
        <v>200</v>
      </c>
      <c r="R236" s="52">
        <v>0</v>
      </c>
      <c r="S236" s="52">
        <v>200</v>
      </c>
      <c r="T236" s="52">
        <v>140.28085481100015</v>
      </c>
      <c r="U236" s="52">
        <v>0</v>
      </c>
      <c r="V236" s="52">
        <v>200</v>
      </c>
      <c r="W236" s="52">
        <v>200</v>
      </c>
      <c r="X236" s="52">
        <v>0</v>
      </c>
      <c r="Y236" s="52">
        <v>200</v>
      </c>
      <c r="Z236" s="52">
        <v>39.221730504999883</v>
      </c>
      <c r="AA236" s="52">
        <v>0</v>
      </c>
      <c r="AB236" s="52">
        <v>200</v>
      </c>
      <c r="AC236" s="52">
        <v>200</v>
      </c>
      <c r="AD236" s="52">
        <v>107.85274505300046</v>
      </c>
      <c r="AE236" s="52">
        <v>200</v>
      </c>
      <c r="AF236" s="52">
        <v>200</v>
      </c>
      <c r="AG236" s="52">
        <v>107.85274505300046</v>
      </c>
      <c r="AH236" s="52">
        <v>200</v>
      </c>
      <c r="AI236" s="52">
        <v>122.2068275195618</v>
      </c>
      <c r="AJ236" s="52">
        <v>0</v>
      </c>
      <c r="AK236" s="52">
        <v>200</v>
      </c>
      <c r="AL236" s="52">
        <v>122.2068275195618</v>
      </c>
      <c r="AM236" s="52">
        <v>0</v>
      </c>
      <c r="AN236" s="52">
        <v>200</v>
      </c>
      <c r="AO236" s="52">
        <v>200</v>
      </c>
      <c r="AP236" s="52">
        <v>0</v>
      </c>
      <c r="AQ236" s="52">
        <v>200</v>
      </c>
      <c r="AR236" s="52">
        <v>200</v>
      </c>
      <c r="AS236" s="52">
        <v>0</v>
      </c>
      <c r="AT236" s="52">
        <v>200</v>
      </c>
      <c r="AU236" s="52">
        <v>200</v>
      </c>
      <c r="AV236" s="52">
        <v>0</v>
      </c>
      <c r="AW236" s="52">
        <v>200</v>
      </c>
      <c r="AX236" s="52">
        <v>133.66518589200015</v>
      </c>
      <c r="AY236" s="52">
        <v>0</v>
      </c>
      <c r="AZ236" s="52">
        <v>200</v>
      </c>
      <c r="BA236" s="52">
        <v>137.98658186200009</v>
      </c>
      <c r="BB236" s="52">
        <v>0</v>
      </c>
      <c r="BC236" s="52">
        <v>200</v>
      </c>
      <c r="BD236" s="52">
        <v>3.233306694000293</v>
      </c>
      <c r="BE236" s="52">
        <v>0</v>
      </c>
      <c r="BF236" s="52">
        <v>200</v>
      </c>
      <c r="BG236" s="52">
        <v>177.23252397100086</v>
      </c>
      <c r="BH236" s="52">
        <v>0</v>
      </c>
      <c r="BI236" s="52">
        <v>200</v>
      </c>
      <c r="BJ236" s="52">
        <v>0</v>
      </c>
      <c r="BK236" s="52">
        <v>0</v>
      </c>
      <c r="BL236" s="52">
        <v>200</v>
      </c>
      <c r="BM236" s="52">
        <v>176.6529031314069</v>
      </c>
      <c r="BN236" s="52">
        <v>0</v>
      </c>
      <c r="BO236" s="52">
        <v>200</v>
      </c>
      <c r="BP236" s="52">
        <v>23.926155561000307</v>
      </c>
      <c r="BQ236" s="52">
        <v>0</v>
      </c>
      <c r="BR236" s="52">
        <v>200</v>
      </c>
      <c r="BS236" s="52">
        <v>200</v>
      </c>
      <c r="BT236" s="52">
        <v>0</v>
      </c>
      <c r="BU236" s="52">
        <v>200</v>
      </c>
      <c r="BV236" s="52">
        <v>200</v>
      </c>
      <c r="BW236" s="52">
        <v>0</v>
      </c>
    </row>
    <row r="237" spans="1:75" x14ac:dyDescent="0.3">
      <c r="A237" s="8" t="s">
        <v>100</v>
      </c>
      <c r="B237" s="8" t="s">
        <v>8</v>
      </c>
      <c r="C237" s="8" t="s">
        <v>28</v>
      </c>
      <c r="D237" s="52">
        <v>200</v>
      </c>
      <c r="E237" s="52">
        <v>200</v>
      </c>
      <c r="F237" s="52">
        <v>200</v>
      </c>
      <c r="G237" s="52">
        <v>200</v>
      </c>
      <c r="H237" s="52">
        <v>200</v>
      </c>
      <c r="I237" s="52">
        <v>200</v>
      </c>
      <c r="J237" s="52">
        <v>200</v>
      </c>
      <c r="K237" s="52">
        <v>200</v>
      </c>
      <c r="L237" s="52">
        <v>200</v>
      </c>
      <c r="M237" s="52">
        <v>200</v>
      </c>
      <c r="N237" s="52">
        <v>200</v>
      </c>
      <c r="O237" s="52">
        <v>200</v>
      </c>
      <c r="P237" s="52">
        <v>200</v>
      </c>
      <c r="Q237" s="52">
        <v>200</v>
      </c>
      <c r="R237" s="52">
        <v>200</v>
      </c>
      <c r="S237" s="52">
        <v>200</v>
      </c>
      <c r="T237" s="52">
        <v>200</v>
      </c>
      <c r="U237" s="52">
        <v>200</v>
      </c>
      <c r="V237" s="52">
        <v>200</v>
      </c>
      <c r="W237" s="52">
        <v>200</v>
      </c>
      <c r="X237" s="52">
        <v>200</v>
      </c>
      <c r="Y237" s="52">
        <v>200</v>
      </c>
      <c r="Z237" s="52">
        <v>200</v>
      </c>
      <c r="AA237" s="52">
        <v>200</v>
      </c>
      <c r="AB237" s="52">
        <v>200</v>
      </c>
      <c r="AC237" s="52">
        <v>200</v>
      </c>
      <c r="AD237" s="52">
        <v>200</v>
      </c>
      <c r="AE237" s="52">
        <v>200</v>
      </c>
      <c r="AF237" s="52">
        <v>200</v>
      </c>
      <c r="AG237" s="52">
        <v>200</v>
      </c>
      <c r="AH237" s="52">
        <v>200</v>
      </c>
      <c r="AI237" s="52">
        <v>200</v>
      </c>
      <c r="AJ237" s="52">
        <v>200</v>
      </c>
      <c r="AK237" s="52">
        <v>200</v>
      </c>
      <c r="AL237" s="52">
        <v>200</v>
      </c>
      <c r="AM237" s="52">
        <v>200</v>
      </c>
      <c r="AN237" s="52">
        <v>200</v>
      </c>
      <c r="AO237" s="52">
        <v>200</v>
      </c>
      <c r="AP237" s="52">
        <v>200</v>
      </c>
      <c r="AQ237" s="52">
        <v>200</v>
      </c>
      <c r="AR237" s="52">
        <v>200</v>
      </c>
      <c r="AS237" s="52">
        <v>200</v>
      </c>
      <c r="AT237" s="52">
        <v>200</v>
      </c>
      <c r="AU237" s="52">
        <v>200</v>
      </c>
      <c r="AV237" s="52">
        <v>200</v>
      </c>
      <c r="AW237" s="52">
        <v>200</v>
      </c>
      <c r="AX237" s="52">
        <v>200</v>
      </c>
      <c r="AY237" s="52">
        <v>200</v>
      </c>
      <c r="AZ237" s="52">
        <v>200</v>
      </c>
      <c r="BA237" s="52">
        <v>200</v>
      </c>
      <c r="BB237" s="52">
        <v>200</v>
      </c>
      <c r="BC237" s="52">
        <v>200</v>
      </c>
      <c r="BD237" s="52">
        <v>200</v>
      </c>
      <c r="BE237" s="52">
        <v>200</v>
      </c>
      <c r="BF237" s="52">
        <v>200</v>
      </c>
      <c r="BG237" s="52">
        <v>200</v>
      </c>
      <c r="BH237" s="52">
        <v>200</v>
      </c>
      <c r="BI237" s="52">
        <v>200</v>
      </c>
      <c r="BJ237" s="52">
        <v>200</v>
      </c>
      <c r="BK237" s="52">
        <v>200</v>
      </c>
      <c r="BL237" s="52">
        <v>200</v>
      </c>
      <c r="BM237" s="52">
        <v>200</v>
      </c>
      <c r="BN237" s="52">
        <v>200</v>
      </c>
      <c r="BO237" s="52">
        <v>200</v>
      </c>
      <c r="BP237" s="52">
        <v>200</v>
      </c>
      <c r="BQ237" s="52">
        <v>200</v>
      </c>
      <c r="BR237" s="52">
        <v>200</v>
      </c>
      <c r="BS237" s="52">
        <v>200</v>
      </c>
      <c r="BT237" s="52">
        <v>200</v>
      </c>
      <c r="BU237" s="52">
        <v>200</v>
      </c>
      <c r="BV237" s="52">
        <v>200</v>
      </c>
      <c r="BW237" s="52">
        <v>200</v>
      </c>
    </row>
    <row r="238" spans="1:75" x14ac:dyDescent="0.3">
      <c r="A238" s="8" t="s">
        <v>100</v>
      </c>
      <c r="B238" s="8" t="s">
        <v>9</v>
      </c>
      <c r="C238" s="8" t="s">
        <v>60</v>
      </c>
      <c r="D238" s="52">
        <v>771.6</v>
      </c>
      <c r="E238" s="52">
        <v>771.6</v>
      </c>
      <c r="F238" s="52">
        <v>771.6</v>
      </c>
      <c r="G238" s="52">
        <v>771.6</v>
      </c>
      <c r="H238" s="52">
        <v>771.6</v>
      </c>
      <c r="I238" s="52">
        <v>771.6</v>
      </c>
      <c r="J238" s="52">
        <v>771.6</v>
      </c>
      <c r="K238" s="52">
        <v>771.6</v>
      </c>
      <c r="L238" s="52">
        <v>771.6</v>
      </c>
      <c r="M238" s="52">
        <v>771.6</v>
      </c>
      <c r="N238" s="52">
        <v>771.6</v>
      </c>
      <c r="O238" s="52">
        <v>771.6</v>
      </c>
      <c r="P238" s="52">
        <v>771.6</v>
      </c>
      <c r="Q238" s="52">
        <v>771.6</v>
      </c>
      <c r="R238" s="52">
        <v>771.6</v>
      </c>
      <c r="S238" s="52">
        <v>771.6</v>
      </c>
      <c r="T238" s="52">
        <v>771.6</v>
      </c>
      <c r="U238" s="52">
        <v>771.6</v>
      </c>
      <c r="V238" s="52">
        <v>771.6</v>
      </c>
      <c r="W238" s="52">
        <v>771.6</v>
      </c>
      <c r="X238" s="52">
        <v>771.6</v>
      </c>
      <c r="Y238" s="52">
        <v>771.6</v>
      </c>
      <c r="Z238" s="52">
        <v>771.6</v>
      </c>
      <c r="AA238" s="52">
        <v>771.6</v>
      </c>
      <c r="AB238" s="52">
        <v>771.6</v>
      </c>
      <c r="AC238" s="52">
        <v>771.6</v>
      </c>
      <c r="AD238" s="52">
        <v>771.6</v>
      </c>
      <c r="AE238" s="52">
        <v>771.6</v>
      </c>
      <c r="AF238" s="52">
        <v>771.6</v>
      </c>
      <c r="AG238" s="52">
        <v>771.6</v>
      </c>
      <c r="AH238" s="52">
        <v>771.6</v>
      </c>
      <c r="AI238" s="52">
        <v>771.6</v>
      </c>
      <c r="AJ238" s="52">
        <v>771.6</v>
      </c>
      <c r="AK238" s="52">
        <v>771.6</v>
      </c>
      <c r="AL238" s="52">
        <v>771.6</v>
      </c>
      <c r="AM238" s="52">
        <v>771.6</v>
      </c>
      <c r="AN238" s="52">
        <v>771.6</v>
      </c>
      <c r="AO238" s="52">
        <v>771.6</v>
      </c>
      <c r="AP238" s="52">
        <v>771.6</v>
      </c>
      <c r="AQ238" s="52">
        <v>771.6</v>
      </c>
      <c r="AR238" s="52">
        <v>771.6</v>
      </c>
      <c r="AS238" s="52">
        <v>771.6</v>
      </c>
      <c r="AT238" s="52">
        <v>771.6</v>
      </c>
      <c r="AU238" s="52">
        <v>771.6</v>
      </c>
      <c r="AV238" s="52">
        <v>771.6</v>
      </c>
      <c r="AW238" s="52">
        <v>771.6</v>
      </c>
      <c r="AX238" s="52">
        <v>771.6</v>
      </c>
      <c r="AY238" s="52">
        <v>771.6</v>
      </c>
      <c r="AZ238" s="52">
        <v>771.6</v>
      </c>
      <c r="BA238" s="52">
        <v>771.6</v>
      </c>
      <c r="BB238" s="52">
        <v>771.6</v>
      </c>
      <c r="BC238" s="52">
        <v>771.6</v>
      </c>
      <c r="BD238" s="52">
        <v>771.6</v>
      </c>
      <c r="BE238" s="52">
        <v>771.6</v>
      </c>
      <c r="BF238" s="52">
        <v>771.6</v>
      </c>
      <c r="BG238" s="52">
        <v>771.6</v>
      </c>
      <c r="BH238" s="52">
        <v>771.6</v>
      </c>
      <c r="BI238" s="52">
        <v>771.6</v>
      </c>
      <c r="BJ238" s="52">
        <v>771.6</v>
      </c>
      <c r="BK238" s="52">
        <v>771.6</v>
      </c>
      <c r="BL238" s="52">
        <v>771.6</v>
      </c>
      <c r="BM238" s="52">
        <v>771.6</v>
      </c>
      <c r="BN238" s="52">
        <v>771.6</v>
      </c>
      <c r="BO238" s="52">
        <v>771.6</v>
      </c>
      <c r="BP238" s="52">
        <v>771.6</v>
      </c>
      <c r="BQ238" s="52">
        <v>771.6</v>
      </c>
      <c r="BR238" s="52">
        <v>771.6</v>
      </c>
      <c r="BS238" s="52">
        <v>771.6</v>
      </c>
      <c r="BT238" s="52">
        <v>771.6</v>
      </c>
      <c r="BU238" s="52">
        <v>771.6</v>
      </c>
      <c r="BV238" s="52">
        <v>771.6</v>
      </c>
      <c r="BW238" s="52">
        <v>771.6</v>
      </c>
    </row>
    <row r="239" spans="1:75" x14ac:dyDescent="0.3">
      <c r="A239" s="8" t="s">
        <v>100</v>
      </c>
      <c r="B239" s="8" t="s">
        <v>9</v>
      </c>
      <c r="C239" s="8" t="s">
        <v>150</v>
      </c>
      <c r="D239" s="52">
        <v>552.12931677399922</v>
      </c>
      <c r="E239" s="52">
        <v>331.26225356342218</v>
      </c>
      <c r="F239" s="52">
        <v>235.19999999999996</v>
      </c>
      <c r="G239" s="52">
        <v>0</v>
      </c>
      <c r="H239" s="52">
        <v>0</v>
      </c>
      <c r="I239" s="52">
        <v>0</v>
      </c>
      <c r="J239" s="52">
        <v>522.40306081300059</v>
      </c>
      <c r="K239" s="52">
        <v>235.19999999999996</v>
      </c>
      <c r="L239" s="52">
        <v>235.19999999999996</v>
      </c>
      <c r="M239" s="52">
        <v>522.40306081300059</v>
      </c>
      <c r="N239" s="52">
        <v>235.19999999999996</v>
      </c>
      <c r="O239" s="52">
        <v>235.19999999999996</v>
      </c>
      <c r="P239" s="52">
        <v>235.19999999999888</v>
      </c>
      <c r="Q239" s="52">
        <v>235.19999999999888</v>
      </c>
      <c r="R239" s="52">
        <v>235.19999999999888</v>
      </c>
      <c r="S239" s="52">
        <v>235.19999999999996</v>
      </c>
      <c r="T239" s="52">
        <v>235.19999999999996</v>
      </c>
      <c r="U239" s="52">
        <v>235.19999999999996</v>
      </c>
      <c r="V239" s="52">
        <v>235.19999999999996</v>
      </c>
      <c r="W239" s="52">
        <v>235.19999999999996</v>
      </c>
      <c r="X239" s="52">
        <v>235.19999999999996</v>
      </c>
      <c r="Y239" s="52">
        <v>0</v>
      </c>
      <c r="Z239" s="52">
        <v>0</v>
      </c>
      <c r="AA239" s="52">
        <v>0</v>
      </c>
      <c r="AB239" s="52">
        <v>0</v>
      </c>
      <c r="AC239" s="52">
        <v>0</v>
      </c>
      <c r="AD239" s="52">
        <v>0</v>
      </c>
      <c r="AE239" s="52">
        <v>0</v>
      </c>
      <c r="AF239" s="52">
        <v>0</v>
      </c>
      <c r="AG239" s="52">
        <v>0</v>
      </c>
      <c r="AH239" s="52">
        <v>235.19999999999996</v>
      </c>
      <c r="AI239" s="52">
        <v>235.19999999999996</v>
      </c>
      <c r="AJ239" s="52">
        <v>235.19999999999996</v>
      </c>
      <c r="AK239" s="52">
        <v>235.19999999999996</v>
      </c>
      <c r="AL239" s="52">
        <v>235.19999999999996</v>
      </c>
      <c r="AM239" s="52">
        <v>235.19999999999996</v>
      </c>
      <c r="AN239" s="52">
        <v>235.19999999999996</v>
      </c>
      <c r="AO239" s="52">
        <v>235.19999999999996</v>
      </c>
      <c r="AP239" s="52">
        <v>235.19999999999996</v>
      </c>
      <c r="AQ239" s="52">
        <v>235.19999999999996</v>
      </c>
      <c r="AR239" s="52">
        <v>235.19999999999996</v>
      </c>
      <c r="AS239" s="52">
        <v>235.19999999999996</v>
      </c>
      <c r="AT239" s="52">
        <v>235.19999999999996</v>
      </c>
      <c r="AU239" s="52">
        <v>235.19999999999996</v>
      </c>
      <c r="AV239" s="52">
        <v>235.19999999999996</v>
      </c>
      <c r="AW239" s="52">
        <v>0</v>
      </c>
      <c r="AX239" s="52">
        <v>0</v>
      </c>
      <c r="AY239" s="52">
        <v>0</v>
      </c>
      <c r="AZ239" s="52">
        <v>235.19999999999996</v>
      </c>
      <c r="BA239" s="52">
        <v>235.19999999999996</v>
      </c>
      <c r="BB239" s="52">
        <v>235.19999999999996</v>
      </c>
      <c r="BC239" s="52">
        <v>235.19999999999996</v>
      </c>
      <c r="BD239" s="52">
        <v>235.19999999999996</v>
      </c>
      <c r="BE239" s="52">
        <v>235.19999999999996</v>
      </c>
      <c r="BF239" s="52">
        <v>295.11704198056384</v>
      </c>
      <c r="BG239" s="52">
        <v>235.19999999999996</v>
      </c>
      <c r="BH239" s="52">
        <v>235.19999999999996</v>
      </c>
      <c r="BI239" s="52">
        <v>235.19999999999996</v>
      </c>
      <c r="BJ239" s="52">
        <v>235.19999999999996</v>
      </c>
      <c r="BK239" s="52">
        <v>235.19999999999996</v>
      </c>
      <c r="BL239" s="52">
        <v>235.19999999999996</v>
      </c>
      <c r="BM239" s="52">
        <v>235.19999999999996</v>
      </c>
      <c r="BN239" s="52">
        <v>235.19999999999996</v>
      </c>
      <c r="BO239" s="52">
        <v>235.19999999999996</v>
      </c>
      <c r="BP239" s="52">
        <v>235.19999999999996</v>
      </c>
      <c r="BQ239" s="52">
        <v>235.19999999999996</v>
      </c>
      <c r="BR239" s="52">
        <v>400.7421397380013</v>
      </c>
      <c r="BS239" s="52">
        <v>235.19999999999996</v>
      </c>
      <c r="BT239" s="52">
        <v>235.19999999999996</v>
      </c>
      <c r="BU239" s="52">
        <v>0</v>
      </c>
      <c r="BV239" s="52">
        <v>0</v>
      </c>
      <c r="BW239" s="52">
        <v>0</v>
      </c>
    </row>
    <row r="240" spans="1:75" x14ac:dyDescent="0.3">
      <c r="A240" s="8" t="s">
        <v>100</v>
      </c>
      <c r="B240" s="8" t="s">
        <v>9</v>
      </c>
      <c r="C240" s="8" t="s">
        <v>61</v>
      </c>
      <c r="D240" s="52">
        <v>0</v>
      </c>
      <c r="E240" s="52">
        <v>0</v>
      </c>
      <c r="F240" s="52">
        <v>0</v>
      </c>
      <c r="G240" s="52">
        <v>0</v>
      </c>
      <c r="H240" s="52">
        <v>0</v>
      </c>
      <c r="I240" s="52">
        <v>0</v>
      </c>
      <c r="J240" s="52">
        <v>0</v>
      </c>
      <c r="K240" s="52">
        <v>0</v>
      </c>
      <c r="L240" s="52">
        <v>0</v>
      </c>
      <c r="M240" s="52">
        <v>0</v>
      </c>
      <c r="N240" s="52">
        <v>0</v>
      </c>
      <c r="O240" s="52">
        <v>0</v>
      </c>
      <c r="P240" s="52">
        <v>0</v>
      </c>
      <c r="Q240" s="52">
        <v>0</v>
      </c>
      <c r="R240" s="52">
        <v>0</v>
      </c>
      <c r="S240" s="52">
        <v>0</v>
      </c>
      <c r="T240" s="52">
        <v>0</v>
      </c>
      <c r="U240" s="52">
        <v>0</v>
      </c>
      <c r="V240" s="52">
        <v>0</v>
      </c>
      <c r="W240" s="52">
        <v>0</v>
      </c>
      <c r="X240" s="52">
        <v>0</v>
      </c>
      <c r="Y240" s="52">
        <v>0</v>
      </c>
      <c r="Z240" s="52">
        <v>0</v>
      </c>
      <c r="AA240" s="52">
        <v>0</v>
      </c>
      <c r="AB240" s="52">
        <v>163.28099597399944</v>
      </c>
      <c r="AC240" s="52">
        <v>99.091485628000413</v>
      </c>
      <c r="AD240" s="52">
        <v>81.239999999999881</v>
      </c>
      <c r="AE240" s="52">
        <v>0</v>
      </c>
      <c r="AF240" s="52">
        <v>0</v>
      </c>
      <c r="AG240" s="52">
        <v>0</v>
      </c>
      <c r="AH240" s="52">
        <v>0</v>
      </c>
      <c r="AI240" s="52">
        <v>0</v>
      </c>
      <c r="AJ240" s="52">
        <v>0</v>
      </c>
      <c r="AK240" s="52">
        <v>0</v>
      </c>
      <c r="AL240" s="52">
        <v>0</v>
      </c>
      <c r="AM240" s="52">
        <v>0</v>
      </c>
      <c r="AN240" s="52">
        <v>0</v>
      </c>
      <c r="AO240" s="52">
        <v>0</v>
      </c>
      <c r="AP240" s="52">
        <v>0</v>
      </c>
      <c r="AQ240" s="52">
        <v>0</v>
      </c>
      <c r="AR240" s="52">
        <v>0</v>
      </c>
      <c r="AS240" s="52">
        <v>0</v>
      </c>
      <c r="AT240" s="52">
        <v>203.1</v>
      </c>
      <c r="AU240" s="52">
        <v>203.1</v>
      </c>
      <c r="AV240" s="52">
        <v>81.239999999999654</v>
      </c>
      <c r="AW240" s="52">
        <v>203.1</v>
      </c>
      <c r="AX240" s="52">
        <v>193.82518589200006</v>
      </c>
      <c r="AY240" s="52">
        <v>81.239999999999654</v>
      </c>
      <c r="AZ240" s="52">
        <v>0</v>
      </c>
      <c r="BA240" s="52">
        <v>0</v>
      </c>
      <c r="BB240" s="52">
        <v>0</v>
      </c>
      <c r="BC240" s="52">
        <v>0</v>
      </c>
      <c r="BD240" s="52">
        <v>0</v>
      </c>
      <c r="BE240" s="52">
        <v>0</v>
      </c>
      <c r="BF240" s="52">
        <v>0</v>
      </c>
      <c r="BG240" s="52">
        <v>0</v>
      </c>
      <c r="BH240" s="52">
        <v>0</v>
      </c>
      <c r="BI240" s="52">
        <v>0</v>
      </c>
      <c r="BJ240" s="52">
        <v>0</v>
      </c>
      <c r="BK240" s="52">
        <v>0</v>
      </c>
      <c r="BL240" s="52">
        <v>203.1</v>
      </c>
      <c r="BM240" s="52">
        <v>203.1</v>
      </c>
      <c r="BN240" s="52">
        <v>81.239999999999995</v>
      </c>
      <c r="BO240" s="52">
        <v>0</v>
      </c>
      <c r="BP240" s="52">
        <v>0</v>
      </c>
      <c r="BQ240" s="52">
        <v>0</v>
      </c>
      <c r="BR240" s="52">
        <v>0</v>
      </c>
      <c r="BS240" s="52">
        <v>0</v>
      </c>
      <c r="BT240" s="52">
        <v>0</v>
      </c>
      <c r="BU240" s="52">
        <v>0</v>
      </c>
      <c r="BV240" s="52">
        <v>0</v>
      </c>
      <c r="BW240" s="52">
        <v>0</v>
      </c>
    </row>
    <row r="241" spans="1:75" x14ac:dyDescent="0.3">
      <c r="A241" s="8" t="s">
        <v>100</v>
      </c>
      <c r="B241" s="8" t="s">
        <v>9</v>
      </c>
      <c r="C241" s="8" t="s">
        <v>152</v>
      </c>
      <c r="D241" s="52">
        <v>0</v>
      </c>
      <c r="E241" s="52">
        <v>0</v>
      </c>
      <c r="F241" s="52">
        <v>0</v>
      </c>
      <c r="G241" s="52">
        <v>0</v>
      </c>
      <c r="H241" s="52">
        <v>0</v>
      </c>
      <c r="I241" s="52">
        <v>0</v>
      </c>
      <c r="J241" s="52">
        <v>116.34975512300002</v>
      </c>
      <c r="K241" s="52">
        <v>150.4</v>
      </c>
      <c r="L241" s="52">
        <v>60.159999999999961</v>
      </c>
      <c r="M241" s="52">
        <v>0</v>
      </c>
      <c r="N241" s="52">
        <v>0</v>
      </c>
      <c r="O241" s="52">
        <v>0</v>
      </c>
      <c r="P241" s="52">
        <v>0</v>
      </c>
      <c r="Q241" s="52">
        <v>0</v>
      </c>
      <c r="R241" s="52">
        <v>0</v>
      </c>
      <c r="S241" s="52">
        <v>0</v>
      </c>
      <c r="T241" s="52">
        <v>0</v>
      </c>
      <c r="U241" s="52">
        <v>0</v>
      </c>
      <c r="V241" s="52">
        <v>150.4</v>
      </c>
      <c r="W241" s="52">
        <v>150.4</v>
      </c>
      <c r="X241" s="52">
        <v>60.159999999999883</v>
      </c>
      <c r="Y241" s="52">
        <v>0</v>
      </c>
      <c r="Z241" s="52">
        <v>0</v>
      </c>
      <c r="AA241" s="52">
        <v>0</v>
      </c>
      <c r="AB241" s="52">
        <v>0</v>
      </c>
      <c r="AC241" s="52">
        <v>0</v>
      </c>
      <c r="AD241" s="52">
        <v>0</v>
      </c>
      <c r="AE241" s="52">
        <v>0</v>
      </c>
      <c r="AF241" s="52">
        <v>0</v>
      </c>
      <c r="AG241" s="52">
        <v>0</v>
      </c>
      <c r="AH241" s="52">
        <v>140.37253682200051</v>
      </c>
      <c r="AI241" s="52">
        <v>80.017504241999248</v>
      </c>
      <c r="AJ241" s="52">
        <v>60.159999999999989</v>
      </c>
      <c r="AK241" s="52">
        <v>0</v>
      </c>
      <c r="AL241" s="52">
        <v>0</v>
      </c>
      <c r="AM241" s="52">
        <v>0</v>
      </c>
      <c r="AN241" s="52">
        <v>150.4</v>
      </c>
      <c r="AO241" s="52">
        <v>150.4</v>
      </c>
      <c r="AP241" s="52">
        <v>60.159999999999826</v>
      </c>
      <c r="AQ241" s="52">
        <v>150.4</v>
      </c>
      <c r="AR241" s="52">
        <v>150.4</v>
      </c>
      <c r="AS241" s="52">
        <v>60.159999999999989</v>
      </c>
      <c r="AT241" s="52">
        <v>0</v>
      </c>
      <c r="AU241" s="52">
        <v>0</v>
      </c>
      <c r="AV241" s="52">
        <v>0</v>
      </c>
      <c r="AW241" s="52">
        <v>0</v>
      </c>
      <c r="AX241" s="52">
        <v>0</v>
      </c>
      <c r="AY241" s="52">
        <v>0</v>
      </c>
      <c r="AZ241" s="52">
        <v>0</v>
      </c>
      <c r="BA241" s="52">
        <v>0</v>
      </c>
      <c r="BB241" s="52">
        <v>0</v>
      </c>
      <c r="BC241" s="52">
        <v>0</v>
      </c>
      <c r="BD241" s="52">
        <v>0</v>
      </c>
      <c r="BE241" s="52">
        <v>0</v>
      </c>
      <c r="BF241" s="52">
        <v>0</v>
      </c>
      <c r="BG241" s="52">
        <v>0</v>
      </c>
      <c r="BH241" s="52">
        <v>0</v>
      </c>
      <c r="BI241" s="52">
        <v>0</v>
      </c>
      <c r="BJ241" s="52">
        <v>0</v>
      </c>
      <c r="BK241" s="52">
        <v>0</v>
      </c>
      <c r="BL241" s="52">
        <v>0</v>
      </c>
      <c r="BM241" s="52">
        <v>0</v>
      </c>
      <c r="BN241" s="52">
        <v>0</v>
      </c>
      <c r="BO241" s="52">
        <v>0</v>
      </c>
      <c r="BP241" s="52">
        <v>0</v>
      </c>
      <c r="BQ241" s="52">
        <v>0</v>
      </c>
      <c r="BR241" s="52">
        <v>150.4</v>
      </c>
      <c r="BS241" s="52">
        <v>150.4</v>
      </c>
      <c r="BT241" s="52">
        <v>60.159999999999989</v>
      </c>
      <c r="BU241" s="52">
        <v>0</v>
      </c>
      <c r="BV241" s="52">
        <v>0</v>
      </c>
      <c r="BW241" s="52">
        <v>0</v>
      </c>
    </row>
    <row r="242" spans="1:75" x14ac:dyDescent="0.3">
      <c r="A242" s="8" t="s">
        <v>100</v>
      </c>
      <c r="B242" s="8" t="s">
        <v>9</v>
      </c>
      <c r="C242" s="8" t="s">
        <v>151</v>
      </c>
      <c r="D242" s="52">
        <v>194.4</v>
      </c>
      <c r="E242" s="52">
        <v>194.4</v>
      </c>
      <c r="F242" s="52">
        <v>77.760000000000005</v>
      </c>
      <c r="G242" s="52">
        <v>0</v>
      </c>
      <c r="H242" s="52">
        <v>0</v>
      </c>
      <c r="I242" s="52">
        <v>0</v>
      </c>
      <c r="J242" s="52">
        <v>194.4</v>
      </c>
      <c r="K242" s="52">
        <v>194.4</v>
      </c>
      <c r="L242" s="52">
        <v>77.75999999999992</v>
      </c>
      <c r="M242" s="52">
        <v>194.4</v>
      </c>
      <c r="N242" s="52">
        <v>194.4</v>
      </c>
      <c r="O242" s="52">
        <v>77.75999999999992</v>
      </c>
      <c r="P242" s="52">
        <v>194.4</v>
      </c>
      <c r="Q242" s="52">
        <v>194.4</v>
      </c>
      <c r="R242" s="52">
        <v>77.760000000000005</v>
      </c>
      <c r="S242" s="52">
        <v>194.4</v>
      </c>
      <c r="T242" s="52">
        <v>140.28085481100038</v>
      </c>
      <c r="U242" s="52">
        <v>77.760000000000005</v>
      </c>
      <c r="V242" s="52">
        <v>194.4</v>
      </c>
      <c r="W242" s="52">
        <v>194.4</v>
      </c>
      <c r="X242" s="52">
        <v>77.760000000000005</v>
      </c>
      <c r="Y242" s="52">
        <v>194.4</v>
      </c>
      <c r="Z242" s="52">
        <v>177.14173050500014</v>
      </c>
      <c r="AA242" s="52">
        <v>77.760000000000005</v>
      </c>
      <c r="AB242" s="52">
        <v>194.4</v>
      </c>
      <c r="AC242" s="52">
        <v>194.4</v>
      </c>
      <c r="AD242" s="52">
        <v>77.760000000000005</v>
      </c>
      <c r="AE242" s="52">
        <v>194.4</v>
      </c>
      <c r="AF242" s="52">
        <v>131.16882275692353</v>
      </c>
      <c r="AG242" s="52">
        <v>77.760000000000005</v>
      </c>
      <c r="AH242" s="52">
        <v>194.4</v>
      </c>
      <c r="AI242" s="52">
        <v>194.4</v>
      </c>
      <c r="AJ242" s="52">
        <v>77.760000000000005</v>
      </c>
      <c r="AK242" s="52">
        <v>0</v>
      </c>
      <c r="AL242" s="52">
        <v>0</v>
      </c>
      <c r="AM242" s="52">
        <v>0</v>
      </c>
      <c r="AN242" s="52">
        <v>194.4</v>
      </c>
      <c r="AO242" s="52">
        <v>194.4</v>
      </c>
      <c r="AP242" s="52">
        <v>77.760000000000005</v>
      </c>
      <c r="AQ242" s="52">
        <v>0</v>
      </c>
      <c r="AR242" s="52">
        <v>0</v>
      </c>
      <c r="AS242" s="52">
        <v>0</v>
      </c>
      <c r="AT242" s="52">
        <v>194.4</v>
      </c>
      <c r="AU242" s="52">
        <v>194.4</v>
      </c>
      <c r="AV242" s="52">
        <v>77.760000000000005</v>
      </c>
      <c r="AW242" s="52">
        <v>194.4</v>
      </c>
      <c r="AX242" s="52">
        <v>194.4</v>
      </c>
      <c r="AY242" s="52">
        <v>77.760000000000005</v>
      </c>
      <c r="AZ242" s="52">
        <v>194.4</v>
      </c>
      <c r="BA242" s="52">
        <v>194.4</v>
      </c>
      <c r="BB242" s="52">
        <v>77.759999999999081</v>
      </c>
      <c r="BC242" s="52">
        <v>0</v>
      </c>
      <c r="BD242" s="52">
        <v>0</v>
      </c>
      <c r="BE242" s="52">
        <v>0</v>
      </c>
      <c r="BF242" s="52">
        <v>0</v>
      </c>
      <c r="BG242" s="52">
        <v>0</v>
      </c>
      <c r="BH242" s="52">
        <v>0</v>
      </c>
      <c r="BI242" s="52">
        <v>0</v>
      </c>
      <c r="BJ242" s="52">
        <v>0</v>
      </c>
      <c r="BK242" s="52">
        <v>0</v>
      </c>
      <c r="BL242" s="52">
        <v>194.4</v>
      </c>
      <c r="BM242" s="52">
        <v>194.4</v>
      </c>
      <c r="BN242" s="52">
        <v>77.75999999999992</v>
      </c>
      <c r="BO242" s="52">
        <v>194.4</v>
      </c>
      <c r="BP242" s="52">
        <v>194.4</v>
      </c>
      <c r="BQ242" s="52">
        <v>77.759999999999849</v>
      </c>
      <c r="BR242" s="52">
        <v>194.4</v>
      </c>
      <c r="BS242" s="52">
        <v>194.4</v>
      </c>
      <c r="BT242" s="52">
        <v>77.760000000000005</v>
      </c>
      <c r="BU242" s="52">
        <v>0</v>
      </c>
      <c r="BV242" s="52">
        <v>0</v>
      </c>
      <c r="BW242" s="52">
        <v>0</v>
      </c>
    </row>
    <row r="243" spans="1:75" x14ac:dyDescent="0.3">
      <c r="A243" s="8" t="s">
        <v>100</v>
      </c>
      <c r="B243" s="8" t="s">
        <v>9</v>
      </c>
      <c r="C243" s="8" t="s">
        <v>62</v>
      </c>
      <c r="D243" s="52">
        <v>500</v>
      </c>
      <c r="E243" s="52">
        <v>500</v>
      </c>
      <c r="F243" s="52">
        <v>500</v>
      </c>
      <c r="G243" s="52">
        <v>500</v>
      </c>
      <c r="H243" s="52">
        <v>500</v>
      </c>
      <c r="I243" s="52">
        <v>500</v>
      </c>
      <c r="J243" s="52">
        <v>500</v>
      </c>
      <c r="K243" s="52">
        <v>500</v>
      </c>
      <c r="L243" s="52">
        <v>500</v>
      </c>
      <c r="M243" s="52">
        <v>500</v>
      </c>
      <c r="N243" s="52">
        <v>500</v>
      </c>
      <c r="O243" s="52">
        <v>500</v>
      </c>
      <c r="P243" s="52">
        <v>500</v>
      </c>
      <c r="Q243" s="52">
        <v>500</v>
      </c>
      <c r="R243" s="52">
        <v>500</v>
      </c>
      <c r="S243" s="52">
        <v>500</v>
      </c>
      <c r="T243" s="52">
        <v>500</v>
      </c>
      <c r="U243" s="52">
        <v>500</v>
      </c>
      <c r="V243" s="52">
        <v>500</v>
      </c>
      <c r="W243" s="52">
        <v>500</v>
      </c>
      <c r="X243" s="52">
        <v>500</v>
      </c>
      <c r="Y243" s="52">
        <v>500</v>
      </c>
      <c r="Z243" s="52">
        <v>500</v>
      </c>
      <c r="AA243" s="52">
        <v>500</v>
      </c>
      <c r="AB243" s="52">
        <v>500</v>
      </c>
      <c r="AC243" s="52">
        <v>500</v>
      </c>
      <c r="AD243" s="52">
        <v>500</v>
      </c>
      <c r="AE243" s="52">
        <v>500</v>
      </c>
      <c r="AF243" s="52">
        <v>500</v>
      </c>
      <c r="AG243" s="52">
        <v>500</v>
      </c>
      <c r="AH243" s="52">
        <v>500</v>
      </c>
      <c r="AI243" s="52">
        <v>500</v>
      </c>
      <c r="AJ243" s="52">
        <v>500</v>
      </c>
      <c r="AK243" s="52">
        <v>500</v>
      </c>
      <c r="AL243" s="52">
        <v>500</v>
      </c>
      <c r="AM243" s="52">
        <v>500</v>
      </c>
      <c r="AN243" s="52">
        <v>500</v>
      </c>
      <c r="AO243" s="52">
        <v>500</v>
      </c>
      <c r="AP243" s="52">
        <v>500</v>
      </c>
      <c r="AQ243" s="52">
        <v>500</v>
      </c>
      <c r="AR243" s="52">
        <v>500</v>
      </c>
      <c r="AS243" s="52">
        <v>500</v>
      </c>
      <c r="AT243" s="52">
        <v>500</v>
      </c>
      <c r="AU243" s="52">
        <v>500</v>
      </c>
      <c r="AV243" s="52">
        <v>500</v>
      </c>
      <c r="AW243" s="52">
        <v>500</v>
      </c>
      <c r="AX243" s="52">
        <v>500</v>
      </c>
      <c r="AY243" s="52">
        <v>500</v>
      </c>
      <c r="AZ243" s="52">
        <v>500</v>
      </c>
      <c r="BA243" s="52">
        <v>500</v>
      </c>
      <c r="BB243" s="52">
        <v>500</v>
      </c>
      <c r="BC243" s="52">
        <v>500</v>
      </c>
      <c r="BD243" s="52">
        <v>500</v>
      </c>
      <c r="BE243" s="52">
        <v>500</v>
      </c>
      <c r="BF243" s="52">
        <v>500</v>
      </c>
      <c r="BG243" s="52">
        <v>500</v>
      </c>
      <c r="BH243" s="52">
        <v>500</v>
      </c>
      <c r="BI243" s="52">
        <v>500</v>
      </c>
      <c r="BJ243" s="52">
        <v>500</v>
      </c>
      <c r="BK243" s="52">
        <v>500</v>
      </c>
      <c r="BL243" s="52">
        <v>500</v>
      </c>
      <c r="BM243" s="52">
        <v>500</v>
      </c>
      <c r="BN243" s="52">
        <v>500</v>
      </c>
      <c r="BO243" s="52">
        <v>500</v>
      </c>
      <c r="BP243" s="52">
        <v>500</v>
      </c>
      <c r="BQ243" s="52">
        <v>500</v>
      </c>
      <c r="BR243" s="52">
        <v>500</v>
      </c>
      <c r="BS243" s="52">
        <v>500</v>
      </c>
      <c r="BT243" s="52">
        <v>500</v>
      </c>
      <c r="BU243" s="52">
        <v>500</v>
      </c>
      <c r="BV243" s="52">
        <v>500</v>
      </c>
      <c r="BW243" s="52">
        <v>500</v>
      </c>
    </row>
    <row r="244" spans="1:75" x14ac:dyDescent="0.3">
      <c r="A244" s="8" t="s">
        <v>100</v>
      </c>
      <c r="B244" s="8" t="s">
        <v>9</v>
      </c>
      <c r="C244" s="8" t="s">
        <v>63</v>
      </c>
      <c r="D244" s="52">
        <v>500</v>
      </c>
      <c r="E244" s="52">
        <v>500</v>
      </c>
      <c r="F244" s="52">
        <v>410.5445325496774</v>
      </c>
      <c r="G244" s="52">
        <v>500</v>
      </c>
      <c r="H244" s="52">
        <v>500</v>
      </c>
      <c r="I244" s="52">
        <v>410.5445325496774</v>
      </c>
      <c r="J244" s="52">
        <v>500</v>
      </c>
      <c r="K244" s="52">
        <v>500</v>
      </c>
      <c r="L244" s="52">
        <v>257.15677655613047</v>
      </c>
      <c r="M244" s="52">
        <v>500</v>
      </c>
      <c r="N244" s="52">
        <v>500</v>
      </c>
      <c r="O244" s="52">
        <v>257.15677655613047</v>
      </c>
      <c r="P244" s="52">
        <v>500</v>
      </c>
      <c r="Q244" s="52">
        <v>500</v>
      </c>
      <c r="R244" s="52">
        <v>235.35699942800156</v>
      </c>
      <c r="S244" s="52">
        <v>500</v>
      </c>
      <c r="T244" s="52">
        <v>500</v>
      </c>
      <c r="U244" s="52">
        <v>197.13351372000088</v>
      </c>
      <c r="V244" s="52">
        <v>500</v>
      </c>
      <c r="W244" s="52">
        <v>500</v>
      </c>
      <c r="X244" s="52">
        <v>282.06314284595862</v>
      </c>
      <c r="Y244" s="52">
        <v>500</v>
      </c>
      <c r="Z244" s="52">
        <v>500</v>
      </c>
      <c r="AA244" s="52">
        <v>282.06314284595862</v>
      </c>
      <c r="AB244" s="52">
        <v>500</v>
      </c>
      <c r="AC244" s="52">
        <v>500</v>
      </c>
      <c r="AD244" s="52">
        <v>309.96787562399982</v>
      </c>
      <c r="AE244" s="52">
        <v>500</v>
      </c>
      <c r="AF244" s="52">
        <v>500</v>
      </c>
      <c r="AG244" s="52">
        <v>265.29274505300083</v>
      </c>
      <c r="AH244" s="52">
        <v>500</v>
      </c>
      <c r="AI244" s="52">
        <v>500</v>
      </c>
      <c r="AJ244" s="52">
        <v>277.1210941660002</v>
      </c>
      <c r="AK244" s="52">
        <v>500</v>
      </c>
      <c r="AL244" s="52">
        <v>500</v>
      </c>
      <c r="AM244" s="52">
        <v>240.11351472400042</v>
      </c>
      <c r="AN244" s="52">
        <v>500</v>
      </c>
      <c r="AO244" s="52">
        <v>500</v>
      </c>
      <c r="AP244" s="52">
        <v>394.81340769700012</v>
      </c>
      <c r="AQ244" s="52">
        <v>500</v>
      </c>
      <c r="AR244" s="52">
        <v>500</v>
      </c>
      <c r="AS244" s="52">
        <v>270.38200319300006</v>
      </c>
      <c r="AT244" s="52">
        <v>500</v>
      </c>
      <c r="AU244" s="52">
        <v>500</v>
      </c>
      <c r="AV244" s="52">
        <v>249.29861648000048</v>
      </c>
      <c r="AW244" s="52">
        <v>500</v>
      </c>
      <c r="AX244" s="52">
        <v>500</v>
      </c>
      <c r="AY244" s="52">
        <v>249.29861648000048</v>
      </c>
      <c r="AZ244" s="52">
        <v>500</v>
      </c>
      <c r="BA244" s="52">
        <v>500</v>
      </c>
      <c r="BB244" s="52">
        <v>358.82159717300192</v>
      </c>
      <c r="BC244" s="52">
        <v>500</v>
      </c>
      <c r="BD244" s="52">
        <v>500</v>
      </c>
      <c r="BE244" s="52">
        <v>214.93089768199994</v>
      </c>
      <c r="BF244" s="52">
        <v>500</v>
      </c>
      <c r="BG244" s="52">
        <v>500</v>
      </c>
      <c r="BH244" s="52">
        <v>204.56027270654579</v>
      </c>
      <c r="BI244" s="52">
        <v>500</v>
      </c>
      <c r="BJ244" s="52">
        <v>435.17780443999993</v>
      </c>
      <c r="BK244" s="52">
        <v>168.31183803399963</v>
      </c>
      <c r="BL244" s="52">
        <v>500</v>
      </c>
      <c r="BM244" s="52">
        <v>500</v>
      </c>
      <c r="BN244" s="52">
        <v>222.58874328599998</v>
      </c>
      <c r="BO244" s="52">
        <v>500</v>
      </c>
      <c r="BP244" s="52">
        <v>500</v>
      </c>
      <c r="BQ244" s="52">
        <v>221.15009066200014</v>
      </c>
      <c r="BR244" s="52">
        <v>500</v>
      </c>
      <c r="BS244" s="52">
        <v>500</v>
      </c>
      <c r="BT244" s="52">
        <v>404.51892396691022</v>
      </c>
      <c r="BU244" s="52">
        <v>500</v>
      </c>
      <c r="BV244" s="52">
        <v>500</v>
      </c>
      <c r="BW244" s="52">
        <v>404.51892396691022</v>
      </c>
    </row>
    <row r="245" spans="1:75" x14ac:dyDescent="0.3">
      <c r="A245" s="8" t="s">
        <v>100</v>
      </c>
      <c r="B245" s="8" t="s">
        <v>9</v>
      </c>
      <c r="C245" s="8" t="s">
        <v>64</v>
      </c>
      <c r="D245" s="52">
        <v>500</v>
      </c>
      <c r="E245" s="52">
        <v>500</v>
      </c>
      <c r="F245" s="52">
        <v>100</v>
      </c>
      <c r="G245" s="52">
        <v>500</v>
      </c>
      <c r="H245" s="52">
        <v>500</v>
      </c>
      <c r="I245" s="52">
        <v>100</v>
      </c>
      <c r="J245" s="52">
        <v>500</v>
      </c>
      <c r="K245" s="52">
        <v>500</v>
      </c>
      <c r="L245" s="52">
        <v>100</v>
      </c>
      <c r="M245" s="52">
        <v>0</v>
      </c>
      <c r="N245" s="52">
        <v>0</v>
      </c>
      <c r="O245" s="52">
        <v>0</v>
      </c>
      <c r="P245" s="52">
        <v>500</v>
      </c>
      <c r="Q245" s="52">
        <v>500</v>
      </c>
      <c r="R245" s="52">
        <v>100</v>
      </c>
      <c r="S245" s="52">
        <v>0</v>
      </c>
      <c r="T245" s="52">
        <v>0</v>
      </c>
      <c r="U245" s="52">
        <v>0</v>
      </c>
      <c r="V245" s="52">
        <v>0</v>
      </c>
      <c r="W245" s="52">
        <v>0</v>
      </c>
      <c r="X245" s="52">
        <v>0</v>
      </c>
      <c r="Y245" s="52">
        <v>0</v>
      </c>
      <c r="Z245" s="52">
        <v>0</v>
      </c>
      <c r="AA245" s="52">
        <v>0</v>
      </c>
      <c r="AB245" s="52">
        <v>500</v>
      </c>
      <c r="AC245" s="52">
        <v>500</v>
      </c>
      <c r="AD245" s="52">
        <v>100</v>
      </c>
      <c r="AE245" s="52">
        <v>0</v>
      </c>
      <c r="AF245" s="52">
        <v>0</v>
      </c>
      <c r="AG245" s="52">
        <v>0</v>
      </c>
      <c r="AH245" s="52">
        <v>500</v>
      </c>
      <c r="AI245" s="52">
        <v>500</v>
      </c>
      <c r="AJ245" s="52">
        <v>100</v>
      </c>
      <c r="AK245" s="52">
        <v>0</v>
      </c>
      <c r="AL245" s="52">
        <v>0</v>
      </c>
      <c r="AM245" s="52">
        <v>0</v>
      </c>
      <c r="AN245" s="52">
        <v>500</v>
      </c>
      <c r="AO245" s="52">
        <v>500</v>
      </c>
      <c r="AP245" s="52">
        <v>100</v>
      </c>
      <c r="AQ245" s="52">
        <v>0</v>
      </c>
      <c r="AR245" s="52">
        <v>0</v>
      </c>
      <c r="AS245" s="52">
        <v>0</v>
      </c>
      <c r="AT245" s="52">
        <v>0</v>
      </c>
      <c r="AU245" s="52">
        <v>0</v>
      </c>
      <c r="AV245" s="52">
        <v>0</v>
      </c>
      <c r="AW245" s="52">
        <v>0</v>
      </c>
      <c r="AX245" s="52">
        <v>0</v>
      </c>
      <c r="AY245" s="52">
        <v>0</v>
      </c>
      <c r="AZ245" s="52">
        <v>500</v>
      </c>
      <c r="BA245" s="52">
        <v>500</v>
      </c>
      <c r="BB245" s="52">
        <v>100</v>
      </c>
      <c r="BC245" s="52">
        <v>0</v>
      </c>
      <c r="BD245" s="52">
        <v>0</v>
      </c>
      <c r="BE245" s="52">
        <v>0</v>
      </c>
      <c r="BF245" s="52">
        <v>500</v>
      </c>
      <c r="BG245" s="52">
        <v>500</v>
      </c>
      <c r="BH245" s="52">
        <v>100</v>
      </c>
      <c r="BI245" s="52">
        <v>0</v>
      </c>
      <c r="BJ245" s="52">
        <v>0</v>
      </c>
      <c r="BK245" s="52">
        <v>0</v>
      </c>
      <c r="BL245" s="52">
        <v>500</v>
      </c>
      <c r="BM245" s="52">
        <v>500</v>
      </c>
      <c r="BN245" s="52">
        <v>100</v>
      </c>
      <c r="BO245" s="52">
        <v>0</v>
      </c>
      <c r="BP245" s="52">
        <v>0</v>
      </c>
      <c r="BQ245" s="52">
        <v>0</v>
      </c>
      <c r="BR245" s="52">
        <v>500</v>
      </c>
      <c r="BS245" s="52">
        <v>500</v>
      </c>
      <c r="BT245" s="52">
        <v>100</v>
      </c>
      <c r="BU245" s="52">
        <v>500</v>
      </c>
      <c r="BV245" s="52">
        <v>500</v>
      </c>
      <c r="BW245" s="52">
        <v>100</v>
      </c>
    </row>
    <row r="246" spans="1:75" x14ac:dyDescent="0.3">
      <c r="A246" s="8" t="s">
        <v>100</v>
      </c>
      <c r="B246" s="8" t="s">
        <v>9</v>
      </c>
      <c r="C246" s="8" t="s">
        <v>65</v>
      </c>
      <c r="D246" s="52">
        <v>667.5</v>
      </c>
      <c r="E246" s="52">
        <v>667.5</v>
      </c>
      <c r="F246" s="52">
        <v>667.5</v>
      </c>
      <c r="G246" s="52">
        <v>667.5</v>
      </c>
      <c r="H246" s="52">
        <v>667.5</v>
      </c>
      <c r="I246" s="52">
        <v>667.5</v>
      </c>
      <c r="J246" s="52">
        <v>667.5</v>
      </c>
      <c r="K246" s="52">
        <v>667.5</v>
      </c>
      <c r="L246" s="52">
        <v>667.5</v>
      </c>
      <c r="M246" s="52">
        <v>667.5</v>
      </c>
      <c r="N246" s="52">
        <v>667.5</v>
      </c>
      <c r="O246" s="52">
        <v>667.5</v>
      </c>
      <c r="P246" s="52">
        <v>667.5</v>
      </c>
      <c r="Q246" s="52">
        <v>667.5</v>
      </c>
      <c r="R246" s="52">
        <v>667.5</v>
      </c>
      <c r="S246" s="52">
        <v>667.5</v>
      </c>
      <c r="T246" s="52">
        <v>667.5</v>
      </c>
      <c r="U246" s="52">
        <v>667.5</v>
      </c>
      <c r="V246" s="52">
        <v>667.5</v>
      </c>
      <c r="W246" s="52">
        <v>667.5</v>
      </c>
      <c r="X246" s="52">
        <v>667.5</v>
      </c>
      <c r="Y246" s="52">
        <v>667.5</v>
      </c>
      <c r="Z246" s="52">
        <v>667.5</v>
      </c>
      <c r="AA246" s="52">
        <v>667.5</v>
      </c>
      <c r="AB246" s="52">
        <v>667.5</v>
      </c>
      <c r="AC246" s="52">
        <v>667.5</v>
      </c>
      <c r="AD246" s="52">
        <v>667.5</v>
      </c>
      <c r="AE246" s="52">
        <v>667.5</v>
      </c>
      <c r="AF246" s="52">
        <v>667.5</v>
      </c>
      <c r="AG246" s="52">
        <v>667.5</v>
      </c>
      <c r="AH246" s="52">
        <v>667.5</v>
      </c>
      <c r="AI246" s="52">
        <v>667.5</v>
      </c>
      <c r="AJ246" s="52">
        <v>667.5</v>
      </c>
      <c r="AK246" s="52">
        <v>667.5</v>
      </c>
      <c r="AL246" s="52">
        <v>667.5</v>
      </c>
      <c r="AM246" s="52">
        <v>667.5</v>
      </c>
      <c r="AN246" s="52">
        <v>667.5</v>
      </c>
      <c r="AO246" s="52">
        <v>667.5</v>
      </c>
      <c r="AP246" s="52">
        <v>667.5</v>
      </c>
      <c r="AQ246" s="52">
        <v>667.5</v>
      </c>
      <c r="AR246" s="52">
        <v>667.5</v>
      </c>
      <c r="AS246" s="52">
        <v>667.5</v>
      </c>
      <c r="AT246" s="52">
        <v>667.5</v>
      </c>
      <c r="AU246" s="52">
        <v>667.5</v>
      </c>
      <c r="AV246" s="52">
        <v>667.5</v>
      </c>
      <c r="AW246" s="52">
        <v>667.5</v>
      </c>
      <c r="AX246" s="52">
        <v>667.5</v>
      </c>
      <c r="AY246" s="52">
        <v>667.5</v>
      </c>
      <c r="AZ246" s="52">
        <v>667.5</v>
      </c>
      <c r="BA246" s="52">
        <v>667.5</v>
      </c>
      <c r="BB246" s="52">
        <v>667.5</v>
      </c>
      <c r="BC246" s="52">
        <v>667.5</v>
      </c>
      <c r="BD246" s="52">
        <v>667.5</v>
      </c>
      <c r="BE246" s="52">
        <v>667.5</v>
      </c>
      <c r="BF246" s="52">
        <v>667.5</v>
      </c>
      <c r="BG246" s="52">
        <v>667.5</v>
      </c>
      <c r="BH246" s="52">
        <v>667.5</v>
      </c>
      <c r="BI246" s="52">
        <v>667.5</v>
      </c>
      <c r="BJ246" s="52">
        <v>667.5</v>
      </c>
      <c r="BK246" s="52">
        <v>667.5</v>
      </c>
      <c r="BL246" s="52">
        <v>667.5</v>
      </c>
      <c r="BM246" s="52">
        <v>667.5</v>
      </c>
      <c r="BN246" s="52">
        <v>667.5</v>
      </c>
      <c r="BO246" s="52">
        <v>667.5</v>
      </c>
      <c r="BP246" s="52">
        <v>667.5</v>
      </c>
      <c r="BQ246" s="52">
        <v>667.5</v>
      </c>
      <c r="BR246" s="52">
        <v>667.5</v>
      </c>
      <c r="BS246" s="52">
        <v>667.5</v>
      </c>
      <c r="BT246" s="52">
        <v>667.5</v>
      </c>
      <c r="BU246" s="52">
        <v>667.5</v>
      </c>
      <c r="BV246" s="52">
        <v>667.5</v>
      </c>
      <c r="BW246" s="52">
        <v>667.5</v>
      </c>
    </row>
    <row r="247" spans="1:75" x14ac:dyDescent="0.3">
      <c r="A247" s="8" t="s">
        <v>100</v>
      </c>
      <c r="B247" s="8" t="s">
        <v>9</v>
      </c>
      <c r="C247" s="8" t="s">
        <v>66</v>
      </c>
      <c r="D247" s="52">
        <v>0</v>
      </c>
      <c r="E247" s="52">
        <v>0</v>
      </c>
      <c r="F247" s="52">
        <v>0</v>
      </c>
      <c r="G247" s="52">
        <v>0</v>
      </c>
      <c r="H247" s="52">
        <v>0</v>
      </c>
      <c r="I247" s="52">
        <v>0</v>
      </c>
      <c r="J247" s="52">
        <v>0</v>
      </c>
      <c r="K247" s="52">
        <v>0</v>
      </c>
      <c r="L247" s="52">
        <v>0</v>
      </c>
      <c r="M247" s="52">
        <v>0</v>
      </c>
      <c r="N247" s="52">
        <v>0</v>
      </c>
      <c r="O247" s="52">
        <v>0</v>
      </c>
      <c r="P247" s="52">
        <v>0</v>
      </c>
      <c r="Q247" s="52">
        <v>0</v>
      </c>
      <c r="R247" s="52">
        <v>0</v>
      </c>
      <c r="S247" s="52">
        <v>0</v>
      </c>
      <c r="T247" s="52">
        <v>0</v>
      </c>
      <c r="U247" s="52">
        <v>0</v>
      </c>
      <c r="V247" s="52">
        <v>0</v>
      </c>
      <c r="W247" s="52">
        <v>0</v>
      </c>
      <c r="X247" s="52">
        <v>0</v>
      </c>
      <c r="Y247" s="52">
        <v>0</v>
      </c>
      <c r="Z247" s="52">
        <v>0</v>
      </c>
      <c r="AA247" s="52">
        <v>0</v>
      </c>
      <c r="AB247" s="52">
        <v>0</v>
      </c>
      <c r="AC247" s="52">
        <v>0</v>
      </c>
      <c r="AD247" s="52">
        <v>0</v>
      </c>
      <c r="AE247" s="52">
        <v>0</v>
      </c>
      <c r="AF247" s="52">
        <v>0</v>
      </c>
      <c r="AG247" s="52">
        <v>0</v>
      </c>
      <c r="AH247" s="52">
        <v>0</v>
      </c>
      <c r="AI247" s="52">
        <v>0</v>
      </c>
      <c r="AJ247" s="52">
        <v>0</v>
      </c>
      <c r="AK247" s="52">
        <v>0</v>
      </c>
      <c r="AL247" s="52">
        <v>0</v>
      </c>
      <c r="AM247" s="52">
        <v>0</v>
      </c>
      <c r="AN247" s="52">
        <v>0</v>
      </c>
      <c r="AO247" s="52">
        <v>0</v>
      </c>
      <c r="AP247" s="52">
        <v>0</v>
      </c>
      <c r="AQ247" s="52">
        <v>0</v>
      </c>
      <c r="AR247" s="52">
        <v>0</v>
      </c>
      <c r="AS247" s="52">
        <v>0</v>
      </c>
      <c r="AT247" s="52">
        <v>0</v>
      </c>
      <c r="AU247" s="52">
        <v>0</v>
      </c>
      <c r="AV247" s="52">
        <v>0</v>
      </c>
      <c r="AW247" s="52">
        <v>0</v>
      </c>
      <c r="AX247" s="52">
        <v>0</v>
      </c>
      <c r="AY247" s="52">
        <v>0</v>
      </c>
      <c r="AZ247" s="52">
        <v>0</v>
      </c>
      <c r="BA247" s="52">
        <v>0</v>
      </c>
      <c r="BB247" s="52">
        <v>0</v>
      </c>
      <c r="BC247" s="52">
        <v>0</v>
      </c>
      <c r="BD247" s="52">
        <v>0</v>
      </c>
      <c r="BE247" s="52">
        <v>0</v>
      </c>
      <c r="BF247" s="52">
        <v>0</v>
      </c>
      <c r="BG247" s="52">
        <v>0</v>
      </c>
      <c r="BH247" s="52">
        <v>0</v>
      </c>
      <c r="BI247" s="52">
        <v>0</v>
      </c>
      <c r="BJ247" s="52">
        <v>0</v>
      </c>
      <c r="BK247" s="52">
        <v>0</v>
      </c>
      <c r="BL247" s="52">
        <v>0</v>
      </c>
      <c r="BM247" s="52">
        <v>0</v>
      </c>
      <c r="BN247" s="52">
        <v>0</v>
      </c>
      <c r="BO247" s="52">
        <v>0</v>
      </c>
      <c r="BP247" s="52">
        <v>0</v>
      </c>
      <c r="BQ247" s="52">
        <v>0</v>
      </c>
      <c r="BR247" s="52">
        <v>0</v>
      </c>
      <c r="BS247" s="52">
        <v>0</v>
      </c>
      <c r="BT247" s="52">
        <v>0</v>
      </c>
      <c r="BU247" s="52">
        <v>0</v>
      </c>
      <c r="BV247" s="52">
        <v>0</v>
      </c>
      <c r="BW247" s="52">
        <v>0</v>
      </c>
    </row>
    <row r="248" spans="1:75" x14ac:dyDescent="0.3">
      <c r="A248" s="8" t="s">
        <v>100</v>
      </c>
      <c r="B248" s="8" t="s">
        <v>9</v>
      </c>
      <c r="C248" s="8" t="s">
        <v>67</v>
      </c>
      <c r="D248" s="52">
        <v>0</v>
      </c>
      <c r="E248" s="52">
        <v>0</v>
      </c>
      <c r="F248" s="52">
        <v>0</v>
      </c>
      <c r="G248" s="52">
        <v>0</v>
      </c>
      <c r="H248" s="52">
        <v>0</v>
      </c>
      <c r="I248" s="52">
        <v>0</v>
      </c>
      <c r="J248" s="52">
        <v>0</v>
      </c>
      <c r="K248" s="52">
        <v>0</v>
      </c>
      <c r="L248" s="52">
        <v>0</v>
      </c>
      <c r="M248" s="52">
        <v>0</v>
      </c>
      <c r="N248" s="52">
        <v>0</v>
      </c>
      <c r="O248" s="52">
        <v>0</v>
      </c>
      <c r="P248" s="52">
        <v>0</v>
      </c>
      <c r="Q248" s="52">
        <v>0</v>
      </c>
      <c r="R248" s="52">
        <v>0</v>
      </c>
      <c r="S248" s="52">
        <v>0</v>
      </c>
      <c r="T248" s="52">
        <v>0</v>
      </c>
      <c r="U248" s="52">
        <v>0</v>
      </c>
      <c r="V248" s="52">
        <v>0</v>
      </c>
      <c r="W248" s="52">
        <v>0</v>
      </c>
      <c r="X248" s="52">
        <v>0</v>
      </c>
      <c r="Y248" s="52">
        <v>0</v>
      </c>
      <c r="Z248" s="52">
        <v>0</v>
      </c>
      <c r="AA248" s="52">
        <v>0</v>
      </c>
      <c r="AB248" s="52">
        <v>0</v>
      </c>
      <c r="AC248" s="52">
        <v>0</v>
      </c>
      <c r="AD248" s="52">
        <v>0</v>
      </c>
      <c r="AE248" s="52">
        <v>0</v>
      </c>
      <c r="AF248" s="52">
        <v>0</v>
      </c>
      <c r="AG248" s="52">
        <v>0</v>
      </c>
      <c r="AH248" s="52">
        <v>0</v>
      </c>
      <c r="AI248" s="52">
        <v>0</v>
      </c>
      <c r="AJ248" s="52">
        <v>0</v>
      </c>
      <c r="AK248" s="52">
        <v>0</v>
      </c>
      <c r="AL248" s="52">
        <v>0</v>
      </c>
      <c r="AM248" s="52">
        <v>0</v>
      </c>
      <c r="AN248" s="52">
        <v>0</v>
      </c>
      <c r="AO248" s="52">
        <v>0</v>
      </c>
      <c r="AP248" s="52">
        <v>0</v>
      </c>
      <c r="AQ248" s="52">
        <v>0</v>
      </c>
      <c r="AR248" s="52">
        <v>0</v>
      </c>
      <c r="AS248" s="52">
        <v>0</v>
      </c>
      <c r="AT248" s="52">
        <v>0</v>
      </c>
      <c r="AU248" s="52">
        <v>0</v>
      </c>
      <c r="AV248" s="52">
        <v>0</v>
      </c>
      <c r="AW248" s="52">
        <v>0</v>
      </c>
      <c r="AX248" s="52">
        <v>0</v>
      </c>
      <c r="AY248" s="52">
        <v>0</v>
      </c>
      <c r="AZ248" s="52">
        <v>0</v>
      </c>
      <c r="BA248" s="52">
        <v>0</v>
      </c>
      <c r="BB248" s="52">
        <v>0</v>
      </c>
      <c r="BC248" s="52">
        <v>0</v>
      </c>
      <c r="BD248" s="52">
        <v>0</v>
      </c>
      <c r="BE248" s="52">
        <v>0</v>
      </c>
      <c r="BF248" s="52">
        <v>0</v>
      </c>
      <c r="BG248" s="52">
        <v>0</v>
      </c>
      <c r="BH248" s="52">
        <v>0</v>
      </c>
      <c r="BI248" s="52">
        <v>0</v>
      </c>
      <c r="BJ248" s="52">
        <v>0</v>
      </c>
      <c r="BK248" s="52">
        <v>0</v>
      </c>
      <c r="BL248" s="52">
        <v>0</v>
      </c>
      <c r="BM248" s="52">
        <v>0</v>
      </c>
      <c r="BN248" s="52">
        <v>0</v>
      </c>
      <c r="BO248" s="52">
        <v>0</v>
      </c>
      <c r="BP248" s="52">
        <v>0</v>
      </c>
      <c r="BQ248" s="52">
        <v>0</v>
      </c>
      <c r="BR248" s="52">
        <v>0</v>
      </c>
      <c r="BS248" s="52">
        <v>0</v>
      </c>
      <c r="BT248" s="52">
        <v>0</v>
      </c>
      <c r="BU248" s="52">
        <v>0</v>
      </c>
      <c r="BV248" s="52">
        <v>0</v>
      </c>
      <c r="BW248" s="52">
        <v>0</v>
      </c>
    </row>
    <row r="249" spans="1:75" x14ac:dyDescent="0.3">
      <c r="A249" s="8" t="s">
        <v>100</v>
      </c>
      <c r="B249" s="8" t="s">
        <v>9</v>
      </c>
      <c r="C249" s="8" t="s">
        <v>68</v>
      </c>
      <c r="D249" s="52">
        <v>0</v>
      </c>
      <c r="E249" s="52">
        <v>0</v>
      </c>
      <c r="F249" s="52">
        <v>0</v>
      </c>
      <c r="G249" s="52">
        <v>0</v>
      </c>
      <c r="H249" s="52">
        <v>0</v>
      </c>
      <c r="I249" s="52">
        <v>0</v>
      </c>
      <c r="J249" s="52">
        <v>0</v>
      </c>
      <c r="K249" s="52">
        <v>0</v>
      </c>
      <c r="L249" s="52">
        <v>0</v>
      </c>
      <c r="M249" s="52">
        <v>0</v>
      </c>
      <c r="N249" s="52">
        <v>0</v>
      </c>
      <c r="O249" s="52">
        <v>0</v>
      </c>
      <c r="P249" s="52">
        <v>0</v>
      </c>
      <c r="Q249" s="52">
        <v>0</v>
      </c>
      <c r="R249" s="52">
        <v>0</v>
      </c>
      <c r="S249" s="52">
        <v>0</v>
      </c>
      <c r="T249" s="52">
        <v>0</v>
      </c>
      <c r="U249" s="52">
        <v>0</v>
      </c>
      <c r="V249" s="52">
        <v>0</v>
      </c>
      <c r="W249" s="52">
        <v>0</v>
      </c>
      <c r="X249" s="52">
        <v>0</v>
      </c>
      <c r="Y249" s="52">
        <v>0</v>
      </c>
      <c r="Z249" s="52">
        <v>0</v>
      </c>
      <c r="AA249" s="52">
        <v>0</v>
      </c>
      <c r="AB249" s="52">
        <v>0</v>
      </c>
      <c r="AC249" s="52">
        <v>0</v>
      </c>
      <c r="AD249" s="52">
        <v>0</v>
      </c>
      <c r="AE249" s="52">
        <v>0</v>
      </c>
      <c r="AF249" s="52">
        <v>0</v>
      </c>
      <c r="AG249" s="52">
        <v>0</v>
      </c>
      <c r="AH249" s="52">
        <v>0</v>
      </c>
      <c r="AI249" s="52">
        <v>0</v>
      </c>
      <c r="AJ249" s="52">
        <v>0</v>
      </c>
      <c r="AK249" s="52">
        <v>0</v>
      </c>
      <c r="AL249" s="52">
        <v>0</v>
      </c>
      <c r="AM249" s="52">
        <v>0</v>
      </c>
      <c r="AN249" s="52">
        <v>0</v>
      </c>
      <c r="AO249" s="52">
        <v>0</v>
      </c>
      <c r="AP249" s="52">
        <v>0</v>
      </c>
      <c r="AQ249" s="52">
        <v>0</v>
      </c>
      <c r="AR249" s="52">
        <v>0</v>
      </c>
      <c r="AS249" s="52">
        <v>0</v>
      </c>
      <c r="AT249" s="52">
        <v>0</v>
      </c>
      <c r="AU249" s="52">
        <v>0</v>
      </c>
      <c r="AV249" s="52">
        <v>0</v>
      </c>
      <c r="AW249" s="52">
        <v>0</v>
      </c>
      <c r="AX249" s="52">
        <v>0</v>
      </c>
      <c r="AY249" s="52">
        <v>0</v>
      </c>
      <c r="AZ249" s="52">
        <v>0</v>
      </c>
      <c r="BA249" s="52">
        <v>0</v>
      </c>
      <c r="BB249" s="52">
        <v>0</v>
      </c>
      <c r="BC249" s="52">
        <v>0</v>
      </c>
      <c r="BD249" s="52">
        <v>0</v>
      </c>
      <c r="BE249" s="52">
        <v>0</v>
      </c>
      <c r="BF249" s="52">
        <v>0</v>
      </c>
      <c r="BG249" s="52">
        <v>0</v>
      </c>
      <c r="BH249" s="52">
        <v>0</v>
      </c>
      <c r="BI249" s="52">
        <v>0</v>
      </c>
      <c r="BJ249" s="52">
        <v>0</v>
      </c>
      <c r="BK249" s="52">
        <v>0</v>
      </c>
      <c r="BL249" s="52">
        <v>0</v>
      </c>
      <c r="BM249" s="52">
        <v>0</v>
      </c>
      <c r="BN249" s="52">
        <v>0</v>
      </c>
      <c r="BO249" s="52">
        <v>0</v>
      </c>
      <c r="BP249" s="52">
        <v>0</v>
      </c>
      <c r="BQ249" s="52">
        <v>0</v>
      </c>
      <c r="BR249" s="52">
        <v>0</v>
      </c>
      <c r="BS249" s="52">
        <v>0</v>
      </c>
      <c r="BT249" s="52">
        <v>0</v>
      </c>
      <c r="BU249" s="52">
        <v>0</v>
      </c>
      <c r="BV249" s="52">
        <v>0</v>
      </c>
      <c r="BW249" s="52">
        <v>0</v>
      </c>
    </row>
    <row r="250" spans="1:75" x14ac:dyDescent="0.3">
      <c r="A250" s="8" t="s">
        <v>100</v>
      </c>
      <c r="B250" s="8" t="s">
        <v>9</v>
      </c>
      <c r="C250" s="8" t="s">
        <v>69</v>
      </c>
      <c r="D250" s="52">
        <v>0</v>
      </c>
      <c r="E250" s="52">
        <v>0</v>
      </c>
      <c r="F250" s="52">
        <v>0</v>
      </c>
      <c r="G250" s="52">
        <v>0</v>
      </c>
      <c r="H250" s="52">
        <v>0</v>
      </c>
      <c r="I250" s="52">
        <v>0</v>
      </c>
      <c r="J250" s="52">
        <v>0</v>
      </c>
      <c r="K250" s="52">
        <v>0</v>
      </c>
      <c r="L250" s="52">
        <v>0</v>
      </c>
      <c r="M250" s="52">
        <v>0</v>
      </c>
      <c r="N250" s="52">
        <v>0</v>
      </c>
      <c r="O250" s="52">
        <v>0</v>
      </c>
      <c r="P250" s="52">
        <v>0</v>
      </c>
      <c r="Q250" s="52">
        <v>0</v>
      </c>
      <c r="R250" s="52">
        <v>0</v>
      </c>
      <c r="S250" s="52">
        <v>0</v>
      </c>
      <c r="T250" s="52">
        <v>0</v>
      </c>
      <c r="U250" s="52">
        <v>0</v>
      </c>
      <c r="V250" s="52">
        <v>0</v>
      </c>
      <c r="W250" s="52">
        <v>0</v>
      </c>
      <c r="X250" s="52">
        <v>0</v>
      </c>
      <c r="Y250" s="52">
        <v>0</v>
      </c>
      <c r="Z250" s="52">
        <v>0</v>
      </c>
      <c r="AA250" s="52">
        <v>0</v>
      </c>
      <c r="AB250" s="52">
        <v>0</v>
      </c>
      <c r="AC250" s="52">
        <v>0</v>
      </c>
      <c r="AD250" s="52">
        <v>0</v>
      </c>
      <c r="AE250" s="52">
        <v>0</v>
      </c>
      <c r="AF250" s="52">
        <v>0</v>
      </c>
      <c r="AG250" s="52">
        <v>0</v>
      </c>
      <c r="AH250" s="52">
        <v>0</v>
      </c>
      <c r="AI250" s="52">
        <v>0</v>
      </c>
      <c r="AJ250" s="52">
        <v>0</v>
      </c>
      <c r="AK250" s="52">
        <v>0</v>
      </c>
      <c r="AL250" s="52">
        <v>0</v>
      </c>
      <c r="AM250" s="52">
        <v>0</v>
      </c>
      <c r="AN250" s="52">
        <v>0</v>
      </c>
      <c r="AO250" s="52">
        <v>0</v>
      </c>
      <c r="AP250" s="52">
        <v>0</v>
      </c>
      <c r="AQ250" s="52">
        <v>0</v>
      </c>
      <c r="AR250" s="52">
        <v>0</v>
      </c>
      <c r="AS250" s="52">
        <v>0</v>
      </c>
      <c r="AT250" s="52">
        <v>0</v>
      </c>
      <c r="AU250" s="52">
        <v>0</v>
      </c>
      <c r="AV250" s="52">
        <v>0</v>
      </c>
      <c r="AW250" s="52">
        <v>0</v>
      </c>
      <c r="AX250" s="52">
        <v>0</v>
      </c>
      <c r="AY250" s="52">
        <v>0</v>
      </c>
      <c r="AZ250" s="52">
        <v>0</v>
      </c>
      <c r="BA250" s="52">
        <v>0</v>
      </c>
      <c r="BB250" s="52">
        <v>0</v>
      </c>
      <c r="BC250" s="52">
        <v>0</v>
      </c>
      <c r="BD250" s="52">
        <v>0</v>
      </c>
      <c r="BE250" s="52">
        <v>0</v>
      </c>
      <c r="BF250" s="52">
        <v>0</v>
      </c>
      <c r="BG250" s="52">
        <v>0</v>
      </c>
      <c r="BH250" s="52">
        <v>0</v>
      </c>
      <c r="BI250" s="52">
        <v>0</v>
      </c>
      <c r="BJ250" s="52">
        <v>0</v>
      </c>
      <c r="BK250" s="52">
        <v>0</v>
      </c>
      <c r="BL250" s="52">
        <v>0</v>
      </c>
      <c r="BM250" s="52">
        <v>0</v>
      </c>
      <c r="BN250" s="52">
        <v>0</v>
      </c>
      <c r="BO250" s="52">
        <v>0</v>
      </c>
      <c r="BP250" s="52">
        <v>0</v>
      </c>
      <c r="BQ250" s="52">
        <v>0</v>
      </c>
      <c r="BR250" s="52">
        <v>0</v>
      </c>
      <c r="BS250" s="52">
        <v>0</v>
      </c>
      <c r="BT250" s="52">
        <v>0</v>
      </c>
      <c r="BU250" s="52">
        <v>0</v>
      </c>
      <c r="BV250" s="52">
        <v>0</v>
      </c>
      <c r="BW250" s="52">
        <v>0</v>
      </c>
    </row>
    <row r="251" spans="1:75" x14ac:dyDescent="0.3">
      <c r="A251" s="8" t="s">
        <v>100</v>
      </c>
      <c r="B251" s="8" t="s">
        <v>9</v>
      </c>
      <c r="C251" s="8" t="s">
        <v>27</v>
      </c>
      <c r="D251" s="52">
        <v>150</v>
      </c>
      <c r="E251" s="52">
        <v>150</v>
      </c>
      <c r="F251" s="52">
        <v>146.40806812732245</v>
      </c>
      <c r="G251" s="52">
        <v>150</v>
      </c>
      <c r="H251" s="52">
        <v>150</v>
      </c>
      <c r="I251" s="52">
        <v>76.113611244322996</v>
      </c>
      <c r="J251" s="52">
        <v>150</v>
      </c>
      <c r="K251" s="52">
        <v>150</v>
      </c>
      <c r="L251" s="52">
        <v>133.49421510086958</v>
      </c>
      <c r="M251" s="52">
        <v>150</v>
      </c>
      <c r="N251" s="52">
        <v>150</v>
      </c>
      <c r="O251" s="52">
        <v>42.348346685869622</v>
      </c>
      <c r="P251" s="52">
        <v>150</v>
      </c>
      <c r="Q251" s="52">
        <v>150</v>
      </c>
      <c r="R251" s="52">
        <v>150</v>
      </c>
      <c r="S251" s="52">
        <v>150</v>
      </c>
      <c r="T251" s="52">
        <v>150</v>
      </c>
      <c r="U251" s="52">
        <v>27.240000000000077</v>
      </c>
      <c r="V251" s="52">
        <v>150</v>
      </c>
      <c r="W251" s="52">
        <v>150</v>
      </c>
      <c r="X251" s="52">
        <v>35.780104712041997</v>
      </c>
      <c r="Y251" s="52">
        <v>150</v>
      </c>
      <c r="Z251" s="52">
        <v>150</v>
      </c>
      <c r="AA251" s="52">
        <v>35.780104712041997</v>
      </c>
      <c r="AB251" s="52">
        <v>150</v>
      </c>
      <c r="AC251" s="52">
        <v>150</v>
      </c>
      <c r="AD251" s="52">
        <v>0</v>
      </c>
      <c r="AE251" s="52">
        <v>150</v>
      </c>
      <c r="AF251" s="52">
        <v>110.12307692307688</v>
      </c>
      <c r="AG251" s="52">
        <v>0</v>
      </c>
      <c r="AH251" s="52">
        <v>150</v>
      </c>
      <c r="AI251" s="52">
        <v>77.614285714285714</v>
      </c>
      <c r="AJ251" s="52">
        <v>0</v>
      </c>
      <c r="AK251" s="52">
        <v>150</v>
      </c>
      <c r="AL251" s="52">
        <v>77.614285714285714</v>
      </c>
      <c r="AM251" s="52">
        <v>0</v>
      </c>
      <c r="AN251" s="52">
        <v>150</v>
      </c>
      <c r="AO251" s="52">
        <v>103.62850317384587</v>
      </c>
      <c r="AP251" s="52">
        <v>0</v>
      </c>
      <c r="AQ251" s="52">
        <v>41.469945884000545</v>
      </c>
      <c r="AR251" s="52">
        <v>46.920528755845957</v>
      </c>
      <c r="AS251" s="52">
        <v>0</v>
      </c>
      <c r="AT251" s="52">
        <v>150</v>
      </c>
      <c r="AU251" s="52">
        <v>131.78181818181815</v>
      </c>
      <c r="AV251" s="52">
        <v>0</v>
      </c>
      <c r="AW251" s="52">
        <v>0</v>
      </c>
      <c r="AX251" s="52">
        <v>0</v>
      </c>
      <c r="AY251" s="52">
        <v>0</v>
      </c>
      <c r="AZ251" s="52">
        <v>150</v>
      </c>
      <c r="BA251" s="52">
        <v>150</v>
      </c>
      <c r="BB251" s="52">
        <v>0</v>
      </c>
      <c r="BC251" s="52">
        <v>112.39999999999989</v>
      </c>
      <c r="BD251" s="52">
        <v>150</v>
      </c>
      <c r="BE251" s="52">
        <v>0</v>
      </c>
      <c r="BF251" s="52">
        <v>150</v>
      </c>
      <c r="BG251" s="52">
        <v>150</v>
      </c>
      <c r="BH251" s="52">
        <v>73.745454545454578</v>
      </c>
      <c r="BI251" s="52">
        <v>150</v>
      </c>
      <c r="BJ251" s="52">
        <v>150</v>
      </c>
      <c r="BK251" s="52">
        <v>0</v>
      </c>
      <c r="BL251" s="52">
        <v>150</v>
      </c>
      <c r="BM251" s="52">
        <v>150</v>
      </c>
      <c r="BN251" s="52">
        <v>150</v>
      </c>
      <c r="BO251" s="52">
        <v>150</v>
      </c>
      <c r="BP251" s="52">
        <v>150</v>
      </c>
      <c r="BQ251" s="52">
        <v>18.000000000000025</v>
      </c>
      <c r="BR251" s="52">
        <v>150</v>
      </c>
      <c r="BS251" s="52">
        <v>150</v>
      </c>
      <c r="BT251" s="52">
        <v>119.01719976708979</v>
      </c>
      <c r="BU251" s="52">
        <v>150</v>
      </c>
      <c r="BV251" s="52">
        <v>150</v>
      </c>
      <c r="BW251" s="52">
        <v>82.035159426090203</v>
      </c>
    </row>
    <row r="252" spans="1:75" x14ac:dyDescent="0.3">
      <c r="A252" s="8" t="s">
        <v>100</v>
      </c>
      <c r="B252" s="8" t="s">
        <v>9</v>
      </c>
      <c r="C252" s="8" t="s">
        <v>144</v>
      </c>
      <c r="D252" s="52">
        <v>200</v>
      </c>
      <c r="E252" s="52">
        <v>130.17163906857721</v>
      </c>
      <c r="F252" s="52">
        <v>0</v>
      </c>
      <c r="G252" s="52">
        <v>200</v>
      </c>
      <c r="H252" s="52">
        <v>0</v>
      </c>
      <c r="I252" s="52">
        <v>0</v>
      </c>
      <c r="J252" s="52">
        <v>0</v>
      </c>
      <c r="K252" s="52">
        <v>0</v>
      </c>
      <c r="L252" s="52">
        <v>0</v>
      </c>
      <c r="M252" s="52">
        <v>0</v>
      </c>
      <c r="N252" s="52">
        <v>0</v>
      </c>
      <c r="O252" s="52">
        <v>0</v>
      </c>
      <c r="P252" s="52">
        <v>200</v>
      </c>
      <c r="Q252" s="52">
        <v>0</v>
      </c>
      <c r="R252" s="52">
        <v>0</v>
      </c>
      <c r="S252" s="52">
        <v>200</v>
      </c>
      <c r="T252" s="52">
        <v>0</v>
      </c>
      <c r="U252" s="52">
        <v>0</v>
      </c>
      <c r="V252" s="52">
        <v>200</v>
      </c>
      <c r="W252" s="52">
        <v>18.48638487600024</v>
      </c>
      <c r="X252" s="52">
        <v>0</v>
      </c>
      <c r="Y252" s="52">
        <v>190.03414001900066</v>
      </c>
      <c r="Z252" s="52">
        <v>0</v>
      </c>
      <c r="AA252" s="52">
        <v>0</v>
      </c>
      <c r="AB252" s="52">
        <v>51.633806689000956</v>
      </c>
      <c r="AC252" s="52">
        <v>0</v>
      </c>
      <c r="AD252" s="52">
        <v>0</v>
      </c>
      <c r="AE252" s="52">
        <v>51.633806689000956</v>
      </c>
      <c r="AF252" s="52">
        <v>0</v>
      </c>
      <c r="AG252" s="52">
        <v>0</v>
      </c>
      <c r="AH252" s="52">
        <v>200</v>
      </c>
      <c r="AI252" s="52">
        <v>0</v>
      </c>
      <c r="AJ252" s="52">
        <v>0</v>
      </c>
      <c r="AK252" s="52">
        <v>200</v>
      </c>
      <c r="AL252" s="52">
        <v>0</v>
      </c>
      <c r="AM252" s="52">
        <v>0</v>
      </c>
      <c r="AN252" s="52">
        <v>200</v>
      </c>
      <c r="AO252" s="52">
        <v>0</v>
      </c>
      <c r="AP252" s="52">
        <v>0</v>
      </c>
      <c r="AQ252" s="52">
        <v>200</v>
      </c>
      <c r="AR252" s="52">
        <v>0</v>
      </c>
      <c r="AS252" s="52">
        <v>0</v>
      </c>
      <c r="AT252" s="52">
        <v>200</v>
      </c>
      <c r="AU252" s="52">
        <v>30.727686743182492</v>
      </c>
      <c r="AV252" s="52">
        <v>0</v>
      </c>
      <c r="AW252" s="52">
        <v>200</v>
      </c>
      <c r="AX252" s="52">
        <v>0</v>
      </c>
      <c r="AY252" s="52">
        <v>0</v>
      </c>
      <c r="AZ252" s="52">
        <v>117.15870846278251</v>
      </c>
      <c r="BA252" s="52">
        <v>0</v>
      </c>
      <c r="BB252" s="52">
        <v>0</v>
      </c>
      <c r="BC252" s="52">
        <v>117.15870846278251</v>
      </c>
      <c r="BD252" s="52">
        <v>0</v>
      </c>
      <c r="BE252" s="52">
        <v>0</v>
      </c>
      <c r="BF252" s="52">
        <v>200</v>
      </c>
      <c r="BG252" s="52">
        <v>0</v>
      </c>
      <c r="BH252" s="52">
        <v>0</v>
      </c>
      <c r="BI252" s="52">
        <v>200</v>
      </c>
      <c r="BJ252" s="52">
        <v>0</v>
      </c>
      <c r="BK252" s="52">
        <v>0</v>
      </c>
      <c r="BL252" s="52">
        <v>200</v>
      </c>
      <c r="BM252" s="52">
        <v>0</v>
      </c>
      <c r="BN252" s="52">
        <v>0</v>
      </c>
      <c r="BO252" s="52">
        <v>200</v>
      </c>
      <c r="BP252" s="52">
        <v>0</v>
      </c>
      <c r="BQ252" s="52">
        <v>0</v>
      </c>
      <c r="BR252" s="52">
        <v>200</v>
      </c>
      <c r="BS252" s="52">
        <v>98.831241253000854</v>
      </c>
      <c r="BT252" s="52">
        <v>0</v>
      </c>
      <c r="BU252" s="52">
        <v>200</v>
      </c>
      <c r="BV252" s="52">
        <v>51.967294906999079</v>
      </c>
      <c r="BW252" s="52">
        <v>0</v>
      </c>
    </row>
    <row r="253" spans="1:75" x14ac:dyDescent="0.3">
      <c r="A253" s="8" t="s">
        <v>100</v>
      </c>
      <c r="B253" s="8" t="s">
        <v>9</v>
      </c>
      <c r="C253" s="8" t="s">
        <v>145</v>
      </c>
      <c r="D253" s="52">
        <v>158.32520617300071</v>
      </c>
      <c r="E253" s="52">
        <v>0</v>
      </c>
      <c r="F253" s="52">
        <v>0</v>
      </c>
      <c r="G253" s="52">
        <v>158.32520617300071</v>
      </c>
      <c r="H253" s="52">
        <v>0</v>
      </c>
      <c r="I253" s="52">
        <v>0</v>
      </c>
      <c r="J253" s="52">
        <v>0</v>
      </c>
      <c r="K253" s="52">
        <v>0</v>
      </c>
      <c r="L253" s="52">
        <v>0</v>
      </c>
      <c r="M253" s="52">
        <v>0</v>
      </c>
      <c r="N253" s="52">
        <v>0</v>
      </c>
      <c r="O253" s="52">
        <v>0</v>
      </c>
      <c r="P253" s="52">
        <v>73.477314686001279</v>
      </c>
      <c r="Q253" s="52">
        <v>0</v>
      </c>
      <c r="R253" s="52">
        <v>0</v>
      </c>
      <c r="S253" s="52">
        <v>73.477314686001279</v>
      </c>
      <c r="T253" s="52">
        <v>0</v>
      </c>
      <c r="U253" s="52">
        <v>0</v>
      </c>
      <c r="V253" s="52">
        <v>135.24624552000054</v>
      </c>
      <c r="W253" s="52">
        <v>0</v>
      </c>
      <c r="X253" s="52">
        <v>0</v>
      </c>
      <c r="Y253" s="52">
        <v>0</v>
      </c>
      <c r="Z253" s="52">
        <v>0</v>
      </c>
      <c r="AA253" s="52">
        <v>0</v>
      </c>
      <c r="AB253" s="52">
        <v>0</v>
      </c>
      <c r="AC253" s="52">
        <v>0</v>
      </c>
      <c r="AD253" s="52">
        <v>0</v>
      </c>
      <c r="AE253" s="52">
        <v>0</v>
      </c>
      <c r="AF253" s="52">
        <v>0</v>
      </c>
      <c r="AG253" s="52">
        <v>0</v>
      </c>
      <c r="AH253" s="52">
        <v>10.525716208000135</v>
      </c>
      <c r="AI253" s="52">
        <v>0</v>
      </c>
      <c r="AJ253" s="52">
        <v>0</v>
      </c>
      <c r="AK253" s="52">
        <v>10.525716208000135</v>
      </c>
      <c r="AL253" s="52">
        <v>0</v>
      </c>
      <c r="AM253" s="52">
        <v>0</v>
      </c>
      <c r="AN253" s="52">
        <v>85.307479844999975</v>
      </c>
      <c r="AO253" s="52">
        <v>0</v>
      </c>
      <c r="AP253" s="52">
        <v>0</v>
      </c>
      <c r="AQ253" s="52">
        <v>85.307479844999975</v>
      </c>
      <c r="AR253" s="52">
        <v>0</v>
      </c>
      <c r="AS253" s="52">
        <v>0</v>
      </c>
      <c r="AT253" s="52">
        <v>109.70601018100007</v>
      </c>
      <c r="AU253" s="52">
        <v>0</v>
      </c>
      <c r="AV253" s="52">
        <v>0</v>
      </c>
      <c r="AW253" s="52">
        <v>0</v>
      </c>
      <c r="AX253" s="52">
        <v>0</v>
      </c>
      <c r="AY253" s="52">
        <v>0</v>
      </c>
      <c r="AZ253" s="52">
        <v>192.01922037108122</v>
      </c>
      <c r="BA253" s="52">
        <v>0</v>
      </c>
      <c r="BB253" s="52">
        <v>0</v>
      </c>
      <c r="BC253" s="52">
        <v>192.01922037108122</v>
      </c>
      <c r="BD253" s="52">
        <v>0</v>
      </c>
      <c r="BE253" s="52">
        <v>0</v>
      </c>
      <c r="BF253" s="52">
        <v>149.33820042000033</v>
      </c>
      <c r="BG253" s="52">
        <v>0</v>
      </c>
      <c r="BH253" s="52">
        <v>0</v>
      </c>
      <c r="BI253" s="52">
        <v>149.33820042000033</v>
      </c>
      <c r="BJ253" s="52">
        <v>0</v>
      </c>
      <c r="BK253" s="52">
        <v>0</v>
      </c>
      <c r="BL253" s="52">
        <v>106.49036455500102</v>
      </c>
      <c r="BM253" s="52">
        <v>0</v>
      </c>
      <c r="BN253" s="52">
        <v>0</v>
      </c>
      <c r="BO253" s="52">
        <v>26.743967832000045</v>
      </c>
      <c r="BP253" s="52">
        <v>0</v>
      </c>
      <c r="BQ253" s="52">
        <v>0</v>
      </c>
      <c r="BR253" s="52">
        <v>200</v>
      </c>
      <c r="BS253" s="52">
        <v>0</v>
      </c>
      <c r="BT253" s="52">
        <v>0</v>
      </c>
      <c r="BU253" s="52">
        <v>119.82285780300106</v>
      </c>
      <c r="BV253" s="52">
        <v>0</v>
      </c>
      <c r="BW253" s="52">
        <v>0</v>
      </c>
    </row>
    <row r="254" spans="1:75" x14ac:dyDescent="0.3">
      <c r="A254" s="8" t="s">
        <v>100</v>
      </c>
      <c r="B254" s="8" t="s">
        <v>9</v>
      </c>
      <c r="C254" s="8" t="s">
        <v>146</v>
      </c>
      <c r="D254" s="52">
        <v>200</v>
      </c>
      <c r="E254" s="52">
        <v>200</v>
      </c>
      <c r="F254" s="52">
        <v>0</v>
      </c>
      <c r="G254" s="52">
        <v>200</v>
      </c>
      <c r="H254" s="52">
        <v>30.322731499</v>
      </c>
      <c r="I254" s="52">
        <v>0</v>
      </c>
      <c r="J254" s="52">
        <v>200</v>
      </c>
      <c r="K254" s="52">
        <v>102.78144576899994</v>
      </c>
      <c r="L254" s="52">
        <v>0</v>
      </c>
      <c r="M254" s="52">
        <v>200</v>
      </c>
      <c r="N254" s="52">
        <v>98.745583880000325</v>
      </c>
      <c r="O254" s="52">
        <v>0</v>
      </c>
      <c r="P254" s="52">
        <v>200</v>
      </c>
      <c r="Q254" s="52">
        <v>134.13634702500175</v>
      </c>
      <c r="R254" s="52">
        <v>0</v>
      </c>
      <c r="S254" s="52">
        <v>89.58168773399899</v>
      </c>
      <c r="T254" s="52">
        <v>0</v>
      </c>
      <c r="U254" s="52">
        <v>0</v>
      </c>
      <c r="V254" s="52">
        <v>200</v>
      </c>
      <c r="W254" s="52">
        <v>200</v>
      </c>
      <c r="X254" s="52">
        <v>0</v>
      </c>
      <c r="Y254" s="52">
        <v>200</v>
      </c>
      <c r="Z254" s="52">
        <v>0</v>
      </c>
      <c r="AA254" s="52">
        <v>0</v>
      </c>
      <c r="AB254" s="52">
        <v>200</v>
      </c>
      <c r="AC254" s="52">
        <v>0</v>
      </c>
      <c r="AD254" s="52">
        <v>0</v>
      </c>
      <c r="AE254" s="52">
        <v>200</v>
      </c>
      <c r="AF254" s="52">
        <v>0</v>
      </c>
      <c r="AG254" s="52">
        <v>0</v>
      </c>
      <c r="AH254" s="52">
        <v>200</v>
      </c>
      <c r="AI254" s="52">
        <v>153.56026132871503</v>
      </c>
      <c r="AJ254" s="52">
        <v>0</v>
      </c>
      <c r="AK254" s="52">
        <v>200</v>
      </c>
      <c r="AL254" s="52">
        <v>153.56026132871503</v>
      </c>
      <c r="AM254" s="52">
        <v>0</v>
      </c>
      <c r="AN254" s="52">
        <v>200</v>
      </c>
      <c r="AO254" s="52">
        <v>151.23415061515462</v>
      </c>
      <c r="AP254" s="52">
        <v>0</v>
      </c>
      <c r="AQ254" s="52">
        <v>200</v>
      </c>
      <c r="AR254" s="52">
        <v>151.23415061515462</v>
      </c>
      <c r="AS254" s="52">
        <v>0</v>
      </c>
      <c r="AT254" s="52">
        <v>200</v>
      </c>
      <c r="AU254" s="52">
        <v>200</v>
      </c>
      <c r="AV254" s="52">
        <v>0</v>
      </c>
      <c r="AW254" s="52">
        <v>132.66766357799975</v>
      </c>
      <c r="AX254" s="52">
        <v>0</v>
      </c>
      <c r="AY254" s="52">
        <v>0</v>
      </c>
      <c r="AZ254" s="52">
        <v>144.11166805813625</v>
      </c>
      <c r="BA254" s="52">
        <v>137.98658186200041</v>
      </c>
      <c r="BB254" s="52">
        <v>0</v>
      </c>
      <c r="BC254" s="52">
        <v>92.640908929137339</v>
      </c>
      <c r="BD254" s="52">
        <v>3.2333066940001265</v>
      </c>
      <c r="BE254" s="52">
        <v>0</v>
      </c>
      <c r="BF254" s="52">
        <v>111.27254446941956</v>
      </c>
      <c r="BG254" s="52">
        <v>177.23252397100075</v>
      </c>
      <c r="BH254" s="52">
        <v>0</v>
      </c>
      <c r="BI254" s="52">
        <v>0</v>
      </c>
      <c r="BJ254" s="52">
        <v>0</v>
      </c>
      <c r="BK254" s="52">
        <v>0</v>
      </c>
      <c r="BL254" s="52">
        <v>200</v>
      </c>
      <c r="BM254" s="52">
        <v>79.114297648000601</v>
      </c>
      <c r="BN254" s="52">
        <v>0</v>
      </c>
      <c r="BO254" s="52">
        <v>200</v>
      </c>
      <c r="BP254" s="52">
        <v>23.926155561000307</v>
      </c>
      <c r="BQ254" s="52">
        <v>0</v>
      </c>
      <c r="BR254" s="52">
        <v>200</v>
      </c>
      <c r="BS254" s="52">
        <v>200</v>
      </c>
      <c r="BT254" s="52">
        <v>0</v>
      </c>
      <c r="BU254" s="52">
        <v>200</v>
      </c>
      <c r="BV254" s="52">
        <v>0</v>
      </c>
      <c r="BW254" s="52">
        <v>0</v>
      </c>
    </row>
    <row r="255" spans="1:75" x14ac:dyDescent="0.3">
      <c r="A255" s="8" t="s">
        <v>100</v>
      </c>
      <c r="B255" s="8" t="s">
        <v>9</v>
      </c>
      <c r="C255" s="8" t="s">
        <v>28</v>
      </c>
      <c r="D255" s="52">
        <v>200</v>
      </c>
      <c r="E255" s="52">
        <v>200</v>
      </c>
      <c r="F255" s="52">
        <v>200</v>
      </c>
      <c r="G255" s="52">
        <v>200</v>
      </c>
      <c r="H255" s="52">
        <v>200</v>
      </c>
      <c r="I255" s="52">
        <v>200</v>
      </c>
      <c r="J255" s="52">
        <v>200</v>
      </c>
      <c r="K255" s="52">
        <v>200</v>
      </c>
      <c r="L255" s="52">
        <v>200</v>
      </c>
      <c r="M255" s="52">
        <v>200</v>
      </c>
      <c r="N255" s="52">
        <v>200</v>
      </c>
      <c r="O255" s="52">
        <v>200</v>
      </c>
      <c r="P255" s="52">
        <v>200</v>
      </c>
      <c r="Q255" s="52">
        <v>200</v>
      </c>
      <c r="R255" s="52">
        <v>200</v>
      </c>
      <c r="S255" s="52">
        <v>200</v>
      </c>
      <c r="T255" s="52">
        <v>200</v>
      </c>
      <c r="U255" s="52">
        <v>200</v>
      </c>
      <c r="V255" s="52">
        <v>200</v>
      </c>
      <c r="W255" s="52">
        <v>200</v>
      </c>
      <c r="X255" s="52">
        <v>200</v>
      </c>
      <c r="Y255" s="52">
        <v>200</v>
      </c>
      <c r="Z255" s="52">
        <v>200</v>
      </c>
      <c r="AA255" s="52">
        <v>200</v>
      </c>
      <c r="AB255" s="52">
        <v>200</v>
      </c>
      <c r="AC255" s="52">
        <v>200</v>
      </c>
      <c r="AD255" s="52">
        <v>200</v>
      </c>
      <c r="AE255" s="52">
        <v>200</v>
      </c>
      <c r="AF255" s="52">
        <v>200</v>
      </c>
      <c r="AG255" s="52">
        <v>200</v>
      </c>
      <c r="AH255" s="52">
        <v>200</v>
      </c>
      <c r="AI255" s="52">
        <v>200</v>
      </c>
      <c r="AJ255" s="52">
        <v>200</v>
      </c>
      <c r="AK255" s="52">
        <v>200</v>
      </c>
      <c r="AL255" s="52">
        <v>200</v>
      </c>
      <c r="AM255" s="52">
        <v>200</v>
      </c>
      <c r="AN255" s="52">
        <v>200</v>
      </c>
      <c r="AO255" s="52">
        <v>200</v>
      </c>
      <c r="AP255" s="52">
        <v>200</v>
      </c>
      <c r="AQ255" s="52">
        <v>200</v>
      </c>
      <c r="AR255" s="52">
        <v>200</v>
      </c>
      <c r="AS255" s="52">
        <v>200</v>
      </c>
      <c r="AT255" s="52">
        <v>200</v>
      </c>
      <c r="AU255" s="52">
        <v>200</v>
      </c>
      <c r="AV255" s="52">
        <v>200</v>
      </c>
      <c r="AW255" s="52">
        <v>200</v>
      </c>
      <c r="AX255" s="52">
        <v>200</v>
      </c>
      <c r="AY255" s="52">
        <v>200</v>
      </c>
      <c r="AZ255" s="52">
        <v>200</v>
      </c>
      <c r="BA255" s="52">
        <v>200</v>
      </c>
      <c r="BB255" s="52">
        <v>200</v>
      </c>
      <c r="BC255" s="52">
        <v>200</v>
      </c>
      <c r="BD255" s="52">
        <v>200</v>
      </c>
      <c r="BE255" s="52">
        <v>200</v>
      </c>
      <c r="BF255" s="52">
        <v>200</v>
      </c>
      <c r="BG255" s="52">
        <v>200</v>
      </c>
      <c r="BH255" s="52">
        <v>200</v>
      </c>
      <c r="BI255" s="52">
        <v>200</v>
      </c>
      <c r="BJ255" s="52">
        <v>200</v>
      </c>
      <c r="BK255" s="52">
        <v>200</v>
      </c>
      <c r="BL255" s="52">
        <v>200</v>
      </c>
      <c r="BM255" s="52">
        <v>200</v>
      </c>
      <c r="BN255" s="52">
        <v>200</v>
      </c>
      <c r="BO255" s="52">
        <v>200</v>
      </c>
      <c r="BP255" s="52">
        <v>200</v>
      </c>
      <c r="BQ255" s="52">
        <v>200</v>
      </c>
      <c r="BR255" s="52">
        <v>200</v>
      </c>
      <c r="BS255" s="52">
        <v>200</v>
      </c>
      <c r="BT255" s="52">
        <v>200</v>
      </c>
      <c r="BU255" s="52">
        <v>200</v>
      </c>
      <c r="BV255" s="52">
        <v>200</v>
      </c>
      <c r="BW255" s="52">
        <v>200</v>
      </c>
    </row>
    <row r="256" spans="1:75" x14ac:dyDescent="0.3">
      <c r="A256" s="8" t="s">
        <v>100</v>
      </c>
      <c r="B256" s="8" t="s">
        <v>10</v>
      </c>
      <c r="C256" s="8" t="s">
        <v>60</v>
      </c>
      <c r="D256" s="52">
        <v>771.6</v>
      </c>
      <c r="E256" s="52">
        <v>771.6</v>
      </c>
      <c r="F256" s="52">
        <v>771.6</v>
      </c>
      <c r="G256" s="52">
        <v>771.6</v>
      </c>
      <c r="H256" s="52">
        <v>771.6</v>
      </c>
      <c r="I256" s="52">
        <v>771.6</v>
      </c>
      <c r="J256" s="52">
        <v>771.6</v>
      </c>
      <c r="K256" s="52">
        <v>771.6</v>
      </c>
      <c r="L256" s="52">
        <v>771.6</v>
      </c>
      <c r="M256" s="52">
        <v>771.6</v>
      </c>
      <c r="N256" s="52">
        <v>771.6</v>
      </c>
      <c r="O256" s="52">
        <v>771.6</v>
      </c>
      <c r="P256" s="52">
        <v>771.6</v>
      </c>
      <c r="Q256" s="52">
        <v>771.6</v>
      </c>
      <c r="R256" s="52">
        <v>771.6</v>
      </c>
      <c r="S256" s="52">
        <v>771.6</v>
      </c>
      <c r="T256" s="52">
        <v>771.6</v>
      </c>
      <c r="U256" s="52">
        <v>771.6</v>
      </c>
      <c r="V256" s="52">
        <v>771.6</v>
      </c>
      <c r="W256" s="52">
        <v>771.6</v>
      </c>
      <c r="X256" s="52">
        <v>771.6</v>
      </c>
      <c r="Y256" s="52">
        <v>771.6</v>
      </c>
      <c r="Z256" s="52">
        <v>771.6</v>
      </c>
      <c r="AA256" s="52">
        <v>771.6</v>
      </c>
      <c r="AB256" s="52">
        <v>771.6</v>
      </c>
      <c r="AC256" s="52">
        <v>771.6</v>
      </c>
      <c r="AD256" s="52">
        <v>771.6</v>
      </c>
      <c r="AE256" s="52">
        <v>771.6</v>
      </c>
      <c r="AF256" s="52">
        <v>771.6</v>
      </c>
      <c r="AG256" s="52">
        <v>771.6</v>
      </c>
      <c r="AH256" s="52">
        <v>771.6</v>
      </c>
      <c r="AI256" s="52">
        <v>771.6</v>
      </c>
      <c r="AJ256" s="52">
        <v>771.6</v>
      </c>
      <c r="AK256" s="52">
        <v>771.6</v>
      </c>
      <c r="AL256" s="52">
        <v>771.6</v>
      </c>
      <c r="AM256" s="52">
        <v>771.6</v>
      </c>
      <c r="AN256" s="52">
        <v>771.6</v>
      </c>
      <c r="AO256" s="52">
        <v>771.6</v>
      </c>
      <c r="AP256" s="52">
        <v>771.6</v>
      </c>
      <c r="AQ256" s="52">
        <v>771.6</v>
      </c>
      <c r="AR256" s="52">
        <v>771.6</v>
      </c>
      <c r="AS256" s="52">
        <v>771.6</v>
      </c>
      <c r="AT256" s="52">
        <v>771.6</v>
      </c>
      <c r="AU256" s="52">
        <v>771.6</v>
      </c>
      <c r="AV256" s="52">
        <v>771.6</v>
      </c>
      <c r="AW256" s="52">
        <v>771.6</v>
      </c>
      <c r="AX256" s="52">
        <v>771.6</v>
      </c>
      <c r="AY256" s="52">
        <v>771.6</v>
      </c>
      <c r="AZ256" s="52">
        <v>771.6</v>
      </c>
      <c r="BA256" s="52">
        <v>771.6</v>
      </c>
      <c r="BB256" s="52">
        <v>771.6</v>
      </c>
      <c r="BC256" s="52">
        <v>771.6</v>
      </c>
      <c r="BD256" s="52">
        <v>771.6</v>
      </c>
      <c r="BE256" s="52">
        <v>771.6</v>
      </c>
      <c r="BF256" s="52">
        <v>771.6</v>
      </c>
      <c r="BG256" s="52">
        <v>771.6</v>
      </c>
      <c r="BH256" s="52">
        <v>771.6</v>
      </c>
      <c r="BI256" s="52">
        <v>771.6</v>
      </c>
      <c r="BJ256" s="52">
        <v>771.6</v>
      </c>
      <c r="BK256" s="52">
        <v>771.6</v>
      </c>
      <c r="BL256" s="52">
        <v>771.6</v>
      </c>
      <c r="BM256" s="52">
        <v>771.6</v>
      </c>
      <c r="BN256" s="52">
        <v>771.6</v>
      </c>
      <c r="BO256" s="52">
        <v>771.6</v>
      </c>
      <c r="BP256" s="52">
        <v>771.6</v>
      </c>
      <c r="BQ256" s="52">
        <v>771.6</v>
      </c>
      <c r="BR256" s="52">
        <v>771.6</v>
      </c>
      <c r="BS256" s="52">
        <v>771.6</v>
      </c>
      <c r="BT256" s="52">
        <v>771.6</v>
      </c>
      <c r="BU256" s="52">
        <v>771.6</v>
      </c>
      <c r="BV256" s="52">
        <v>771.6</v>
      </c>
      <c r="BW256" s="52">
        <v>771.6</v>
      </c>
    </row>
    <row r="257" spans="1:75" x14ac:dyDescent="0.3">
      <c r="A257" s="8" t="s">
        <v>100</v>
      </c>
      <c r="B257" s="8" t="s">
        <v>10</v>
      </c>
      <c r="C257" s="8" t="s">
        <v>150</v>
      </c>
      <c r="D257" s="52">
        <v>235.19999999999996</v>
      </c>
      <c r="E257" s="52">
        <v>235.19999999999996</v>
      </c>
      <c r="F257" s="52">
        <v>235.19999999999996</v>
      </c>
      <c r="G257" s="52">
        <v>0</v>
      </c>
      <c r="H257" s="52">
        <v>0</v>
      </c>
      <c r="I257" s="52">
        <v>0</v>
      </c>
      <c r="J257" s="52">
        <v>235.19999999999996</v>
      </c>
      <c r="K257" s="52">
        <v>235.19999999999996</v>
      </c>
      <c r="L257" s="52">
        <v>235.19999999999996</v>
      </c>
      <c r="M257" s="52">
        <v>235.19999999999996</v>
      </c>
      <c r="N257" s="52">
        <v>235.19999999999996</v>
      </c>
      <c r="O257" s="52">
        <v>235.19999999999996</v>
      </c>
      <c r="P257" s="52">
        <v>235.19999999999996</v>
      </c>
      <c r="Q257" s="52">
        <v>235.19999999999996</v>
      </c>
      <c r="R257" s="52">
        <v>235.19999999999996</v>
      </c>
      <c r="S257" s="52">
        <v>235.19999999999996</v>
      </c>
      <c r="T257" s="52">
        <v>235.19999999999996</v>
      </c>
      <c r="U257" s="52">
        <v>235.19999999999996</v>
      </c>
      <c r="V257" s="52">
        <v>235.19999999999996</v>
      </c>
      <c r="W257" s="52">
        <v>235.19999999999996</v>
      </c>
      <c r="X257" s="52">
        <v>235.19999999999996</v>
      </c>
      <c r="Y257" s="52">
        <v>0</v>
      </c>
      <c r="Z257" s="52">
        <v>0</v>
      </c>
      <c r="AA257" s="52">
        <v>0</v>
      </c>
      <c r="AB257" s="52">
        <v>235.19999999999996</v>
      </c>
      <c r="AC257" s="52">
        <v>235.19999999999996</v>
      </c>
      <c r="AD257" s="52">
        <v>235.19999999999996</v>
      </c>
      <c r="AE257" s="52">
        <v>235.19999999999996</v>
      </c>
      <c r="AF257" s="52">
        <v>235.19999999999996</v>
      </c>
      <c r="AG257" s="52">
        <v>235.19999999999996</v>
      </c>
      <c r="AH257" s="52">
        <v>235.19999999999996</v>
      </c>
      <c r="AI257" s="52">
        <v>235.19999999999996</v>
      </c>
      <c r="AJ257" s="52">
        <v>235.19999999999996</v>
      </c>
      <c r="AK257" s="52">
        <v>0</v>
      </c>
      <c r="AL257" s="52">
        <v>0</v>
      </c>
      <c r="AM257" s="52">
        <v>0</v>
      </c>
      <c r="AN257" s="52">
        <v>235.19999999999996</v>
      </c>
      <c r="AO257" s="52">
        <v>235.19999999999996</v>
      </c>
      <c r="AP257" s="52">
        <v>235.19999999999996</v>
      </c>
      <c r="AQ257" s="52">
        <v>235.1999999999999</v>
      </c>
      <c r="AR257" s="52">
        <v>235.1999999999999</v>
      </c>
      <c r="AS257" s="52">
        <v>235.1999999999999</v>
      </c>
      <c r="AT257" s="52">
        <v>235.19999999999996</v>
      </c>
      <c r="AU257" s="52">
        <v>235.19999999999996</v>
      </c>
      <c r="AV257" s="52">
        <v>235.19999999999996</v>
      </c>
      <c r="AW257" s="52">
        <v>0</v>
      </c>
      <c r="AX257" s="52">
        <v>0</v>
      </c>
      <c r="AY257" s="52">
        <v>0</v>
      </c>
      <c r="AZ257" s="52">
        <v>235.19999999999996</v>
      </c>
      <c r="BA257" s="52">
        <v>235.19999999999996</v>
      </c>
      <c r="BB257" s="52">
        <v>235.19999999999996</v>
      </c>
      <c r="BC257" s="52">
        <v>0</v>
      </c>
      <c r="BD257" s="52">
        <v>0</v>
      </c>
      <c r="BE257" s="52">
        <v>0</v>
      </c>
      <c r="BF257" s="52">
        <v>235.19999999999996</v>
      </c>
      <c r="BG257" s="52">
        <v>235.19999999999996</v>
      </c>
      <c r="BH257" s="52">
        <v>235.19999999999996</v>
      </c>
      <c r="BI257" s="52">
        <v>235.19999999999996</v>
      </c>
      <c r="BJ257" s="52">
        <v>235.19999999999996</v>
      </c>
      <c r="BK257" s="52">
        <v>235.19999999999996</v>
      </c>
      <c r="BL257" s="52">
        <v>235.19999999999996</v>
      </c>
      <c r="BM257" s="52">
        <v>235.19999999999996</v>
      </c>
      <c r="BN257" s="52">
        <v>235.19999999999996</v>
      </c>
      <c r="BO257" s="52">
        <v>235.19999999999996</v>
      </c>
      <c r="BP257" s="52">
        <v>235.19999999999996</v>
      </c>
      <c r="BQ257" s="52">
        <v>235.19999999999996</v>
      </c>
      <c r="BR257" s="52">
        <v>548.04213973800017</v>
      </c>
      <c r="BS257" s="52">
        <v>235.19999999999996</v>
      </c>
      <c r="BT257" s="52">
        <v>235.19999999999996</v>
      </c>
      <c r="BU257" s="52">
        <v>416.72285780300081</v>
      </c>
      <c r="BV257" s="52">
        <v>235.19999999999996</v>
      </c>
      <c r="BW257" s="52">
        <v>235.19999999999996</v>
      </c>
    </row>
    <row r="258" spans="1:75" x14ac:dyDescent="0.3">
      <c r="A258" s="8" t="s">
        <v>100</v>
      </c>
      <c r="B258" s="8" t="s">
        <v>10</v>
      </c>
      <c r="C258" s="8" t="s">
        <v>61</v>
      </c>
      <c r="D258" s="52">
        <v>0</v>
      </c>
      <c r="E258" s="52">
        <v>0</v>
      </c>
      <c r="F258" s="52">
        <v>0</v>
      </c>
      <c r="G258" s="52">
        <v>0</v>
      </c>
      <c r="H258" s="52">
        <v>0</v>
      </c>
      <c r="I258" s="52">
        <v>0</v>
      </c>
      <c r="J258" s="52">
        <v>0</v>
      </c>
      <c r="K258" s="52">
        <v>0</v>
      </c>
      <c r="L258" s="52">
        <v>0</v>
      </c>
      <c r="M258" s="52">
        <v>0</v>
      </c>
      <c r="N258" s="52">
        <v>0</v>
      </c>
      <c r="O258" s="52">
        <v>0</v>
      </c>
      <c r="P258" s="52">
        <v>0</v>
      </c>
      <c r="Q258" s="52">
        <v>0</v>
      </c>
      <c r="R258" s="52">
        <v>0</v>
      </c>
      <c r="S258" s="52">
        <v>0</v>
      </c>
      <c r="T258" s="52">
        <v>0</v>
      </c>
      <c r="U258" s="52">
        <v>0</v>
      </c>
      <c r="V258" s="52">
        <v>0</v>
      </c>
      <c r="W258" s="52">
        <v>0</v>
      </c>
      <c r="X258" s="52">
        <v>0</v>
      </c>
      <c r="Y258" s="52">
        <v>0</v>
      </c>
      <c r="Z258" s="52">
        <v>0</v>
      </c>
      <c r="AA258" s="52">
        <v>0</v>
      </c>
      <c r="AB258" s="52">
        <v>0</v>
      </c>
      <c r="AC258" s="52">
        <v>0</v>
      </c>
      <c r="AD258" s="52">
        <v>0</v>
      </c>
      <c r="AE258" s="52">
        <v>0</v>
      </c>
      <c r="AF258" s="52">
        <v>0</v>
      </c>
      <c r="AG258" s="52">
        <v>0</v>
      </c>
      <c r="AH258" s="52">
        <v>81.239999999999995</v>
      </c>
      <c r="AI258" s="52">
        <v>81.239999999999995</v>
      </c>
      <c r="AJ258" s="52">
        <v>81.239999999999995</v>
      </c>
      <c r="AK258" s="52">
        <v>81.239999999999995</v>
      </c>
      <c r="AL258" s="52">
        <v>81.239999999999995</v>
      </c>
      <c r="AM258" s="52">
        <v>81.239999999999995</v>
      </c>
      <c r="AN258" s="52">
        <v>0</v>
      </c>
      <c r="AO258" s="52">
        <v>0</v>
      </c>
      <c r="AP258" s="52">
        <v>0</v>
      </c>
      <c r="AQ258" s="52">
        <v>0</v>
      </c>
      <c r="AR258" s="52">
        <v>0</v>
      </c>
      <c r="AS258" s="52">
        <v>0</v>
      </c>
      <c r="AT258" s="52">
        <v>0</v>
      </c>
      <c r="AU258" s="52">
        <v>0</v>
      </c>
      <c r="AV258" s="52">
        <v>0</v>
      </c>
      <c r="AW258" s="52">
        <v>0</v>
      </c>
      <c r="AX258" s="52">
        <v>0</v>
      </c>
      <c r="AY258" s="52">
        <v>0</v>
      </c>
      <c r="AZ258" s="52">
        <v>0</v>
      </c>
      <c r="BA258" s="52">
        <v>0</v>
      </c>
      <c r="BB258" s="52">
        <v>0</v>
      </c>
      <c r="BC258" s="52">
        <v>0</v>
      </c>
      <c r="BD258" s="52">
        <v>0</v>
      </c>
      <c r="BE258" s="52">
        <v>0</v>
      </c>
      <c r="BF258" s="52">
        <v>0</v>
      </c>
      <c r="BG258" s="52">
        <v>0</v>
      </c>
      <c r="BH258" s="52">
        <v>0</v>
      </c>
      <c r="BI258" s="52">
        <v>0</v>
      </c>
      <c r="BJ258" s="52">
        <v>0</v>
      </c>
      <c r="BK258" s="52">
        <v>0</v>
      </c>
      <c r="BL258" s="52">
        <v>109.59036455500085</v>
      </c>
      <c r="BM258" s="52">
        <v>81.239999999999995</v>
      </c>
      <c r="BN258" s="52">
        <v>81.239999999999995</v>
      </c>
      <c r="BO258" s="52">
        <v>0</v>
      </c>
      <c r="BP258" s="52">
        <v>0</v>
      </c>
      <c r="BQ258" s="52">
        <v>0</v>
      </c>
      <c r="BR258" s="52">
        <v>203.1</v>
      </c>
      <c r="BS258" s="52">
        <v>81.239999999999981</v>
      </c>
      <c r="BT258" s="52">
        <v>81.239999999999981</v>
      </c>
      <c r="BU258" s="52">
        <v>203.1</v>
      </c>
      <c r="BV258" s="52">
        <v>81.239999999999995</v>
      </c>
      <c r="BW258" s="52">
        <v>81.239999999999995</v>
      </c>
    </row>
    <row r="259" spans="1:75" x14ac:dyDescent="0.3">
      <c r="A259" s="8" t="s">
        <v>100</v>
      </c>
      <c r="B259" s="8" t="s">
        <v>10</v>
      </c>
      <c r="C259" s="8" t="s">
        <v>152</v>
      </c>
      <c r="D259" s="52">
        <v>0</v>
      </c>
      <c r="E259" s="52">
        <v>0</v>
      </c>
      <c r="F259" s="52">
        <v>0</v>
      </c>
      <c r="G259" s="52">
        <v>0</v>
      </c>
      <c r="H259" s="52">
        <v>0</v>
      </c>
      <c r="I259" s="52">
        <v>0</v>
      </c>
      <c r="J259" s="52">
        <v>60.159999999999989</v>
      </c>
      <c r="K259" s="52">
        <v>60.159999999999989</v>
      </c>
      <c r="L259" s="52">
        <v>60.159999999999989</v>
      </c>
      <c r="M259" s="52">
        <v>0</v>
      </c>
      <c r="N259" s="52">
        <v>0</v>
      </c>
      <c r="O259" s="52">
        <v>0</v>
      </c>
      <c r="P259" s="52">
        <v>0</v>
      </c>
      <c r="Q259" s="52">
        <v>0</v>
      </c>
      <c r="R259" s="52">
        <v>0</v>
      </c>
      <c r="S259" s="52">
        <v>0</v>
      </c>
      <c r="T259" s="52">
        <v>0</v>
      </c>
      <c r="U259" s="52">
        <v>0</v>
      </c>
      <c r="V259" s="52">
        <v>85.646245520000434</v>
      </c>
      <c r="W259" s="52">
        <v>60.159999999999989</v>
      </c>
      <c r="X259" s="52">
        <v>60.159999999999989</v>
      </c>
      <c r="Y259" s="52">
        <v>60.159999999999933</v>
      </c>
      <c r="Z259" s="52">
        <v>60.159999999999933</v>
      </c>
      <c r="AA259" s="52">
        <v>60.159999999999989</v>
      </c>
      <c r="AB259" s="52">
        <v>79.714802663000015</v>
      </c>
      <c r="AC259" s="52">
        <v>60.159999999999592</v>
      </c>
      <c r="AD259" s="52">
        <v>60.159999999999592</v>
      </c>
      <c r="AE259" s="52">
        <v>0</v>
      </c>
      <c r="AF259" s="52">
        <v>0</v>
      </c>
      <c r="AG259" s="52">
        <v>0</v>
      </c>
      <c r="AH259" s="52">
        <v>0</v>
      </c>
      <c r="AI259" s="52">
        <v>0</v>
      </c>
      <c r="AJ259" s="52">
        <v>0</v>
      </c>
      <c r="AK259" s="52">
        <v>0</v>
      </c>
      <c r="AL259" s="52">
        <v>0</v>
      </c>
      <c r="AM259" s="52">
        <v>0</v>
      </c>
      <c r="AN259" s="52">
        <v>60.159999999999989</v>
      </c>
      <c r="AO259" s="52">
        <v>60.159999999999989</v>
      </c>
      <c r="AP259" s="52">
        <v>60.159999999999989</v>
      </c>
      <c r="AQ259" s="52">
        <v>0</v>
      </c>
      <c r="AR259" s="52">
        <v>0</v>
      </c>
      <c r="AS259" s="52">
        <v>0</v>
      </c>
      <c r="AT259" s="52">
        <v>112.80601018099968</v>
      </c>
      <c r="AU259" s="52">
        <v>60.159999999999989</v>
      </c>
      <c r="AV259" s="52">
        <v>60.159999999999989</v>
      </c>
      <c r="AW259" s="52">
        <v>60.159999999999989</v>
      </c>
      <c r="AX259" s="52">
        <v>60.159999999999989</v>
      </c>
      <c r="AY259" s="52">
        <v>60.159999999999989</v>
      </c>
      <c r="AZ259" s="52">
        <v>0</v>
      </c>
      <c r="BA259" s="52">
        <v>0</v>
      </c>
      <c r="BB259" s="52">
        <v>0</v>
      </c>
      <c r="BC259" s="52">
        <v>0</v>
      </c>
      <c r="BD259" s="52">
        <v>0</v>
      </c>
      <c r="BE259" s="52">
        <v>0</v>
      </c>
      <c r="BF259" s="52">
        <v>0</v>
      </c>
      <c r="BG259" s="52">
        <v>0</v>
      </c>
      <c r="BH259" s="52">
        <v>0</v>
      </c>
      <c r="BI259" s="52">
        <v>0</v>
      </c>
      <c r="BJ259" s="52">
        <v>0</v>
      </c>
      <c r="BK259" s="52">
        <v>0</v>
      </c>
      <c r="BL259" s="52">
        <v>0</v>
      </c>
      <c r="BM259" s="52">
        <v>0</v>
      </c>
      <c r="BN259" s="52">
        <v>0</v>
      </c>
      <c r="BO259" s="52">
        <v>0</v>
      </c>
      <c r="BP259" s="52">
        <v>0</v>
      </c>
      <c r="BQ259" s="52">
        <v>0</v>
      </c>
      <c r="BR259" s="52">
        <v>0</v>
      </c>
      <c r="BS259" s="52">
        <v>0</v>
      </c>
      <c r="BT259" s="52">
        <v>0</v>
      </c>
      <c r="BU259" s="52">
        <v>0</v>
      </c>
      <c r="BV259" s="52">
        <v>0</v>
      </c>
      <c r="BW259" s="52">
        <v>0</v>
      </c>
    </row>
    <row r="260" spans="1:75" x14ac:dyDescent="0.3">
      <c r="A260" s="8" t="s">
        <v>100</v>
      </c>
      <c r="B260" s="8" t="s">
        <v>10</v>
      </c>
      <c r="C260" s="8" t="s">
        <v>151</v>
      </c>
      <c r="D260" s="52">
        <v>77.760000000000005</v>
      </c>
      <c r="E260" s="52">
        <v>90.31116113299997</v>
      </c>
      <c r="F260" s="52">
        <v>77.760000000000005</v>
      </c>
      <c r="G260" s="52">
        <v>0</v>
      </c>
      <c r="H260" s="52">
        <v>0</v>
      </c>
      <c r="I260" s="52">
        <v>0</v>
      </c>
      <c r="J260" s="52">
        <v>194.4</v>
      </c>
      <c r="K260" s="52">
        <v>187.42144576900043</v>
      </c>
      <c r="L260" s="52">
        <v>77.760000000000005</v>
      </c>
      <c r="M260" s="52">
        <v>138.21024487699941</v>
      </c>
      <c r="N260" s="52">
        <v>93.145583880000444</v>
      </c>
      <c r="O260" s="52">
        <v>77.760000000000005</v>
      </c>
      <c r="P260" s="52">
        <v>110.4183122659998</v>
      </c>
      <c r="Q260" s="52">
        <v>128.53634702500059</v>
      </c>
      <c r="R260" s="52">
        <v>77.760000000000005</v>
      </c>
      <c r="S260" s="52">
        <v>0</v>
      </c>
      <c r="T260" s="52">
        <v>0</v>
      </c>
      <c r="U260" s="52">
        <v>0</v>
      </c>
      <c r="V260" s="52">
        <v>194.4</v>
      </c>
      <c r="W260" s="52">
        <v>194.4</v>
      </c>
      <c r="X260" s="52">
        <v>77.760000000000005</v>
      </c>
      <c r="Y260" s="52">
        <v>124.27414001900061</v>
      </c>
      <c r="Z260" s="52">
        <v>77.760000000000005</v>
      </c>
      <c r="AA260" s="52">
        <v>77.760000000000005</v>
      </c>
      <c r="AB260" s="52">
        <v>194.4</v>
      </c>
      <c r="AC260" s="52">
        <v>194.4</v>
      </c>
      <c r="AD260" s="52">
        <v>77.760000000000005</v>
      </c>
      <c r="AE260" s="52">
        <v>194.4</v>
      </c>
      <c r="AF260" s="52">
        <v>156.09189968000047</v>
      </c>
      <c r="AG260" s="52">
        <v>77.759999999999948</v>
      </c>
      <c r="AH260" s="52">
        <v>194.4</v>
      </c>
      <c r="AI260" s="52">
        <v>122.62965715525766</v>
      </c>
      <c r="AJ260" s="52">
        <v>77.760000000000005</v>
      </c>
      <c r="AK260" s="52">
        <v>94.827463178000286</v>
      </c>
      <c r="AL260" s="52">
        <v>122.62965715525766</v>
      </c>
      <c r="AM260" s="52">
        <v>77.760000000000005</v>
      </c>
      <c r="AN260" s="52">
        <v>194.4</v>
      </c>
      <c r="AO260" s="52">
        <v>190.94797441800043</v>
      </c>
      <c r="AP260" s="52">
        <v>77.760000000000005</v>
      </c>
      <c r="AQ260" s="52">
        <v>0</v>
      </c>
      <c r="AR260" s="52">
        <v>0</v>
      </c>
      <c r="AS260" s="52">
        <v>0</v>
      </c>
      <c r="AT260" s="52">
        <v>194.4</v>
      </c>
      <c r="AU260" s="52">
        <v>194.4</v>
      </c>
      <c r="AV260" s="52">
        <v>77.760000000000005</v>
      </c>
      <c r="AW260" s="52">
        <v>77.760000000000005</v>
      </c>
      <c r="AX260" s="52">
        <v>105.20159501067816</v>
      </c>
      <c r="AY260" s="52">
        <v>77.760000000000005</v>
      </c>
      <c r="AZ260" s="52">
        <v>194.4</v>
      </c>
      <c r="BA260" s="52">
        <v>132.3865818620001</v>
      </c>
      <c r="BB260" s="52">
        <v>77.760000000000005</v>
      </c>
      <c r="BC260" s="52">
        <v>146.12924087100097</v>
      </c>
      <c r="BD260" s="52">
        <v>77.760000000000005</v>
      </c>
      <c r="BE260" s="52">
        <v>77.760000000000005</v>
      </c>
      <c r="BF260" s="52">
        <v>0</v>
      </c>
      <c r="BG260" s="52">
        <v>0</v>
      </c>
      <c r="BH260" s="52">
        <v>0</v>
      </c>
      <c r="BI260" s="52">
        <v>0</v>
      </c>
      <c r="BJ260" s="52">
        <v>0</v>
      </c>
      <c r="BK260" s="52">
        <v>0</v>
      </c>
      <c r="BL260" s="52">
        <v>194.4</v>
      </c>
      <c r="BM260" s="52">
        <v>77.760000000000005</v>
      </c>
      <c r="BN260" s="52">
        <v>77.760000000000005</v>
      </c>
      <c r="BO260" s="52">
        <v>77.760000000000005</v>
      </c>
      <c r="BP260" s="52">
        <v>77.760000000000005</v>
      </c>
      <c r="BQ260" s="52">
        <v>77.760000000000005</v>
      </c>
      <c r="BR260" s="52">
        <v>194.4</v>
      </c>
      <c r="BS260" s="52">
        <v>162.39124125300052</v>
      </c>
      <c r="BT260" s="52">
        <v>77.760000000000005</v>
      </c>
      <c r="BU260" s="52">
        <v>0</v>
      </c>
      <c r="BV260" s="52">
        <v>0</v>
      </c>
      <c r="BW260" s="52">
        <v>0</v>
      </c>
    </row>
    <row r="261" spans="1:75" x14ac:dyDescent="0.3">
      <c r="A261" s="8" t="s">
        <v>100</v>
      </c>
      <c r="B261" s="8" t="s">
        <v>10</v>
      </c>
      <c r="C261" s="8" t="s">
        <v>62</v>
      </c>
      <c r="D261" s="52">
        <v>500</v>
      </c>
      <c r="E261" s="52">
        <v>500</v>
      </c>
      <c r="F261" s="52">
        <v>500</v>
      </c>
      <c r="G261" s="52">
        <v>500</v>
      </c>
      <c r="H261" s="52">
        <v>500</v>
      </c>
      <c r="I261" s="52">
        <v>500</v>
      </c>
      <c r="J261" s="52">
        <v>500</v>
      </c>
      <c r="K261" s="52">
        <v>500</v>
      </c>
      <c r="L261" s="52">
        <v>500</v>
      </c>
      <c r="M261" s="52">
        <v>500</v>
      </c>
      <c r="N261" s="52">
        <v>500</v>
      </c>
      <c r="O261" s="52">
        <v>500</v>
      </c>
      <c r="P261" s="52">
        <v>500</v>
      </c>
      <c r="Q261" s="52">
        <v>500</v>
      </c>
      <c r="R261" s="52">
        <v>500</v>
      </c>
      <c r="S261" s="52">
        <v>500</v>
      </c>
      <c r="T261" s="52">
        <v>500</v>
      </c>
      <c r="U261" s="52">
        <v>500</v>
      </c>
      <c r="V261" s="52">
        <v>500</v>
      </c>
      <c r="W261" s="52">
        <v>500</v>
      </c>
      <c r="X261" s="52">
        <v>500</v>
      </c>
      <c r="Y261" s="52">
        <v>500</v>
      </c>
      <c r="Z261" s="52">
        <v>500</v>
      </c>
      <c r="AA261" s="52">
        <v>500</v>
      </c>
      <c r="AB261" s="52">
        <v>500</v>
      </c>
      <c r="AC261" s="52">
        <v>500</v>
      </c>
      <c r="AD261" s="52">
        <v>500</v>
      </c>
      <c r="AE261" s="52">
        <v>500</v>
      </c>
      <c r="AF261" s="52">
        <v>500</v>
      </c>
      <c r="AG261" s="52">
        <v>500</v>
      </c>
      <c r="AH261" s="52">
        <v>500</v>
      </c>
      <c r="AI261" s="52">
        <v>500</v>
      </c>
      <c r="AJ261" s="52">
        <v>500</v>
      </c>
      <c r="AK261" s="52">
        <v>500</v>
      </c>
      <c r="AL261" s="52">
        <v>500</v>
      </c>
      <c r="AM261" s="52">
        <v>500</v>
      </c>
      <c r="AN261" s="52">
        <v>500</v>
      </c>
      <c r="AO261" s="52">
        <v>500</v>
      </c>
      <c r="AP261" s="52">
        <v>500</v>
      </c>
      <c r="AQ261" s="52">
        <v>500</v>
      </c>
      <c r="AR261" s="52">
        <v>500</v>
      </c>
      <c r="AS261" s="52">
        <v>500</v>
      </c>
      <c r="AT261" s="52">
        <v>500</v>
      </c>
      <c r="AU261" s="52">
        <v>500</v>
      </c>
      <c r="AV261" s="52">
        <v>500</v>
      </c>
      <c r="AW261" s="52">
        <v>500</v>
      </c>
      <c r="AX261" s="52">
        <v>500</v>
      </c>
      <c r="AY261" s="52">
        <v>500</v>
      </c>
      <c r="AZ261" s="52">
        <v>500</v>
      </c>
      <c r="BA261" s="52">
        <v>500</v>
      </c>
      <c r="BB261" s="52">
        <v>500</v>
      </c>
      <c r="BC261" s="52">
        <v>500</v>
      </c>
      <c r="BD261" s="52">
        <v>500</v>
      </c>
      <c r="BE261" s="52">
        <v>500</v>
      </c>
      <c r="BF261" s="52">
        <v>500</v>
      </c>
      <c r="BG261" s="52">
        <v>500</v>
      </c>
      <c r="BH261" s="52">
        <v>500</v>
      </c>
      <c r="BI261" s="52">
        <v>500</v>
      </c>
      <c r="BJ261" s="52">
        <v>500</v>
      </c>
      <c r="BK261" s="52">
        <v>500</v>
      </c>
      <c r="BL261" s="52">
        <v>500</v>
      </c>
      <c r="BM261" s="52">
        <v>500</v>
      </c>
      <c r="BN261" s="52">
        <v>500</v>
      </c>
      <c r="BO261" s="52">
        <v>500</v>
      </c>
      <c r="BP261" s="52">
        <v>500</v>
      </c>
      <c r="BQ261" s="52">
        <v>471.54919911334235</v>
      </c>
      <c r="BR261" s="52">
        <v>500</v>
      </c>
      <c r="BS261" s="52">
        <v>500</v>
      </c>
      <c r="BT261" s="52">
        <v>500</v>
      </c>
      <c r="BU261" s="52">
        <v>500</v>
      </c>
      <c r="BV261" s="52">
        <v>500</v>
      </c>
      <c r="BW261" s="52">
        <v>320.11408339300112</v>
      </c>
    </row>
    <row r="262" spans="1:75" x14ac:dyDescent="0.3">
      <c r="A262" s="8" t="s">
        <v>100</v>
      </c>
      <c r="B262" s="8" t="s">
        <v>10</v>
      </c>
      <c r="C262" s="8" t="s">
        <v>63</v>
      </c>
      <c r="D262" s="52">
        <v>500</v>
      </c>
      <c r="E262" s="52">
        <v>500</v>
      </c>
      <c r="F262" s="52">
        <v>260.65814379399995</v>
      </c>
      <c r="G262" s="52">
        <v>500</v>
      </c>
      <c r="H262" s="52">
        <v>500</v>
      </c>
      <c r="I262" s="52">
        <v>260.65814379399995</v>
      </c>
      <c r="J262" s="52">
        <v>500</v>
      </c>
      <c r="K262" s="52">
        <v>500</v>
      </c>
      <c r="L262" s="52">
        <v>100</v>
      </c>
      <c r="M262" s="52">
        <v>500</v>
      </c>
      <c r="N262" s="52">
        <v>500</v>
      </c>
      <c r="O262" s="52">
        <v>100</v>
      </c>
      <c r="P262" s="52">
        <v>500</v>
      </c>
      <c r="Q262" s="52">
        <v>500</v>
      </c>
      <c r="R262" s="52">
        <v>100</v>
      </c>
      <c r="S262" s="52">
        <v>500</v>
      </c>
      <c r="T262" s="52">
        <v>497.84942688853459</v>
      </c>
      <c r="U262" s="52">
        <v>100</v>
      </c>
      <c r="V262" s="52">
        <v>500</v>
      </c>
      <c r="W262" s="52">
        <v>500</v>
      </c>
      <c r="X262" s="52">
        <v>100</v>
      </c>
      <c r="Y262" s="52">
        <v>500</v>
      </c>
      <c r="Z262" s="52">
        <v>339.22173050500106</v>
      </c>
      <c r="AA262" s="52">
        <v>100</v>
      </c>
      <c r="AB262" s="52">
        <v>500</v>
      </c>
      <c r="AC262" s="52">
        <v>500</v>
      </c>
      <c r="AD262" s="52">
        <v>100</v>
      </c>
      <c r="AE262" s="52">
        <v>0</v>
      </c>
      <c r="AF262" s="52">
        <v>0</v>
      </c>
      <c r="AG262" s="52">
        <v>0</v>
      </c>
      <c r="AH262" s="52">
        <v>500</v>
      </c>
      <c r="AI262" s="52">
        <v>500</v>
      </c>
      <c r="AJ262" s="52">
        <v>203.65220220697861</v>
      </c>
      <c r="AK262" s="52">
        <v>500</v>
      </c>
      <c r="AL262" s="52">
        <v>500</v>
      </c>
      <c r="AM262" s="52">
        <v>203.65220220697861</v>
      </c>
      <c r="AN262" s="52">
        <v>500</v>
      </c>
      <c r="AO262" s="52">
        <v>500</v>
      </c>
      <c r="AP262" s="52">
        <v>394.81340769699995</v>
      </c>
      <c r="AQ262" s="52">
        <v>500</v>
      </c>
      <c r="AR262" s="52">
        <v>500</v>
      </c>
      <c r="AS262" s="52">
        <v>330.5420031930006</v>
      </c>
      <c r="AT262" s="52">
        <v>500</v>
      </c>
      <c r="AU262" s="52">
        <v>500</v>
      </c>
      <c r="AV262" s="52">
        <v>100</v>
      </c>
      <c r="AW262" s="52">
        <v>500</v>
      </c>
      <c r="AX262" s="52">
        <v>500</v>
      </c>
      <c r="AY262" s="52">
        <v>100</v>
      </c>
      <c r="AZ262" s="52">
        <v>500</v>
      </c>
      <c r="BA262" s="52">
        <v>500</v>
      </c>
      <c r="BB262" s="52">
        <v>342.15271586381789</v>
      </c>
      <c r="BC262" s="52">
        <v>500</v>
      </c>
      <c r="BD262" s="52">
        <v>500</v>
      </c>
      <c r="BE262" s="52">
        <v>342.15271586381789</v>
      </c>
      <c r="BF262" s="52">
        <v>500</v>
      </c>
      <c r="BG262" s="52">
        <v>500</v>
      </c>
      <c r="BH262" s="52">
        <v>128.30572725200071</v>
      </c>
      <c r="BI262" s="52">
        <v>500</v>
      </c>
      <c r="BJ262" s="52">
        <v>497.46201246092301</v>
      </c>
      <c r="BK262" s="52">
        <v>100</v>
      </c>
      <c r="BL262" s="52">
        <v>500</v>
      </c>
      <c r="BM262" s="52">
        <v>500</v>
      </c>
      <c r="BN262" s="52">
        <v>100</v>
      </c>
      <c r="BO262" s="52">
        <v>500</v>
      </c>
      <c r="BP262" s="52">
        <v>440.56615556100036</v>
      </c>
      <c r="BQ262" s="52">
        <v>100</v>
      </c>
      <c r="BR262" s="52">
        <v>500</v>
      </c>
      <c r="BS262" s="52">
        <v>500</v>
      </c>
      <c r="BT262" s="52">
        <v>152.45612373399999</v>
      </c>
      <c r="BU262" s="52">
        <v>500</v>
      </c>
      <c r="BV262" s="52">
        <v>491.49136523666954</v>
      </c>
      <c r="BW262" s="52">
        <v>100</v>
      </c>
    </row>
    <row r="263" spans="1:75" x14ac:dyDescent="0.3">
      <c r="A263" s="8" t="s">
        <v>100</v>
      </c>
      <c r="B263" s="8" t="s">
        <v>10</v>
      </c>
      <c r="C263" s="8" t="s">
        <v>64</v>
      </c>
      <c r="D263" s="52">
        <v>491.89452294699993</v>
      </c>
      <c r="E263" s="52">
        <v>500</v>
      </c>
      <c r="F263" s="52">
        <v>100</v>
      </c>
      <c r="G263" s="52">
        <v>0</v>
      </c>
      <c r="H263" s="52">
        <v>0</v>
      </c>
      <c r="I263" s="52">
        <v>0</v>
      </c>
      <c r="J263" s="52">
        <v>500</v>
      </c>
      <c r="K263" s="52">
        <v>500</v>
      </c>
      <c r="L263" s="52">
        <v>100</v>
      </c>
      <c r="M263" s="52">
        <v>0</v>
      </c>
      <c r="N263" s="52">
        <v>0</v>
      </c>
      <c r="O263" s="52">
        <v>0</v>
      </c>
      <c r="P263" s="52">
        <v>500</v>
      </c>
      <c r="Q263" s="52">
        <v>500</v>
      </c>
      <c r="R263" s="52">
        <v>100</v>
      </c>
      <c r="S263" s="52">
        <v>0</v>
      </c>
      <c r="T263" s="52">
        <v>0</v>
      </c>
      <c r="U263" s="52">
        <v>0</v>
      </c>
      <c r="V263" s="52">
        <v>0</v>
      </c>
      <c r="W263" s="52">
        <v>0</v>
      </c>
      <c r="X263" s="52">
        <v>0</v>
      </c>
      <c r="Y263" s="52">
        <v>0</v>
      </c>
      <c r="Z263" s="52">
        <v>0</v>
      </c>
      <c r="AA263" s="52">
        <v>0</v>
      </c>
      <c r="AB263" s="52">
        <v>0</v>
      </c>
      <c r="AC263" s="52">
        <v>0</v>
      </c>
      <c r="AD263" s="52">
        <v>0</v>
      </c>
      <c r="AE263" s="52">
        <v>0</v>
      </c>
      <c r="AF263" s="52">
        <v>0</v>
      </c>
      <c r="AG263" s="52">
        <v>0</v>
      </c>
      <c r="AH263" s="52">
        <v>500</v>
      </c>
      <c r="AI263" s="52">
        <v>500</v>
      </c>
      <c r="AJ263" s="52">
        <v>100</v>
      </c>
      <c r="AK263" s="52">
        <v>0</v>
      </c>
      <c r="AL263" s="52">
        <v>0</v>
      </c>
      <c r="AM263" s="52">
        <v>0</v>
      </c>
      <c r="AN263" s="52">
        <v>500</v>
      </c>
      <c r="AO263" s="52">
        <v>500</v>
      </c>
      <c r="AP263" s="52">
        <v>100</v>
      </c>
      <c r="AQ263" s="52">
        <v>0</v>
      </c>
      <c r="AR263" s="52">
        <v>0</v>
      </c>
      <c r="AS263" s="52">
        <v>0</v>
      </c>
      <c r="AT263" s="52">
        <v>0</v>
      </c>
      <c r="AU263" s="52">
        <v>0</v>
      </c>
      <c r="AV263" s="52">
        <v>0</v>
      </c>
      <c r="AW263" s="52">
        <v>0</v>
      </c>
      <c r="AX263" s="52">
        <v>0</v>
      </c>
      <c r="AY263" s="52">
        <v>0</v>
      </c>
      <c r="AZ263" s="52">
        <v>500</v>
      </c>
      <c r="BA263" s="52">
        <v>500</v>
      </c>
      <c r="BB263" s="52">
        <v>99.999999999999915</v>
      </c>
      <c r="BC263" s="52">
        <v>0</v>
      </c>
      <c r="BD263" s="52">
        <v>0</v>
      </c>
      <c r="BE263" s="52">
        <v>0</v>
      </c>
      <c r="BF263" s="52">
        <v>438.15309596090958</v>
      </c>
      <c r="BG263" s="52">
        <v>476.47805712470142</v>
      </c>
      <c r="BH263" s="52">
        <v>100</v>
      </c>
      <c r="BI263" s="52">
        <v>0</v>
      </c>
      <c r="BJ263" s="52">
        <v>0</v>
      </c>
      <c r="BK263" s="52">
        <v>0</v>
      </c>
      <c r="BL263" s="52">
        <v>500</v>
      </c>
      <c r="BM263" s="52">
        <v>437.4177996526472</v>
      </c>
      <c r="BN263" s="52">
        <v>100</v>
      </c>
      <c r="BO263" s="52">
        <v>0</v>
      </c>
      <c r="BP263" s="52">
        <v>0</v>
      </c>
      <c r="BQ263" s="52">
        <v>0</v>
      </c>
      <c r="BR263" s="52">
        <v>500</v>
      </c>
      <c r="BS263" s="52">
        <v>500</v>
      </c>
      <c r="BT263" s="52">
        <v>100</v>
      </c>
      <c r="BU263" s="52">
        <v>0</v>
      </c>
      <c r="BV263" s="52">
        <v>0</v>
      </c>
      <c r="BW263" s="52">
        <v>0</v>
      </c>
    </row>
    <row r="264" spans="1:75" x14ac:dyDescent="0.3">
      <c r="A264" s="8" t="s">
        <v>100</v>
      </c>
      <c r="B264" s="8" t="s">
        <v>10</v>
      </c>
      <c r="C264" s="8" t="s">
        <v>65</v>
      </c>
      <c r="D264" s="52">
        <v>667.5</v>
      </c>
      <c r="E264" s="52">
        <v>667.5</v>
      </c>
      <c r="F264" s="52">
        <v>667.5</v>
      </c>
      <c r="G264" s="52">
        <v>667.5</v>
      </c>
      <c r="H264" s="52">
        <v>667.5</v>
      </c>
      <c r="I264" s="52">
        <v>667.5</v>
      </c>
      <c r="J264" s="52">
        <v>667.5</v>
      </c>
      <c r="K264" s="52">
        <v>667.5</v>
      </c>
      <c r="L264" s="52">
        <v>667.5</v>
      </c>
      <c r="M264" s="52">
        <v>667.5</v>
      </c>
      <c r="N264" s="52">
        <v>667.5</v>
      </c>
      <c r="O264" s="52">
        <v>667.5</v>
      </c>
      <c r="P264" s="52">
        <v>667.5</v>
      </c>
      <c r="Q264" s="52">
        <v>667.5</v>
      </c>
      <c r="R264" s="52">
        <v>667.5</v>
      </c>
      <c r="S264" s="52">
        <v>667.5</v>
      </c>
      <c r="T264" s="52">
        <v>667.5</v>
      </c>
      <c r="U264" s="52">
        <v>667.5</v>
      </c>
      <c r="V264" s="52">
        <v>667.5</v>
      </c>
      <c r="W264" s="52">
        <v>667.5</v>
      </c>
      <c r="X264" s="52">
        <v>667.5</v>
      </c>
      <c r="Y264" s="52">
        <v>667.5</v>
      </c>
      <c r="Z264" s="52">
        <v>667.5</v>
      </c>
      <c r="AA264" s="52">
        <v>667.5</v>
      </c>
      <c r="AB264" s="52">
        <v>667.5</v>
      </c>
      <c r="AC264" s="52">
        <v>667.5</v>
      </c>
      <c r="AD264" s="52">
        <v>667.5</v>
      </c>
      <c r="AE264" s="52">
        <v>667.5</v>
      </c>
      <c r="AF264" s="52">
        <v>667.5</v>
      </c>
      <c r="AG264" s="52">
        <v>667.5</v>
      </c>
      <c r="AH264" s="52">
        <v>667.5</v>
      </c>
      <c r="AI264" s="52">
        <v>667.5</v>
      </c>
      <c r="AJ264" s="52">
        <v>667.5</v>
      </c>
      <c r="AK264" s="52">
        <v>667.5</v>
      </c>
      <c r="AL264" s="52">
        <v>667.5</v>
      </c>
      <c r="AM264" s="52">
        <v>667.5</v>
      </c>
      <c r="AN264" s="52">
        <v>667.5</v>
      </c>
      <c r="AO264" s="52">
        <v>667.5</v>
      </c>
      <c r="AP264" s="52">
        <v>667.5</v>
      </c>
      <c r="AQ264" s="52">
        <v>667.5</v>
      </c>
      <c r="AR264" s="52">
        <v>667.5</v>
      </c>
      <c r="AS264" s="52">
        <v>667.5</v>
      </c>
      <c r="AT264" s="52">
        <v>667.5</v>
      </c>
      <c r="AU264" s="52">
        <v>667.5</v>
      </c>
      <c r="AV264" s="52">
        <v>667.5</v>
      </c>
      <c r="AW264" s="52">
        <v>667.5</v>
      </c>
      <c r="AX264" s="52">
        <v>667.5</v>
      </c>
      <c r="AY264" s="52">
        <v>667.5</v>
      </c>
      <c r="AZ264" s="52">
        <v>667.5</v>
      </c>
      <c r="BA264" s="52">
        <v>667.5</v>
      </c>
      <c r="BB264" s="52">
        <v>667.5</v>
      </c>
      <c r="BC264" s="52">
        <v>667.5</v>
      </c>
      <c r="BD264" s="52">
        <v>667.5</v>
      </c>
      <c r="BE264" s="52">
        <v>667.5</v>
      </c>
      <c r="BF264" s="52">
        <v>667.5</v>
      </c>
      <c r="BG264" s="52">
        <v>667.5</v>
      </c>
      <c r="BH264" s="52">
        <v>667.5</v>
      </c>
      <c r="BI264" s="52">
        <v>667.5</v>
      </c>
      <c r="BJ264" s="52">
        <v>667.5</v>
      </c>
      <c r="BK264" s="52">
        <v>667.5</v>
      </c>
      <c r="BL264" s="52">
        <v>667.5</v>
      </c>
      <c r="BM264" s="52">
        <v>667.5</v>
      </c>
      <c r="BN264" s="52">
        <v>667.5</v>
      </c>
      <c r="BO264" s="52">
        <v>667.5</v>
      </c>
      <c r="BP264" s="52">
        <v>667.5</v>
      </c>
      <c r="BQ264" s="52">
        <v>667.5</v>
      </c>
      <c r="BR264" s="52">
        <v>667.5</v>
      </c>
      <c r="BS264" s="52">
        <v>667.5</v>
      </c>
      <c r="BT264" s="52">
        <v>667.5</v>
      </c>
      <c r="BU264" s="52">
        <v>667.5</v>
      </c>
      <c r="BV264" s="52">
        <v>667.5</v>
      </c>
      <c r="BW264" s="52">
        <v>667.5</v>
      </c>
    </row>
    <row r="265" spans="1:75" x14ac:dyDescent="0.3">
      <c r="A265" s="8" t="s">
        <v>100</v>
      </c>
      <c r="B265" s="8" t="s">
        <v>10</v>
      </c>
      <c r="C265" s="8" t="s">
        <v>66</v>
      </c>
      <c r="D265" s="52">
        <v>0</v>
      </c>
      <c r="E265" s="52">
        <v>0</v>
      </c>
      <c r="F265" s="52">
        <v>0</v>
      </c>
      <c r="G265" s="52">
        <v>0</v>
      </c>
      <c r="H265" s="52">
        <v>0</v>
      </c>
      <c r="I265" s="52">
        <v>0</v>
      </c>
      <c r="J265" s="52">
        <v>0</v>
      </c>
      <c r="K265" s="52">
        <v>0</v>
      </c>
      <c r="L265" s="52">
        <v>0</v>
      </c>
      <c r="M265" s="52">
        <v>0</v>
      </c>
      <c r="N265" s="52">
        <v>0</v>
      </c>
      <c r="O265" s="52">
        <v>0</v>
      </c>
      <c r="P265" s="52">
        <v>0</v>
      </c>
      <c r="Q265" s="52">
        <v>0</v>
      </c>
      <c r="R265" s="52">
        <v>0</v>
      </c>
      <c r="S265" s="52">
        <v>0</v>
      </c>
      <c r="T265" s="52">
        <v>0</v>
      </c>
      <c r="U265" s="52">
        <v>0</v>
      </c>
      <c r="V265" s="52">
        <v>0</v>
      </c>
      <c r="W265" s="52">
        <v>0</v>
      </c>
      <c r="X265" s="52">
        <v>0</v>
      </c>
      <c r="Y265" s="52">
        <v>0</v>
      </c>
      <c r="Z265" s="52">
        <v>0</v>
      </c>
      <c r="AA265" s="52">
        <v>0</v>
      </c>
      <c r="AB265" s="52">
        <v>0</v>
      </c>
      <c r="AC265" s="52">
        <v>0</v>
      </c>
      <c r="AD265" s="52">
        <v>0</v>
      </c>
      <c r="AE265" s="52">
        <v>0</v>
      </c>
      <c r="AF265" s="52">
        <v>0</v>
      </c>
      <c r="AG265" s="52">
        <v>0</v>
      </c>
      <c r="AH265" s="52">
        <v>0</v>
      </c>
      <c r="AI265" s="52">
        <v>0</v>
      </c>
      <c r="AJ265" s="52">
        <v>0</v>
      </c>
      <c r="AK265" s="52">
        <v>0</v>
      </c>
      <c r="AL265" s="52">
        <v>0</v>
      </c>
      <c r="AM265" s="52">
        <v>0</v>
      </c>
      <c r="AN265" s="52">
        <v>0</v>
      </c>
      <c r="AO265" s="52">
        <v>0</v>
      </c>
      <c r="AP265" s="52">
        <v>0</v>
      </c>
      <c r="AQ265" s="52">
        <v>0</v>
      </c>
      <c r="AR265" s="52">
        <v>0</v>
      </c>
      <c r="AS265" s="52">
        <v>0</v>
      </c>
      <c r="AT265" s="52">
        <v>0</v>
      </c>
      <c r="AU265" s="52">
        <v>0</v>
      </c>
      <c r="AV265" s="52">
        <v>0</v>
      </c>
      <c r="AW265" s="52">
        <v>0</v>
      </c>
      <c r="AX265" s="52">
        <v>0</v>
      </c>
      <c r="AY265" s="52">
        <v>0</v>
      </c>
      <c r="AZ265" s="52">
        <v>0</v>
      </c>
      <c r="BA265" s="52">
        <v>0</v>
      </c>
      <c r="BB265" s="52">
        <v>0</v>
      </c>
      <c r="BC265" s="52">
        <v>0</v>
      </c>
      <c r="BD265" s="52">
        <v>0</v>
      </c>
      <c r="BE265" s="52">
        <v>0</v>
      </c>
      <c r="BF265" s="52">
        <v>0</v>
      </c>
      <c r="BG265" s="52">
        <v>0</v>
      </c>
      <c r="BH265" s="52">
        <v>0</v>
      </c>
      <c r="BI265" s="52">
        <v>0</v>
      </c>
      <c r="BJ265" s="52">
        <v>0</v>
      </c>
      <c r="BK265" s="52">
        <v>0</v>
      </c>
      <c r="BL265" s="52">
        <v>0</v>
      </c>
      <c r="BM265" s="52">
        <v>0</v>
      </c>
      <c r="BN265" s="52">
        <v>0</v>
      </c>
      <c r="BO265" s="52">
        <v>0</v>
      </c>
      <c r="BP265" s="52">
        <v>0</v>
      </c>
      <c r="BQ265" s="52">
        <v>0</v>
      </c>
      <c r="BR265" s="52">
        <v>0</v>
      </c>
      <c r="BS265" s="52">
        <v>0</v>
      </c>
      <c r="BT265" s="52">
        <v>0</v>
      </c>
      <c r="BU265" s="52">
        <v>0</v>
      </c>
      <c r="BV265" s="52">
        <v>0</v>
      </c>
      <c r="BW265" s="52">
        <v>0</v>
      </c>
    </row>
    <row r="266" spans="1:75" x14ac:dyDescent="0.3">
      <c r="A266" s="8" t="s">
        <v>100</v>
      </c>
      <c r="B266" s="8" t="s">
        <v>10</v>
      </c>
      <c r="C266" s="8" t="s">
        <v>67</v>
      </c>
      <c r="D266" s="52">
        <v>0</v>
      </c>
      <c r="E266" s="52">
        <v>0</v>
      </c>
      <c r="F266" s="52">
        <v>0</v>
      </c>
      <c r="G266" s="52">
        <v>0</v>
      </c>
      <c r="H266" s="52">
        <v>0</v>
      </c>
      <c r="I266" s="52">
        <v>0</v>
      </c>
      <c r="J266" s="52">
        <v>0</v>
      </c>
      <c r="K266" s="52">
        <v>0</v>
      </c>
      <c r="L266" s="52">
        <v>0</v>
      </c>
      <c r="M266" s="52">
        <v>0</v>
      </c>
      <c r="N266" s="52">
        <v>0</v>
      </c>
      <c r="O266" s="52">
        <v>0</v>
      </c>
      <c r="P266" s="52">
        <v>0</v>
      </c>
      <c r="Q266" s="52">
        <v>0</v>
      </c>
      <c r="R266" s="52">
        <v>0</v>
      </c>
      <c r="S266" s="52">
        <v>0</v>
      </c>
      <c r="T266" s="52">
        <v>0</v>
      </c>
      <c r="U266" s="52">
        <v>0</v>
      </c>
      <c r="V266" s="52">
        <v>0</v>
      </c>
      <c r="W266" s="52">
        <v>0</v>
      </c>
      <c r="X266" s="52">
        <v>0</v>
      </c>
      <c r="Y266" s="52">
        <v>0</v>
      </c>
      <c r="Z266" s="52">
        <v>0</v>
      </c>
      <c r="AA266" s="52">
        <v>0</v>
      </c>
      <c r="AB266" s="52">
        <v>0</v>
      </c>
      <c r="AC266" s="52">
        <v>0</v>
      </c>
      <c r="AD266" s="52">
        <v>0</v>
      </c>
      <c r="AE266" s="52">
        <v>0</v>
      </c>
      <c r="AF266" s="52">
        <v>0</v>
      </c>
      <c r="AG266" s="52">
        <v>0</v>
      </c>
      <c r="AH266" s="52">
        <v>0</v>
      </c>
      <c r="AI266" s="52">
        <v>0</v>
      </c>
      <c r="AJ266" s="52">
        <v>0</v>
      </c>
      <c r="AK266" s="52">
        <v>0</v>
      </c>
      <c r="AL266" s="52">
        <v>0</v>
      </c>
      <c r="AM266" s="52">
        <v>0</v>
      </c>
      <c r="AN266" s="52">
        <v>0</v>
      </c>
      <c r="AO266" s="52">
        <v>0</v>
      </c>
      <c r="AP266" s="52">
        <v>0</v>
      </c>
      <c r="AQ266" s="52">
        <v>0</v>
      </c>
      <c r="AR266" s="52">
        <v>0</v>
      </c>
      <c r="AS266" s="52">
        <v>0</v>
      </c>
      <c r="AT266" s="52">
        <v>0</v>
      </c>
      <c r="AU266" s="52">
        <v>0</v>
      </c>
      <c r="AV266" s="52">
        <v>0</v>
      </c>
      <c r="AW266" s="52">
        <v>0</v>
      </c>
      <c r="AX266" s="52">
        <v>0</v>
      </c>
      <c r="AY266" s="52">
        <v>0</v>
      </c>
      <c r="AZ266" s="52">
        <v>0</v>
      </c>
      <c r="BA266" s="52">
        <v>0</v>
      </c>
      <c r="BB266" s="52">
        <v>0</v>
      </c>
      <c r="BC266" s="52">
        <v>0</v>
      </c>
      <c r="BD266" s="52">
        <v>0</v>
      </c>
      <c r="BE266" s="52">
        <v>0</v>
      </c>
      <c r="BF266" s="52">
        <v>0</v>
      </c>
      <c r="BG266" s="52">
        <v>0</v>
      </c>
      <c r="BH266" s="52">
        <v>0</v>
      </c>
      <c r="BI266" s="52">
        <v>0</v>
      </c>
      <c r="BJ266" s="52">
        <v>0</v>
      </c>
      <c r="BK266" s="52">
        <v>0</v>
      </c>
      <c r="BL266" s="52">
        <v>0</v>
      </c>
      <c r="BM266" s="52">
        <v>0</v>
      </c>
      <c r="BN266" s="52">
        <v>0</v>
      </c>
      <c r="BO266" s="52">
        <v>0</v>
      </c>
      <c r="BP266" s="52">
        <v>0</v>
      </c>
      <c r="BQ266" s="52">
        <v>0</v>
      </c>
      <c r="BR266" s="52">
        <v>0</v>
      </c>
      <c r="BS266" s="52">
        <v>0</v>
      </c>
      <c r="BT266" s="52">
        <v>0</v>
      </c>
      <c r="BU266" s="52">
        <v>0</v>
      </c>
      <c r="BV266" s="52">
        <v>0</v>
      </c>
      <c r="BW266" s="52">
        <v>0</v>
      </c>
    </row>
    <row r="267" spans="1:75" x14ac:dyDescent="0.3">
      <c r="A267" s="8" t="s">
        <v>100</v>
      </c>
      <c r="B267" s="8" t="s">
        <v>10</v>
      </c>
      <c r="C267" s="8" t="s">
        <v>68</v>
      </c>
      <c r="D267" s="52">
        <v>400</v>
      </c>
      <c r="E267" s="52">
        <v>105.07932973946976</v>
      </c>
      <c r="F267" s="52">
        <v>0</v>
      </c>
      <c r="G267" s="52">
        <v>400</v>
      </c>
      <c r="H267" s="52">
        <v>105.07932973946976</v>
      </c>
      <c r="I267" s="52">
        <v>0</v>
      </c>
      <c r="J267" s="52">
        <v>0</v>
      </c>
      <c r="K267" s="52">
        <v>0</v>
      </c>
      <c r="L267" s="52">
        <v>0</v>
      </c>
      <c r="M267" s="52">
        <v>0</v>
      </c>
      <c r="N267" s="52">
        <v>0</v>
      </c>
      <c r="O267" s="52">
        <v>0</v>
      </c>
      <c r="P267" s="52">
        <v>0</v>
      </c>
      <c r="Q267" s="52">
        <v>0</v>
      </c>
      <c r="R267" s="52">
        <v>0</v>
      </c>
      <c r="S267" s="52">
        <v>0</v>
      </c>
      <c r="T267" s="52">
        <v>0</v>
      </c>
      <c r="U267" s="52">
        <v>0</v>
      </c>
      <c r="V267" s="52">
        <v>0</v>
      </c>
      <c r="W267" s="52">
        <v>0</v>
      </c>
      <c r="X267" s="52">
        <v>0</v>
      </c>
      <c r="Y267" s="52">
        <v>0</v>
      </c>
      <c r="Z267" s="52">
        <v>0</v>
      </c>
      <c r="AA267" s="52">
        <v>0</v>
      </c>
      <c r="AB267" s="52">
        <v>0</v>
      </c>
      <c r="AC267" s="52">
        <v>0</v>
      </c>
      <c r="AD267" s="52">
        <v>0</v>
      </c>
      <c r="AE267" s="52">
        <v>0</v>
      </c>
      <c r="AF267" s="52">
        <v>0</v>
      </c>
      <c r="AG267" s="52">
        <v>0</v>
      </c>
      <c r="AH267" s="52">
        <v>0</v>
      </c>
      <c r="AI267" s="52">
        <v>0</v>
      </c>
      <c r="AJ267" s="52">
        <v>0</v>
      </c>
      <c r="AK267" s="52">
        <v>0</v>
      </c>
      <c r="AL267" s="52">
        <v>0</v>
      </c>
      <c r="AM267" s="52">
        <v>0</v>
      </c>
      <c r="AN267" s="52">
        <v>0</v>
      </c>
      <c r="AO267" s="52">
        <v>0</v>
      </c>
      <c r="AP267" s="52">
        <v>0</v>
      </c>
      <c r="AQ267" s="52">
        <v>0</v>
      </c>
      <c r="AR267" s="52">
        <v>0</v>
      </c>
      <c r="AS267" s="52">
        <v>0</v>
      </c>
      <c r="AT267" s="52">
        <v>0</v>
      </c>
      <c r="AU267" s="52">
        <v>0</v>
      </c>
      <c r="AV267" s="52">
        <v>0</v>
      </c>
      <c r="AW267" s="52">
        <v>0</v>
      </c>
      <c r="AX267" s="52">
        <v>0</v>
      </c>
      <c r="AY267" s="52">
        <v>0</v>
      </c>
      <c r="AZ267" s="52">
        <v>0</v>
      </c>
      <c r="BA267" s="52">
        <v>0</v>
      </c>
      <c r="BB267" s="52">
        <v>0</v>
      </c>
      <c r="BC267" s="52">
        <v>0</v>
      </c>
      <c r="BD267" s="52">
        <v>0</v>
      </c>
      <c r="BE267" s="52">
        <v>0</v>
      </c>
      <c r="BF267" s="52">
        <v>0</v>
      </c>
      <c r="BG267" s="52">
        <v>0</v>
      </c>
      <c r="BH267" s="52">
        <v>0</v>
      </c>
      <c r="BI267" s="52">
        <v>0</v>
      </c>
      <c r="BJ267" s="52">
        <v>0</v>
      </c>
      <c r="BK267" s="52">
        <v>0</v>
      </c>
      <c r="BL267" s="52">
        <v>0</v>
      </c>
      <c r="BM267" s="52">
        <v>0</v>
      </c>
      <c r="BN267" s="52">
        <v>0</v>
      </c>
      <c r="BO267" s="52">
        <v>0</v>
      </c>
      <c r="BP267" s="52">
        <v>0</v>
      </c>
      <c r="BQ267" s="52">
        <v>0</v>
      </c>
      <c r="BR267" s="52">
        <v>0</v>
      </c>
      <c r="BS267" s="52">
        <v>0</v>
      </c>
      <c r="BT267" s="52">
        <v>0</v>
      </c>
      <c r="BU267" s="52">
        <v>0</v>
      </c>
      <c r="BV267" s="52">
        <v>0</v>
      </c>
      <c r="BW267" s="52">
        <v>0</v>
      </c>
    </row>
    <row r="268" spans="1:75" x14ac:dyDescent="0.3">
      <c r="A268" s="8" t="s">
        <v>100</v>
      </c>
      <c r="B268" s="8" t="s">
        <v>10</v>
      </c>
      <c r="C268" s="8" t="s">
        <v>69</v>
      </c>
      <c r="D268" s="52">
        <v>0</v>
      </c>
      <c r="E268" s="52">
        <v>0</v>
      </c>
      <c r="F268" s="52">
        <v>0</v>
      </c>
      <c r="G268" s="52">
        <v>0</v>
      </c>
      <c r="H268" s="52">
        <v>0</v>
      </c>
      <c r="I268" s="52">
        <v>0</v>
      </c>
      <c r="J268" s="52">
        <v>0</v>
      </c>
      <c r="K268" s="52">
        <v>0</v>
      </c>
      <c r="L268" s="52">
        <v>0</v>
      </c>
      <c r="M268" s="52">
        <v>0</v>
      </c>
      <c r="N268" s="52">
        <v>0</v>
      </c>
      <c r="O268" s="52">
        <v>0</v>
      </c>
      <c r="P268" s="52">
        <v>0</v>
      </c>
      <c r="Q268" s="52">
        <v>0</v>
      </c>
      <c r="R268" s="52">
        <v>0</v>
      </c>
      <c r="S268" s="52">
        <v>0</v>
      </c>
      <c r="T268" s="52">
        <v>0</v>
      </c>
      <c r="U268" s="52">
        <v>0</v>
      </c>
      <c r="V268" s="52">
        <v>0</v>
      </c>
      <c r="W268" s="52">
        <v>0</v>
      </c>
      <c r="X268" s="52">
        <v>0</v>
      </c>
      <c r="Y268" s="52">
        <v>0</v>
      </c>
      <c r="Z268" s="52">
        <v>0</v>
      </c>
      <c r="AA268" s="52">
        <v>0</v>
      </c>
      <c r="AB268" s="52">
        <v>0</v>
      </c>
      <c r="AC268" s="52">
        <v>0</v>
      </c>
      <c r="AD268" s="52">
        <v>0</v>
      </c>
      <c r="AE268" s="52">
        <v>0</v>
      </c>
      <c r="AF268" s="52">
        <v>0</v>
      </c>
      <c r="AG268" s="52">
        <v>0</v>
      </c>
      <c r="AH268" s="52">
        <v>0</v>
      </c>
      <c r="AI268" s="52">
        <v>0</v>
      </c>
      <c r="AJ268" s="52">
        <v>0</v>
      </c>
      <c r="AK268" s="52">
        <v>0</v>
      </c>
      <c r="AL268" s="52">
        <v>0</v>
      </c>
      <c r="AM268" s="52">
        <v>0</v>
      </c>
      <c r="AN268" s="52">
        <v>0</v>
      </c>
      <c r="AO268" s="52">
        <v>0</v>
      </c>
      <c r="AP268" s="52">
        <v>0</v>
      </c>
      <c r="AQ268" s="52">
        <v>0</v>
      </c>
      <c r="AR268" s="52">
        <v>0</v>
      </c>
      <c r="AS268" s="52">
        <v>0</v>
      </c>
      <c r="AT268" s="52">
        <v>0</v>
      </c>
      <c r="AU268" s="52">
        <v>0</v>
      </c>
      <c r="AV268" s="52">
        <v>0</v>
      </c>
      <c r="AW268" s="52">
        <v>0</v>
      </c>
      <c r="AX268" s="52">
        <v>0</v>
      </c>
      <c r="AY268" s="52">
        <v>0</v>
      </c>
      <c r="AZ268" s="52">
        <v>0</v>
      </c>
      <c r="BA268" s="52">
        <v>0</v>
      </c>
      <c r="BB268" s="52">
        <v>0</v>
      </c>
      <c r="BC268" s="52">
        <v>0</v>
      </c>
      <c r="BD268" s="52">
        <v>0</v>
      </c>
      <c r="BE268" s="52">
        <v>0</v>
      </c>
      <c r="BF268" s="52">
        <v>0</v>
      </c>
      <c r="BG268" s="52">
        <v>0</v>
      </c>
      <c r="BH268" s="52">
        <v>0</v>
      </c>
      <c r="BI268" s="52">
        <v>0</v>
      </c>
      <c r="BJ268" s="52">
        <v>0</v>
      </c>
      <c r="BK268" s="52">
        <v>0</v>
      </c>
      <c r="BL268" s="52">
        <v>0</v>
      </c>
      <c r="BM268" s="52">
        <v>0</v>
      </c>
      <c r="BN268" s="52">
        <v>0</v>
      </c>
      <c r="BO268" s="52">
        <v>0</v>
      </c>
      <c r="BP268" s="52">
        <v>0</v>
      </c>
      <c r="BQ268" s="52">
        <v>0</v>
      </c>
      <c r="BR268" s="52">
        <v>0</v>
      </c>
      <c r="BS268" s="52">
        <v>0</v>
      </c>
      <c r="BT268" s="52">
        <v>0</v>
      </c>
      <c r="BU268" s="52">
        <v>0</v>
      </c>
      <c r="BV268" s="52">
        <v>0</v>
      </c>
      <c r="BW268" s="52">
        <v>0</v>
      </c>
    </row>
    <row r="269" spans="1:75" x14ac:dyDescent="0.3">
      <c r="A269" s="8" t="s">
        <v>100</v>
      </c>
      <c r="B269" s="8" t="s">
        <v>10</v>
      </c>
      <c r="C269" s="8" t="s">
        <v>27</v>
      </c>
      <c r="D269" s="52">
        <v>150</v>
      </c>
      <c r="E269" s="52">
        <v>150</v>
      </c>
      <c r="F269" s="52">
        <v>126.00000000000003</v>
      </c>
      <c r="G269" s="52">
        <v>150</v>
      </c>
      <c r="H269" s="52">
        <v>150</v>
      </c>
      <c r="I269" s="52">
        <v>126.00000000000003</v>
      </c>
      <c r="J269" s="52">
        <v>150</v>
      </c>
      <c r="K269" s="52">
        <v>150</v>
      </c>
      <c r="L269" s="52">
        <v>150</v>
      </c>
      <c r="M269" s="52">
        <v>150</v>
      </c>
      <c r="N269" s="52">
        <v>150</v>
      </c>
      <c r="O269" s="52">
        <v>150</v>
      </c>
      <c r="P269" s="52">
        <v>150</v>
      </c>
      <c r="Q269" s="52">
        <v>150</v>
      </c>
      <c r="R269" s="52">
        <v>150</v>
      </c>
      <c r="S269" s="52">
        <v>150</v>
      </c>
      <c r="T269" s="52">
        <v>150</v>
      </c>
      <c r="U269" s="52">
        <v>150</v>
      </c>
      <c r="V269" s="52">
        <v>150</v>
      </c>
      <c r="W269" s="52">
        <v>150</v>
      </c>
      <c r="X269" s="52">
        <v>83.277486910994767</v>
      </c>
      <c r="Y269" s="52">
        <v>150</v>
      </c>
      <c r="Z269" s="52">
        <v>150</v>
      </c>
      <c r="AA269" s="52">
        <v>83.277486910994767</v>
      </c>
      <c r="AB269" s="52">
        <v>150</v>
      </c>
      <c r="AC269" s="52">
        <v>150</v>
      </c>
      <c r="AD269" s="52">
        <v>16.517647058823545</v>
      </c>
      <c r="AE269" s="52">
        <v>150</v>
      </c>
      <c r="AF269" s="52">
        <v>150</v>
      </c>
      <c r="AG269" s="52">
        <v>16.517647058823549</v>
      </c>
      <c r="AH269" s="52">
        <v>150</v>
      </c>
      <c r="AI269" s="52">
        <v>101.7223941297428</v>
      </c>
      <c r="AJ269" s="52">
        <v>0</v>
      </c>
      <c r="AK269" s="52">
        <v>150</v>
      </c>
      <c r="AL269" s="52">
        <v>62.504889887742983</v>
      </c>
      <c r="AM269" s="52">
        <v>0</v>
      </c>
      <c r="AN269" s="52">
        <v>125.54747984499976</v>
      </c>
      <c r="AO269" s="52">
        <v>100.1189622082948</v>
      </c>
      <c r="AP269" s="52">
        <v>0</v>
      </c>
      <c r="AQ269" s="52">
        <v>125.54747984499976</v>
      </c>
      <c r="AR269" s="52">
        <v>100.1189622082948</v>
      </c>
      <c r="AS269" s="52">
        <v>0</v>
      </c>
      <c r="AT269" s="52">
        <v>150</v>
      </c>
      <c r="AU269" s="52">
        <v>150</v>
      </c>
      <c r="AV269" s="52">
        <v>0</v>
      </c>
      <c r="AW269" s="52">
        <v>0</v>
      </c>
      <c r="AX269" s="52">
        <v>1.1619047619047453</v>
      </c>
      <c r="AY269" s="52">
        <v>0</v>
      </c>
      <c r="AZ269" s="52">
        <v>150</v>
      </c>
      <c r="BA269" s="52">
        <v>150</v>
      </c>
      <c r="BB269" s="52">
        <v>30.218181818181819</v>
      </c>
      <c r="BC269" s="52">
        <v>150</v>
      </c>
      <c r="BD269" s="52">
        <v>150</v>
      </c>
      <c r="BE269" s="52">
        <v>30.218181818181819</v>
      </c>
      <c r="BF269" s="52">
        <v>150</v>
      </c>
      <c r="BG269" s="52">
        <v>150</v>
      </c>
      <c r="BH269" s="52">
        <v>150</v>
      </c>
      <c r="BI269" s="52">
        <v>150</v>
      </c>
      <c r="BJ269" s="52">
        <v>87.715791979076911</v>
      </c>
      <c r="BK269" s="52">
        <v>68.311838033999905</v>
      </c>
      <c r="BL269" s="52">
        <v>150</v>
      </c>
      <c r="BM269" s="52">
        <v>150</v>
      </c>
      <c r="BN269" s="52">
        <v>150</v>
      </c>
      <c r="BO269" s="52">
        <v>150</v>
      </c>
      <c r="BP269" s="52">
        <v>150</v>
      </c>
      <c r="BQ269" s="52">
        <v>150</v>
      </c>
      <c r="BR269" s="52">
        <v>150</v>
      </c>
      <c r="BS269" s="52">
        <v>150</v>
      </c>
      <c r="BT269" s="52">
        <v>150</v>
      </c>
      <c r="BU269" s="52">
        <v>150</v>
      </c>
      <c r="BV269" s="52">
        <v>150</v>
      </c>
      <c r="BW269" s="52">
        <v>150</v>
      </c>
    </row>
    <row r="270" spans="1:75" x14ac:dyDescent="0.3">
      <c r="A270" s="8" t="s">
        <v>100</v>
      </c>
      <c r="B270" s="8" t="s">
        <v>10</v>
      </c>
      <c r="C270" s="8" t="s">
        <v>144</v>
      </c>
      <c r="D270" s="52">
        <v>200</v>
      </c>
      <c r="E270" s="52">
        <v>200</v>
      </c>
      <c r="F270" s="52">
        <v>0</v>
      </c>
      <c r="G270" s="52">
        <v>200</v>
      </c>
      <c r="H270" s="52">
        <v>200</v>
      </c>
      <c r="I270" s="52">
        <v>0</v>
      </c>
      <c r="J270" s="52">
        <v>200</v>
      </c>
      <c r="K270" s="52">
        <v>0</v>
      </c>
      <c r="L270" s="52">
        <v>0</v>
      </c>
      <c r="M270" s="52">
        <v>200</v>
      </c>
      <c r="N270" s="52">
        <v>0</v>
      </c>
      <c r="O270" s="52">
        <v>0</v>
      </c>
      <c r="P270" s="52">
        <v>158.00553704371802</v>
      </c>
      <c r="Q270" s="52">
        <v>0</v>
      </c>
      <c r="R270" s="52">
        <v>0</v>
      </c>
      <c r="S270" s="52">
        <v>158.00553704371802</v>
      </c>
      <c r="T270" s="52">
        <v>0</v>
      </c>
      <c r="U270" s="52">
        <v>0</v>
      </c>
      <c r="V270" s="52">
        <v>200</v>
      </c>
      <c r="W270" s="52">
        <v>108.72638487600048</v>
      </c>
      <c r="X270" s="52">
        <v>0</v>
      </c>
      <c r="Y270" s="52">
        <v>200</v>
      </c>
      <c r="Z270" s="52">
        <v>0</v>
      </c>
      <c r="AA270" s="52">
        <v>0</v>
      </c>
      <c r="AB270" s="52">
        <v>200</v>
      </c>
      <c r="AC270" s="52">
        <v>96.272537634655592</v>
      </c>
      <c r="AD270" s="52">
        <v>0</v>
      </c>
      <c r="AE270" s="52">
        <v>200</v>
      </c>
      <c r="AF270" s="52">
        <v>0</v>
      </c>
      <c r="AG270" s="52">
        <v>0</v>
      </c>
      <c r="AH270" s="52">
        <v>200</v>
      </c>
      <c r="AI270" s="52">
        <v>0</v>
      </c>
      <c r="AJ270" s="52">
        <v>0</v>
      </c>
      <c r="AK270" s="52">
        <v>200</v>
      </c>
      <c r="AL270" s="52">
        <v>0</v>
      </c>
      <c r="AM270" s="52">
        <v>0</v>
      </c>
      <c r="AN270" s="52">
        <v>200</v>
      </c>
      <c r="AO270" s="52">
        <v>48.435717162705615</v>
      </c>
      <c r="AP270" s="52">
        <v>0</v>
      </c>
      <c r="AQ270" s="52">
        <v>151.6299458840009</v>
      </c>
      <c r="AR270" s="52">
        <v>48.435717162705615</v>
      </c>
      <c r="AS270" s="52">
        <v>0</v>
      </c>
      <c r="AT270" s="52">
        <v>200</v>
      </c>
      <c r="AU270" s="52">
        <v>155.44950492500064</v>
      </c>
      <c r="AV270" s="52">
        <v>0</v>
      </c>
      <c r="AW270" s="52">
        <v>192.24766357800038</v>
      </c>
      <c r="AX270" s="52">
        <v>21.701686119417694</v>
      </c>
      <c r="AY270" s="52">
        <v>0</v>
      </c>
      <c r="AZ270" s="52">
        <v>117.89612307692313</v>
      </c>
      <c r="BA270" s="52">
        <v>0</v>
      </c>
      <c r="BB270" s="52">
        <v>0</v>
      </c>
      <c r="BC270" s="52">
        <v>117.8961230769231</v>
      </c>
      <c r="BD270" s="52">
        <v>0</v>
      </c>
      <c r="BE270" s="52">
        <v>0</v>
      </c>
      <c r="BF270" s="52">
        <v>200</v>
      </c>
      <c r="BG270" s="52">
        <v>0.75446684629864857</v>
      </c>
      <c r="BH270" s="52">
        <v>0</v>
      </c>
      <c r="BI270" s="52">
        <v>149.3382004200005</v>
      </c>
      <c r="BJ270" s="52">
        <v>0</v>
      </c>
      <c r="BK270" s="52">
        <v>0</v>
      </c>
      <c r="BL270" s="52">
        <v>200</v>
      </c>
      <c r="BM270" s="52">
        <v>165.14270476190472</v>
      </c>
      <c r="BN270" s="52">
        <v>0</v>
      </c>
      <c r="BO270" s="52">
        <v>200</v>
      </c>
      <c r="BP270" s="52">
        <v>0</v>
      </c>
      <c r="BQ270" s="52">
        <v>0</v>
      </c>
      <c r="BR270" s="52">
        <v>200</v>
      </c>
      <c r="BS270" s="52">
        <v>200</v>
      </c>
      <c r="BT270" s="52">
        <v>0</v>
      </c>
      <c r="BU270" s="52">
        <v>200</v>
      </c>
      <c r="BV270" s="52">
        <v>44.035929670329629</v>
      </c>
      <c r="BW270" s="52">
        <v>0</v>
      </c>
    </row>
    <row r="271" spans="1:75" x14ac:dyDescent="0.3">
      <c r="A271" s="8" t="s">
        <v>100</v>
      </c>
      <c r="B271" s="8" t="s">
        <v>10</v>
      </c>
      <c r="C271" s="8" t="s">
        <v>145</v>
      </c>
      <c r="D271" s="52">
        <v>200</v>
      </c>
      <c r="E271" s="52">
        <v>25.243401759530517</v>
      </c>
      <c r="F271" s="52">
        <v>0</v>
      </c>
      <c r="G271" s="52">
        <v>200</v>
      </c>
      <c r="H271" s="52">
        <v>25.243401759530514</v>
      </c>
      <c r="I271" s="52">
        <v>0</v>
      </c>
      <c r="J271" s="52">
        <v>143.39281593600117</v>
      </c>
      <c r="K271" s="52">
        <v>0</v>
      </c>
      <c r="L271" s="52">
        <v>0</v>
      </c>
      <c r="M271" s="52">
        <v>143.39281593600117</v>
      </c>
      <c r="N271" s="52">
        <v>0</v>
      </c>
      <c r="O271" s="52">
        <v>0</v>
      </c>
      <c r="P271" s="52">
        <v>199.45346537628271</v>
      </c>
      <c r="Q271" s="52">
        <v>0</v>
      </c>
      <c r="R271" s="52">
        <v>0</v>
      </c>
      <c r="S271" s="52">
        <v>199.45346537628271</v>
      </c>
      <c r="T271" s="52">
        <v>0</v>
      </c>
      <c r="U271" s="52">
        <v>0</v>
      </c>
      <c r="V271" s="52">
        <v>200</v>
      </c>
      <c r="W271" s="52">
        <v>0</v>
      </c>
      <c r="X271" s="52">
        <v>0</v>
      </c>
      <c r="Y271" s="52">
        <v>0</v>
      </c>
      <c r="Z271" s="52">
        <v>0</v>
      </c>
      <c r="AA271" s="52">
        <v>0</v>
      </c>
      <c r="AB271" s="52">
        <v>200</v>
      </c>
      <c r="AC271" s="52">
        <v>7.458947993345344</v>
      </c>
      <c r="AD271" s="52">
        <v>0</v>
      </c>
      <c r="AE271" s="52">
        <v>116.43380668900095</v>
      </c>
      <c r="AF271" s="52">
        <v>0</v>
      </c>
      <c r="AG271" s="52">
        <v>0</v>
      </c>
      <c r="AH271" s="52">
        <v>69.658253030000054</v>
      </c>
      <c r="AI271" s="52">
        <v>0</v>
      </c>
      <c r="AJ271" s="52">
        <v>0</v>
      </c>
      <c r="AK271" s="52">
        <v>69.658253030000054</v>
      </c>
      <c r="AL271" s="52">
        <v>0</v>
      </c>
      <c r="AM271" s="52">
        <v>0</v>
      </c>
      <c r="AN271" s="52">
        <v>200</v>
      </c>
      <c r="AO271" s="52">
        <v>0</v>
      </c>
      <c r="AP271" s="52">
        <v>0</v>
      </c>
      <c r="AQ271" s="52">
        <v>200</v>
      </c>
      <c r="AR271" s="52">
        <v>0</v>
      </c>
      <c r="AS271" s="52">
        <v>0</v>
      </c>
      <c r="AT271" s="52">
        <v>200</v>
      </c>
      <c r="AU271" s="52">
        <v>0</v>
      </c>
      <c r="AV271" s="52">
        <v>0</v>
      </c>
      <c r="AW271" s="52">
        <v>200</v>
      </c>
      <c r="AX271" s="52">
        <v>0</v>
      </c>
      <c r="AY271" s="52">
        <v>0</v>
      </c>
      <c r="AZ271" s="52">
        <v>135.39347381507682</v>
      </c>
      <c r="BA271" s="52">
        <v>0</v>
      </c>
      <c r="BB271" s="52">
        <v>0</v>
      </c>
      <c r="BC271" s="52">
        <v>135.39347381507682</v>
      </c>
      <c r="BD271" s="52">
        <v>0</v>
      </c>
      <c r="BE271" s="52">
        <v>0</v>
      </c>
      <c r="BF271" s="52">
        <v>182.37469090909084</v>
      </c>
      <c r="BG271" s="52">
        <v>0</v>
      </c>
      <c r="BH271" s="52">
        <v>0</v>
      </c>
      <c r="BI271" s="52">
        <v>0</v>
      </c>
      <c r="BJ271" s="52">
        <v>0</v>
      </c>
      <c r="BK271" s="52">
        <v>0</v>
      </c>
      <c r="BL271" s="52">
        <v>200</v>
      </c>
      <c r="BM271" s="52">
        <v>15.053793233447601</v>
      </c>
      <c r="BN271" s="52">
        <v>0</v>
      </c>
      <c r="BO271" s="52">
        <v>143.38396783200042</v>
      </c>
      <c r="BP271" s="52">
        <v>0</v>
      </c>
      <c r="BQ271" s="52">
        <v>0</v>
      </c>
      <c r="BR271" s="52">
        <v>0</v>
      </c>
      <c r="BS271" s="52">
        <v>0</v>
      </c>
      <c r="BT271" s="52">
        <v>0</v>
      </c>
      <c r="BU271" s="52">
        <v>0</v>
      </c>
      <c r="BV271" s="52">
        <v>0</v>
      </c>
      <c r="BW271" s="52">
        <v>0</v>
      </c>
    </row>
    <row r="272" spans="1:75" x14ac:dyDescent="0.3">
      <c r="A272" s="8" t="s">
        <v>100</v>
      </c>
      <c r="B272" s="8" t="s">
        <v>10</v>
      </c>
      <c r="C272" s="8" t="s">
        <v>146</v>
      </c>
      <c r="D272" s="52">
        <v>200</v>
      </c>
      <c r="E272" s="52">
        <v>200</v>
      </c>
      <c r="F272" s="52">
        <v>200</v>
      </c>
      <c r="G272" s="52">
        <v>200</v>
      </c>
      <c r="H272" s="52">
        <v>200</v>
      </c>
      <c r="I272" s="52">
        <v>200</v>
      </c>
      <c r="J272" s="52">
        <v>200</v>
      </c>
      <c r="K272" s="52">
        <v>200</v>
      </c>
      <c r="L272" s="52">
        <v>140.65099165699957</v>
      </c>
      <c r="M272" s="52">
        <v>200</v>
      </c>
      <c r="N272" s="52">
        <v>200</v>
      </c>
      <c r="O272" s="52">
        <v>49.50512324199984</v>
      </c>
      <c r="P272" s="52">
        <v>200</v>
      </c>
      <c r="Q272" s="52">
        <v>200</v>
      </c>
      <c r="R272" s="52">
        <v>135.35699942800017</v>
      </c>
      <c r="S272" s="52">
        <v>200</v>
      </c>
      <c r="T272" s="52">
        <v>142.43142792246587</v>
      </c>
      <c r="U272" s="52">
        <v>52.133513720000749</v>
      </c>
      <c r="V272" s="52">
        <v>200</v>
      </c>
      <c r="W272" s="52">
        <v>200</v>
      </c>
      <c r="X272" s="52">
        <v>74.405760647005877</v>
      </c>
      <c r="Y272" s="52">
        <v>200</v>
      </c>
      <c r="Z272" s="52">
        <v>200</v>
      </c>
      <c r="AA272" s="52">
        <v>74.405760647005877</v>
      </c>
      <c r="AB272" s="52">
        <v>200</v>
      </c>
      <c r="AC272" s="52">
        <v>200</v>
      </c>
      <c r="AD272" s="52">
        <v>79.330228565176355</v>
      </c>
      <c r="AE272" s="52">
        <v>200</v>
      </c>
      <c r="AF272" s="52">
        <v>200</v>
      </c>
      <c r="AG272" s="52">
        <v>13.575097994176556</v>
      </c>
      <c r="AH272" s="52">
        <v>200</v>
      </c>
      <c r="AI272" s="52">
        <v>200</v>
      </c>
      <c r="AJ272" s="52">
        <v>112.66131251702181</v>
      </c>
      <c r="AK272" s="52">
        <v>200</v>
      </c>
      <c r="AL272" s="52">
        <v>200</v>
      </c>
      <c r="AM272" s="52">
        <v>112.66131251702181</v>
      </c>
      <c r="AN272" s="52">
        <v>200</v>
      </c>
      <c r="AO272" s="52">
        <v>200</v>
      </c>
      <c r="AP272" s="52">
        <v>0</v>
      </c>
      <c r="AQ272" s="52">
        <v>200</v>
      </c>
      <c r="AR272" s="52">
        <v>200</v>
      </c>
      <c r="AS272" s="52">
        <v>0</v>
      </c>
      <c r="AT272" s="52">
        <v>200</v>
      </c>
      <c r="AU272" s="52">
        <v>200</v>
      </c>
      <c r="AV272" s="52">
        <v>170.37861647999986</v>
      </c>
      <c r="AW272" s="52">
        <v>200</v>
      </c>
      <c r="AX272" s="52">
        <v>200</v>
      </c>
      <c r="AY272" s="52">
        <v>170.37861647999986</v>
      </c>
      <c r="AZ272" s="52">
        <v>200</v>
      </c>
      <c r="BA272" s="52">
        <v>200</v>
      </c>
      <c r="BB272" s="52">
        <v>0</v>
      </c>
      <c r="BC272" s="52">
        <v>200</v>
      </c>
      <c r="BD272" s="52">
        <v>160.67330669399982</v>
      </c>
      <c r="BE272" s="52">
        <v>0</v>
      </c>
      <c r="BF272" s="52">
        <v>200</v>
      </c>
      <c r="BG272" s="52">
        <v>200</v>
      </c>
      <c r="BH272" s="52">
        <v>0</v>
      </c>
      <c r="BI272" s="52">
        <v>200</v>
      </c>
      <c r="BJ272" s="52">
        <v>0</v>
      </c>
      <c r="BK272" s="52">
        <v>0</v>
      </c>
      <c r="BL272" s="52">
        <v>200</v>
      </c>
      <c r="BM272" s="52">
        <v>200</v>
      </c>
      <c r="BN272" s="52">
        <v>122.58874328600045</v>
      </c>
      <c r="BO272" s="52">
        <v>200</v>
      </c>
      <c r="BP272" s="52">
        <v>200</v>
      </c>
      <c r="BQ272" s="52">
        <v>17.600891548657572</v>
      </c>
      <c r="BR272" s="52">
        <v>200</v>
      </c>
      <c r="BS272" s="52">
        <v>200</v>
      </c>
      <c r="BT272" s="52">
        <v>200</v>
      </c>
      <c r="BU272" s="52">
        <v>200</v>
      </c>
      <c r="BV272" s="52">
        <v>200</v>
      </c>
      <c r="BW272" s="52">
        <v>200</v>
      </c>
    </row>
    <row r="273" spans="1:75" x14ac:dyDescent="0.3">
      <c r="A273" s="8" t="s">
        <v>100</v>
      </c>
      <c r="B273" s="8" t="s">
        <v>10</v>
      </c>
      <c r="C273" s="8" t="s">
        <v>28</v>
      </c>
      <c r="D273" s="52">
        <v>200</v>
      </c>
      <c r="E273" s="52">
        <v>200</v>
      </c>
      <c r="F273" s="52">
        <v>200</v>
      </c>
      <c r="G273" s="52">
        <v>200</v>
      </c>
      <c r="H273" s="52">
        <v>200</v>
      </c>
      <c r="I273" s="52">
        <v>200</v>
      </c>
      <c r="J273" s="52">
        <v>200</v>
      </c>
      <c r="K273" s="52">
        <v>200</v>
      </c>
      <c r="L273" s="52">
        <v>200</v>
      </c>
      <c r="M273" s="52">
        <v>200</v>
      </c>
      <c r="N273" s="52">
        <v>200</v>
      </c>
      <c r="O273" s="52">
        <v>200</v>
      </c>
      <c r="P273" s="52">
        <v>200</v>
      </c>
      <c r="Q273" s="52">
        <v>200</v>
      </c>
      <c r="R273" s="52">
        <v>200</v>
      </c>
      <c r="S273" s="52">
        <v>200</v>
      </c>
      <c r="T273" s="52">
        <v>200</v>
      </c>
      <c r="U273" s="52">
        <v>200</v>
      </c>
      <c r="V273" s="52">
        <v>200</v>
      </c>
      <c r="W273" s="52">
        <v>200</v>
      </c>
      <c r="X273" s="52">
        <v>200</v>
      </c>
      <c r="Y273" s="52">
        <v>200</v>
      </c>
      <c r="Z273" s="52">
        <v>200</v>
      </c>
      <c r="AA273" s="52">
        <v>200</v>
      </c>
      <c r="AB273" s="52">
        <v>200</v>
      </c>
      <c r="AC273" s="52">
        <v>200</v>
      </c>
      <c r="AD273" s="52">
        <v>200</v>
      </c>
      <c r="AE273" s="52">
        <v>200</v>
      </c>
      <c r="AF273" s="52">
        <v>200</v>
      </c>
      <c r="AG273" s="52">
        <v>200</v>
      </c>
      <c r="AH273" s="52">
        <v>200</v>
      </c>
      <c r="AI273" s="52">
        <v>200</v>
      </c>
      <c r="AJ273" s="52">
        <v>200</v>
      </c>
      <c r="AK273" s="52">
        <v>200</v>
      </c>
      <c r="AL273" s="52">
        <v>200</v>
      </c>
      <c r="AM273" s="52">
        <v>200</v>
      </c>
      <c r="AN273" s="52">
        <v>200</v>
      </c>
      <c r="AO273" s="52">
        <v>200</v>
      </c>
      <c r="AP273" s="52">
        <v>200</v>
      </c>
      <c r="AQ273" s="52">
        <v>200</v>
      </c>
      <c r="AR273" s="52">
        <v>200</v>
      </c>
      <c r="AS273" s="52">
        <v>200</v>
      </c>
      <c r="AT273" s="52">
        <v>200</v>
      </c>
      <c r="AU273" s="52">
        <v>200</v>
      </c>
      <c r="AV273" s="52">
        <v>200</v>
      </c>
      <c r="AW273" s="52">
        <v>200</v>
      </c>
      <c r="AX273" s="52">
        <v>200</v>
      </c>
      <c r="AY273" s="52">
        <v>200</v>
      </c>
      <c r="AZ273" s="52">
        <v>200</v>
      </c>
      <c r="BA273" s="52">
        <v>200</v>
      </c>
      <c r="BB273" s="52">
        <v>200</v>
      </c>
      <c r="BC273" s="52">
        <v>200</v>
      </c>
      <c r="BD273" s="52">
        <v>200</v>
      </c>
      <c r="BE273" s="52">
        <v>200</v>
      </c>
      <c r="BF273" s="52">
        <v>200</v>
      </c>
      <c r="BG273" s="52">
        <v>200</v>
      </c>
      <c r="BH273" s="52">
        <v>200</v>
      </c>
      <c r="BI273" s="52">
        <v>200</v>
      </c>
      <c r="BJ273" s="52">
        <v>200</v>
      </c>
      <c r="BK273" s="52">
        <v>200</v>
      </c>
      <c r="BL273" s="52">
        <v>200</v>
      </c>
      <c r="BM273" s="52">
        <v>200</v>
      </c>
      <c r="BN273" s="52">
        <v>200</v>
      </c>
      <c r="BO273" s="52">
        <v>200</v>
      </c>
      <c r="BP273" s="52">
        <v>200</v>
      </c>
      <c r="BQ273" s="52">
        <v>200</v>
      </c>
      <c r="BR273" s="52">
        <v>200</v>
      </c>
      <c r="BS273" s="52">
        <v>200</v>
      </c>
      <c r="BT273" s="52">
        <v>200</v>
      </c>
      <c r="BU273" s="52">
        <v>200</v>
      </c>
      <c r="BV273" s="52">
        <v>200</v>
      </c>
      <c r="BW273" s="52">
        <v>200</v>
      </c>
    </row>
  </sheetData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1" type="noConversion"/>
  <pageMargins left="0.75" right="0.75" top="1" bottom="1" header="0" footer="0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">
    <tabColor indexed="47"/>
  </sheetPr>
  <dimension ref="A1:BW273"/>
  <sheetViews>
    <sheetView showRowColHeaders="0" workbookViewId="0">
      <pane xSplit="3" ySplit="3" topLeftCell="D4" activePane="bottomRight" state="frozen"/>
      <selection pane="topRight"/>
      <selection pane="bottomLeft"/>
      <selection pane="bottomRight" activeCell="D4" sqref="D4"/>
    </sheetView>
  </sheetViews>
  <sheetFormatPr baseColWidth="10" defaultColWidth="11.44140625" defaultRowHeight="13.8" x14ac:dyDescent="0.3"/>
  <cols>
    <col min="1" max="2" width="4.5546875" style="8" bestFit="1" customWidth="1"/>
    <col min="3" max="3" width="24.44140625" style="8" bestFit="1" customWidth="1"/>
    <col min="4" max="75" width="8.33203125" style="6" bestFit="1" customWidth="1"/>
    <col min="76" max="16384" width="11.44140625" style="6"/>
  </cols>
  <sheetData>
    <row r="1" spans="1:75" s="9" customFormat="1" x14ac:dyDescent="0.3">
      <c r="A1" s="7" t="s">
        <v>165</v>
      </c>
      <c r="B1" s="7" t="s">
        <v>166</v>
      </c>
      <c r="C1" s="7" t="s">
        <v>167</v>
      </c>
      <c r="D1" s="53" t="s">
        <v>21</v>
      </c>
      <c r="E1" s="53" t="s">
        <v>21</v>
      </c>
      <c r="F1" s="53" t="s">
        <v>21</v>
      </c>
      <c r="G1" s="9" t="s">
        <v>21</v>
      </c>
      <c r="H1" s="9" t="s">
        <v>21</v>
      </c>
      <c r="I1" s="9" t="s">
        <v>21</v>
      </c>
      <c r="J1" s="9" t="s">
        <v>29</v>
      </c>
      <c r="K1" s="9" t="s">
        <v>29</v>
      </c>
      <c r="L1" s="9" t="s">
        <v>29</v>
      </c>
      <c r="M1" s="9" t="s">
        <v>29</v>
      </c>
      <c r="N1" s="9" t="s">
        <v>29</v>
      </c>
      <c r="O1" s="9" t="s">
        <v>29</v>
      </c>
      <c r="P1" s="9" t="s">
        <v>30</v>
      </c>
      <c r="Q1" s="9" t="s">
        <v>30</v>
      </c>
      <c r="R1" s="9" t="s">
        <v>30</v>
      </c>
      <c r="S1" s="9" t="s">
        <v>30</v>
      </c>
      <c r="T1" s="9" t="s">
        <v>30</v>
      </c>
      <c r="U1" s="9" t="s">
        <v>30</v>
      </c>
      <c r="V1" s="9" t="s">
        <v>31</v>
      </c>
      <c r="W1" s="9" t="s">
        <v>31</v>
      </c>
      <c r="X1" s="9" t="s">
        <v>31</v>
      </c>
      <c r="Y1" s="9" t="s">
        <v>31</v>
      </c>
      <c r="Z1" s="9" t="s">
        <v>31</v>
      </c>
      <c r="AA1" s="9" t="s">
        <v>31</v>
      </c>
      <c r="AB1" s="9" t="s">
        <v>32</v>
      </c>
      <c r="AC1" s="9" t="s">
        <v>32</v>
      </c>
      <c r="AD1" s="9" t="s">
        <v>32</v>
      </c>
      <c r="AE1" s="9" t="s">
        <v>32</v>
      </c>
      <c r="AF1" s="9" t="s">
        <v>32</v>
      </c>
      <c r="AG1" s="9" t="s">
        <v>32</v>
      </c>
      <c r="AH1" s="9" t="s">
        <v>33</v>
      </c>
      <c r="AI1" s="9" t="s">
        <v>33</v>
      </c>
      <c r="AJ1" s="9" t="s">
        <v>33</v>
      </c>
      <c r="AK1" s="9" t="s">
        <v>33</v>
      </c>
      <c r="AL1" s="9" t="s">
        <v>33</v>
      </c>
      <c r="AM1" s="9" t="s">
        <v>33</v>
      </c>
      <c r="AN1" s="9" t="s">
        <v>34</v>
      </c>
      <c r="AO1" s="9" t="s">
        <v>34</v>
      </c>
      <c r="AP1" s="9" t="s">
        <v>34</v>
      </c>
      <c r="AQ1" s="9" t="s">
        <v>34</v>
      </c>
      <c r="AR1" s="9" t="s">
        <v>34</v>
      </c>
      <c r="AS1" s="9" t="s">
        <v>34</v>
      </c>
      <c r="AT1" s="9" t="s">
        <v>35</v>
      </c>
      <c r="AU1" s="9" t="s">
        <v>35</v>
      </c>
      <c r="AV1" s="9" t="s">
        <v>35</v>
      </c>
      <c r="AW1" s="9" t="s">
        <v>35</v>
      </c>
      <c r="AX1" s="9" t="s">
        <v>35</v>
      </c>
      <c r="AY1" s="9" t="s">
        <v>35</v>
      </c>
      <c r="AZ1" s="9" t="s">
        <v>36</v>
      </c>
      <c r="BA1" s="9" t="s">
        <v>36</v>
      </c>
      <c r="BB1" s="9" t="s">
        <v>36</v>
      </c>
      <c r="BC1" s="9" t="s">
        <v>36</v>
      </c>
      <c r="BD1" s="9" t="s">
        <v>36</v>
      </c>
      <c r="BE1" s="9" t="s">
        <v>36</v>
      </c>
      <c r="BF1" s="9" t="s">
        <v>37</v>
      </c>
      <c r="BG1" s="9" t="s">
        <v>37</v>
      </c>
      <c r="BH1" s="9" t="s">
        <v>37</v>
      </c>
      <c r="BI1" s="9" t="s">
        <v>37</v>
      </c>
      <c r="BJ1" s="9" t="s">
        <v>37</v>
      </c>
      <c r="BK1" s="9" t="s">
        <v>37</v>
      </c>
      <c r="BL1" s="9" t="s">
        <v>38</v>
      </c>
      <c r="BM1" s="9" t="s">
        <v>38</v>
      </c>
      <c r="BN1" s="9" t="s">
        <v>38</v>
      </c>
      <c r="BO1" s="9" t="s">
        <v>38</v>
      </c>
      <c r="BP1" s="9" t="s">
        <v>38</v>
      </c>
      <c r="BQ1" s="9" t="s">
        <v>38</v>
      </c>
      <c r="BR1" s="9" t="s">
        <v>22</v>
      </c>
      <c r="BS1" s="9" t="s">
        <v>22</v>
      </c>
      <c r="BT1" s="9" t="s">
        <v>22</v>
      </c>
      <c r="BU1" s="9" t="s">
        <v>22</v>
      </c>
      <c r="BV1" s="9" t="s">
        <v>22</v>
      </c>
      <c r="BW1" s="9" t="s">
        <v>22</v>
      </c>
    </row>
    <row r="2" spans="1:75" s="9" customFormat="1" x14ac:dyDescent="0.3">
      <c r="A2" s="7"/>
      <c r="B2" s="7"/>
      <c r="C2" s="7"/>
      <c r="D2" s="53" t="s">
        <v>156</v>
      </c>
      <c r="E2" s="53" t="s">
        <v>156</v>
      </c>
      <c r="F2" s="53" t="s">
        <v>156</v>
      </c>
      <c r="G2" s="9" t="s">
        <v>39</v>
      </c>
      <c r="H2" s="9" t="s">
        <v>39</v>
      </c>
      <c r="I2" s="9" t="s">
        <v>39</v>
      </c>
      <c r="J2" s="9" t="s">
        <v>156</v>
      </c>
      <c r="K2" s="9" t="s">
        <v>156</v>
      </c>
      <c r="L2" s="9" t="s">
        <v>156</v>
      </c>
      <c r="M2" s="9" t="s">
        <v>39</v>
      </c>
      <c r="N2" s="9" t="s">
        <v>39</v>
      </c>
      <c r="O2" s="9" t="s">
        <v>39</v>
      </c>
      <c r="P2" s="9" t="s">
        <v>156</v>
      </c>
      <c r="Q2" s="9" t="s">
        <v>156</v>
      </c>
      <c r="R2" s="9" t="s">
        <v>156</v>
      </c>
      <c r="S2" s="9" t="s">
        <v>39</v>
      </c>
      <c r="T2" s="9" t="s">
        <v>39</v>
      </c>
      <c r="U2" s="9" t="s">
        <v>39</v>
      </c>
      <c r="V2" s="9" t="s">
        <v>156</v>
      </c>
      <c r="W2" s="9" t="s">
        <v>156</v>
      </c>
      <c r="X2" s="9" t="s">
        <v>156</v>
      </c>
      <c r="Y2" s="9" t="s">
        <v>39</v>
      </c>
      <c r="Z2" s="9" t="s">
        <v>39</v>
      </c>
      <c r="AA2" s="9" t="s">
        <v>39</v>
      </c>
      <c r="AB2" s="9" t="s">
        <v>156</v>
      </c>
      <c r="AC2" s="9" t="s">
        <v>156</v>
      </c>
      <c r="AD2" s="9" t="s">
        <v>156</v>
      </c>
      <c r="AE2" s="9" t="s">
        <v>39</v>
      </c>
      <c r="AF2" s="9" t="s">
        <v>39</v>
      </c>
      <c r="AG2" s="9" t="s">
        <v>39</v>
      </c>
      <c r="AH2" s="9" t="s">
        <v>156</v>
      </c>
      <c r="AI2" s="9" t="s">
        <v>156</v>
      </c>
      <c r="AJ2" s="9" t="s">
        <v>156</v>
      </c>
      <c r="AK2" s="9" t="s">
        <v>39</v>
      </c>
      <c r="AL2" s="9" t="s">
        <v>39</v>
      </c>
      <c r="AM2" s="9" t="s">
        <v>39</v>
      </c>
      <c r="AN2" s="9" t="s">
        <v>156</v>
      </c>
      <c r="AO2" s="9" t="s">
        <v>156</v>
      </c>
      <c r="AP2" s="9" t="s">
        <v>156</v>
      </c>
      <c r="AQ2" s="9" t="s">
        <v>39</v>
      </c>
      <c r="AR2" s="9" t="s">
        <v>39</v>
      </c>
      <c r="AS2" s="9" t="s">
        <v>39</v>
      </c>
      <c r="AT2" s="9" t="s">
        <v>156</v>
      </c>
      <c r="AU2" s="9" t="s">
        <v>156</v>
      </c>
      <c r="AV2" s="9" t="s">
        <v>156</v>
      </c>
      <c r="AW2" s="9" t="s">
        <v>39</v>
      </c>
      <c r="AX2" s="9" t="s">
        <v>39</v>
      </c>
      <c r="AY2" s="9" t="s">
        <v>39</v>
      </c>
      <c r="AZ2" s="9" t="s">
        <v>156</v>
      </c>
      <c r="BA2" s="9" t="s">
        <v>156</v>
      </c>
      <c r="BB2" s="9" t="s">
        <v>156</v>
      </c>
      <c r="BC2" s="9" t="s">
        <v>39</v>
      </c>
      <c r="BD2" s="9" t="s">
        <v>39</v>
      </c>
      <c r="BE2" s="9" t="s">
        <v>39</v>
      </c>
      <c r="BF2" s="9" t="s">
        <v>156</v>
      </c>
      <c r="BG2" s="9" t="s">
        <v>156</v>
      </c>
      <c r="BH2" s="9" t="s">
        <v>156</v>
      </c>
      <c r="BI2" s="9" t="s">
        <v>39</v>
      </c>
      <c r="BJ2" s="9" t="s">
        <v>39</v>
      </c>
      <c r="BK2" s="9" t="s">
        <v>39</v>
      </c>
      <c r="BL2" s="9" t="s">
        <v>156</v>
      </c>
      <c r="BM2" s="9" t="s">
        <v>156</v>
      </c>
      <c r="BN2" s="9" t="s">
        <v>156</v>
      </c>
      <c r="BO2" s="9" t="s">
        <v>39</v>
      </c>
      <c r="BP2" s="9" t="s">
        <v>39</v>
      </c>
      <c r="BQ2" s="9" t="s">
        <v>39</v>
      </c>
      <c r="BR2" s="9" t="s">
        <v>156</v>
      </c>
      <c r="BS2" s="9" t="s">
        <v>156</v>
      </c>
      <c r="BT2" s="9" t="s">
        <v>156</v>
      </c>
      <c r="BU2" s="9" t="s">
        <v>39</v>
      </c>
      <c r="BV2" s="9" t="s">
        <v>39</v>
      </c>
      <c r="BW2" s="9" t="s">
        <v>39</v>
      </c>
    </row>
    <row r="3" spans="1:75" s="9" customFormat="1" x14ac:dyDescent="0.3">
      <c r="A3" s="7"/>
      <c r="B3" s="7"/>
      <c r="C3" s="7"/>
      <c r="D3" s="53" t="s">
        <v>26</v>
      </c>
      <c r="E3" s="53" t="s">
        <v>56</v>
      </c>
      <c r="F3" s="53" t="s">
        <v>57</v>
      </c>
      <c r="G3" s="9" t="s">
        <v>26</v>
      </c>
      <c r="H3" s="9" t="s">
        <v>56</v>
      </c>
      <c r="I3" s="9" t="s">
        <v>57</v>
      </c>
      <c r="J3" s="9" t="s">
        <v>26</v>
      </c>
      <c r="K3" s="9" t="s">
        <v>56</v>
      </c>
      <c r="L3" s="9" t="s">
        <v>57</v>
      </c>
      <c r="M3" s="9" t="s">
        <v>26</v>
      </c>
      <c r="N3" s="9" t="s">
        <v>56</v>
      </c>
      <c r="O3" s="9" t="s">
        <v>57</v>
      </c>
      <c r="P3" s="9" t="s">
        <v>26</v>
      </c>
      <c r="Q3" s="9" t="s">
        <v>56</v>
      </c>
      <c r="R3" s="9" t="s">
        <v>57</v>
      </c>
      <c r="S3" s="9" t="s">
        <v>26</v>
      </c>
      <c r="T3" s="9" t="s">
        <v>56</v>
      </c>
      <c r="U3" s="9" t="s">
        <v>57</v>
      </c>
      <c r="V3" s="9" t="s">
        <v>26</v>
      </c>
      <c r="W3" s="9" t="s">
        <v>56</v>
      </c>
      <c r="X3" s="9" t="s">
        <v>57</v>
      </c>
      <c r="Y3" s="9" t="s">
        <v>26</v>
      </c>
      <c r="Z3" s="9" t="s">
        <v>56</v>
      </c>
      <c r="AA3" s="9" t="s">
        <v>57</v>
      </c>
      <c r="AB3" s="9" t="s">
        <v>26</v>
      </c>
      <c r="AC3" s="9" t="s">
        <v>56</v>
      </c>
      <c r="AD3" s="9" t="s">
        <v>57</v>
      </c>
      <c r="AE3" s="9" t="s">
        <v>26</v>
      </c>
      <c r="AF3" s="9" t="s">
        <v>56</v>
      </c>
      <c r="AG3" s="9" t="s">
        <v>57</v>
      </c>
      <c r="AH3" s="9" t="s">
        <v>26</v>
      </c>
      <c r="AI3" s="9" t="s">
        <v>56</v>
      </c>
      <c r="AJ3" s="9" t="s">
        <v>57</v>
      </c>
      <c r="AK3" s="9" t="s">
        <v>26</v>
      </c>
      <c r="AL3" s="9" t="s">
        <v>56</v>
      </c>
      <c r="AM3" s="9" t="s">
        <v>57</v>
      </c>
      <c r="AN3" s="9" t="s">
        <v>26</v>
      </c>
      <c r="AO3" s="9" t="s">
        <v>56</v>
      </c>
      <c r="AP3" s="9" t="s">
        <v>57</v>
      </c>
      <c r="AQ3" s="9" t="s">
        <v>26</v>
      </c>
      <c r="AR3" s="9" t="s">
        <v>56</v>
      </c>
      <c r="AS3" s="9" t="s">
        <v>57</v>
      </c>
      <c r="AT3" s="9" t="s">
        <v>26</v>
      </c>
      <c r="AU3" s="9" t="s">
        <v>56</v>
      </c>
      <c r="AV3" s="9" t="s">
        <v>57</v>
      </c>
      <c r="AW3" s="9" t="s">
        <v>26</v>
      </c>
      <c r="AX3" s="9" t="s">
        <v>56</v>
      </c>
      <c r="AY3" s="9" t="s">
        <v>57</v>
      </c>
      <c r="AZ3" s="9" t="s">
        <v>26</v>
      </c>
      <c r="BA3" s="9" t="s">
        <v>56</v>
      </c>
      <c r="BB3" s="9" t="s">
        <v>57</v>
      </c>
      <c r="BC3" s="9" t="s">
        <v>26</v>
      </c>
      <c r="BD3" s="9" t="s">
        <v>56</v>
      </c>
      <c r="BE3" s="9" t="s">
        <v>57</v>
      </c>
      <c r="BF3" s="9" t="s">
        <v>26</v>
      </c>
      <c r="BG3" s="9" t="s">
        <v>56</v>
      </c>
      <c r="BH3" s="9" t="s">
        <v>57</v>
      </c>
      <c r="BI3" s="9" t="s">
        <v>26</v>
      </c>
      <c r="BJ3" s="9" t="s">
        <v>56</v>
      </c>
      <c r="BK3" s="9" t="s">
        <v>57</v>
      </c>
      <c r="BL3" s="9" t="s">
        <v>26</v>
      </c>
      <c r="BM3" s="9" t="s">
        <v>56</v>
      </c>
      <c r="BN3" s="9" t="s">
        <v>57</v>
      </c>
      <c r="BO3" s="9" t="s">
        <v>26</v>
      </c>
      <c r="BP3" s="9" t="s">
        <v>56</v>
      </c>
      <c r="BQ3" s="9" t="s">
        <v>57</v>
      </c>
      <c r="BR3" s="9" t="s">
        <v>26</v>
      </c>
      <c r="BS3" s="9" t="s">
        <v>56</v>
      </c>
      <c r="BT3" s="9" t="s">
        <v>57</v>
      </c>
      <c r="BU3" s="9" t="s">
        <v>26</v>
      </c>
      <c r="BV3" s="9" t="s">
        <v>56</v>
      </c>
      <c r="BW3" s="9" t="s">
        <v>57</v>
      </c>
    </row>
    <row r="4" spans="1:75" x14ac:dyDescent="0.3">
      <c r="A4" s="7" t="s">
        <v>89</v>
      </c>
      <c r="B4" s="7" t="s">
        <v>8</v>
      </c>
      <c r="C4" s="7" t="s">
        <v>60</v>
      </c>
      <c r="D4" s="52">
        <v>67900.800000000003</v>
      </c>
      <c r="E4" s="52">
        <v>237652.80000000002</v>
      </c>
      <c r="F4" s="52">
        <v>101851.20000000001</v>
      </c>
      <c r="G4" s="52">
        <v>27777.600000000002</v>
      </c>
      <c r="H4" s="52">
        <v>97221.6</v>
      </c>
      <c r="I4" s="52">
        <v>41666.400000000001</v>
      </c>
      <c r="J4" s="52">
        <v>46296.000000000007</v>
      </c>
      <c r="K4" s="52">
        <v>231480.00000000003</v>
      </c>
      <c r="L4" s="52">
        <v>92592.000000000015</v>
      </c>
      <c r="M4" s="52">
        <v>18518.400000000001</v>
      </c>
      <c r="N4" s="52">
        <v>80246.400000000009</v>
      </c>
      <c r="O4" s="52">
        <v>49382.400000000001</v>
      </c>
      <c r="P4" s="52">
        <v>64814.400000000009</v>
      </c>
      <c r="Q4" s="52">
        <v>226850.4</v>
      </c>
      <c r="R4" s="52">
        <v>97221.6</v>
      </c>
      <c r="S4" s="52">
        <v>23148.000000000004</v>
      </c>
      <c r="T4" s="52">
        <v>100308</v>
      </c>
      <c r="U4" s="52">
        <v>61728.000000000007</v>
      </c>
      <c r="V4" s="52">
        <v>58641.600000000006</v>
      </c>
      <c r="W4" s="52">
        <v>205245.60000000003</v>
      </c>
      <c r="X4" s="52">
        <v>87962.400000000009</v>
      </c>
      <c r="Y4" s="52">
        <v>25462.800000000003</v>
      </c>
      <c r="Z4" s="52">
        <v>118826.40000000001</v>
      </c>
      <c r="AA4" s="52">
        <v>59413.200000000004</v>
      </c>
      <c r="AB4" s="52">
        <v>67900.800000000003</v>
      </c>
      <c r="AC4" s="52">
        <v>237652.80000000002</v>
      </c>
      <c r="AD4" s="52">
        <v>101851.20000000001</v>
      </c>
      <c r="AE4" s="52">
        <v>20833.2</v>
      </c>
      <c r="AF4" s="52">
        <v>90277.200000000012</v>
      </c>
      <c r="AG4" s="52">
        <v>55555.200000000004</v>
      </c>
      <c r="AH4" s="52">
        <v>64814.400000000009</v>
      </c>
      <c r="AI4" s="52">
        <v>226850.4</v>
      </c>
      <c r="AJ4" s="52">
        <v>97221.6</v>
      </c>
      <c r="AK4" s="52">
        <v>20833.2</v>
      </c>
      <c r="AL4" s="52">
        <v>97221.6</v>
      </c>
      <c r="AM4" s="52">
        <v>48610.8</v>
      </c>
      <c r="AN4" s="52">
        <v>84876</v>
      </c>
      <c r="AO4" s="52">
        <v>203702.40000000002</v>
      </c>
      <c r="AP4" s="52">
        <v>118826.40000000001</v>
      </c>
      <c r="AQ4" s="52">
        <v>20833.2</v>
      </c>
      <c r="AR4" s="52">
        <v>97221.6</v>
      </c>
      <c r="AS4" s="52">
        <v>48610.8</v>
      </c>
      <c r="AT4" s="52">
        <v>67900.800000000003</v>
      </c>
      <c r="AU4" s="52">
        <v>220677.6</v>
      </c>
      <c r="AV4" s="52">
        <v>118826.40000000001</v>
      </c>
      <c r="AW4" s="52">
        <v>20833.2</v>
      </c>
      <c r="AX4" s="52">
        <v>97221.6</v>
      </c>
      <c r="AY4" s="52">
        <v>48610.8</v>
      </c>
      <c r="AZ4" s="52">
        <v>77160.000000000015</v>
      </c>
      <c r="BA4" s="52">
        <v>185184.00000000003</v>
      </c>
      <c r="BB4" s="52">
        <v>108024.00000000001</v>
      </c>
      <c r="BC4" s="52">
        <v>23148.000000000004</v>
      </c>
      <c r="BD4" s="52">
        <v>100308</v>
      </c>
      <c r="BE4" s="52">
        <v>61728.000000000007</v>
      </c>
      <c r="BF4" s="52">
        <v>50925.600000000006</v>
      </c>
      <c r="BG4" s="52">
        <v>237652.80000000002</v>
      </c>
      <c r="BH4" s="52">
        <v>118826.40000000001</v>
      </c>
      <c r="BI4" s="52">
        <v>20833.2</v>
      </c>
      <c r="BJ4" s="52">
        <v>90277.200000000012</v>
      </c>
      <c r="BK4" s="52">
        <v>55555.200000000004</v>
      </c>
      <c r="BL4" s="52">
        <v>32407.200000000004</v>
      </c>
      <c r="BM4" s="52">
        <v>243054.00000000003</v>
      </c>
      <c r="BN4" s="52">
        <v>113425.2</v>
      </c>
      <c r="BO4" s="52">
        <v>20833.2</v>
      </c>
      <c r="BP4" s="52">
        <v>90277.200000000012</v>
      </c>
      <c r="BQ4" s="52">
        <v>55555.200000000004</v>
      </c>
      <c r="BR4" s="52">
        <v>52468.800000000003</v>
      </c>
      <c r="BS4" s="52">
        <v>183640.80000000002</v>
      </c>
      <c r="BT4" s="52">
        <v>78703.200000000012</v>
      </c>
      <c r="BU4" s="52">
        <v>43209.599999999999</v>
      </c>
      <c r="BV4" s="52">
        <v>140431.20000000001</v>
      </c>
      <c r="BW4" s="52">
        <v>75616.800000000017</v>
      </c>
    </row>
    <row r="5" spans="1:75" x14ac:dyDescent="0.3">
      <c r="A5" s="7" t="s">
        <v>89</v>
      </c>
      <c r="B5" s="7" t="s">
        <v>8</v>
      </c>
      <c r="C5" s="7" t="s">
        <v>150</v>
      </c>
      <c r="D5" s="52">
        <v>20697.599999999999</v>
      </c>
      <c r="E5" s="52">
        <v>72441.599999999991</v>
      </c>
      <c r="F5" s="52">
        <v>31046.399999999994</v>
      </c>
      <c r="G5" s="52">
        <v>8467.1999999999989</v>
      </c>
      <c r="H5" s="52">
        <v>29635.199999999993</v>
      </c>
      <c r="I5" s="52">
        <v>12700.799999999997</v>
      </c>
      <c r="J5" s="52">
        <v>14111.999999999998</v>
      </c>
      <c r="K5" s="52">
        <v>70559.999999999985</v>
      </c>
      <c r="L5" s="52">
        <v>28223.999999999996</v>
      </c>
      <c r="M5" s="52">
        <v>5644.7999999999993</v>
      </c>
      <c r="N5" s="52">
        <v>24460.799999999996</v>
      </c>
      <c r="O5" s="52">
        <v>15052.799999999997</v>
      </c>
      <c r="P5" s="52">
        <v>19756.8</v>
      </c>
      <c r="Q5" s="52">
        <v>69148.799999999988</v>
      </c>
      <c r="R5" s="52">
        <v>29635.199999999993</v>
      </c>
      <c r="S5" s="52">
        <v>7055.9999999999991</v>
      </c>
      <c r="T5" s="52">
        <v>30575.999999999996</v>
      </c>
      <c r="U5" s="52">
        <v>18815.999999999996</v>
      </c>
      <c r="V5" s="52">
        <v>17875.199999999997</v>
      </c>
      <c r="W5" s="52">
        <v>62563.19999999999</v>
      </c>
      <c r="X5" s="52">
        <v>26812.799999999996</v>
      </c>
      <c r="Y5" s="52">
        <v>7761.5999999999985</v>
      </c>
      <c r="Z5" s="52">
        <v>36220.799999999996</v>
      </c>
      <c r="AA5" s="52">
        <v>18110.399999999998</v>
      </c>
      <c r="AB5" s="52">
        <v>20697.599999999999</v>
      </c>
      <c r="AC5" s="52">
        <v>72441.599999999991</v>
      </c>
      <c r="AD5" s="52">
        <v>31046.399999999994</v>
      </c>
      <c r="AE5" s="52">
        <v>6350.3999999999987</v>
      </c>
      <c r="AF5" s="52">
        <v>27518.399999999998</v>
      </c>
      <c r="AG5" s="52">
        <v>16934.399999999998</v>
      </c>
      <c r="AH5" s="52">
        <v>19756.8</v>
      </c>
      <c r="AI5" s="52">
        <v>69148.799999999988</v>
      </c>
      <c r="AJ5" s="52">
        <v>29635.199999999993</v>
      </c>
      <c r="AK5" s="52">
        <v>6350.3999999999987</v>
      </c>
      <c r="AL5" s="52">
        <v>29635.199999999993</v>
      </c>
      <c r="AM5" s="52">
        <v>14817.599999999997</v>
      </c>
      <c r="AN5" s="52">
        <v>25871.999999999996</v>
      </c>
      <c r="AO5" s="52">
        <v>62092.799999999988</v>
      </c>
      <c r="AP5" s="52">
        <v>36220.799999999996</v>
      </c>
      <c r="AQ5" s="52">
        <v>6350.3999999999987</v>
      </c>
      <c r="AR5" s="52">
        <v>29635.199999999993</v>
      </c>
      <c r="AS5" s="52">
        <v>14817.599999999997</v>
      </c>
      <c r="AT5" s="52">
        <v>20697.599999999999</v>
      </c>
      <c r="AU5" s="52">
        <v>67267.199999999983</v>
      </c>
      <c r="AV5" s="52">
        <v>36220.799999999996</v>
      </c>
      <c r="AW5" s="52">
        <v>0</v>
      </c>
      <c r="AX5" s="52">
        <v>0</v>
      </c>
      <c r="AY5" s="52">
        <v>0</v>
      </c>
      <c r="AZ5" s="52">
        <v>0</v>
      </c>
      <c r="BA5" s="52">
        <v>0</v>
      </c>
      <c r="BB5" s="52">
        <v>0</v>
      </c>
      <c r="BC5" s="52">
        <v>0</v>
      </c>
      <c r="BD5" s="52">
        <v>0</v>
      </c>
      <c r="BE5" s="52">
        <v>0</v>
      </c>
      <c r="BF5" s="52">
        <v>15523.199999999997</v>
      </c>
      <c r="BG5" s="52">
        <v>72441.599999999991</v>
      </c>
      <c r="BH5" s="52">
        <v>36220.799999999996</v>
      </c>
      <c r="BI5" s="52">
        <v>0</v>
      </c>
      <c r="BJ5" s="52">
        <v>0</v>
      </c>
      <c r="BK5" s="52">
        <v>0</v>
      </c>
      <c r="BL5" s="52">
        <v>9878.4</v>
      </c>
      <c r="BM5" s="52">
        <v>74088</v>
      </c>
      <c r="BN5" s="52">
        <v>34574.399999999994</v>
      </c>
      <c r="BO5" s="52">
        <v>0</v>
      </c>
      <c r="BP5" s="52">
        <v>0</v>
      </c>
      <c r="BQ5" s="52">
        <v>0</v>
      </c>
      <c r="BR5" s="52">
        <v>15993.599999999997</v>
      </c>
      <c r="BS5" s="52">
        <v>55977.599999999991</v>
      </c>
      <c r="BT5" s="52">
        <v>23990.399999999998</v>
      </c>
      <c r="BU5" s="52">
        <v>13171.199999999999</v>
      </c>
      <c r="BV5" s="52">
        <v>42806.399999999994</v>
      </c>
      <c r="BW5" s="52">
        <v>23049.599999999999</v>
      </c>
    </row>
    <row r="6" spans="1:75" x14ac:dyDescent="0.3">
      <c r="A6" s="7" t="s">
        <v>89</v>
      </c>
      <c r="B6" s="7" t="s">
        <v>8</v>
      </c>
      <c r="C6" s="7" t="s">
        <v>61</v>
      </c>
      <c r="D6" s="52">
        <v>8448.0000000000218</v>
      </c>
      <c r="E6" s="52">
        <v>25021.919999999955</v>
      </c>
      <c r="F6" s="52">
        <v>10723.67999999998</v>
      </c>
      <c r="G6" s="52">
        <v>0</v>
      </c>
      <c r="H6" s="52">
        <v>0</v>
      </c>
      <c r="I6" s="52">
        <v>0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0</v>
      </c>
      <c r="P6" s="52">
        <v>0</v>
      </c>
      <c r="Q6" s="52">
        <v>0</v>
      </c>
      <c r="R6" s="52">
        <v>0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0</v>
      </c>
      <c r="Y6" s="52">
        <v>0</v>
      </c>
      <c r="Z6" s="52">
        <v>0</v>
      </c>
      <c r="AA6" s="52">
        <v>0</v>
      </c>
      <c r="AB6" s="52">
        <v>0</v>
      </c>
      <c r="AC6" s="52">
        <v>0</v>
      </c>
      <c r="AD6" s="52">
        <v>0</v>
      </c>
      <c r="AE6" s="52">
        <v>0</v>
      </c>
      <c r="AF6" s="52">
        <v>0</v>
      </c>
      <c r="AG6" s="52">
        <v>0</v>
      </c>
      <c r="AH6" s="52">
        <v>0</v>
      </c>
      <c r="AI6" s="52">
        <v>0</v>
      </c>
      <c r="AJ6" s="52">
        <v>0</v>
      </c>
      <c r="AK6" s="52">
        <v>0</v>
      </c>
      <c r="AL6" s="52">
        <v>0</v>
      </c>
      <c r="AM6" s="52">
        <v>0</v>
      </c>
      <c r="AN6" s="52">
        <v>0</v>
      </c>
      <c r="AO6" s="52">
        <v>0</v>
      </c>
      <c r="AP6" s="52">
        <v>0</v>
      </c>
      <c r="AQ6" s="52">
        <v>0</v>
      </c>
      <c r="AR6" s="52">
        <v>0</v>
      </c>
      <c r="AS6" s="52">
        <v>0</v>
      </c>
      <c r="AT6" s="52">
        <v>0</v>
      </c>
      <c r="AU6" s="52">
        <v>0</v>
      </c>
      <c r="AV6" s="52">
        <v>0</v>
      </c>
      <c r="AW6" s="52">
        <v>0</v>
      </c>
      <c r="AX6" s="52">
        <v>0</v>
      </c>
      <c r="AY6" s="52">
        <v>0</v>
      </c>
      <c r="AZ6" s="52">
        <v>8123.9999999999991</v>
      </c>
      <c r="BA6" s="52">
        <v>19497.599999999999</v>
      </c>
      <c r="BB6" s="52">
        <v>11373.6</v>
      </c>
      <c r="BC6" s="52">
        <v>0</v>
      </c>
      <c r="BD6" s="52">
        <v>0</v>
      </c>
      <c r="BE6" s="52">
        <v>0</v>
      </c>
      <c r="BF6" s="52">
        <v>0</v>
      </c>
      <c r="BG6" s="52">
        <v>0</v>
      </c>
      <c r="BH6" s="52">
        <v>0</v>
      </c>
      <c r="BI6" s="52">
        <v>0</v>
      </c>
      <c r="BJ6" s="52">
        <v>0</v>
      </c>
      <c r="BK6" s="52">
        <v>0</v>
      </c>
      <c r="BL6" s="52">
        <v>5510.400000000046</v>
      </c>
      <c r="BM6" s="52">
        <v>25590.6</v>
      </c>
      <c r="BN6" s="52">
        <v>11942.279999999999</v>
      </c>
      <c r="BO6" s="52">
        <v>3080.7000000000144</v>
      </c>
      <c r="BP6" s="52">
        <v>9505.08</v>
      </c>
      <c r="BQ6" s="52">
        <v>5849.28</v>
      </c>
      <c r="BR6" s="52">
        <v>6084.7083636362222</v>
      </c>
      <c r="BS6" s="52">
        <v>19335.12</v>
      </c>
      <c r="BT6" s="52">
        <v>8286.48</v>
      </c>
      <c r="BU6" s="52">
        <v>0</v>
      </c>
      <c r="BV6" s="52">
        <v>0</v>
      </c>
      <c r="BW6" s="52">
        <v>0</v>
      </c>
    </row>
    <row r="7" spans="1:75" x14ac:dyDescent="0.3">
      <c r="A7" s="7" t="s">
        <v>89</v>
      </c>
      <c r="B7" s="7" t="s">
        <v>8</v>
      </c>
      <c r="C7" s="7" t="s">
        <v>152</v>
      </c>
      <c r="D7" s="52">
        <v>0</v>
      </c>
      <c r="E7" s="52">
        <v>0</v>
      </c>
      <c r="F7" s="52">
        <v>0</v>
      </c>
      <c r="G7" s="52">
        <v>0</v>
      </c>
      <c r="H7" s="52">
        <v>0</v>
      </c>
      <c r="I7" s="52">
        <v>0</v>
      </c>
      <c r="J7" s="52">
        <v>0</v>
      </c>
      <c r="K7" s="52">
        <v>0</v>
      </c>
      <c r="L7" s="52">
        <v>0</v>
      </c>
      <c r="M7" s="52">
        <v>0</v>
      </c>
      <c r="N7" s="52">
        <v>0</v>
      </c>
      <c r="O7" s="52">
        <v>0</v>
      </c>
      <c r="P7" s="52">
        <v>0</v>
      </c>
      <c r="Q7" s="52">
        <v>0</v>
      </c>
      <c r="R7" s="52">
        <v>0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v>0</v>
      </c>
      <c r="AA7" s="52">
        <v>0</v>
      </c>
      <c r="AB7" s="52">
        <v>0</v>
      </c>
      <c r="AC7" s="52">
        <v>0</v>
      </c>
      <c r="AD7" s="52">
        <v>0</v>
      </c>
      <c r="AE7" s="52">
        <v>0</v>
      </c>
      <c r="AF7" s="52">
        <v>0</v>
      </c>
      <c r="AG7" s="52">
        <v>0</v>
      </c>
      <c r="AH7" s="52">
        <v>0</v>
      </c>
      <c r="AI7" s="52">
        <v>0</v>
      </c>
      <c r="AJ7" s="52">
        <v>0</v>
      </c>
      <c r="AK7" s="52">
        <v>0</v>
      </c>
      <c r="AL7" s="52">
        <v>0</v>
      </c>
      <c r="AM7" s="52">
        <v>0</v>
      </c>
      <c r="AN7" s="52">
        <v>0</v>
      </c>
      <c r="AO7" s="52">
        <v>0</v>
      </c>
      <c r="AP7" s="52">
        <v>0</v>
      </c>
      <c r="AQ7" s="52">
        <v>0</v>
      </c>
      <c r="AR7" s="52">
        <v>0</v>
      </c>
      <c r="AS7" s="52">
        <v>0</v>
      </c>
      <c r="AT7" s="52">
        <v>0</v>
      </c>
      <c r="AU7" s="52">
        <v>0</v>
      </c>
      <c r="AV7" s="52">
        <v>0</v>
      </c>
      <c r="AW7" s="52">
        <v>0</v>
      </c>
      <c r="AX7" s="52">
        <v>0</v>
      </c>
      <c r="AY7" s="52">
        <v>0</v>
      </c>
      <c r="AZ7" s="52">
        <v>6015.9999999999991</v>
      </c>
      <c r="BA7" s="52">
        <v>14438.399999999998</v>
      </c>
      <c r="BB7" s="52">
        <v>8422.4</v>
      </c>
      <c r="BC7" s="52">
        <v>0</v>
      </c>
      <c r="BD7" s="52">
        <v>0</v>
      </c>
      <c r="BE7" s="52">
        <v>0</v>
      </c>
      <c r="BF7" s="52">
        <v>4507.8000000000093</v>
      </c>
      <c r="BG7" s="52">
        <v>18529.279999999788</v>
      </c>
      <c r="BH7" s="52">
        <v>9264.6399999998939</v>
      </c>
      <c r="BI7" s="52">
        <v>0</v>
      </c>
      <c r="BJ7" s="52">
        <v>0</v>
      </c>
      <c r="BK7" s="52">
        <v>0</v>
      </c>
      <c r="BL7" s="52">
        <v>0</v>
      </c>
      <c r="BM7" s="52">
        <v>0</v>
      </c>
      <c r="BN7" s="52">
        <v>0</v>
      </c>
      <c r="BO7" s="52">
        <v>0</v>
      </c>
      <c r="BP7" s="52">
        <v>0</v>
      </c>
      <c r="BQ7" s="52">
        <v>0</v>
      </c>
      <c r="BR7" s="52">
        <v>10227.200000000001</v>
      </c>
      <c r="BS7" s="52">
        <v>14318.079999999998</v>
      </c>
      <c r="BT7" s="52">
        <v>6136.32</v>
      </c>
      <c r="BU7" s="52">
        <v>0</v>
      </c>
      <c r="BV7" s="52">
        <v>0</v>
      </c>
      <c r="BW7" s="52">
        <v>0</v>
      </c>
    </row>
    <row r="8" spans="1:75" x14ac:dyDescent="0.3">
      <c r="A8" s="7" t="s">
        <v>89</v>
      </c>
      <c r="B8" s="7" t="s">
        <v>8</v>
      </c>
      <c r="C8" s="7" t="s">
        <v>151</v>
      </c>
      <c r="D8" s="52">
        <v>17107.2</v>
      </c>
      <c r="E8" s="52">
        <v>23950.080000000002</v>
      </c>
      <c r="F8" s="52">
        <v>10264.320000000002</v>
      </c>
      <c r="G8" s="52">
        <v>6998.4000000000005</v>
      </c>
      <c r="H8" s="52">
        <v>9797.760000000002</v>
      </c>
      <c r="I8" s="52">
        <v>4199.04</v>
      </c>
      <c r="J8" s="52">
        <v>5538.0000000000355</v>
      </c>
      <c r="K8" s="52">
        <v>23327.999999999818</v>
      </c>
      <c r="L8" s="52">
        <v>9331.199999999928</v>
      </c>
      <c r="M8" s="52">
        <v>0</v>
      </c>
      <c r="N8" s="52">
        <v>0</v>
      </c>
      <c r="O8" s="52">
        <v>0</v>
      </c>
      <c r="P8" s="52">
        <v>0</v>
      </c>
      <c r="Q8" s="52">
        <v>0</v>
      </c>
      <c r="R8" s="52">
        <v>0</v>
      </c>
      <c r="S8" s="52">
        <v>0</v>
      </c>
      <c r="T8" s="52">
        <v>0</v>
      </c>
      <c r="U8" s="52">
        <v>0</v>
      </c>
      <c r="V8" s="52">
        <v>14774.400000000001</v>
      </c>
      <c r="W8" s="52">
        <v>38474.024000000558</v>
      </c>
      <c r="X8" s="52">
        <v>8864.6400000000012</v>
      </c>
      <c r="Y8" s="52">
        <v>6415.2000000000007</v>
      </c>
      <c r="Z8" s="52">
        <v>11975.04</v>
      </c>
      <c r="AA8" s="52">
        <v>5987.52</v>
      </c>
      <c r="AB8" s="52">
        <v>12091.199999999992</v>
      </c>
      <c r="AC8" s="52">
        <v>53838.399999999951</v>
      </c>
      <c r="AD8" s="52">
        <v>10264.319999999994</v>
      </c>
      <c r="AE8" s="52">
        <v>0</v>
      </c>
      <c r="AF8" s="52">
        <v>0</v>
      </c>
      <c r="AG8" s="52">
        <v>0</v>
      </c>
      <c r="AH8" s="52">
        <v>16329.600000000002</v>
      </c>
      <c r="AI8" s="52">
        <v>22861.439999999991</v>
      </c>
      <c r="AJ8" s="52">
        <v>9797.7599999999966</v>
      </c>
      <c r="AK8" s="52">
        <v>0</v>
      </c>
      <c r="AL8" s="52">
        <v>0</v>
      </c>
      <c r="AM8" s="52">
        <v>0</v>
      </c>
      <c r="AN8" s="52">
        <v>21384</v>
      </c>
      <c r="AO8" s="52">
        <v>31307.066545456571</v>
      </c>
      <c r="AP8" s="52">
        <v>11975.04</v>
      </c>
      <c r="AQ8" s="52">
        <v>0</v>
      </c>
      <c r="AR8" s="52">
        <v>0</v>
      </c>
      <c r="AS8" s="52">
        <v>0</v>
      </c>
      <c r="AT8" s="52">
        <v>17107.2</v>
      </c>
      <c r="AU8" s="52">
        <v>55598.400000000009</v>
      </c>
      <c r="AV8" s="52">
        <v>11975.04</v>
      </c>
      <c r="AW8" s="52">
        <v>5248.8</v>
      </c>
      <c r="AX8" s="52">
        <v>9797.760000000002</v>
      </c>
      <c r="AY8" s="52">
        <v>4898.880000000001</v>
      </c>
      <c r="AZ8" s="52">
        <v>18925.999999999898</v>
      </c>
      <c r="BA8" s="52">
        <v>18662.400000000001</v>
      </c>
      <c r="BB8" s="52">
        <v>10886.400000000001</v>
      </c>
      <c r="BC8" s="52">
        <v>2332.8000000000002</v>
      </c>
      <c r="BD8" s="52">
        <v>10108.800000000001</v>
      </c>
      <c r="BE8" s="52">
        <v>6220.8</v>
      </c>
      <c r="BF8" s="52">
        <v>12830.400000000001</v>
      </c>
      <c r="BG8" s="52">
        <v>59875.200000000004</v>
      </c>
      <c r="BH8" s="52">
        <v>11975.04</v>
      </c>
      <c r="BI8" s="52">
        <v>0</v>
      </c>
      <c r="BJ8" s="52">
        <v>0</v>
      </c>
      <c r="BK8" s="52">
        <v>0</v>
      </c>
      <c r="BL8" s="52">
        <v>0</v>
      </c>
      <c r="BM8" s="52">
        <v>0</v>
      </c>
      <c r="BN8" s="52">
        <v>0</v>
      </c>
      <c r="BO8" s="52">
        <v>0</v>
      </c>
      <c r="BP8" s="52">
        <v>0</v>
      </c>
      <c r="BQ8" s="52">
        <v>0</v>
      </c>
      <c r="BR8" s="52">
        <v>13219.2</v>
      </c>
      <c r="BS8" s="52">
        <v>19929.538909091054</v>
      </c>
      <c r="BT8" s="52">
        <v>7931.52</v>
      </c>
      <c r="BU8" s="52">
        <v>10886.400000000001</v>
      </c>
      <c r="BV8" s="52">
        <v>14152.320000000002</v>
      </c>
      <c r="BW8" s="52">
        <v>7620.4800000000005</v>
      </c>
    </row>
    <row r="9" spans="1:75" x14ac:dyDescent="0.3">
      <c r="A9" s="7" t="s">
        <v>89</v>
      </c>
      <c r="B9" s="7" t="s">
        <v>8</v>
      </c>
      <c r="C9" s="7" t="s">
        <v>62</v>
      </c>
      <c r="D9" s="52">
        <v>44000</v>
      </c>
      <c r="E9" s="52">
        <v>154000</v>
      </c>
      <c r="F9" s="52">
        <v>66000</v>
      </c>
      <c r="G9" s="52">
        <v>18000</v>
      </c>
      <c r="H9" s="52">
        <v>63000</v>
      </c>
      <c r="I9" s="52">
        <v>27000</v>
      </c>
      <c r="J9" s="52">
        <v>30000</v>
      </c>
      <c r="K9" s="52">
        <v>150000</v>
      </c>
      <c r="L9" s="52">
        <v>60000</v>
      </c>
      <c r="M9" s="52">
        <v>12000</v>
      </c>
      <c r="N9" s="52">
        <v>52000</v>
      </c>
      <c r="O9" s="52">
        <v>32000</v>
      </c>
      <c r="P9" s="52">
        <v>42000</v>
      </c>
      <c r="Q9" s="52">
        <v>147000</v>
      </c>
      <c r="R9" s="52">
        <v>63000</v>
      </c>
      <c r="S9" s="52">
        <v>15000</v>
      </c>
      <c r="T9" s="52">
        <v>65000</v>
      </c>
      <c r="U9" s="52">
        <v>40000</v>
      </c>
      <c r="V9" s="52">
        <v>38000</v>
      </c>
      <c r="W9" s="52">
        <v>133000</v>
      </c>
      <c r="X9" s="52">
        <v>21261.000000000127</v>
      </c>
      <c r="Y9" s="52">
        <v>0</v>
      </c>
      <c r="Z9" s="52">
        <v>0</v>
      </c>
      <c r="AA9" s="52">
        <v>0</v>
      </c>
      <c r="AB9" s="52">
        <v>44000</v>
      </c>
      <c r="AC9" s="52">
        <v>154000</v>
      </c>
      <c r="AD9" s="52">
        <v>66000</v>
      </c>
      <c r="AE9" s="52">
        <v>13500</v>
      </c>
      <c r="AF9" s="52">
        <v>58500</v>
      </c>
      <c r="AG9" s="52">
        <v>36000</v>
      </c>
      <c r="AH9" s="52">
        <v>42000</v>
      </c>
      <c r="AI9" s="52">
        <v>147000</v>
      </c>
      <c r="AJ9" s="52">
        <v>63000</v>
      </c>
      <c r="AK9" s="52">
        <v>13500</v>
      </c>
      <c r="AL9" s="52">
        <v>63000</v>
      </c>
      <c r="AM9" s="52">
        <v>31500</v>
      </c>
      <c r="AN9" s="52">
        <v>55000</v>
      </c>
      <c r="AO9" s="52">
        <v>132000</v>
      </c>
      <c r="AP9" s="52">
        <v>77000</v>
      </c>
      <c r="AQ9" s="52">
        <v>13500</v>
      </c>
      <c r="AR9" s="52">
        <v>63000</v>
      </c>
      <c r="AS9" s="52">
        <v>31500</v>
      </c>
      <c r="AT9" s="52">
        <v>44000</v>
      </c>
      <c r="AU9" s="52">
        <v>143000</v>
      </c>
      <c r="AV9" s="52">
        <v>77000</v>
      </c>
      <c r="AW9" s="52">
        <v>13500</v>
      </c>
      <c r="AX9" s="52">
        <v>63000</v>
      </c>
      <c r="AY9" s="52">
        <v>31500</v>
      </c>
      <c r="AZ9" s="52">
        <v>50000</v>
      </c>
      <c r="BA9" s="52">
        <v>120000</v>
      </c>
      <c r="BB9" s="52">
        <v>70000</v>
      </c>
      <c r="BC9" s="52">
        <v>15000</v>
      </c>
      <c r="BD9" s="52">
        <v>65000</v>
      </c>
      <c r="BE9" s="52">
        <v>40000</v>
      </c>
      <c r="BF9" s="52">
        <v>33000</v>
      </c>
      <c r="BG9" s="52">
        <v>154000</v>
      </c>
      <c r="BH9" s="52">
        <v>77000</v>
      </c>
      <c r="BI9" s="52">
        <v>13500</v>
      </c>
      <c r="BJ9" s="52">
        <v>58500</v>
      </c>
      <c r="BK9" s="52">
        <v>36000</v>
      </c>
      <c r="BL9" s="52">
        <v>21000</v>
      </c>
      <c r="BM9" s="52">
        <v>157500</v>
      </c>
      <c r="BN9" s="52">
        <v>73500</v>
      </c>
      <c r="BO9" s="52">
        <v>13500</v>
      </c>
      <c r="BP9" s="52">
        <v>58500</v>
      </c>
      <c r="BQ9" s="52">
        <v>36000</v>
      </c>
      <c r="BR9" s="52">
        <v>34000</v>
      </c>
      <c r="BS9" s="52">
        <v>119000</v>
      </c>
      <c r="BT9" s="52">
        <v>51000</v>
      </c>
      <c r="BU9" s="52">
        <v>28000</v>
      </c>
      <c r="BV9" s="52">
        <v>91000</v>
      </c>
      <c r="BW9" s="52">
        <v>45353.520000000201</v>
      </c>
    </row>
    <row r="10" spans="1:75" x14ac:dyDescent="0.3">
      <c r="A10" s="7" t="s">
        <v>89</v>
      </c>
      <c r="B10" s="7" t="s">
        <v>8</v>
      </c>
      <c r="C10" s="7" t="s">
        <v>63</v>
      </c>
      <c r="D10" s="52">
        <v>44000</v>
      </c>
      <c r="E10" s="52">
        <v>154000</v>
      </c>
      <c r="F10" s="52">
        <v>26981.160000000014</v>
      </c>
      <c r="G10" s="52">
        <v>18000</v>
      </c>
      <c r="H10" s="52">
        <v>63000</v>
      </c>
      <c r="I10" s="52">
        <v>5400</v>
      </c>
      <c r="J10" s="52">
        <v>30000</v>
      </c>
      <c r="K10" s="52">
        <v>150000</v>
      </c>
      <c r="L10" s="52">
        <v>24666.365217391296</v>
      </c>
      <c r="M10" s="52">
        <v>12000</v>
      </c>
      <c r="N10" s="52">
        <v>52000</v>
      </c>
      <c r="O10" s="52">
        <v>9076.034782608669</v>
      </c>
      <c r="P10" s="52">
        <v>42000</v>
      </c>
      <c r="Q10" s="52">
        <v>147000</v>
      </c>
      <c r="R10" s="52">
        <v>25011.000000000018</v>
      </c>
      <c r="S10" s="52">
        <v>15000</v>
      </c>
      <c r="T10" s="52">
        <v>65000</v>
      </c>
      <c r="U10" s="52">
        <v>8280.0000000000036</v>
      </c>
      <c r="V10" s="52">
        <v>38000</v>
      </c>
      <c r="W10" s="52">
        <v>133000</v>
      </c>
      <c r="X10" s="52">
        <v>48360.077277486955</v>
      </c>
      <c r="Y10" s="52">
        <v>16500</v>
      </c>
      <c r="Z10" s="52">
        <v>77000</v>
      </c>
      <c r="AA10" s="52">
        <v>32664.262722513122</v>
      </c>
      <c r="AB10" s="52">
        <v>44000</v>
      </c>
      <c r="AC10" s="52">
        <v>154000</v>
      </c>
      <c r="AD10" s="52">
        <v>18392.88000000007</v>
      </c>
      <c r="AE10" s="52">
        <v>0</v>
      </c>
      <c r="AF10" s="52">
        <v>0</v>
      </c>
      <c r="AG10" s="52">
        <v>0</v>
      </c>
      <c r="AH10" s="52">
        <v>42000</v>
      </c>
      <c r="AI10" s="52">
        <v>147000</v>
      </c>
      <c r="AJ10" s="52">
        <v>28292.040000000008</v>
      </c>
      <c r="AK10" s="52">
        <v>13500</v>
      </c>
      <c r="AL10" s="52">
        <v>63000</v>
      </c>
      <c r="AM10" s="52">
        <v>8700.3000000000011</v>
      </c>
      <c r="AN10" s="52">
        <v>55000</v>
      </c>
      <c r="AO10" s="52">
        <v>132000</v>
      </c>
      <c r="AP10" s="52">
        <v>51996.559999999976</v>
      </c>
      <c r="AQ10" s="52">
        <v>13500</v>
      </c>
      <c r="AR10" s="52">
        <v>63000</v>
      </c>
      <c r="AS10" s="52">
        <v>14175.00000000002</v>
      </c>
      <c r="AT10" s="52">
        <v>44000</v>
      </c>
      <c r="AU10" s="52">
        <v>143000</v>
      </c>
      <c r="AV10" s="52">
        <v>35595.55999999999</v>
      </c>
      <c r="AW10" s="52">
        <v>13500</v>
      </c>
      <c r="AX10" s="52">
        <v>63000</v>
      </c>
      <c r="AY10" s="52">
        <v>14561.819999999996</v>
      </c>
      <c r="AZ10" s="52">
        <v>50000</v>
      </c>
      <c r="BA10" s="52">
        <v>120000</v>
      </c>
      <c r="BB10" s="52">
        <v>44705.600000000064</v>
      </c>
      <c r="BC10" s="52">
        <v>15000</v>
      </c>
      <c r="BD10" s="52">
        <v>65000</v>
      </c>
      <c r="BE10" s="52">
        <v>21707.200000000008</v>
      </c>
      <c r="BF10" s="52">
        <v>33000</v>
      </c>
      <c r="BG10" s="52">
        <v>154000</v>
      </c>
      <c r="BH10" s="52">
        <v>35929.562831858449</v>
      </c>
      <c r="BI10" s="52">
        <v>13500</v>
      </c>
      <c r="BJ10" s="52">
        <v>58500</v>
      </c>
      <c r="BK10" s="52">
        <v>16798.237168141612</v>
      </c>
      <c r="BL10" s="52">
        <v>21000</v>
      </c>
      <c r="BM10" s="52">
        <v>157500</v>
      </c>
      <c r="BN10" s="52">
        <v>34631.146027397292</v>
      </c>
      <c r="BO10" s="52">
        <v>13500</v>
      </c>
      <c r="BP10" s="52">
        <v>58500</v>
      </c>
      <c r="BQ10" s="52">
        <v>16962.193972602756</v>
      </c>
      <c r="BR10" s="52">
        <v>34000</v>
      </c>
      <c r="BS10" s="52">
        <v>119000</v>
      </c>
      <c r="BT10" s="52">
        <v>17333.880000000096</v>
      </c>
      <c r="BU10" s="52">
        <v>28000</v>
      </c>
      <c r="BV10" s="52">
        <v>91000</v>
      </c>
      <c r="BW10" s="52">
        <v>9800</v>
      </c>
    </row>
    <row r="11" spans="1:75" x14ac:dyDescent="0.3">
      <c r="A11" s="7" t="s">
        <v>89</v>
      </c>
      <c r="B11" s="7" t="s">
        <v>8</v>
      </c>
      <c r="C11" s="7" t="s">
        <v>64</v>
      </c>
      <c r="D11" s="52">
        <v>44000</v>
      </c>
      <c r="E11" s="52">
        <v>154000</v>
      </c>
      <c r="F11" s="52">
        <v>13200.000000000002</v>
      </c>
      <c r="G11" s="52">
        <v>0</v>
      </c>
      <c r="H11" s="52">
        <v>0</v>
      </c>
      <c r="I11" s="52">
        <v>0</v>
      </c>
      <c r="J11" s="52">
        <v>30000</v>
      </c>
      <c r="K11" s="52">
        <v>150000</v>
      </c>
      <c r="L11" s="52">
        <v>12000</v>
      </c>
      <c r="M11" s="52">
        <v>0</v>
      </c>
      <c r="N11" s="52">
        <v>0</v>
      </c>
      <c r="O11" s="52">
        <v>0</v>
      </c>
      <c r="P11" s="52">
        <v>42000</v>
      </c>
      <c r="Q11" s="52">
        <v>147000</v>
      </c>
      <c r="R11" s="52">
        <v>12600.000000000002</v>
      </c>
      <c r="S11" s="52">
        <v>0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v>0</v>
      </c>
      <c r="AA11" s="52">
        <v>0</v>
      </c>
      <c r="AB11" s="52">
        <v>0</v>
      </c>
      <c r="AC11" s="52">
        <v>0</v>
      </c>
      <c r="AD11" s="52">
        <v>0</v>
      </c>
      <c r="AE11" s="52">
        <v>0</v>
      </c>
      <c r="AF11" s="52">
        <v>0</v>
      </c>
      <c r="AG11" s="52">
        <v>0</v>
      </c>
      <c r="AH11" s="52">
        <v>42000</v>
      </c>
      <c r="AI11" s="52">
        <v>147000</v>
      </c>
      <c r="AJ11" s="52">
        <v>12600.000000000002</v>
      </c>
      <c r="AK11" s="52">
        <v>0</v>
      </c>
      <c r="AL11" s="52">
        <v>0</v>
      </c>
      <c r="AM11" s="52">
        <v>0</v>
      </c>
      <c r="AN11" s="52">
        <v>55000</v>
      </c>
      <c r="AO11" s="52">
        <v>132000</v>
      </c>
      <c r="AP11" s="52">
        <v>15400</v>
      </c>
      <c r="AQ11" s="52">
        <v>0</v>
      </c>
      <c r="AR11" s="52">
        <v>0</v>
      </c>
      <c r="AS11" s="52">
        <v>0</v>
      </c>
      <c r="AT11" s="52">
        <v>0</v>
      </c>
      <c r="AU11" s="52">
        <v>0</v>
      </c>
      <c r="AV11" s="52">
        <v>0</v>
      </c>
      <c r="AW11" s="52">
        <v>0</v>
      </c>
      <c r="AX11" s="52">
        <v>0</v>
      </c>
      <c r="AY11" s="52">
        <v>0</v>
      </c>
      <c r="AZ11" s="52">
        <v>50000</v>
      </c>
      <c r="BA11" s="52">
        <v>120000</v>
      </c>
      <c r="BB11" s="52">
        <v>14000</v>
      </c>
      <c r="BC11" s="52">
        <v>0</v>
      </c>
      <c r="BD11" s="52">
        <v>0</v>
      </c>
      <c r="BE11" s="52">
        <v>0</v>
      </c>
      <c r="BF11" s="52">
        <v>0</v>
      </c>
      <c r="BG11" s="52">
        <v>0</v>
      </c>
      <c r="BH11" s="52">
        <v>0</v>
      </c>
      <c r="BI11" s="52">
        <v>0</v>
      </c>
      <c r="BJ11" s="52">
        <v>0</v>
      </c>
      <c r="BK11" s="52">
        <v>0</v>
      </c>
      <c r="BL11" s="52">
        <v>21000</v>
      </c>
      <c r="BM11" s="52">
        <v>155452.50000000009</v>
      </c>
      <c r="BN11" s="52">
        <v>14700.000000000002</v>
      </c>
      <c r="BO11" s="52">
        <v>0</v>
      </c>
      <c r="BP11" s="52">
        <v>0</v>
      </c>
      <c r="BQ11" s="52">
        <v>0</v>
      </c>
      <c r="BR11" s="52">
        <v>34000</v>
      </c>
      <c r="BS11" s="52">
        <v>119000</v>
      </c>
      <c r="BT11" s="52">
        <v>10200.000000000002</v>
      </c>
      <c r="BU11" s="52">
        <v>0</v>
      </c>
      <c r="BV11" s="52">
        <v>0</v>
      </c>
      <c r="BW11" s="52">
        <v>0</v>
      </c>
    </row>
    <row r="12" spans="1:75" x14ac:dyDescent="0.3">
      <c r="A12" s="7" t="s">
        <v>89</v>
      </c>
      <c r="B12" s="7" t="s">
        <v>8</v>
      </c>
      <c r="C12" s="7" t="s">
        <v>65</v>
      </c>
      <c r="D12" s="52">
        <v>58739.999999999993</v>
      </c>
      <c r="E12" s="52">
        <v>205590</v>
      </c>
      <c r="F12" s="52">
        <v>88110</v>
      </c>
      <c r="G12" s="52">
        <v>24030</v>
      </c>
      <c r="H12" s="52">
        <v>84105</v>
      </c>
      <c r="I12" s="52">
        <v>36045</v>
      </c>
      <c r="J12" s="52">
        <v>40050</v>
      </c>
      <c r="K12" s="52">
        <v>200250</v>
      </c>
      <c r="L12" s="52">
        <v>80100</v>
      </c>
      <c r="M12" s="52">
        <v>16020</v>
      </c>
      <c r="N12" s="52">
        <v>69420</v>
      </c>
      <c r="O12" s="52">
        <v>42720</v>
      </c>
      <c r="P12" s="52">
        <v>56070</v>
      </c>
      <c r="Q12" s="52">
        <v>196245</v>
      </c>
      <c r="R12" s="52">
        <v>84105</v>
      </c>
      <c r="S12" s="52">
        <v>20025</v>
      </c>
      <c r="T12" s="52">
        <v>86774.999999999985</v>
      </c>
      <c r="U12" s="52">
        <v>53400</v>
      </c>
      <c r="V12" s="52">
        <v>50730</v>
      </c>
      <c r="W12" s="52">
        <v>177555</v>
      </c>
      <c r="X12" s="52">
        <v>76095</v>
      </c>
      <c r="Y12" s="52">
        <v>22027.5</v>
      </c>
      <c r="Z12" s="52">
        <v>102795</v>
      </c>
      <c r="AA12" s="52">
        <v>51397.5</v>
      </c>
      <c r="AB12" s="52">
        <v>58739.999999999993</v>
      </c>
      <c r="AC12" s="52">
        <v>205590</v>
      </c>
      <c r="AD12" s="52">
        <v>88110</v>
      </c>
      <c r="AE12" s="52">
        <v>18022.5</v>
      </c>
      <c r="AF12" s="52">
        <v>78097.5</v>
      </c>
      <c r="AG12" s="52">
        <v>48060</v>
      </c>
      <c r="AH12" s="52">
        <v>56070</v>
      </c>
      <c r="AI12" s="52">
        <v>196245</v>
      </c>
      <c r="AJ12" s="52">
        <v>84105</v>
      </c>
      <c r="AK12" s="52">
        <v>18022.5</v>
      </c>
      <c r="AL12" s="52">
        <v>84105</v>
      </c>
      <c r="AM12" s="52">
        <v>42052.5</v>
      </c>
      <c r="AN12" s="52">
        <v>73425</v>
      </c>
      <c r="AO12" s="52">
        <v>176220</v>
      </c>
      <c r="AP12" s="52">
        <v>102795</v>
      </c>
      <c r="AQ12" s="52">
        <v>18022.5</v>
      </c>
      <c r="AR12" s="52">
        <v>84105</v>
      </c>
      <c r="AS12" s="52">
        <v>42052.5</v>
      </c>
      <c r="AT12" s="52">
        <v>58739.999999999993</v>
      </c>
      <c r="AU12" s="52">
        <v>190905</v>
      </c>
      <c r="AV12" s="52">
        <v>102795</v>
      </c>
      <c r="AW12" s="52">
        <v>18022.5</v>
      </c>
      <c r="AX12" s="52">
        <v>84105</v>
      </c>
      <c r="AY12" s="52">
        <v>42052.5</v>
      </c>
      <c r="AZ12" s="52">
        <v>66750</v>
      </c>
      <c r="BA12" s="52">
        <v>160200</v>
      </c>
      <c r="BB12" s="52">
        <v>93450</v>
      </c>
      <c r="BC12" s="52">
        <v>20025</v>
      </c>
      <c r="BD12" s="52">
        <v>86774.999999999985</v>
      </c>
      <c r="BE12" s="52">
        <v>53400</v>
      </c>
      <c r="BF12" s="52">
        <v>44055</v>
      </c>
      <c r="BG12" s="52">
        <v>205590</v>
      </c>
      <c r="BH12" s="52">
        <v>102795</v>
      </c>
      <c r="BI12" s="52">
        <v>18022.5</v>
      </c>
      <c r="BJ12" s="52">
        <v>78097.5</v>
      </c>
      <c r="BK12" s="52">
        <v>48060</v>
      </c>
      <c r="BL12" s="52">
        <v>28035</v>
      </c>
      <c r="BM12" s="52">
        <v>210262.5</v>
      </c>
      <c r="BN12" s="52">
        <v>98122.5</v>
      </c>
      <c r="BO12" s="52">
        <v>18022.5</v>
      </c>
      <c r="BP12" s="52">
        <v>78097.5</v>
      </c>
      <c r="BQ12" s="52">
        <v>48060</v>
      </c>
      <c r="BR12" s="52">
        <v>45390</v>
      </c>
      <c r="BS12" s="52">
        <v>158865</v>
      </c>
      <c r="BT12" s="52">
        <v>68085</v>
      </c>
      <c r="BU12" s="52">
        <v>37379.999999999993</v>
      </c>
      <c r="BV12" s="52">
        <v>121485</v>
      </c>
      <c r="BW12" s="52">
        <v>65414.999999999993</v>
      </c>
    </row>
    <row r="13" spans="1:75" x14ac:dyDescent="0.3">
      <c r="A13" s="7" t="s">
        <v>89</v>
      </c>
      <c r="B13" s="7" t="s">
        <v>8</v>
      </c>
      <c r="C13" s="7" t="s">
        <v>66</v>
      </c>
      <c r="D13" s="52">
        <v>0</v>
      </c>
      <c r="E13" s="52">
        <v>0</v>
      </c>
      <c r="F13" s="52">
        <v>0</v>
      </c>
      <c r="G13" s="52">
        <v>0</v>
      </c>
      <c r="H13" s="52">
        <v>0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0</v>
      </c>
      <c r="P13" s="52">
        <v>0</v>
      </c>
      <c r="Q13" s="52">
        <v>0</v>
      </c>
      <c r="R13" s="52">
        <v>0</v>
      </c>
      <c r="S13" s="52">
        <v>0</v>
      </c>
      <c r="T13" s="52">
        <v>0</v>
      </c>
      <c r="U13" s="52">
        <v>0</v>
      </c>
      <c r="V13" s="52">
        <v>0</v>
      </c>
      <c r="W13" s="52">
        <v>0</v>
      </c>
      <c r="X13" s="52">
        <v>0</v>
      </c>
      <c r="Y13" s="52">
        <v>0</v>
      </c>
      <c r="Z13" s="52">
        <v>0</v>
      </c>
      <c r="AA13" s="52">
        <v>0</v>
      </c>
      <c r="AB13" s="52">
        <v>0</v>
      </c>
      <c r="AC13" s="52">
        <v>0</v>
      </c>
      <c r="AD13" s="52">
        <v>0</v>
      </c>
      <c r="AE13" s="52">
        <v>0</v>
      </c>
      <c r="AF13" s="52">
        <v>0</v>
      </c>
      <c r="AG13" s="52">
        <v>0</v>
      </c>
      <c r="AH13" s="52">
        <v>0</v>
      </c>
      <c r="AI13" s="52">
        <v>0</v>
      </c>
      <c r="AJ13" s="52">
        <v>0</v>
      </c>
      <c r="AK13" s="52">
        <v>0</v>
      </c>
      <c r="AL13" s="52">
        <v>0</v>
      </c>
      <c r="AM13" s="52">
        <v>0</v>
      </c>
      <c r="AN13" s="52">
        <v>0</v>
      </c>
      <c r="AO13" s="52">
        <v>0</v>
      </c>
      <c r="AP13" s="52">
        <v>0</v>
      </c>
      <c r="AQ13" s="52">
        <v>0</v>
      </c>
      <c r="AR13" s="52">
        <v>0</v>
      </c>
      <c r="AS13" s="52">
        <v>0</v>
      </c>
      <c r="AT13" s="52">
        <v>0</v>
      </c>
      <c r="AU13" s="52">
        <v>0</v>
      </c>
      <c r="AV13" s="52">
        <v>0</v>
      </c>
      <c r="AW13" s="52">
        <v>0</v>
      </c>
      <c r="AX13" s="52">
        <v>0</v>
      </c>
      <c r="AY13" s="52">
        <v>0</v>
      </c>
      <c r="AZ13" s="52">
        <v>0</v>
      </c>
      <c r="BA13" s="52">
        <v>0</v>
      </c>
      <c r="BB13" s="52">
        <v>0</v>
      </c>
      <c r="BC13" s="52">
        <v>0</v>
      </c>
      <c r="BD13" s="52">
        <v>0</v>
      </c>
      <c r="BE13" s="52">
        <v>0</v>
      </c>
      <c r="BF13" s="52">
        <v>0</v>
      </c>
      <c r="BG13" s="52">
        <v>0</v>
      </c>
      <c r="BH13" s="52">
        <v>0</v>
      </c>
      <c r="BI13" s="52">
        <v>0</v>
      </c>
      <c r="BJ13" s="52">
        <v>0</v>
      </c>
      <c r="BK13" s="52">
        <v>0</v>
      </c>
      <c r="BL13" s="52">
        <v>0</v>
      </c>
      <c r="BM13" s="52">
        <v>0</v>
      </c>
      <c r="BN13" s="52">
        <v>0</v>
      </c>
      <c r="BO13" s="52">
        <v>0</v>
      </c>
      <c r="BP13" s="52">
        <v>0</v>
      </c>
      <c r="BQ13" s="52">
        <v>0</v>
      </c>
      <c r="BR13" s="52">
        <v>0</v>
      </c>
      <c r="BS13" s="52">
        <v>0</v>
      </c>
      <c r="BT13" s="52">
        <v>0</v>
      </c>
      <c r="BU13" s="52">
        <v>0</v>
      </c>
      <c r="BV13" s="52">
        <v>0</v>
      </c>
      <c r="BW13" s="52">
        <v>0</v>
      </c>
    </row>
    <row r="14" spans="1:75" x14ac:dyDescent="0.3">
      <c r="A14" s="7" t="s">
        <v>89</v>
      </c>
      <c r="B14" s="7" t="s">
        <v>8</v>
      </c>
      <c r="C14" s="7" t="s">
        <v>67</v>
      </c>
      <c r="D14" s="52">
        <v>0</v>
      </c>
      <c r="E14" s="52">
        <v>0</v>
      </c>
      <c r="F14" s="52">
        <v>0</v>
      </c>
      <c r="G14" s="52">
        <v>0</v>
      </c>
      <c r="H14" s="52">
        <v>0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52">
        <v>0</v>
      </c>
      <c r="Y14" s="52">
        <v>0</v>
      </c>
      <c r="Z14" s="52">
        <v>0</v>
      </c>
      <c r="AA14" s="52">
        <v>0</v>
      </c>
      <c r="AB14" s="52">
        <v>0</v>
      </c>
      <c r="AC14" s="52">
        <v>0</v>
      </c>
      <c r="AD14" s="52">
        <v>0</v>
      </c>
      <c r="AE14" s="52">
        <v>0</v>
      </c>
      <c r="AF14" s="52">
        <v>0</v>
      </c>
      <c r="AG14" s="52">
        <v>0</v>
      </c>
      <c r="AH14" s="52">
        <v>0</v>
      </c>
      <c r="AI14" s="52">
        <v>0</v>
      </c>
      <c r="AJ14" s="52">
        <v>0</v>
      </c>
      <c r="AK14" s="52">
        <v>0</v>
      </c>
      <c r="AL14" s="52">
        <v>0</v>
      </c>
      <c r="AM14" s="52">
        <v>0</v>
      </c>
      <c r="AN14" s="52">
        <v>0</v>
      </c>
      <c r="AO14" s="52">
        <v>0</v>
      </c>
      <c r="AP14" s="52">
        <v>0</v>
      </c>
      <c r="AQ14" s="52">
        <v>0</v>
      </c>
      <c r="AR14" s="52">
        <v>0</v>
      </c>
      <c r="AS14" s="52">
        <v>0</v>
      </c>
      <c r="AT14" s="52">
        <v>0</v>
      </c>
      <c r="AU14" s="52">
        <v>0</v>
      </c>
      <c r="AV14" s="52">
        <v>0</v>
      </c>
      <c r="AW14" s="52">
        <v>0</v>
      </c>
      <c r="AX14" s="52">
        <v>0</v>
      </c>
      <c r="AY14" s="52">
        <v>0</v>
      </c>
      <c r="AZ14" s="52">
        <v>0</v>
      </c>
      <c r="BA14" s="52">
        <v>0</v>
      </c>
      <c r="BB14" s="52">
        <v>0</v>
      </c>
      <c r="BC14" s="52">
        <v>0</v>
      </c>
      <c r="BD14" s="52">
        <v>0</v>
      </c>
      <c r="BE14" s="52">
        <v>0</v>
      </c>
      <c r="BF14" s="52">
        <v>0</v>
      </c>
      <c r="BG14" s="52">
        <v>0</v>
      </c>
      <c r="BH14" s="52">
        <v>0</v>
      </c>
      <c r="BI14" s="52">
        <v>0</v>
      </c>
      <c r="BJ14" s="52">
        <v>0</v>
      </c>
      <c r="BK14" s="52">
        <v>0</v>
      </c>
      <c r="BL14" s="52">
        <v>0</v>
      </c>
      <c r="BM14" s="52">
        <v>0</v>
      </c>
      <c r="BN14" s="52">
        <v>0</v>
      </c>
      <c r="BO14" s="52">
        <v>0</v>
      </c>
      <c r="BP14" s="52">
        <v>0</v>
      </c>
      <c r="BQ14" s="52">
        <v>0</v>
      </c>
      <c r="BR14" s="52">
        <v>0</v>
      </c>
      <c r="BS14" s="52">
        <v>0</v>
      </c>
      <c r="BT14" s="52">
        <v>0</v>
      </c>
      <c r="BU14" s="52">
        <v>0</v>
      </c>
      <c r="BV14" s="52">
        <v>0</v>
      </c>
      <c r="BW14" s="52">
        <v>0</v>
      </c>
    </row>
    <row r="15" spans="1:75" x14ac:dyDescent="0.3">
      <c r="A15" s="7" t="s">
        <v>89</v>
      </c>
      <c r="B15" s="7" t="s">
        <v>8</v>
      </c>
      <c r="C15" s="7" t="s">
        <v>68</v>
      </c>
      <c r="D15" s="52">
        <v>0</v>
      </c>
      <c r="E15" s="52">
        <v>0</v>
      </c>
      <c r="F15" s="52">
        <v>0</v>
      </c>
      <c r="G15" s="52">
        <v>0</v>
      </c>
      <c r="H15" s="52">
        <v>0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0</v>
      </c>
      <c r="P15" s="52">
        <v>0</v>
      </c>
      <c r="Q15" s="52">
        <v>0</v>
      </c>
      <c r="R15" s="52">
        <v>0</v>
      </c>
      <c r="S15" s="52">
        <v>0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2">
        <v>0</v>
      </c>
      <c r="Z15" s="52">
        <v>0</v>
      </c>
      <c r="AA15" s="52">
        <v>0</v>
      </c>
      <c r="AB15" s="52">
        <v>0</v>
      </c>
      <c r="AC15" s="52">
        <v>0</v>
      </c>
      <c r="AD15" s="52">
        <v>0</v>
      </c>
      <c r="AE15" s="52">
        <v>0</v>
      </c>
      <c r="AF15" s="52">
        <v>0</v>
      </c>
      <c r="AG15" s="52">
        <v>0</v>
      </c>
      <c r="AH15" s="52">
        <v>0</v>
      </c>
      <c r="AI15" s="52">
        <v>0</v>
      </c>
      <c r="AJ15" s="52">
        <v>0</v>
      </c>
      <c r="AK15" s="52">
        <v>0</v>
      </c>
      <c r="AL15" s="52">
        <v>0</v>
      </c>
      <c r="AM15" s="52">
        <v>0</v>
      </c>
      <c r="AN15" s="52">
        <v>0</v>
      </c>
      <c r="AO15" s="52">
        <v>0</v>
      </c>
      <c r="AP15" s="52">
        <v>0</v>
      </c>
      <c r="AQ15" s="52">
        <v>0</v>
      </c>
      <c r="AR15" s="52">
        <v>0</v>
      </c>
      <c r="AS15" s="52">
        <v>0</v>
      </c>
      <c r="AT15" s="52">
        <v>0</v>
      </c>
      <c r="AU15" s="52">
        <v>0</v>
      </c>
      <c r="AV15" s="52">
        <v>0</v>
      </c>
      <c r="AW15" s="52">
        <v>0</v>
      </c>
      <c r="AX15" s="52">
        <v>0</v>
      </c>
      <c r="AY15" s="52">
        <v>0</v>
      </c>
      <c r="AZ15" s="52">
        <v>0</v>
      </c>
      <c r="BA15" s="52">
        <v>0</v>
      </c>
      <c r="BB15" s="52">
        <v>0</v>
      </c>
      <c r="BC15" s="52">
        <v>0</v>
      </c>
      <c r="BD15" s="52">
        <v>0</v>
      </c>
      <c r="BE15" s="52">
        <v>0</v>
      </c>
      <c r="BF15" s="52">
        <v>0</v>
      </c>
      <c r="BG15" s="52">
        <v>0</v>
      </c>
      <c r="BH15" s="52">
        <v>0</v>
      </c>
      <c r="BI15" s="52">
        <v>0</v>
      </c>
      <c r="BJ15" s="52">
        <v>0</v>
      </c>
      <c r="BK15" s="52">
        <v>0</v>
      </c>
      <c r="BL15" s="52">
        <v>0</v>
      </c>
      <c r="BM15" s="52">
        <v>0</v>
      </c>
      <c r="BN15" s="52">
        <v>0</v>
      </c>
      <c r="BO15" s="52">
        <v>0</v>
      </c>
      <c r="BP15" s="52">
        <v>0</v>
      </c>
      <c r="BQ15" s="52">
        <v>0</v>
      </c>
      <c r="BR15" s="52">
        <v>0</v>
      </c>
      <c r="BS15" s="52">
        <v>0</v>
      </c>
      <c r="BT15" s="52">
        <v>0</v>
      </c>
      <c r="BU15" s="52">
        <v>0</v>
      </c>
      <c r="BV15" s="52">
        <v>0</v>
      </c>
      <c r="BW15" s="52">
        <v>0</v>
      </c>
    </row>
    <row r="16" spans="1:75" x14ac:dyDescent="0.3">
      <c r="A16" s="7" t="s">
        <v>89</v>
      </c>
      <c r="B16" s="7" t="s">
        <v>8</v>
      </c>
      <c r="C16" s="7" t="s">
        <v>69</v>
      </c>
      <c r="D16" s="52">
        <v>0</v>
      </c>
      <c r="E16" s="52">
        <v>0</v>
      </c>
      <c r="F16" s="52">
        <v>0</v>
      </c>
      <c r="G16" s="52">
        <v>0</v>
      </c>
      <c r="H16" s="52">
        <v>0</v>
      </c>
      <c r="I16" s="52">
        <v>0</v>
      </c>
      <c r="J16" s="52">
        <v>0</v>
      </c>
      <c r="K16" s="52">
        <v>0</v>
      </c>
      <c r="L16" s="52">
        <v>0</v>
      </c>
      <c r="M16" s="52">
        <v>0</v>
      </c>
      <c r="N16" s="52">
        <v>0</v>
      </c>
      <c r="O16" s="52">
        <v>0</v>
      </c>
      <c r="P16" s="52">
        <v>0</v>
      </c>
      <c r="Q16" s="52">
        <v>0</v>
      </c>
      <c r="R16" s="52">
        <v>0</v>
      </c>
      <c r="S16" s="52">
        <v>0</v>
      </c>
      <c r="T16" s="52">
        <v>0</v>
      </c>
      <c r="U16" s="52">
        <v>0</v>
      </c>
      <c r="V16" s="52">
        <v>0</v>
      </c>
      <c r="W16" s="52">
        <v>0</v>
      </c>
      <c r="X16" s="52">
        <v>0</v>
      </c>
      <c r="Y16" s="52">
        <v>0</v>
      </c>
      <c r="Z16" s="52">
        <v>0</v>
      </c>
      <c r="AA16" s="52">
        <v>0</v>
      </c>
      <c r="AB16" s="52">
        <v>0</v>
      </c>
      <c r="AC16" s="52">
        <v>0</v>
      </c>
      <c r="AD16" s="52">
        <v>0</v>
      </c>
      <c r="AE16" s="52">
        <v>0</v>
      </c>
      <c r="AF16" s="52">
        <v>0</v>
      </c>
      <c r="AG16" s="52">
        <v>0</v>
      </c>
      <c r="AH16" s="52">
        <v>0</v>
      </c>
      <c r="AI16" s="52">
        <v>0</v>
      </c>
      <c r="AJ16" s="52">
        <v>0</v>
      </c>
      <c r="AK16" s="52">
        <v>0</v>
      </c>
      <c r="AL16" s="52">
        <v>0</v>
      </c>
      <c r="AM16" s="52">
        <v>0</v>
      </c>
      <c r="AN16" s="52">
        <v>0</v>
      </c>
      <c r="AO16" s="52">
        <v>0</v>
      </c>
      <c r="AP16" s="52">
        <v>0</v>
      </c>
      <c r="AQ16" s="52">
        <v>0</v>
      </c>
      <c r="AR16" s="52">
        <v>0</v>
      </c>
      <c r="AS16" s="52">
        <v>0</v>
      </c>
      <c r="AT16" s="52">
        <v>0</v>
      </c>
      <c r="AU16" s="52">
        <v>0</v>
      </c>
      <c r="AV16" s="52">
        <v>0</v>
      </c>
      <c r="AW16" s="52">
        <v>0</v>
      </c>
      <c r="AX16" s="52">
        <v>0</v>
      </c>
      <c r="AY16" s="52">
        <v>0</v>
      </c>
      <c r="AZ16" s="52">
        <v>0</v>
      </c>
      <c r="BA16" s="52">
        <v>0</v>
      </c>
      <c r="BB16" s="52">
        <v>0</v>
      </c>
      <c r="BC16" s="52">
        <v>0</v>
      </c>
      <c r="BD16" s="52">
        <v>0</v>
      </c>
      <c r="BE16" s="52">
        <v>0</v>
      </c>
      <c r="BF16" s="52">
        <v>0</v>
      </c>
      <c r="BG16" s="52">
        <v>0</v>
      </c>
      <c r="BH16" s="52">
        <v>0</v>
      </c>
      <c r="BI16" s="52">
        <v>0</v>
      </c>
      <c r="BJ16" s="52">
        <v>0</v>
      </c>
      <c r="BK16" s="52">
        <v>0</v>
      </c>
      <c r="BL16" s="52">
        <v>0</v>
      </c>
      <c r="BM16" s="52">
        <v>0</v>
      </c>
      <c r="BN16" s="52">
        <v>0</v>
      </c>
      <c r="BO16" s="52">
        <v>0</v>
      </c>
      <c r="BP16" s="52">
        <v>0</v>
      </c>
      <c r="BQ16" s="52">
        <v>0</v>
      </c>
      <c r="BR16" s="52">
        <v>0</v>
      </c>
      <c r="BS16" s="52">
        <v>0</v>
      </c>
      <c r="BT16" s="52">
        <v>0</v>
      </c>
      <c r="BU16" s="52">
        <v>0</v>
      </c>
      <c r="BV16" s="52">
        <v>0</v>
      </c>
      <c r="BW16" s="52">
        <v>0</v>
      </c>
    </row>
    <row r="17" spans="1:75" x14ac:dyDescent="0.3">
      <c r="A17" s="7" t="s">
        <v>89</v>
      </c>
      <c r="B17" s="7" t="s">
        <v>8</v>
      </c>
      <c r="C17" s="7" t="s">
        <v>27</v>
      </c>
      <c r="D17" s="52">
        <v>13200</v>
      </c>
      <c r="E17" s="52">
        <v>46199.999999999993</v>
      </c>
      <c r="F17" s="52">
        <v>19799.640000000003</v>
      </c>
      <c r="G17" s="52">
        <v>5399.9999999999991</v>
      </c>
      <c r="H17" s="52">
        <v>18900</v>
      </c>
      <c r="I17" s="52">
        <v>3636.360000000001</v>
      </c>
      <c r="J17" s="52">
        <v>9000</v>
      </c>
      <c r="K17" s="52">
        <v>45000</v>
      </c>
      <c r="L17" s="52">
        <v>15370.434782608701</v>
      </c>
      <c r="M17" s="52">
        <v>3599.9999999999995</v>
      </c>
      <c r="N17" s="52">
        <v>15600</v>
      </c>
      <c r="O17" s="52">
        <v>8197.5652173913095</v>
      </c>
      <c r="P17" s="52">
        <v>12600</v>
      </c>
      <c r="Q17" s="52">
        <v>44100</v>
      </c>
      <c r="R17" s="52">
        <v>18900</v>
      </c>
      <c r="S17" s="52">
        <v>4500</v>
      </c>
      <c r="T17" s="52">
        <v>19500</v>
      </c>
      <c r="U17" s="52">
        <v>7536.0000000000146</v>
      </c>
      <c r="V17" s="52">
        <v>11400</v>
      </c>
      <c r="W17" s="52">
        <v>39900</v>
      </c>
      <c r="X17" s="52">
        <v>6786.2827225130895</v>
      </c>
      <c r="Y17" s="52">
        <v>4950</v>
      </c>
      <c r="Z17" s="52">
        <v>23099.999999999996</v>
      </c>
      <c r="AA17" s="52">
        <v>4583.7172774869114</v>
      </c>
      <c r="AB17" s="52">
        <v>12704.13913043478</v>
      </c>
      <c r="AC17" s="52">
        <v>46199.999999999993</v>
      </c>
      <c r="AD17" s="52">
        <v>0</v>
      </c>
      <c r="AE17" s="52">
        <v>3897.8608695652165</v>
      </c>
      <c r="AF17" s="52">
        <v>17550</v>
      </c>
      <c r="AG17" s="52">
        <v>0</v>
      </c>
      <c r="AH17" s="52">
        <v>12600</v>
      </c>
      <c r="AI17" s="52">
        <v>38100.599999999984</v>
      </c>
      <c r="AJ17" s="52">
        <v>0</v>
      </c>
      <c r="AK17" s="52">
        <v>1139.4000000000194</v>
      </c>
      <c r="AL17" s="52">
        <v>0</v>
      </c>
      <c r="AM17" s="52">
        <v>0</v>
      </c>
      <c r="AN17" s="52">
        <v>13993.177518249617</v>
      </c>
      <c r="AO17" s="52">
        <v>33267.333454543616</v>
      </c>
      <c r="AP17" s="52">
        <v>0</v>
      </c>
      <c r="AQ17" s="52">
        <v>3434.6890272067239</v>
      </c>
      <c r="AR17" s="52">
        <v>2872.8000000000475</v>
      </c>
      <c r="AS17" s="52">
        <v>0</v>
      </c>
      <c r="AT17" s="52">
        <v>10668.000000000005</v>
      </c>
      <c r="AU17" s="52">
        <v>42900</v>
      </c>
      <c r="AV17" s="52">
        <v>0</v>
      </c>
      <c r="AW17" s="52">
        <v>0</v>
      </c>
      <c r="AX17" s="52">
        <v>0</v>
      </c>
      <c r="AY17" s="52">
        <v>0</v>
      </c>
      <c r="AZ17" s="52">
        <v>15000</v>
      </c>
      <c r="BA17" s="52">
        <v>36000</v>
      </c>
      <c r="BB17" s="52">
        <v>2759.9999999999995</v>
      </c>
      <c r="BC17" s="52">
        <v>4500</v>
      </c>
      <c r="BD17" s="52">
        <v>19500</v>
      </c>
      <c r="BE17" s="52">
        <v>0</v>
      </c>
      <c r="BF17" s="52">
        <v>9900</v>
      </c>
      <c r="BG17" s="52">
        <v>46199.999999999993</v>
      </c>
      <c r="BH17" s="52">
        <v>10932.637168141586</v>
      </c>
      <c r="BI17" s="52">
        <v>4050</v>
      </c>
      <c r="BJ17" s="52">
        <v>17550</v>
      </c>
      <c r="BK17" s="52">
        <v>5111.3628318584042</v>
      </c>
      <c r="BL17" s="52">
        <v>6300</v>
      </c>
      <c r="BM17" s="52">
        <v>47250</v>
      </c>
      <c r="BN17" s="52">
        <v>19150.273972602743</v>
      </c>
      <c r="BO17" s="52">
        <v>4050</v>
      </c>
      <c r="BP17" s="52">
        <v>17550</v>
      </c>
      <c r="BQ17" s="52">
        <v>9379.7260273972624</v>
      </c>
      <c r="BR17" s="52">
        <v>10200</v>
      </c>
      <c r="BS17" s="52">
        <v>35699.999999999993</v>
      </c>
      <c r="BT17" s="52">
        <v>15299.999999999998</v>
      </c>
      <c r="BU17" s="52">
        <v>8400</v>
      </c>
      <c r="BV17" s="52">
        <v>27300</v>
      </c>
      <c r="BW17" s="52">
        <v>10236.000000000009</v>
      </c>
    </row>
    <row r="18" spans="1:75" x14ac:dyDescent="0.3">
      <c r="A18" s="7" t="s">
        <v>89</v>
      </c>
      <c r="B18" s="7" t="s">
        <v>8</v>
      </c>
      <c r="C18" s="7" t="s">
        <v>144</v>
      </c>
      <c r="D18" s="52">
        <v>17600</v>
      </c>
      <c r="E18" s="52">
        <v>30769.20000000003</v>
      </c>
      <c r="F18" s="52">
        <v>0</v>
      </c>
      <c r="G18" s="52">
        <v>2829.600000000024</v>
      </c>
      <c r="H18" s="52">
        <v>0</v>
      </c>
      <c r="I18" s="52">
        <v>0</v>
      </c>
      <c r="J18" s="52">
        <v>12000</v>
      </c>
      <c r="K18" s="52">
        <v>4452.0000000002556</v>
      </c>
      <c r="L18" s="52">
        <v>0</v>
      </c>
      <c r="M18" s="52">
        <v>4800.0000000000009</v>
      </c>
      <c r="N18" s="52">
        <v>0</v>
      </c>
      <c r="O18" s="52">
        <v>0</v>
      </c>
      <c r="P18" s="52">
        <v>16800</v>
      </c>
      <c r="Q18" s="52">
        <v>0</v>
      </c>
      <c r="R18" s="52">
        <v>0</v>
      </c>
      <c r="S18" s="52">
        <v>6000</v>
      </c>
      <c r="T18" s="52">
        <v>0</v>
      </c>
      <c r="U18" s="52">
        <v>0</v>
      </c>
      <c r="V18" s="52">
        <v>15200.000000000002</v>
      </c>
      <c r="W18" s="52">
        <v>20923.775999999732</v>
      </c>
      <c r="X18" s="52">
        <v>0</v>
      </c>
      <c r="Y18" s="52">
        <v>6600.0000000000009</v>
      </c>
      <c r="Z18" s="52">
        <v>7459.7599999999293</v>
      </c>
      <c r="AA18" s="52">
        <v>0</v>
      </c>
      <c r="AB18" s="52">
        <v>17600</v>
      </c>
      <c r="AC18" s="52">
        <v>11646.467576469693</v>
      </c>
      <c r="AD18" s="52">
        <v>0</v>
      </c>
      <c r="AE18" s="52">
        <v>5400</v>
      </c>
      <c r="AF18" s="52">
        <v>4424.145150801799</v>
      </c>
      <c r="AG18" s="52">
        <v>0</v>
      </c>
      <c r="AH18" s="52">
        <v>15481.199999999973</v>
      </c>
      <c r="AI18" s="52">
        <v>0</v>
      </c>
      <c r="AJ18" s="52">
        <v>0</v>
      </c>
      <c r="AK18" s="52">
        <v>4976.0999999999922</v>
      </c>
      <c r="AL18" s="52">
        <v>0</v>
      </c>
      <c r="AM18" s="52">
        <v>0</v>
      </c>
      <c r="AN18" s="52">
        <v>22000</v>
      </c>
      <c r="AO18" s="52">
        <v>0</v>
      </c>
      <c r="AP18" s="52">
        <v>0</v>
      </c>
      <c r="AQ18" s="52">
        <v>5400</v>
      </c>
      <c r="AR18" s="52">
        <v>0</v>
      </c>
      <c r="AS18" s="52">
        <v>0</v>
      </c>
      <c r="AT18" s="52">
        <v>17600</v>
      </c>
      <c r="AU18" s="52">
        <v>21106.800000000232</v>
      </c>
      <c r="AV18" s="52">
        <v>0</v>
      </c>
      <c r="AW18" s="52">
        <v>3047.9752727278515</v>
      </c>
      <c r="AX18" s="52">
        <v>0</v>
      </c>
      <c r="AY18" s="52">
        <v>0</v>
      </c>
      <c r="AZ18" s="52">
        <v>18944.000000000095</v>
      </c>
      <c r="BA18" s="52">
        <v>0</v>
      </c>
      <c r="BB18" s="52">
        <v>0</v>
      </c>
      <c r="BC18" s="52">
        <v>5683.200000000028</v>
      </c>
      <c r="BD18" s="52">
        <v>0</v>
      </c>
      <c r="BE18" s="52">
        <v>0</v>
      </c>
      <c r="BF18" s="52">
        <v>13200.000000000002</v>
      </c>
      <c r="BG18" s="52">
        <v>24097.9200000003</v>
      </c>
      <c r="BH18" s="52">
        <v>0</v>
      </c>
      <c r="BI18" s="52">
        <v>5400</v>
      </c>
      <c r="BJ18" s="52">
        <v>0</v>
      </c>
      <c r="BK18" s="52">
        <v>0</v>
      </c>
      <c r="BL18" s="52">
        <v>8400</v>
      </c>
      <c r="BM18" s="52">
        <v>24130.495454545478</v>
      </c>
      <c r="BN18" s="52">
        <v>0</v>
      </c>
      <c r="BO18" s="52">
        <v>5400</v>
      </c>
      <c r="BP18" s="52">
        <v>8962.7554545454623</v>
      </c>
      <c r="BQ18" s="52">
        <v>0</v>
      </c>
      <c r="BR18" s="52">
        <v>13600.000000000002</v>
      </c>
      <c r="BS18" s="52">
        <v>13295.261090909065</v>
      </c>
      <c r="BT18" s="52">
        <v>0</v>
      </c>
      <c r="BU18" s="52">
        <v>11200.000000000002</v>
      </c>
      <c r="BV18" s="52">
        <v>0</v>
      </c>
      <c r="BW18" s="52">
        <v>0</v>
      </c>
    </row>
    <row r="19" spans="1:75" x14ac:dyDescent="0.3">
      <c r="A19" s="7" t="s">
        <v>89</v>
      </c>
      <c r="B19" s="7" t="s">
        <v>8</v>
      </c>
      <c r="C19" s="7" t="s">
        <v>145</v>
      </c>
      <c r="D19" s="52">
        <v>17600</v>
      </c>
      <c r="E19" s="52">
        <v>0</v>
      </c>
      <c r="F19" s="52">
        <v>0</v>
      </c>
      <c r="G19" s="52">
        <v>7200</v>
      </c>
      <c r="H19" s="52">
        <v>0</v>
      </c>
      <c r="I19" s="52">
        <v>0</v>
      </c>
      <c r="J19" s="52">
        <v>8220.0000000000346</v>
      </c>
      <c r="K19" s="52">
        <v>0</v>
      </c>
      <c r="L19" s="52">
        <v>0</v>
      </c>
      <c r="M19" s="52">
        <v>3288.0000000000136</v>
      </c>
      <c r="N19" s="52">
        <v>0</v>
      </c>
      <c r="O19" s="52">
        <v>0</v>
      </c>
      <c r="P19" s="52">
        <v>8761.1999999999862</v>
      </c>
      <c r="Q19" s="52">
        <v>0</v>
      </c>
      <c r="R19" s="52">
        <v>0</v>
      </c>
      <c r="S19" s="52">
        <v>531.00000000001478</v>
      </c>
      <c r="T19" s="52">
        <v>0</v>
      </c>
      <c r="U19" s="52">
        <v>0</v>
      </c>
      <c r="V19" s="52">
        <v>10130.799999999997</v>
      </c>
      <c r="W19" s="52">
        <v>0</v>
      </c>
      <c r="X19" s="52">
        <v>0</v>
      </c>
      <c r="Y19" s="52">
        <v>4065.6000000000095</v>
      </c>
      <c r="Z19" s="52">
        <v>0</v>
      </c>
      <c r="AA19" s="52">
        <v>0</v>
      </c>
      <c r="AB19" s="52">
        <v>16740.660869565265</v>
      </c>
      <c r="AC19" s="52">
        <v>1813.1324235304664</v>
      </c>
      <c r="AD19" s="52">
        <v>0</v>
      </c>
      <c r="AE19" s="52">
        <v>5136.3391304347979</v>
      </c>
      <c r="AF19" s="52">
        <v>688.75484919826158</v>
      </c>
      <c r="AG19" s="52">
        <v>0</v>
      </c>
      <c r="AH19" s="52">
        <v>0</v>
      </c>
      <c r="AI19" s="52">
        <v>0</v>
      </c>
      <c r="AJ19" s="52">
        <v>0</v>
      </c>
      <c r="AK19" s="52">
        <v>0</v>
      </c>
      <c r="AL19" s="52">
        <v>0</v>
      </c>
      <c r="AM19" s="52">
        <v>0</v>
      </c>
      <c r="AN19" s="52">
        <v>9744.8224817503651</v>
      </c>
      <c r="AO19" s="52">
        <v>0</v>
      </c>
      <c r="AP19" s="52">
        <v>0</v>
      </c>
      <c r="AQ19" s="52">
        <v>2391.9109727932714</v>
      </c>
      <c r="AR19" s="52">
        <v>0</v>
      </c>
      <c r="AS19" s="52">
        <v>0</v>
      </c>
      <c r="AT19" s="52">
        <v>16559.19999999999</v>
      </c>
      <c r="AU19" s="52">
        <v>0</v>
      </c>
      <c r="AV19" s="52">
        <v>0</v>
      </c>
      <c r="AW19" s="52">
        <v>5080.6636363636335</v>
      </c>
      <c r="AX19" s="52">
        <v>0</v>
      </c>
      <c r="AY19" s="52">
        <v>0</v>
      </c>
      <c r="AZ19" s="52">
        <v>0</v>
      </c>
      <c r="BA19" s="52">
        <v>0</v>
      </c>
      <c r="BB19" s="52">
        <v>0</v>
      </c>
      <c r="BC19" s="52">
        <v>0</v>
      </c>
      <c r="BD19" s="52">
        <v>0</v>
      </c>
      <c r="BE19" s="52">
        <v>0</v>
      </c>
      <c r="BF19" s="52">
        <v>13200.000000000002</v>
      </c>
      <c r="BG19" s="52">
        <v>0</v>
      </c>
      <c r="BH19" s="52">
        <v>0</v>
      </c>
      <c r="BI19" s="52">
        <v>5400</v>
      </c>
      <c r="BJ19" s="52">
        <v>0</v>
      </c>
      <c r="BK19" s="52">
        <v>0</v>
      </c>
      <c r="BL19" s="52">
        <v>8400</v>
      </c>
      <c r="BM19" s="52">
        <v>0</v>
      </c>
      <c r="BN19" s="52">
        <v>0</v>
      </c>
      <c r="BO19" s="52">
        <v>5400</v>
      </c>
      <c r="BP19" s="52">
        <v>0</v>
      </c>
      <c r="BQ19" s="52">
        <v>0</v>
      </c>
      <c r="BR19" s="52">
        <v>6474.8916363637927</v>
      </c>
      <c r="BS19" s="52">
        <v>0</v>
      </c>
      <c r="BT19" s="52">
        <v>0</v>
      </c>
      <c r="BU19" s="52">
        <v>2329.6000000000668</v>
      </c>
      <c r="BV19" s="52">
        <v>0</v>
      </c>
      <c r="BW19" s="52">
        <v>0</v>
      </c>
    </row>
    <row r="20" spans="1:75" x14ac:dyDescent="0.3">
      <c r="A20" s="7" t="s">
        <v>89</v>
      </c>
      <c r="B20" s="7" t="s">
        <v>8</v>
      </c>
      <c r="C20" s="7" t="s">
        <v>146</v>
      </c>
      <c r="D20" s="52">
        <v>17600</v>
      </c>
      <c r="E20" s="52">
        <v>61600</v>
      </c>
      <c r="F20" s="52">
        <v>0</v>
      </c>
      <c r="G20" s="52">
        <v>7200</v>
      </c>
      <c r="H20" s="52">
        <v>11067.840000000087</v>
      </c>
      <c r="I20" s="52">
        <v>0</v>
      </c>
      <c r="J20" s="52">
        <v>12000</v>
      </c>
      <c r="K20" s="52">
        <v>60000</v>
      </c>
      <c r="L20" s="52">
        <v>0</v>
      </c>
      <c r="M20" s="52">
        <v>4800.0000000000009</v>
      </c>
      <c r="N20" s="52">
        <v>17024.800000000025</v>
      </c>
      <c r="O20" s="52">
        <v>0</v>
      </c>
      <c r="P20" s="52">
        <v>16800</v>
      </c>
      <c r="Q20" s="52">
        <v>52390.799999999959</v>
      </c>
      <c r="R20" s="52">
        <v>0</v>
      </c>
      <c r="S20" s="52">
        <v>6000</v>
      </c>
      <c r="T20" s="52">
        <v>2183.9999999999859</v>
      </c>
      <c r="U20" s="52">
        <v>0</v>
      </c>
      <c r="V20" s="52">
        <v>15200.000000000002</v>
      </c>
      <c r="W20" s="52">
        <v>53200</v>
      </c>
      <c r="X20" s="52">
        <v>0</v>
      </c>
      <c r="Y20" s="52">
        <v>6600.0000000000009</v>
      </c>
      <c r="Z20" s="52">
        <v>30800</v>
      </c>
      <c r="AA20" s="52">
        <v>0</v>
      </c>
      <c r="AB20" s="52">
        <v>17600</v>
      </c>
      <c r="AC20" s="52">
        <v>61600</v>
      </c>
      <c r="AD20" s="52">
        <v>1452.0000000000598</v>
      </c>
      <c r="AE20" s="52">
        <v>5400</v>
      </c>
      <c r="AF20" s="52">
        <v>23400.000000000004</v>
      </c>
      <c r="AG20" s="52">
        <v>792.00000000003263</v>
      </c>
      <c r="AH20" s="52">
        <v>16800</v>
      </c>
      <c r="AI20" s="52">
        <v>43172.760000000148</v>
      </c>
      <c r="AJ20" s="52">
        <v>0</v>
      </c>
      <c r="AK20" s="52">
        <v>5400</v>
      </c>
      <c r="AL20" s="52">
        <v>13859.999999999987</v>
      </c>
      <c r="AM20" s="52">
        <v>0</v>
      </c>
      <c r="AN20" s="52">
        <v>22000</v>
      </c>
      <c r="AO20" s="52">
        <v>52800.000000000007</v>
      </c>
      <c r="AP20" s="52">
        <v>0</v>
      </c>
      <c r="AQ20" s="52">
        <v>3315.6000000000181</v>
      </c>
      <c r="AR20" s="52">
        <v>25200.000000000004</v>
      </c>
      <c r="AS20" s="52">
        <v>0</v>
      </c>
      <c r="AT20" s="52">
        <v>17600</v>
      </c>
      <c r="AU20" s="52">
        <v>57200</v>
      </c>
      <c r="AV20" s="52">
        <v>0</v>
      </c>
      <c r="AW20" s="52">
        <v>2787.46109090853</v>
      </c>
      <c r="AX20" s="52">
        <v>24234.839999999975</v>
      </c>
      <c r="AY20" s="52">
        <v>0</v>
      </c>
      <c r="AZ20" s="52">
        <v>20000</v>
      </c>
      <c r="BA20" s="52">
        <v>47505.599999999999</v>
      </c>
      <c r="BB20" s="52">
        <v>0</v>
      </c>
      <c r="BC20" s="52">
        <v>6000</v>
      </c>
      <c r="BD20" s="52">
        <v>5530.2000000000171</v>
      </c>
      <c r="BE20" s="52">
        <v>0</v>
      </c>
      <c r="BF20" s="52">
        <v>13200.000000000002</v>
      </c>
      <c r="BG20" s="52">
        <v>61600</v>
      </c>
      <c r="BH20" s="52">
        <v>0</v>
      </c>
      <c r="BI20" s="52">
        <v>1428.2999999999629</v>
      </c>
      <c r="BJ20" s="52">
        <v>6423.3000000000075</v>
      </c>
      <c r="BK20" s="52">
        <v>0</v>
      </c>
      <c r="BL20" s="52">
        <v>8400</v>
      </c>
      <c r="BM20" s="52">
        <v>53283.904545454599</v>
      </c>
      <c r="BN20" s="52">
        <v>0</v>
      </c>
      <c r="BO20" s="52">
        <v>5400</v>
      </c>
      <c r="BP20" s="52">
        <v>19791.164545454565</v>
      </c>
      <c r="BQ20" s="52">
        <v>0</v>
      </c>
      <c r="BR20" s="52">
        <v>13600.000000000002</v>
      </c>
      <c r="BS20" s="52">
        <v>47600</v>
      </c>
      <c r="BT20" s="52">
        <v>0</v>
      </c>
      <c r="BU20" s="52">
        <v>11200.000000000002</v>
      </c>
      <c r="BV20" s="52">
        <v>19772.479999999901</v>
      </c>
      <c r="BW20" s="52">
        <v>0</v>
      </c>
    </row>
    <row r="21" spans="1:75" x14ac:dyDescent="0.3">
      <c r="A21" s="7" t="s">
        <v>89</v>
      </c>
      <c r="B21" s="7" t="s">
        <v>8</v>
      </c>
      <c r="C21" s="7" t="s">
        <v>28</v>
      </c>
      <c r="D21" s="52">
        <v>17600</v>
      </c>
      <c r="E21" s="52">
        <v>61600</v>
      </c>
      <c r="F21" s="52">
        <v>26400.000000000004</v>
      </c>
      <c r="G21" s="52">
        <v>7200</v>
      </c>
      <c r="H21" s="52">
        <v>25200.000000000004</v>
      </c>
      <c r="I21" s="52">
        <v>10800</v>
      </c>
      <c r="J21" s="52">
        <v>12000</v>
      </c>
      <c r="K21" s="52">
        <v>60000</v>
      </c>
      <c r="L21" s="52">
        <v>24000</v>
      </c>
      <c r="M21" s="52">
        <v>4800.0000000000009</v>
      </c>
      <c r="N21" s="52">
        <v>20800</v>
      </c>
      <c r="O21" s="52">
        <v>12800</v>
      </c>
      <c r="P21" s="52">
        <v>16800</v>
      </c>
      <c r="Q21" s="52">
        <v>58800.000000000007</v>
      </c>
      <c r="R21" s="52">
        <v>25200.000000000004</v>
      </c>
      <c r="S21" s="52">
        <v>6000</v>
      </c>
      <c r="T21" s="52">
        <v>26000</v>
      </c>
      <c r="U21" s="52">
        <v>16000</v>
      </c>
      <c r="V21" s="52">
        <v>15200.000000000002</v>
      </c>
      <c r="W21" s="52">
        <v>53200</v>
      </c>
      <c r="X21" s="52">
        <v>22800</v>
      </c>
      <c r="Y21" s="52">
        <v>6600.0000000000009</v>
      </c>
      <c r="Z21" s="52">
        <v>30800</v>
      </c>
      <c r="AA21" s="52">
        <v>15400</v>
      </c>
      <c r="AB21" s="52">
        <v>17600</v>
      </c>
      <c r="AC21" s="52">
        <v>61600</v>
      </c>
      <c r="AD21" s="52">
        <v>26400.000000000004</v>
      </c>
      <c r="AE21" s="52">
        <v>5400</v>
      </c>
      <c r="AF21" s="52">
        <v>23400.000000000004</v>
      </c>
      <c r="AG21" s="52">
        <v>14400</v>
      </c>
      <c r="AH21" s="52">
        <v>16800</v>
      </c>
      <c r="AI21" s="52">
        <v>58800.000000000007</v>
      </c>
      <c r="AJ21" s="52">
        <v>25200.000000000004</v>
      </c>
      <c r="AK21" s="52">
        <v>5400</v>
      </c>
      <c r="AL21" s="52">
        <v>25200.000000000004</v>
      </c>
      <c r="AM21" s="52">
        <v>12600.000000000002</v>
      </c>
      <c r="AN21" s="52">
        <v>22000</v>
      </c>
      <c r="AO21" s="52">
        <v>52800.000000000007</v>
      </c>
      <c r="AP21" s="52">
        <v>30800</v>
      </c>
      <c r="AQ21" s="52">
        <v>5400</v>
      </c>
      <c r="AR21" s="52">
        <v>25200.000000000004</v>
      </c>
      <c r="AS21" s="52">
        <v>12600.000000000002</v>
      </c>
      <c r="AT21" s="52">
        <v>17600</v>
      </c>
      <c r="AU21" s="52">
        <v>57200</v>
      </c>
      <c r="AV21" s="52">
        <v>30800</v>
      </c>
      <c r="AW21" s="52">
        <v>5400</v>
      </c>
      <c r="AX21" s="52">
        <v>25200.000000000004</v>
      </c>
      <c r="AY21" s="52">
        <v>12600.000000000002</v>
      </c>
      <c r="AZ21" s="52">
        <v>20000</v>
      </c>
      <c r="BA21" s="52">
        <v>48000</v>
      </c>
      <c r="BB21" s="52">
        <v>28000</v>
      </c>
      <c r="BC21" s="52">
        <v>6000</v>
      </c>
      <c r="BD21" s="52">
        <v>26000</v>
      </c>
      <c r="BE21" s="52">
        <v>16000</v>
      </c>
      <c r="BF21" s="52">
        <v>13200.000000000002</v>
      </c>
      <c r="BG21" s="52">
        <v>61600</v>
      </c>
      <c r="BH21" s="52">
        <v>30800</v>
      </c>
      <c r="BI21" s="52">
        <v>5400</v>
      </c>
      <c r="BJ21" s="52">
        <v>23400.000000000004</v>
      </c>
      <c r="BK21" s="52">
        <v>14400</v>
      </c>
      <c r="BL21" s="52">
        <v>8400</v>
      </c>
      <c r="BM21" s="52">
        <v>63000</v>
      </c>
      <c r="BN21" s="52">
        <v>29400.000000000004</v>
      </c>
      <c r="BO21" s="52">
        <v>5400</v>
      </c>
      <c r="BP21" s="52">
        <v>23400.000000000004</v>
      </c>
      <c r="BQ21" s="52">
        <v>14400</v>
      </c>
      <c r="BR21" s="52">
        <v>13600.000000000002</v>
      </c>
      <c r="BS21" s="52">
        <v>47600</v>
      </c>
      <c r="BT21" s="52">
        <v>20400.000000000004</v>
      </c>
      <c r="BU21" s="52">
        <v>11200.000000000002</v>
      </c>
      <c r="BV21" s="52">
        <v>36400</v>
      </c>
      <c r="BW21" s="52">
        <v>19600</v>
      </c>
    </row>
    <row r="22" spans="1:75" x14ac:dyDescent="0.3">
      <c r="A22" s="7" t="s">
        <v>89</v>
      </c>
      <c r="B22" s="7" t="s">
        <v>9</v>
      </c>
      <c r="C22" s="7" t="s">
        <v>60</v>
      </c>
      <c r="D22" s="52">
        <v>67900.800000000003</v>
      </c>
      <c r="E22" s="52">
        <v>237652.80000000002</v>
      </c>
      <c r="F22" s="52">
        <v>101851.20000000001</v>
      </c>
      <c r="G22" s="52">
        <v>27777.600000000002</v>
      </c>
      <c r="H22" s="52">
        <v>97221.6</v>
      </c>
      <c r="I22" s="52">
        <v>41666.400000000001</v>
      </c>
      <c r="J22" s="52">
        <v>46296.000000000007</v>
      </c>
      <c r="K22" s="52">
        <v>231480.00000000003</v>
      </c>
      <c r="L22" s="52">
        <v>92592.000000000015</v>
      </c>
      <c r="M22" s="52">
        <v>18518.400000000001</v>
      </c>
      <c r="N22" s="52">
        <v>80246.400000000009</v>
      </c>
      <c r="O22" s="52">
        <v>49382.400000000001</v>
      </c>
      <c r="P22" s="52">
        <v>64814.400000000009</v>
      </c>
      <c r="Q22" s="52">
        <v>226850.4</v>
      </c>
      <c r="R22" s="52">
        <v>97221.6</v>
      </c>
      <c r="S22" s="52">
        <v>23148.000000000004</v>
      </c>
      <c r="T22" s="52">
        <v>100308</v>
      </c>
      <c r="U22" s="52">
        <v>61728.000000000007</v>
      </c>
      <c r="V22" s="52">
        <v>58641.600000000006</v>
      </c>
      <c r="W22" s="52">
        <v>205245.60000000003</v>
      </c>
      <c r="X22" s="52">
        <v>87962.400000000009</v>
      </c>
      <c r="Y22" s="52">
        <v>25462.800000000003</v>
      </c>
      <c r="Z22" s="52">
        <v>118826.40000000001</v>
      </c>
      <c r="AA22" s="52">
        <v>59413.200000000004</v>
      </c>
      <c r="AB22" s="52">
        <v>67900.800000000003</v>
      </c>
      <c r="AC22" s="52">
        <v>237652.80000000002</v>
      </c>
      <c r="AD22" s="52">
        <v>101851.20000000001</v>
      </c>
      <c r="AE22" s="52">
        <v>20833.2</v>
      </c>
      <c r="AF22" s="52">
        <v>90277.200000000012</v>
      </c>
      <c r="AG22" s="52">
        <v>55555.200000000004</v>
      </c>
      <c r="AH22" s="52">
        <v>64814.400000000009</v>
      </c>
      <c r="AI22" s="52">
        <v>226850.4</v>
      </c>
      <c r="AJ22" s="52">
        <v>97221.6</v>
      </c>
      <c r="AK22" s="52">
        <v>20833.2</v>
      </c>
      <c r="AL22" s="52">
        <v>97221.6</v>
      </c>
      <c r="AM22" s="52">
        <v>48610.8</v>
      </c>
      <c r="AN22" s="52">
        <v>84876</v>
      </c>
      <c r="AO22" s="52">
        <v>203702.40000000002</v>
      </c>
      <c r="AP22" s="52">
        <v>118826.40000000001</v>
      </c>
      <c r="AQ22" s="52">
        <v>20833.2</v>
      </c>
      <c r="AR22" s="52">
        <v>97221.6</v>
      </c>
      <c r="AS22" s="52">
        <v>48610.8</v>
      </c>
      <c r="AT22" s="52">
        <v>67900.800000000003</v>
      </c>
      <c r="AU22" s="52">
        <v>220677.6</v>
      </c>
      <c r="AV22" s="52">
        <v>118826.40000000001</v>
      </c>
      <c r="AW22" s="52">
        <v>20833.2</v>
      </c>
      <c r="AX22" s="52">
        <v>97221.6</v>
      </c>
      <c r="AY22" s="52">
        <v>48610.8</v>
      </c>
      <c r="AZ22" s="52">
        <v>77160.000000000015</v>
      </c>
      <c r="BA22" s="52">
        <v>185184.00000000003</v>
      </c>
      <c r="BB22" s="52">
        <v>108024.00000000001</v>
      </c>
      <c r="BC22" s="52">
        <v>23148.000000000004</v>
      </c>
      <c r="BD22" s="52">
        <v>100308</v>
      </c>
      <c r="BE22" s="52">
        <v>61728.000000000007</v>
      </c>
      <c r="BF22" s="52">
        <v>50925.600000000006</v>
      </c>
      <c r="BG22" s="52">
        <v>237652.80000000002</v>
      </c>
      <c r="BH22" s="52">
        <v>118826.40000000001</v>
      </c>
      <c r="BI22" s="52">
        <v>20833.2</v>
      </c>
      <c r="BJ22" s="52">
        <v>90277.200000000012</v>
      </c>
      <c r="BK22" s="52">
        <v>55555.200000000004</v>
      </c>
      <c r="BL22" s="52">
        <v>32407.200000000004</v>
      </c>
      <c r="BM22" s="52">
        <v>243054.00000000003</v>
      </c>
      <c r="BN22" s="52">
        <v>113425.2</v>
      </c>
      <c r="BO22" s="52">
        <v>20833.2</v>
      </c>
      <c r="BP22" s="52">
        <v>90277.200000000012</v>
      </c>
      <c r="BQ22" s="52">
        <v>55555.200000000004</v>
      </c>
      <c r="BR22" s="52">
        <v>52468.800000000003</v>
      </c>
      <c r="BS22" s="52">
        <v>183640.80000000002</v>
      </c>
      <c r="BT22" s="52">
        <v>78703.200000000012</v>
      </c>
      <c r="BU22" s="52">
        <v>43209.599999999999</v>
      </c>
      <c r="BV22" s="52">
        <v>140431.20000000001</v>
      </c>
      <c r="BW22" s="52">
        <v>75616.800000000017</v>
      </c>
    </row>
    <row r="23" spans="1:75" x14ac:dyDescent="0.3">
      <c r="A23" s="7" t="s">
        <v>89</v>
      </c>
      <c r="B23" s="7" t="s">
        <v>9</v>
      </c>
      <c r="C23" s="7" t="s">
        <v>150</v>
      </c>
      <c r="D23" s="52">
        <v>20697.599999999999</v>
      </c>
      <c r="E23" s="52">
        <v>72441.599999999991</v>
      </c>
      <c r="F23" s="52">
        <v>31046.399999999994</v>
      </c>
      <c r="G23" s="52">
        <v>8467.1999999999989</v>
      </c>
      <c r="H23" s="52">
        <v>29635.199999999993</v>
      </c>
      <c r="I23" s="52">
        <v>12700.799999999997</v>
      </c>
      <c r="J23" s="52">
        <v>14111.999999999998</v>
      </c>
      <c r="K23" s="52">
        <v>70559.999999999985</v>
      </c>
      <c r="L23" s="52">
        <v>28223.999999999996</v>
      </c>
      <c r="M23" s="52">
        <v>5644.7999999999993</v>
      </c>
      <c r="N23" s="52">
        <v>24460.799999999996</v>
      </c>
      <c r="O23" s="52">
        <v>15052.799999999997</v>
      </c>
      <c r="P23" s="52">
        <v>19756.8</v>
      </c>
      <c r="Q23" s="52">
        <v>69148.799999999988</v>
      </c>
      <c r="R23" s="52">
        <v>29635.199999999993</v>
      </c>
      <c r="S23" s="52">
        <v>0</v>
      </c>
      <c r="T23" s="52">
        <v>0</v>
      </c>
      <c r="U23" s="52">
        <v>0</v>
      </c>
      <c r="V23" s="52">
        <v>17875.199999999993</v>
      </c>
      <c r="W23" s="52">
        <v>62563.199999999968</v>
      </c>
      <c r="X23" s="52">
        <v>26812.799999999985</v>
      </c>
      <c r="Y23" s="52">
        <v>0</v>
      </c>
      <c r="Z23" s="52">
        <v>0</v>
      </c>
      <c r="AA23" s="52">
        <v>0</v>
      </c>
      <c r="AB23" s="52">
        <v>20697.599999999999</v>
      </c>
      <c r="AC23" s="52">
        <v>72441.599999999991</v>
      </c>
      <c r="AD23" s="52">
        <v>31046.399999999994</v>
      </c>
      <c r="AE23" s="52">
        <v>6350.3999999999987</v>
      </c>
      <c r="AF23" s="52">
        <v>27518.399999999998</v>
      </c>
      <c r="AG23" s="52">
        <v>16934.399999999998</v>
      </c>
      <c r="AH23" s="52">
        <v>19756.8</v>
      </c>
      <c r="AI23" s="52">
        <v>69148.799999999988</v>
      </c>
      <c r="AJ23" s="52">
        <v>29635.199999999993</v>
      </c>
      <c r="AK23" s="52">
        <v>6350.3999999999987</v>
      </c>
      <c r="AL23" s="52">
        <v>29635.199999999993</v>
      </c>
      <c r="AM23" s="52">
        <v>14817.599999999997</v>
      </c>
      <c r="AN23" s="52">
        <v>25871.999999999996</v>
      </c>
      <c r="AO23" s="52">
        <v>62092.799999999988</v>
      </c>
      <c r="AP23" s="52">
        <v>36220.799999999996</v>
      </c>
      <c r="AQ23" s="52">
        <v>0</v>
      </c>
      <c r="AR23" s="52">
        <v>0</v>
      </c>
      <c r="AS23" s="52">
        <v>0</v>
      </c>
      <c r="AT23" s="52">
        <v>20697.599999999991</v>
      </c>
      <c r="AU23" s="52">
        <v>67267.199999999968</v>
      </c>
      <c r="AV23" s="52">
        <v>36220.799999999981</v>
      </c>
      <c r="AW23" s="52">
        <v>0</v>
      </c>
      <c r="AX23" s="52">
        <v>0</v>
      </c>
      <c r="AY23" s="52">
        <v>0</v>
      </c>
      <c r="AZ23" s="52">
        <v>0</v>
      </c>
      <c r="BA23" s="52">
        <v>0</v>
      </c>
      <c r="BB23" s="52">
        <v>0</v>
      </c>
      <c r="BC23" s="52">
        <v>0</v>
      </c>
      <c r="BD23" s="52">
        <v>0</v>
      </c>
      <c r="BE23" s="52">
        <v>0</v>
      </c>
      <c r="BF23" s="52">
        <v>0</v>
      </c>
      <c r="BG23" s="52">
        <v>0</v>
      </c>
      <c r="BH23" s="52">
        <v>0</v>
      </c>
      <c r="BI23" s="52">
        <v>0</v>
      </c>
      <c r="BJ23" s="52">
        <v>0</v>
      </c>
      <c r="BK23" s="52">
        <v>0</v>
      </c>
      <c r="BL23" s="52">
        <v>9878.4</v>
      </c>
      <c r="BM23" s="52">
        <v>74088</v>
      </c>
      <c r="BN23" s="52">
        <v>34574.399999999994</v>
      </c>
      <c r="BO23" s="52">
        <v>6350.3999999999987</v>
      </c>
      <c r="BP23" s="52">
        <v>27518.399999999998</v>
      </c>
      <c r="BQ23" s="52">
        <v>16934.399999999998</v>
      </c>
      <c r="BR23" s="52">
        <v>15993.599999999997</v>
      </c>
      <c r="BS23" s="52">
        <v>55977.599999999991</v>
      </c>
      <c r="BT23" s="52">
        <v>23990.399999999998</v>
      </c>
      <c r="BU23" s="52">
        <v>13171.199999999999</v>
      </c>
      <c r="BV23" s="52">
        <v>42806.399999999994</v>
      </c>
      <c r="BW23" s="52">
        <v>23049.599999999999</v>
      </c>
    </row>
    <row r="24" spans="1:75" x14ac:dyDescent="0.3">
      <c r="A24" s="7" t="s">
        <v>89</v>
      </c>
      <c r="B24" s="7" t="s">
        <v>9</v>
      </c>
      <c r="C24" s="7" t="s">
        <v>61</v>
      </c>
      <c r="D24" s="52">
        <v>17872.800000000003</v>
      </c>
      <c r="E24" s="52">
        <v>41010.129236362402</v>
      </c>
      <c r="F24" s="52">
        <v>10723.68</v>
      </c>
      <c r="G24" s="52">
        <v>0</v>
      </c>
      <c r="H24" s="52">
        <v>0</v>
      </c>
      <c r="I24" s="52">
        <v>0</v>
      </c>
      <c r="J24" s="52">
        <v>0</v>
      </c>
      <c r="K24" s="52">
        <v>0</v>
      </c>
      <c r="L24" s="52">
        <v>0</v>
      </c>
      <c r="M24" s="52">
        <v>0</v>
      </c>
      <c r="N24" s="52">
        <v>0</v>
      </c>
      <c r="O24" s="52">
        <v>0</v>
      </c>
      <c r="P24" s="52">
        <v>0</v>
      </c>
      <c r="Q24" s="52">
        <v>0</v>
      </c>
      <c r="R24" s="52">
        <v>0</v>
      </c>
      <c r="S24" s="52">
        <v>0</v>
      </c>
      <c r="T24" s="52">
        <v>0</v>
      </c>
      <c r="U24" s="52">
        <v>0</v>
      </c>
      <c r="V24" s="52">
        <v>0</v>
      </c>
      <c r="W24" s="52">
        <v>0</v>
      </c>
      <c r="X24" s="52">
        <v>0</v>
      </c>
      <c r="Y24" s="52">
        <v>0</v>
      </c>
      <c r="Z24" s="52">
        <v>0</v>
      </c>
      <c r="AA24" s="52">
        <v>0</v>
      </c>
      <c r="AB24" s="52">
        <v>0</v>
      </c>
      <c r="AC24" s="52">
        <v>0</v>
      </c>
      <c r="AD24" s="52">
        <v>0</v>
      </c>
      <c r="AE24" s="52">
        <v>0</v>
      </c>
      <c r="AF24" s="52">
        <v>0</v>
      </c>
      <c r="AG24" s="52">
        <v>0</v>
      </c>
      <c r="AH24" s="52">
        <v>0</v>
      </c>
      <c r="AI24" s="52">
        <v>0</v>
      </c>
      <c r="AJ24" s="52">
        <v>0</v>
      </c>
      <c r="AK24" s="52">
        <v>0</v>
      </c>
      <c r="AL24" s="52">
        <v>0</v>
      </c>
      <c r="AM24" s="52">
        <v>0</v>
      </c>
      <c r="AN24" s="52">
        <v>0</v>
      </c>
      <c r="AO24" s="52">
        <v>0</v>
      </c>
      <c r="AP24" s="52">
        <v>0</v>
      </c>
      <c r="AQ24" s="52">
        <v>0</v>
      </c>
      <c r="AR24" s="52">
        <v>0</v>
      </c>
      <c r="AS24" s="52">
        <v>0</v>
      </c>
      <c r="AT24" s="52">
        <v>0</v>
      </c>
      <c r="AU24" s="52">
        <v>0</v>
      </c>
      <c r="AV24" s="52">
        <v>0</v>
      </c>
      <c r="AW24" s="52">
        <v>0</v>
      </c>
      <c r="AX24" s="52">
        <v>0</v>
      </c>
      <c r="AY24" s="52">
        <v>0</v>
      </c>
      <c r="AZ24" s="52">
        <v>0</v>
      </c>
      <c r="BA24" s="52">
        <v>0</v>
      </c>
      <c r="BB24" s="52">
        <v>0</v>
      </c>
      <c r="BC24" s="52">
        <v>0</v>
      </c>
      <c r="BD24" s="52">
        <v>0</v>
      </c>
      <c r="BE24" s="52">
        <v>0</v>
      </c>
      <c r="BF24" s="52">
        <v>9570.0000000000127</v>
      </c>
      <c r="BG24" s="52">
        <v>25021.919999999947</v>
      </c>
      <c r="BH24" s="52">
        <v>12510.959999999974</v>
      </c>
      <c r="BI24" s="52">
        <v>0</v>
      </c>
      <c r="BJ24" s="52">
        <v>0</v>
      </c>
      <c r="BK24" s="52">
        <v>0</v>
      </c>
      <c r="BL24" s="52">
        <v>8530.2000000000007</v>
      </c>
      <c r="BM24" s="52">
        <v>63976.5</v>
      </c>
      <c r="BN24" s="52">
        <v>11942.279999999999</v>
      </c>
      <c r="BO24" s="52">
        <v>0</v>
      </c>
      <c r="BP24" s="52">
        <v>0</v>
      </c>
      <c r="BQ24" s="52">
        <v>0</v>
      </c>
      <c r="BR24" s="52">
        <v>13810.800000000001</v>
      </c>
      <c r="BS24" s="52">
        <v>48337.8</v>
      </c>
      <c r="BT24" s="52">
        <v>8286.48</v>
      </c>
      <c r="BU24" s="52">
        <v>0</v>
      </c>
      <c r="BV24" s="52">
        <v>0</v>
      </c>
      <c r="BW24" s="52">
        <v>0</v>
      </c>
    </row>
    <row r="25" spans="1:75" x14ac:dyDescent="0.3">
      <c r="A25" s="7" t="s">
        <v>89</v>
      </c>
      <c r="B25" s="7" t="s">
        <v>9</v>
      </c>
      <c r="C25" s="7" t="s">
        <v>152</v>
      </c>
      <c r="D25" s="52">
        <v>0</v>
      </c>
      <c r="E25" s="52">
        <v>0</v>
      </c>
      <c r="F25" s="52">
        <v>0</v>
      </c>
      <c r="G25" s="52">
        <v>0</v>
      </c>
      <c r="H25" s="52">
        <v>0</v>
      </c>
      <c r="I25" s="52">
        <v>0</v>
      </c>
      <c r="J25" s="52">
        <v>0</v>
      </c>
      <c r="K25" s="52">
        <v>0</v>
      </c>
      <c r="L25" s="52">
        <v>0</v>
      </c>
      <c r="M25" s="52">
        <v>0</v>
      </c>
      <c r="N25" s="52">
        <v>0</v>
      </c>
      <c r="O25" s="52">
        <v>0</v>
      </c>
      <c r="P25" s="52">
        <v>0</v>
      </c>
      <c r="Q25" s="52">
        <v>0</v>
      </c>
      <c r="R25" s="52">
        <v>0</v>
      </c>
      <c r="S25" s="52">
        <v>0</v>
      </c>
      <c r="T25" s="52">
        <v>0</v>
      </c>
      <c r="U25" s="52">
        <v>0</v>
      </c>
      <c r="V25" s="52">
        <v>0</v>
      </c>
      <c r="W25" s="52">
        <v>0</v>
      </c>
      <c r="X25" s="52">
        <v>0</v>
      </c>
      <c r="Y25" s="52">
        <v>0</v>
      </c>
      <c r="Z25" s="52">
        <v>0</v>
      </c>
      <c r="AA25" s="52">
        <v>0</v>
      </c>
      <c r="AB25" s="52">
        <v>0</v>
      </c>
      <c r="AC25" s="52">
        <v>0</v>
      </c>
      <c r="AD25" s="52">
        <v>0</v>
      </c>
      <c r="AE25" s="52">
        <v>0</v>
      </c>
      <c r="AF25" s="52">
        <v>0</v>
      </c>
      <c r="AG25" s="52">
        <v>0</v>
      </c>
      <c r="AH25" s="52">
        <v>0</v>
      </c>
      <c r="AI25" s="52">
        <v>0</v>
      </c>
      <c r="AJ25" s="52">
        <v>0</v>
      </c>
      <c r="AK25" s="52">
        <v>0</v>
      </c>
      <c r="AL25" s="52">
        <v>0</v>
      </c>
      <c r="AM25" s="52">
        <v>0</v>
      </c>
      <c r="AN25" s="52">
        <v>0</v>
      </c>
      <c r="AO25" s="52">
        <v>0</v>
      </c>
      <c r="AP25" s="52">
        <v>0</v>
      </c>
      <c r="AQ25" s="52">
        <v>0</v>
      </c>
      <c r="AR25" s="52">
        <v>0</v>
      </c>
      <c r="AS25" s="52">
        <v>0</v>
      </c>
      <c r="AT25" s="52">
        <v>0</v>
      </c>
      <c r="AU25" s="52">
        <v>0</v>
      </c>
      <c r="AV25" s="52">
        <v>0</v>
      </c>
      <c r="AW25" s="52">
        <v>0</v>
      </c>
      <c r="AX25" s="52">
        <v>0</v>
      </c>
      <c r="AY25" s="52">
        <v>0</v>
      </c>
      <c r="AZ25" s="52">
        <v>0</v>
      </c>
      <c r="BA25" s="52">
        <v>0</v>
      </c>
      <c r="BB25" s="52">
        <v>0</v>
      </c>
      <c r="BC25" s="52">
        <v>0</v>
      </c>
      <c r="BD25" s="52">
        <v>0</v>
      </c>
      <c r="BE25" s="52">
        <v>0</v>
      </c>
      <c r="BF25" s="52">
        <v>0</v>
      </c>
      <c r="BG25" s="52">
        <v>0</v>
      </c>
      <c r="BH25" s="52">
        <v>0</v>
      </c>
      <c r="BI25" s="52">
        <v>0</v>
      </c>
      <c r="BJ25" s="52">
        <v>0</v>
      </c>
      <c r="BK25" s="52">
        <v>0</v>
      </c>
      <c r="BL25" s="52">
        <v>0</v>
      </c>
      <c r="BM25" s="52">
        <v>0</v>
      </c>
      <c r="BN25" s="52">
        <v>0</v>
      </c>
      <c r="BO25" s="52">
        <v>0</v>
      </c>
      <c r="BP25" s="52">
        <v>0</v>
      </c>
      <c r="BQ25" s="52">
        <v>0</v>
      </c>
      <c r="BR25" s="52">
        <v>6147.1999999999798</v>
      </c>
      <c r="BS25" s="52">
        <v>19873.000000000036</v>
      </c>
      <c r="BT25" s="52">
        <v>6136.32</v>
      </c>
      <c r="BU25" s="52">
        <v>0</v>
      </c>
      <c r="BV25" s="52">
        <v>0</v>
      </c>
      <c r="BW25" s="52">
        <v>0</v>
      </c>
    </row>
    <row r="26" spans="1:75" x14ac:dyDescent="0.3">
      <c r="A26" s="8" t="s">
        <v>89</v>
      </c>
      <c r="B26" s="8" t="s">
        <v>9</v>
      </c>
      <c r="C26" s="8" t="s">
        <v>151</v>
      </c>
      <c r="D26" s="52">
        <v>17107.2</v>
      </c>
      <c r="E26" s="52">
        <v>59875.200000000004</v>
      </c>
      <c r="F26" s="52">
        <v>10264.320000000002</v>
      </c>
      <c r="G26" s="52">
        <v>6998.4000000000005</v>
      </c>
      <c r="H26" s="52">
        <v>20865.600000000064</v>
      </c>
      <c r="I26" s="52">
        <v>4199.0399999999936</v>
      </c>
      <c r="J26" s="52">
        <v>11664.000000000002</v>
      </c>
      <c r="K26" s="52">
        <v>58320.000000000007</v>
      </c>
      <c r="L26" s="52">
        <v>9331.1999999999953</v>
      </c>
      <c r="M26" s="52">
        <v>4665.6000000000004</v>
      </c>
      <c r="N26" s="52">
        <v>17024.800000000043</v>
      </c>
      <c r="O26" s="52">
        <v>4976.6400000000003</v>
      </c>
      <c r="P26" s="52">
        <v>0</v>
      </c>
      <c r="Q26" s="52">
        <v>0</v>
      </c>
      <c r="R26" s="52">
        <v>0</v>
      </c>
      <c r="S26" s="52">
        <v>0</v>
      </c>
      <c r="T26" s="52">
        <v>0</v>
      </c>
      <c r="U26" s="52">
        <v>0</v>
      </c>
      <c r="V26" s="52">
        <v>14774.400000000001</v>
      </c>
      <c r="W26" s="52">
        <v>51710.400000000009</v>
      </c>
      <c r="X26" s="52">
        <v>8864.6400000000012</v>
      </c>
      <c r="Y26" s="52">
        <v>6415.2000000000007</v>
      </c>
      <c r="Z26" s="52">
        <v>11975.04</v>
      </c>
      <c r="AA26" s="52">
        <v>5987.52</v>
      </c>
      <c r="AB26" s="52">
        <v>12091.199999999972</v>
      </c>
      <c r="AC26" s="52">
        <v>53838.400000000096</v>
      </c>
      <c r="AD26" s="52">
        <v>10264.320000000002</v>
      </c>
      <c r="AE26" s="52">
        <v>0</v>
      </c>
      <c r="AF26" s="52">
        <v>0</v>
      </c>
      <c r="AG26" s="52">
        <v>0</v>
      </c>
      <c r="AH26" s="52">
        <v>16329.600000000002</v>
      </c>
      <c r="AI26" s="52">
        <v>57153.600000000006</v>
      </c>
      <c r="AJ26" s="52">
        <v>9797.760000000002</v>
      </c>
      <c r="AK26" s="52">
        <v>0</v>
      </c>
      <c r="AL26" s="52">
        <v>0</v>
      </c>
      <c r="AM26" s="52">
        <v>0</v>
      </c>
      <c r="AN26" s="52">
        <v>21384</v>
      </c>
      <c r="AO26" s="52">
        <v>51321.600000000006</v>
      </c>
      <c r="AP26" s="52">
        <v>11975.04</v>
      </c>
      <c r="AQ26" s="52">
        <v>0</v>
      </c>
      <c r="AR26" s="52">
        <v>0</v>
      </c>
      <c r="AS26" s="52">
        <v>0</v>
      </c>
      <c r="AT26" s="52">
        <v>17107.2</v>
      </c>
      <c r="AU26" s="52">
        <v>55598.400000000009</v>
      </c>
      <c r="AV26" s="52">
        <v>11975.04</v>
      </c>
      <c r="AW26" s="52">
        <v>5248.8</v>
      </c>
      <c r="AX26" s="52">
        <v>24494.400000000001</v>
      </c>
      <c r="AY26" s="52">
        <v>4898.880000000001</v>
      </c>
      <c r="AZ26" s="52">
        <v>19440</v>
      </c>
      <c r="BA26" s="52">
        <v>46656.000000000007</v>
      </c>
      <c r="BB26" s="52">
        <v>10886.4</v>
      </c>
      <c r="BC26" s="52">
        <v>5832.0000000000009</v>
      </c>
      <c r="BD26" s="52">
        <v>16767.000000000047</v>
      </c>
      <c r="BE26" s="52">
        <v>6220.7999999999993</v>
      </c>
      <c r="BF26" s="52">
        <v>12830.400000000001</v>
      </c>
      <c r="BG26" s="52">
        <v>57522.080000000096</v>
      </c>
      <c r="BH26" s="52">
        <v>11975.04</v>
      </c>
      <c r="BI26" s="52">
        <v>5248.8</v>
      </c>
      <c r="BJ26" s="52">
        <v>9097.92</v>
      </c>
      <c r="BK26" s="52">
        <v>5598.72</v>
      </c>
      <c r="BL26" s="52">
        <v>0</v>
      </c>
      <c r="BM26" s="52">
        <v>0</v>
      </c>
      <c r="BN26" s="52">
        <v>0</v>
      </c>
      <c r="BO26" s="52">
        <v>0</v>
      </c>
      <c r="BP26" s="52">
        <v>0</v>
      </c>
      <c r="BQ26" s="52">
        <v>0</v>
      </c>
      <c r="BR26" s="52">
        <v>13219.2</v>
      </c>
      <c r="BS26" s="52">
        <v>46267.200000000004</v>
      </c>
      <c r="BT26" s="52">
        <v>7931.5199999999204</v>
      </c>
      <c r="BU26" s="52">
        <v>10886.400000000001</v>
      </c>
      <c r="BV26" s="52">
        <v>33924.799999999959</v>
      </c>
      <c r="BW26" s="52">
        <v>7620.4799999999977</v>
      </c>
    </row>
    <row r="27" spans="1:75" x14ac:dyDescent="0.3">
      <c r="A27" s="8" t="s">
        <v>89</v>
      </c>
      <c r="B27" s="8" t="s">
        <v>9</v>
      </c>
      <c r="C27" s="8" t="s">
        <v>62</v>
      </c>
      <c r="D27" s="52">
        <v>44000</v>
      </c>
      <c r="E27" s="52">
        <v>154000</v>
      </c>
      <c r="F27" s="52">
        <v>66000</v>
      </c>
      <c r="G27" s="52">
        <v>18000</v>
      </c>
      <c r="H27" s="52">
        <v>63000</v>
      </c>
      <c r="I27" s="52">
        <v>27000</v>
      </c>
      <c r="J27" s="52">
        <v>30000</v>
      </c>
      <c r="K27" s="52">
        <v>150000</v>
      </c>
      <c r="L27" s="52">
        <v>60000</v>
      </c>
      <c r="M27" s="52">
        <v>12000</v>
      </c>
      <c r="N27" s="52">
        <v>52000</v>
      </c>
      <c r="O27" s="52">
        <v>32000</v>
      </c>
      <c r="P27" s="52">
        <v>42000</v>
      </c>
      <c r="Q27" s="52">
        <v>147000</v>
      </c>
      <c r="R27" s="52">
        <v>63000</v>
      </c>
      <c r="S27" s="52">
        <v>15000</v>
      </c>
      <c r="T27" s="52">
        <v>65000</v>
      </c>
      <c r="U27" s="52">
        <v>40000</v>
      </c>
      <c r="V27" s="52">
        <v>38000</v>
      </c>
      <c r="W27" s="52">
        <v>133000</v>
      </c>
      <c r="X27" s="52">
        <v>57000</v>
      </c>
      <c r="Y27" s="52">
        <v>16500</v>
      </c>
      <c r="Z27" s="52">
        <v>77000</v>
      </c>
      <c r="AA27" s="52">
        <v>38500</v>
      </c>
      <c r="AB27" s="52">
        <v>44000</v>
      </c>
      <c r="AC27" s="52">
        <v>154000</v>
      </c>
      <c r="AD27" s="52">
        <v>66000</v>
      </c>
      <c r="AE27" s="52">
        <v>13500</v>
      </c>
      <c r="AF27" s="52">
        <v>58500</v>
      </c>
      <c r="AG27" s="52">
        <v>36000</v>
      </c>
      <c r="AH27" s="52">
        <v>42000</v>
      </c>
      <c r="AI27" s="52">
        <v>147000</v>
      </c>
      <c r="AJ27" s="52">
        <v>63000</v>
      </c>
      <c r="AK27" s="52">
        <v>13500</v>
      </c>
      <c r="AL27" s="52">
        <v>63000</v>
      </c>
      <c r="AM27" s="52">
        <v>31500</v>
      </c>
      <c r="AN27" s="52">
        <v>55000</v>
      </c>
      <c r="AO27" s="52">
        <v>132000</v>
      </c>
      <c r="AP27" s="52">
        <v>77000</v>
      </c>
      <c r="AQ27" s="52">
        <v>13500</v>
      </c>
      <c r="AR27" s="52">
        <v>63000</v>
      </c>
      <c r="AS27" s="52">
        <v>31500</v>
      </c>
      <c r="AT27" s="52">
        <v>44000</v>
      </c>
      <c r="AU27" s="52">
        <v>143000</v>
      </c>
      <c r="AV27" s="52">
        <v>77000</v>
      </c>
      <c r="AW27" s="52">
        <v>13500</v>
      </c>
      <c r="AX27" s="52">
        <v>63000</v>
      </c>
      <c r="AY27" s="52">
        <v>31500</v>
      </c>
      <c r="AZ27" s="52">
        <v>50000</v>
      </c>
      <c r="BA27" s="52">
        <v>120000</v>
      </c>
      <c r="BB27" s="52">
        <v>70000</v>
      </c>
      <c r="BC27" s="52">
        <v>15000</v>
      </c>
      <c r="BD27" s="52">
        <v>65000</v>
      </c>
      <c r="BE27" s="52">
        <v>40000</v>
      </c>
      <c r="BF27" s="52">
        <v>33000</v>
      </c>
      <c r="BG27" s="52">
        <v>154000</v>
      </c>
      <c r="BH27" s="52">
        <v>77000</v>
      </c>
      <c r="BI27" s="52">
        <v>13500</v>
      </c>
      <c r="BJ27" s="52">
        <v>58500</v>
      </c>
      <c r="BK27" s="52">
        <v>36000</v>
      </c>
      <c r="BL27" s="52">
        <v>21000</v>
      </c>
      <c r="BM27" s="52">
        <v>157500</v>
      </c>
      <c r="BN27" s="52">
        <v>73500</v>
      </c>
      <c r="BO27" s="52">
        <v>13500</v>
      </c>
      <c r="BP27" s="52">
        <v>58500</v>
      </c>
      <c r="BQ27" s="52">
        <v>36000</v>
      </c>
      <c r="BR27" s="52">
        <v>34000</v>
      </c>
      <c r="BS27" s="52">
        <v>119000</v>
      </c>
      <c r="BT27" s="52">
        <v>51000</v>
      </c>
      <c r="BU27" s="52">
        <v>28000</v>
      </c>
      <c r="BV27" s="52">
        <v>91000</v>
      </c>
      <c r="BW27" s="52">
        <v>49000</v>
      </c>
    </row>
    <row r="28" spans="1:75" x14ac:dyDescent="0.3">
      <c r="A28" s="8" t="s">
        <v>89</v>
      </c>
      <c r="B28" s="8" t="s">
        <v>9</v>
      </c>
      <c r="C28" s="8" t="s">
        <v>63</v>
      </c>
      <c r="D28" s="52">
        <v>44000</v>
      </c>
      <c r="E28" s="52">
        <v>154000</v>
      </c>
      <c r="F28" s="52">
        <v>26981.160000000018</v>
      </c>
      <c r="G28" s="52">
        <v>18000</v>
      </c>
      <c r="H28" s="52">
        <v>63000</v>
      </c>
      <c r="I28" s="52">
        <v>5399.9999999999718</v>
      </c>
      <c r="J28" s="52">
        <v>30000</v>
      </c>
      <c r="K28" s="52">
        <v>150000</v>
      </c>
      <c r="L28" s="52">
        <v>22036.799999999974</v>
      </c>
      <c r="M28" s="52">
        <v>12000</v>
      </c>
      <c r="N28" s="52">
        <v>52000</v>
      </c>
      <c r="O28" s="52">
        <v>11567.359999999953</v>
      </c>
      <c r="P28" s="52">
        <v>42000</v>
      </c>
      <c r="Q28" s="52">
        <v>147000</v>
      </c>
      <c r="R28" s="52">
        <v>41652.297087378662</v>
      </c>
      <c r="S28" s="52">
        <v>15000</v>
      </c>
      <c r="T28" s="52">
        <v>65000</v>
      </c>
      <c r="U28" s="52">
        <v>26445.902912621375</v>
      </c>
      <c r="V28" s="52">
        <v>38000</v>
      </c>
      <c r="W28" s="52">
        <v>133000</v>
      </c>
      <c r="X28" s="52">
        <v>20880.228062827206</v>
      </c>
      <c r="Y28" s="52">
        <v>16500</v>
      </c>
      <c r="Z28" s="52">
        <v>74480.56000000007</v>
      </c>
      <c r="AA28" s="52">
        <v>14103.311937172763</v>
      </c>
      <c r="AB28" s="52">
        <v>44000</v>
      </c>
      <c r="AC28" s="52">
        <v>154000</v>
      </c>
      <c r="AD28" s="52">
        <v>18392.88</v>
      </c>
      <c r="AE28" s="52">
        <v>0</v>
      </c>
      <c r="AF28" s="52">
        <v>0</v>
      </c>
      <c r="AG28" s="52">
        <v>0</v>
      </c>
      <c r="AH28" s="52">
        <v>42000</v>
      </c>
      <c r="AI28" s="52">
        <v>147000</v>
      </c>
      <c r="AJ28" s="52">
        <v>23491.440000000039</v>
      </c>
      <c r="AK28" s="52">
        <v>0</v>
      </c>
      <c r="AL28" s="52">
        <v>0</v>
      </c>
      <c r="AM28" s="52">
        <v>0</v>
      </c>
      <c r="AN28" s="52">
        <v>55000</v>
      </c>
      <c r="AO28" s="52">
        <v>132000</v>
      </c>
      <c r="AP28" s="52">
        <v>55470.800000000047</v>
      </c>
      <c r="AQ28" s="52">
        <v>13500</v>
      </c>
      <c r="AR28" s="52">
        <v>63000</v>
      </c>
      <c r="AS28" s="52">
        <v>22692.60000000002</v>
      </c>
      <c r="AT28" s="52">
        <v>44000</v>
      </c>
      <c r="AU28" s="52">
        <v>143000</v>
      </c>
      <c r="AV28" s="52">
        <v>35595.55999999999</v>
      </c>
      <c r="AW28" s="52">
        <v>13500</v>
      </c>
      <c r="AX28" s="52">
        <v>63000</v>
      </c>
      <c r="AY28" s="52">
        <v>14561.819999999996</v>
      </c>
      <c r="AZ28" s="52">
        <v>50000</v>
      </c>
      <c r="BA28" s="52">
        <v>120000</v>
      </c>
      <c r="BB28" s="52">
        <v>67261.600000000006</v>
      </c>
      <c r="BC28" s="52">
        <v>15000</v>
      </c>
      <c r="BD28" s="52">
        <v>65000</v>
      </c>
      <c r="BE28" s="52">
        <v>21707.200000000008</v>
      </c>
      <c r="BF28" s="52">
        <v>33000</v>
      </c>
      <c r="BG28" s="52">
        <v>154000</v>
      </c>
      <c r="BH28" s="52">
        <v>30314.695575221172</v>
      </c>
      <c r="BI28" s="52">
        <v>13500</v>
      </c>
      <c r="BJ28" s="52">
        <v>55825.379999999946</v>
      </c>
      <c r="BK28" s="52">
        <v>12692.784424778731</v>
      </c>
      <c r="BL28" s="52">
        <v>21000</v>
      </c>
      <c r="BM28" s="52">
        <v>157500</v>
      </c>
      <c r="BN28" s="52">
        <v>27433.703835616408</v>
      </c>
      <c r="BO28" s="52">
        <v>13500</v>
      </c>
      <c r="BP28" s="52">
        <v>58500</v>
      </c>
      <c r="BQ28" s="52">
        <v>13436.916164383549</v>
      </c>
      <c r="BR28" s="52">
        <v>34000</v>
      </c>
      <c r="BS28" s="52">
        <v>119000</v>
      </c>
      <c r="BT28" s="52">
        <v>19044.200000000197</v>
      </c>
      <c r="BU28" s="52">
        <v>28000</v>
      </c>
      <c r="BV28" s="52">
        <v>91000</v>
      </c>
      <c r="BW28" s="52">
        <v>9800</v>
      </c>
    </row>
    <row r="29" spans="1:75" x14ac:dyDescent="0.3">
      <c r="A29" s="8" t="s">
        <v>89</v>
      </c>
      <c r="B29" s="8" t="s">
        <v>9</v>
      </c>
      <c r="C29" s="8" t="s">
        <v>64</v>
      </c>
      <c r="D29" s="52">
        <v>44000</v>
      </c>
      <c r="E29" s="52">
        <v>154000</v>
      </c>
      <c r="F29" s="52">
        <v>13200.000000000002</v>
      </c>
      <c r="G29" s="52">
        <v>0</v>
      </c>
      <c r="H29" s="52">
        <v>0</v>
      </c>
      <c r="I29" s="52">
        <v>0</v>
      </c>
      <c r="J29" s="52">
        <v>30000</v>
      </c>
      <c r="K29" s="52">
        <v>150000</v>
      </c>
      <c r="L29" s="52">
        <v>12000</v>
      </c>
      <c r="M29" s="52">
        <v>0</v>
      </c>
      <c r="N29" s="52">
        <v>0</v>
      </c>
      <c r="O29" s="52">
        <v>0</v>
      </c>
      <c r="P29" s="52">
        <v>33961.199999999983</v>
      </c>
      <c r="Q29" s="52">
        <v>125302.7999999996</v>
      </c>
      <c r="R29" s="52">
        <v>12600.000000000002</v>
      </c>
      <c r="S29" s="52">
        <v>0</v>
      </c>
      <c r="T29" s="52">
        <v>0</v>
      </c>
      <c r="U29" s="52">
        <v>0</v>
      </c>
      <c r="V29" s="52">
        <v>0</v>
      </c>
      <c r="W29" s="52">
        <v>0</v>
      </c>
      <c r="X29" s="52">
        <v>0</v>
      </c>
      <c r="Y29" s="52">
        <v>0</v>
      </c>
      <c r="Z29" s="52">
        <v>0</v>
      </c>
      <c r="AA29" s="52">
        <v>0</v>
      </c>
      <c r="AB29" s="52">
        <v>0</v>
      </c>
      <c r="AC29" s="52">
        <v>0</v>
      </c>
      <c r="AD29" s="52">
        <v>0</v>
      </c>
      <c r="AE29" s="52">
        <v>0</v>
      </c>
      <c r="AF29" s="52">
        <v>0</v>
      </c>
      <c r="AG29" s="52">
        <v>0</v>
      </c>
      <c r="AH29" s="52">
        <v>42000</v>
      </c>
      <c r="AI29" s="52">
        <v>147000</v>
      </c>
      <c r="AJ29" s="52">
        <v>17400.600000000002</v>
      </c>
      <c r="AK29" s="52">
        <v>13500</v>
      </c>
      <c r="AL29" s="52">
        <v>63000</v>
      </c>
      <c r="AM29" s="52">
        <v>8700.3000000000011</v>
      </c>
      <c r="AN29" s="52">
        <v>55000</v>
      </c>
      <c r="AO29" s="52">
        <v>132000</v>
      </c>
      <c r="AP29" s="52">
        <v>15400</v>
      </c>
      <c r="AQ29" s="52">
        <v>13500</v>
      </c>
      <c r="AR29" s="52">
        <v>57708.000000000007</v>
      </c>
      <c r="AS29" s="52">
        <v>6300.0000000000009</v>
      </c>
      <c r="AT29" s="52">
        <v>0</v>
      </c>
      <c r="AU29" s="52">
        <v>0</v>
      </c>
      <c r="AV29" s="52">
        <v>0</v>
      </c>
      <c r="AW29" s="52">
        <v>0</v>
      </c>
      <c r="AX29" s="52">
        <v>0</v>
      </c>
      <c r="AY29" s="52">
        <v>0</v>
      </c>
      <c r="AZ29" s="52">
        <v>50000</v>
      </c>
      <c r="BA29" s="52">
        <v>120000</v>
      </c>
      <c r="BB29" s="52">
        <v>14000</v>
      </c>
      <c r="BC29" s="52">
        <v>0</v>
      </c>
      <c r="BD29" s="52">
        <v>0</v>
      </c>
      <c r="BE29" s="52">
        <v>0</v>
      </c>
      <c r="BF29" s="52">
        <v>33000</v>
      </c>
      <c r="BG29" s="52">
        <v>154000</v>
      </c>
      <c r="BH29" s="52">
        <v>15400</v>
      </c>
      <c r="BI29" s="52">
        <v>0</v>
      </c>
      <c r="BJ29" s="52">
        <v>0</v>
      </c>
      <c r="BK29" s="52">
        <v>0</v>
      </c>
      <c r="BL29" s="52">
        <v>21000</v>
      </c>
      <c r="BM29" s="52">
        <v>157500</v>
      </c>
      <c r="BN29" s="52">
        <v>14700.000000000002</v>
      </c>
      <c r="BO29" s="52">
        <v>0</v>
      </c>
      <c r="BP29" s="52">
        <v>0</v>
      </c>
      <c r="BQ29" s="52">
        <v>0</v>
      </c>
      <c r="BR29" s="52">
        <v>34000</v>
      </c>
      <c r="BS29" s="52">
        <v>119000</v>
      </c>
      <c r="BT29" s="52">
        <v>10200.000000000002</v>
      </c>
      <c r="BU29" s="52">
        <v>0</v>
      </c>
      <c r="BV29" s="52">
        <v>0</v>
      </c>
      <c r="BW29" s="52">
        <v>0</v>
      </c>
    </row>
    <row r="30" spans="1:75" x14ac:dyDescent="0.3">
      <c r="A30" s="8" t="s">
        <v>89</v>
      </c>
      <c r="B30" s="8" t="s">
        <v>9</v>
      </c>
      <c r="C30" s="8" t="s">
        <v>65</v>
      </c>
      <c r="D30" s="52">
        <v>58739.999999999993</v>
      </c>
      <c r="E30" s="52">
        <v>205590</v>
      </c>
      <c r="F30" s="52">
        <v>88110</v>
      </c>
      <c r="G30" s="52">
        <v>24030</v>
      </c>
      <c r="H30" s="52">
        <v>84105</v>
      </c>
      <c r="I30" s="52">
        <v>36045</v>
      </c>
      <c r="J30" s="52">
        <v>40050</v>
      </c>
      <c r="K30" s="52">
        <v>200250</v>
      </c>
      <c r="L30" s="52">
        <v>80100</v>
      </c>
      <c r="M30" s="52">
        <v>16020</v>
      </c>
      <c r="N30" s="52">
        <v>69420</v>
      </c>
      <c r="O30" s="52">
        <v>42720</v>
      </c>
      <c r="P30" s="52">
        <v>56070</v>
      </c>
      <c r="Q30" s="52">
        <v>196245</v>
      </c>
      <c r="R30" s="52">
        <v>84105</v>
      </c>
      <c r="S30" s="52">
        <v>20025</v>
      </c>
      <c r="T30" s="52">
        <v>86774.999999999985</v>
      </c>
      <c r="U30" s="52">
        <v>53400</v>
      </c>
      <c r="V30" s="52">
        <v>50730</v>
      </c>
      <c r="W30" s="52">
        <v>177555</v>
      </c>
      <c r="X30" s="52">
        <v>76095</v>
      </c>
      <c r="Y30" s="52">
        <v>22027.5</v>
      </c>
      <c r="Z30" s="52">
        <v>102795</v>
      </c>
      <c r="AA30" s="52">
        <v>51397.5</v>
      </c>
      <c r="AB30" s="52">
        <v>58739.999999999993</v>
      </c>
      <c r="AC30" s="52">
        <v>205590</v>
      </c>
      <c r="AD30" s="52">
        <v>88110</v>
      </c>
      <c r="AE30" s="52">
        <v>18022.5</v>
      </c>
      <c r="AF30" s="52">
        <v>78097.5</v>
      </c>
      <c r="AG30" s="52">
        <v>48060</v>
      </c>
      <c r="AH30" s="52">
        <v>56070</v>
      </c>
      <c r="AI30" s="52">
        <v>196245</v>
      </c>
      <c r="AJ30" s="52">
        <v>84105</v>
      </c>
      <c r="AK30" s="52">
        <v>18022.5</v>
      </c>
      <c r="AL30" s="52">
        <v>84105</v>
      </c>
      <c r="AM30" s="52">
        <v>42052.5</v>
      </c>
      <c r="AN30" s="52">
        <v>73425</v>
      </c>
      <c r="AO30" s="52">
        <v>176220</v>
      </c>
      <c r="AP30" s="52">
        <v>102795</v>
      </c>
      <c r="AQ30" s="52">
        <v>18022.5</v>
      </c>
      <c r="AR30" s="52">
        <v>84105</v>
      </c>
      <c r="AS30" s="52">
        <v>42052.5</v>
      </c>
      <c r="AT30" s="52">
        <v>58739.999999999993</v>
      </c>
      <c r="AU30" s="52">
        <v>190905</v>
      </c>
      <c r="AV30" s="52">
        <v>102795</v>
      </c>
      <c r="AW30" s="52">
        <v>18022.5</v>
      </c>
      <c r="AX30" s="52">
        <v>84105</v>
      </c>
      <c r="AY30" s="52">
        <v>42052.5</v>
      </c>
      <c r="AZ30" s="52">
        <v>66750</v>
      </c>
      <c r="BA30" s="52">
        <v>160200</v>
      </c>
      <c r="BB30" s="52">
        <v>93450</v>
      </c>
      <c r="BC30" s="52">
        <v>20025</v>
      </c>
      <c r="BD30" s="52">
        <v>86774.999999999985</v>
      </c>
      <c r="BE30" s="52">
        <v>53400</v>
      </c>
      <c r="BF30" s="52">
        <v>44055</v>
      </c>
      <c r="BG30" s="52">
        <v>205590</v>
      </c>
      <c r="BH30" s="52">
        <v>102795</v>
      </c>
      <c r="BI30" s="52">
        <v>18022.5</v>
      </c>
      <c r="BJ30" s="52">
        <v>78097.5</v>
      </c>
      <c r="BK30" s="52">
        <v>48060</v>
      </c>
      <c r="BL30" s="52">
        <v>28035</v>
      </c>
      <c r="BM30" s="52">
        <v>210262.5</v>
      </c>
      <c r="BN30" s="52">
        <v>98122.5</v>
      </c>
      <c r="BO30" s="52">
        <v>18022.5</v>
      </c>
      <c r="BP30" s="52">
        <v>78097.5</v>
      </c>
      <c r="BQ30" s="52">
        <v>48060</v>
      </c>
      <c r="BR30" s="52">
        <v>45390</v>
      </c>
      <c r="BS30" s="52">
        <v>158865</v>
      </c>
      <c r="BT30" s="52">
        <v>68085</v>
      </c>
      <c r="BU30" s="52">
        <v>37379.999999999993</v>
      </c>
      <c r="BV30" s="52">
        <v>121485</v>
      </c>
      <c r="BW30" s="52">
        <v>65414.999999999993</v>
      </c>
    </row>
    <row r="31" spans="1:75" x14ac:dyDescent="0.3">
      <c r="A31" s="8" t="s">
        <v>89</v>
      </c>
      <c r="B31" s="8" t="s">
        <v>9</v>
      </c>
      <c r="C31" s="8" t="s">
        <v>66</v>
      </c>
      <c r="D31" s="52">
        <v>0</v>
      </c>
      <c r="E31" s="52">
        <v>0</v>
      </c>
      <c r="F31" s="52">
        <v>0</v>
      </c>
      <c r="G31" s="52">
        <v>0</v>
      </c>
      <c r="H31" s="52">
        <v>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0</v>
      </c>
      <c r="O31" s="52">
        <v>0</v>
      </c>
      <c r="P31" s="52">
        <v>0</v>
      </c>
      <c r="Q31" s="52">
        <v>0</v>
      </c>
      <c r="R31" s="52">
        <v>0</v>
      </c>
      <c r="S31" s="52">
        <v>0</v>
      </c>
      <c r="T31" s="52">
        <v>0</v>
      </c>
      <c r="U31" s="52">
        <v>0</v>
      </c>
      <c r="V31" s="52">
        <v>0</v>
      </c>
      <c r="W31" s="52">
        <v>0</v>
      </c>
      <c r="X31" s="52">
        <v>0</v>
      </c>
      <c r="Y31" s="52">
        <v>0</v>
      </c>
      <c r="Z31" s="52">
        <v>0</v>
      </c>
      <c r="AA31" s="52">
        <v>0</v>
      </c>
      <c r="AB31" s="52">
        <v>0</v>
      </c>
      <c r="AC31" s="52">
        <v>0</v>
      </c>
      <c r="AD31" s="52">
        <v>0</v>
      </c>
      <c r="AE31" s="52">
        <v>0</v>
      </c>
      <c r="AF31" s="52">
        <v>0</v>
      </c>
      <c r="AG31" s="52">
        <v>0</v>
      </c>
      <c r="AH31" s="52">
        <v>0</v>
      </c>
      <c r="AI31" s="52">
        <v>0</v>
      </c>
      <c r="AJ31" s="52">
        <v>0</v>
      </c>
      <c r="AK31" s="52">
        <v>0</v>
      </c>
      <c r="AL31" s="52">
        <v>0</v>
      </c>
      <c r="AM31" s="52">
        <v>0</v>
      </c>
      <c r="AN31" s="52">
        <v>0</v>
      </c>
      <c r="AO31" s="52">
        <v>0</v>
      </c>
      <c r="AP31" s="52">
        <v>0</v>
      </c>
      <c r="AQ31" s="52">
        <v>0</v>
      </c>
      <c r="AR31" s="52">
        <v>0</v>
      </c>
      <c r="AS31" s="52">
        <v>0</v>
      </c>
      <c r="AT31" s="52">
        <v>0</v>
      </c>
      <c r="AU31" s="52">
        <v>0</v>
      </c>
      <c r="AV31" s="52">
        <v>0</v>
      </c>
      <c r="AW31" s="52">
        <v>0</v>
      </c>
      <c r="AX31" s="52">
        <v>0</v>
      </c>
      <c r="AY31" s="52">
        <v>0</v>
      </c>
      <c r="AZ31" s="52">
        <v>0</v>
      </c>
      <c r="BA31" s="52">
        <v>0</v>
      </c>
      <c r="BB31" s="52">
        <v>0</v>
      </c>
      <c r="BC31" s="52">
        <v>0</v>
      </c>
      <c r="BD31" s="52">
        <v>0</v>
      </c>
      <c r="BE31" s="52">
        <v>0</v>
      </c>
      <c r="BF31" s="52">
        <v>0</v>
      </c>
      <c r="BG31" s="52">
        <v>0</v>
      </c>
      <c r="BH31" s="52">
        <v>0</v>
      </c>
      <c r="BI31" s="52">
        <v>0</v>
      </c>
      <c r="BJ31" s="52">
        <v>0</v>
      </c>
      <c r="BK31" s="52">
        <v>0</v>
      </c>
      <c r="BL31" s="52">
        <v>0</v>
      </c>
      <c r="BM31" s="52">
        <v>0</v>
      </c>
      <c r="BN31" s="52">
        <v>0</v>
      </c>
      <c r="BO31" s="52">
        <v>0</v>
      </c>
      <c r="BP31" s="52">
        <v>0</v>
      </c>
      <c r="BQ31" s="52">
        <v>0</v>
      </c>
      <c r="BR31" s="52">
        <v>0</v>
      </c>
      <c r="BS31" s="52">
        <v>0</v>
      </c>
      <c r="BT31" s="52">
        <v>0</v>
      </c>
      <c r="BU31" s="52">
        <v>0</v>
      </c>
      <c r="BV31" s="52">
        <v>0</v>
      </c>
      <c r="BW31" s="52">
        <v>0</v>
      </c>
    </row>
    <row r="32" spans="1:75" x14ac:dyDescent="0.3">
      <c r="A32" s="8" t="s">
        <v>89</v>
      </c>
      <c r="B32" s="8" t="s">
        <v>9</v>
      </c>
      <c r="C32" s="8" t="s">
        <v>67</v>
      </c>
      <c r="D32" s="52">
        <v>0</v>
      </c>
      <c r="E32" s="52">
        <v>0</v>
      </c>
      <c r="F32" s="52">
        <v>0</v>
      </c>
      <c r="G32" s="52">
        <v>0</v>
      </c>
      <c r="H32" s="52">
        <v>0</v>
      </c>
      <c r="I32" s="52">
        <v>0</v>
      </c>
      <c r="J32" s="52">
        <v>0</v>
      </c>
      <c r="K32" s="52">
        <v>0</v>
      </c>
      <c r="L32" s="52">
        <v>0</v>
      </c>
      <c r="M32" s="52">
        <v>0</v>
      </c>
      <c r="N32" s="52">
        <v>0</v>
      </c>
      <c r="O32" s="52">
        <v>0</v>
      </c>
      <c r="P32" s="52">
        <v>0</v>
      </c>
      <c r="Q32" s="52">
        <v>0</v>
      </c>
      <c r="R32" s="52">
        <v>0</v>
      </c>
      <c r="S32" s="52">
        <v>0</v>
      </c>
      <c r="T32" s="52">
        <v>0</v>
      </c>
      <c r="U32" s="52">
        <v>0</v>
      </c>
      <c r="V32" s="52">
        <v>0</v>
      </c>
      <c r="W32" s="52">
        <v>0</v>
      </c>
      <c r="X32" s="52">
        <v>0</v>
      </c>
      <c r="Y32" s="52">
        <v>0</v>
      </c>
      <c r="Z32" s="52">
        <v>0</v>
      </c>
      <c r="AA32" s="52">
        <v>0</v>
      </c>
      <c r="AB32" s="52">
        <v>0</v>
      </c>
      <c r="AC32" s="52">
        <v>0</v>
      </c>
      <c r="AD32" s="52">
        <v>0</v>
      </c>
      <c r="AE32" s="52">
        <v>0</v>
      </c>
      <c r="AF32" s="52">
        <v>0</v>
      </c>
      <c r="AG32" s="52">
        <v>0</v>
      </c>
      <c r="AH32" s="52">
        <v>0</v>
      </c>
      <c r="AI32" s="52">
        <v>0</v>
      </c>
      <c r="AJ32" s="52">
        <v>0</v>
      </c>
      <c r="AK32" s="52">
        <v>0</v>
      </c>
      <c r="AL32" s="52">
        <v>0</v>
      </c>
      <c r="AM32" s="52">
        <v>0</v>
      </c>
      <c r="AN32" s="52">
        <v>0</v>
      </c>
      <c r="AO32" s="52">
        <v>0</v>
      </c>
      <c r="AP32" s="52">
        <v>0</v>
      </c>
      <c r="AQ32" s="52">
        <v>0</v>
      </c>
      <c r="AR32" s="52">
        <v>0</v>
      </c>
      <c r="AS32" s="52">
        <v>0</v>
      </c>
      <c r="AT32" s="52">
        <v>0</v>
      </c>
      <c r="AU32" s="52">
        <v>0</v>
      </c>
      <c r="AV32" s="52">
        <v>0</v>
      </c>
      <c r="AW32" s="52">
        <v>0</v>
      </c>
      <c r="AX32" s="52">
        <v>0</v>
      </c>
      <c r="AY32" s="52">
        <v>0</v>
      </c>
      <c r="AZ32" s="52">
        <v>0</v>
      </c>
      <c r="BA32" s="52">
        <v>0</v>
      </c>
      <c r="BB32" s="52">
        <v>0</v>
      </c>
      <c r="BC32" s="52">
        <v>0</v>
      </c>
      <c r="BD32" s="52">
        <v>0</v>
      </c>
      <c r="BE32" s="52">
        <v>0</v>
      </c>
      <c r="BF32" s="52">
        <v>0</v>
      </c>
      <c r="BG32" s="52">
        <v>0</v>
      </c>
      <c r="BH32" s="52">
        <v>0</v>
      </c>
      <c r="BI32" s="52">
        <v>0</v>
      </c>
      <c r="BJ32" s="52">
        <v>0</v>
      </c>
      <c r="BK32" s="52">
        <v>0</v>
      </c>
      <c r="BL32" s="52">
        <v>0</v>
      </c>
      <c r="BM32" s="52">
        <v>0</v>
      </c>
      <c r="BN32" s="52">
        <v>0</v>
      </c>
      <c r="BO32" s="52">
        <v>0</v>
      </c>
      <c r="BP32" s="52">
        <v>0</v>
      </c>
      <c r="BQ32" s="52">
        <v>0</v>
      </c>
      <c r="BR32" s="52">
        <v>0</v>
      </c>
      <c r="BS32" s="52">
        <v>0</v>
      </c>
      <c r="BT32" s="52">
        <v>0</v>
      </c>
      <c r="BU32" s="52">
        <v>0</v>
      </c>
      <c r="BV32" s="52">
        <v>0</v>
      </c>
      <c r="BW32" s="52">
        <v>0</v>
      </c>
    </row>
    <row r="33" spans="1:75" x14ac:dyDescent="0.3">
      <c r="A33" s="8" t="s">
        <v>89</v>
      </c>
      <c r="B33" s="8" t="s">
        <v>9</v>
      </c>
      <c r="C33" s="8" t="s">
        <v>68</v>
      </c>
      <c r="D33" s="52">
        <v>0</v>
      </c>
      <c r="E33" s="52">
        <v>0</v>
      </c>
      <c r="F33" s="52">
        <v>0</v>
      </c>
      <c r="G33" s="52">
        <v>0</v>
      </c>
      <c r="H33" s="52">
        <v>0</v>
      </c>
      <c r="I33" s="52">
        <v>0</v>
      </c>
      <c r="J33" s="52">
        <v>0</v>
      </c>
      <c r="K33" s="52">
        <v>0</v>
      </c>
      <c r="L33" s="52">
        <v>0</v>
      </c>
      <c r="M33" s="52">
        <v>0</v>
      </c>
      <c r="N33" s="52">
        <v>0</v>
      </c>
      <c r="O33" s="52">
        <v>0</v>
      </c>
      <c r="P33" s="52">
        <v>0</v>
      </c>
      <c r="Q33" s="52">
        <v>0</v>
      </c>
      <c r="R33" s="52">
        <v>0</v>
      </c>
      <c r="S33" s="52">
        <v>0</v>
      </c>
      <c r="T33" s="52">
        <v>0</v>
      </c>
      <c r="U33" s="52">
        <v>0</v>
      </c>
      <c r="V33" s="52">
        <v>0</v>
      </c>
      <c r="W33" s="52">
        <v>0</v>
      </c>
      <c r="X33" s="52">
        <v>0</v>
      </c>
      <c r="Y33" s="52">
        <v>0</v>
      </c>
      <c r="Z33" s="52">
        <v>0</v>
      </c>
      <c r="AA33" s="52">
        <v>0</v>
      </c>
      <c r="AB33" s="52">
        <v>0</v>
      </c>
      <c r="AC33" s="52">
        <v>0</v>
      </c>
      <c r="AD33" s="52">
        <v>0</v>
      </c>
      <c r="AE33" s="52">
        <v>0</v>
      </c>
      <c r="AF33" s="52">
        <v>0</v>
      </c>
      <c r="AG33" s="52">
        <v>0</v>
      </c>
      <c r="AH33" s="52">
        <v>0</v>
      </c>
      <c r="AI33" s="52">
        <v>0</v>
      </c>
      <c r="AJ33" s="52">
        <v>0</v>
      </c>
      <c r="AK33" s="52">
        <v>0</v>
      </c>
      <c r="AL33" s="52">
        <v>0</v>
      </c>
      <c r="AM33" s="52">
        <v>0</v>
      </c>
      <c r="AN33" s="52">
        <v>0</v>
      </c>
      <c r="AO33" s="52">
        <v>0</v>
      </c>
      <c r="AP33" s="52">
        <v>0</v>
      </c>
      <c r="AQ33" s="52">
        <v>0</v>
      </c>
      <c r="AR33" s="52">
        <v>0</v>
      </c>
      <c r="AS33" s="52">
        <v>0</v>
      </c>
      <c r="AT33" s="52">
        <v>0</v>
      </c>
      <c r="AU33" s="52">
        <v>0</v>
      </c>
      <c r="AV33" s="52">
        <v>0</v>
      </c>
      <c r="AW33" s="52">
        <v>0</v>
      </c>
      <c r="AX33" s="52">
        <v>0</v>
      </c>
      <c r="AY33" s="52">
        <v>0</v>
      </c>
      <c r="AZ33" s="52">
        <v>0</v>
      </c>
      <c r="BA33" s="52">
        <v>0</v>
      </c>
      <c r="BB33" s="52">
        <v>0</v>
      </c>
      <c r="BC33" s="52">
        <v>0</v>
      </c>
      <c r="BD33" s="52">
        <v>0</v>
      </c>
      <c r="BE33" s="52">
        <v>0</v>
      </c>
      <c r="BF33" s="52">
        <v>0</v>
      </c>
      <c r="BG33" s="52">
        <v>0</v>
      </c>
      <c r="BH33" s="52">
        <v>0</v>
      </c>
      <c r="BI33" s="52">
        <v>0</v>
      </c>
      <c r="BJ33" s="52">
        <v>0</v>
      </c>
      <c r="BK33" s="52">
        <v>0</v>
      </c>
      <c r="BL33" s="52">
        <v>0</v>
      </c>
      <c r="BM33" s="52">
        <v>0</v>
      </c>
      <c r="BN33" s="52">
        <v>0</v>
      </c>
      <c r="BO33" s="52">
        <v>0</v>
      </c>
      <c r="BP33" s="52">
        <v>0</v>
      </c>
      <c r="BQ33" s="52">
        <v>0</v>
      </c>
      <c r="BR33" s="52">
        <v>0</v>
      </c>
      <c r="BS33" s="52">
        <v>0</v>
      </c>
      <c r="BT33" s="52">
        <v>0</v>
      </c>
      <c r="BU33" s="52">
        <v>0</v>
      </c>
      <c r="BV33" s="52">
        <v>0</v>
      </c>
      <c r="BW33" s="52">
        <v>0</v>
      </c>
    </row>
    <row r="34" spans="1:75" x14ac:dyDescent="0.3">
      <c r="A34" s="8" t="s">
        <v>89</v>
      </c>
      <c r="B34" s="8" t="s">
        <v>9</v>
      </c>
      <c r="C34" s="8" t="s">
        <v>69</v>
      </c>
      <c r="D34" s="52">
        <v>0</v>
      </c>
      <c r="E34" s="52">
        <v>0</v>
      </c>
      <c r="F34" s="52">
        <v>0</v>
      </c>
      <c r="G34" s="52">
        <v>0</v>
      </c>
      <c r="H34" s="52">
        <v>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0</v>
      </c>
      <c r="P34" s="52">
        <v>0</v>
      </c>
      <c r="Q34" s="52">
        <v>0</v>
      </c>
      <c r="R34" s="52">
        <v>0</v>
      </c>
      <c r="S34" s="52">
        <v>0</v>
      </c>
      <c r="T34" s="52">
        <v>0</v>
      </c>
      <c r="U34" s="52">
        <v>0</v>
      </c>
      <c r="V34" s="52">
        <v>0</v>
      </c>
      <c r="W34" s="52">
        <v>0</v>
      </c>
      <c r="X34" s="52">
        <v>0</v>
      </c>
      <c r="Y34" s="52">
        <v>0</v>
      </c>
      <c r="Z34" s="52">
        <v>0</v>
      </c>
      <c r="AA34" s="52">
        <v>0</v>
      </c>
      <c r="AB34" s="52">
        <v>0</v>
      </c>
      <c r="AC34" s="52">
        <v>0</v>
      </c>
      <c r="AD34" s="52">
        <v>0</v>
      </c>
      <c r="AE34" s="52">
        <v>0</v>
      </c>
      <c r="AF34" s="52">
        <v>0</v>
      </c>
      <c r="AG34" s="52">
        <v>0</v>
      </c>
      <c r="AH34" s="52">
        <v>0</v>
      </c>
      <c r="AI34" s="52">
        <v>0</v>
      </c>
      <c r="AJ34" s="52">
        <v>0</v>
      </c>
      <c r="AK34" s="52">
        <v>0</v>
      </c>
      <c r="AL34" s="52">
        <v>0</v>
      </c>
      <c r="AM34" s="52">
        <v>0</v>
      </c>
      <c r="AN34" s="52">
        <v>0</v>
      </c>
      <c r="AO34" s="52">
        <v>0</v>
      </c>
      <c r="AP34" s="52">
        <v>0</v>
      </c>
      <c r="AQ34" s="52">
        <v>0</v>
      </c>
      <c r="AR34" s="52">
        <v>0</v>
      </c>
      <c r="AS34" s="52">
        <v>0</v>
      </c>
      <c r="AT34" s="52">
        <v>0</v>
      </c>
      <c r="AU34" s="52">
        <v>0</v>
      </c>
      <c r="AV34" s="52">
        <v>0</v>
      </c>
      <c r="AW34" s="52">
        <v>0</v>
      </c>
      <c r="AX34" s="52">
        <v>0</v>
      </c>
      <c r="AY34" s="52">
        <v>0</v>
      </c>
      <c r="AZ34" s="52">
        <v>0</v>
      </c>
      <c r="BA34" s="52">
        <v>0</v>
      </c>
      <c r="BB34" s="52">
        <v>0</v>
      </c>
      <c r="BC34" s="52">
        <v>0</v>
      </c>
      <c r="BD34" s="52">
        <v>0</v>
      </c>
      <c r="BE34" s="52">
        <v>0</v>
      </c>
      <c r="BF34" s="52">
        <v>0</v>
      </c>
      <c r="BG34" s="52">
        <v>0</v>
      </c>
      <c r="BH34" s="52">
        <v>0</v>
      </c>
      <c r="BI34" s="52">
        <v>0</v>
      </c>
      <c r="BJ34" s="52">
        <v>0</v>
      </c>
      <c r="BK34" s="52">
        <v>0</v>
      </c>
      <c r="BL34" s="52">
        <v>0</v>
      </c>
      <c r="BM34" s="52">
        <v>0</v>
      </c>
      <c r="BN34" s="52">
        <v>0</v>
      </c>
      <c r="BO34" s="52">
        <v>0</v>
      </c>
      <c r="BP34" s="52">
        <v>0</v>
      </c>
      <c r="BQ34" s="52">
        <v>0</v>
      </c>
      <c r="BR34" s="52">
        <v>0</v>
      </c>
      <c r="BS34" s="52">
        <v>0</v>
      </c>
      <c r="BT34" s="52">
        <v>0</v>
      </c>
      <c r="BU34" s="52">
        <v>0</v>
      </c>
      <c r="BV34" s="52">
        <v>0</v>
      </c>
      <c r="BW34" s="52">
        <v>0</v>
      </c>
    </row>
    <row r="35" spans="1:75" x14ac:dyDescent="0.3">
      <c r="A35" s="8" t="s">
        <v>89</v>
      </c>
      <c r="B35" s="8" t="s">
        <v>9</v>
      </c>
      <c r="C35" s="8" t="s">
        <v>27</v>
      </c>
      <c r="D35" s="52">
        <v>13200</v>
      </c>
      <c r="E35" s="52">
        <v>46199.999999999993</v>
      </c>
      <c r="F35" s="52">
        <v>19799.639999999974</v>
      </c>
      <c r="G35" s="52">
        <v>5399.9999999999991</v>
      </c>
      <c r="H35" s="52">
        <v>18900</v>
      </c>
      <c r="I35" s="52">
        <v>3636.3600000000301</v>
      </c>
      <c r="J35" s="52">
        <v>9000</v>
      </c>
      <c r="K35" s="52">
        <v>45000</v>
      </c>
      <c r="L35" s="52">
        <v>18000</v>
      </c>
      <c r="M35" s="52">
        <v>3599.9999999999995</v>
      </c>
      <c r="N35" s="52">
        <v>15600</v>
      </c>
      <c r="O35" s="52">
        <v>729.600000000009</v>
      </c>
      <c r="P35" s="52">
        <v>12600</v>
      </c>
      <c r="Q35" s="52">
        <v>44100</v>
      </c>
      <c r="R35" s="52">
        <v>12893.102912621363</v>
      </c>
      <c r="S35" s="52">
        <v>4500</v>
      </c>
      <c r="T35" s="52">
        <v>19500</v>
      </c>
      <c r="U35" s="52">
        <v>8186.0970873786446</v>
      </c>
      <c r="V35" s="52">
        <v>11400</v>
      </c>
      <c r="W35" s="52">
        <v>39900</v>
      </c>
      <c r="X35" s="52">
        <v>4078.9319371727875</v>
      </c>
      <c r="Y35" s="52">
        <v>4950</v>
      </c>
      <c r="Z35" s="52">
        <v>23099.999999999996</v>
      </c>
      <c r="AA35" s="52">
        <v>2755.0680628272339</v>
      </c>
      <c r="AB35" s="52">
        <v>11844.800000000052</v>
      </c>
      <c r="AC35" s="52">
        <v>44102.266352941129</v>
      </c>
      <c r="AD35" s="52">
        <v>0</v>
      </c>
      <c r="AE35" s="52">
        <v>3634.2000000000162</v>
      </c>
      <c r="AF35" s="52">
        <v>16753.133647058803</v>
      </c>
      <c r="AG35" s="52">
        <v>0</v>
      </c>
      <c r="AH35" s="52">
        <v>12600</v>
      </c>
      <c r="AI35" s="52">
        <v>28213.617040000234</v>
      </c>
      <c r="AJ35" s="52">
        <v>0</v>
      </c>
      <c r="AK35" s="52">
        <v>2617.6327999996374</v>
      </c>
      <c r="AL35" s="52">
        <v>5816.750160000106</v>
      </c>
      <c r="AM35" s="52">
        <v>0</v>
      </c>
      <c r="AN35" s="52">
        <v>16500</v>
      </c>
      <c r="AO35" s="52">
        <v>32396.999999999985</v>
      </c>
      <c r="AP35" s="52">
        <v>0</v>
      </c>
      <c r="AQ35" s="52">
        <v>1992.6000000000111</v>
      </c>
      <c r="AR35" s="52">
        <v>0</v>
      </c>
      <c r="AS35" s="52">
        <v>0</v>
      </c>
      <c r="AT35" s="52">
        <v>13200</v>
      </c>
      <c r="AU35" s="52">
        <v>37689.599999999999</v>
      </c>
      <c r="AV35" s="52">
        <v>0</v>
      </c>
      <c r="AW35" s="52">
        <v>0</v>
      </c>
      <c r="AX35" s="52">
        <v>0</v>
      </c>
      <c r="AY35" s="52">
        <v>0</v>
      </c>
      <c r="AZ35" s="52">
        <v>15000</v>
      </c>
      <c r="BA35" s="52">
        <v>36000</v>
      </c>
      <c r="BB35" s="52">
        <v>0</v>
      </c>
      <c r="BC35" s="52">
        <v>4500</v>
      </c>
      <c r="BD35" s="52">
        <v>18371.999999999996</v>
      </c>
      <c r="BE35" s="52">
        <v>0</v>
      </c>
      <c r="BF35" s="52">
        <v>9900</v>
      </c>
      <c r="BG35" s="52">
        <v>46199.999999999993</v>
      </c>
      <c r="BH35" s="52">
        <v>7738.7044247787635</v>
      </c>
      <c r="BI35" s="52">
        <v>4050</v>
      </c>
      <c r="BJ35" s="52">
        <v>17550</v>
      </c>
      <c r="BK35" s="52">
        <v>3618.0955752212399</v>
      </c>
      <c r="BL35" s="52">
        <v>6300</v>
      </c>
      <c r="BM35" s="52">
        <v>47250</v>
      </c>
      <c r="BN35" s="52">
        <v>21526.116164383558</v>
      </c>
      <c r="BO35" s="52">
        <v>4050</v>
      </c>
      <c r="BP35" s="52">
        <v>17550</v>
      </c>
      <c r="BQ35" s="52">
        <v>1819.8838356164417</v>
      </c>
      <c r="BR35" s="52">
        <v>10200</v>
      </c>
      <c r="BS35" s="52">
        <v>35699.999999999993</v>
      </c>
      <c r="BT35" s="52">
        <v>13589.679999999944</v>
      </c>
      <c r="BU35" s="52">
        <v>8400</v>
      </c>
      <c r="BV35" s="52">
        <v>27300</v>
      </c>
      <c r="BW35" s="52">
        <v>6589.520000000055</v>
      </c>
    </row>
    <row r="36" spans="1:75" x14ac:dyDescent="0.3">
      <c r="A36" s="8" t="s">
        <v>89</v>
      </c>
      <c r="B36" s="8" t="s">
        <v>9</v>
      </c>
      <c r="C36" s="8" t="s">
        <v>144</v>
      </c>
      <c r="D36" s="52">
        <v>17600</v>
      </c>
      <c r="E36" s="52">
        <v>0</v>
      </c>
      <c r="F36" s="52">
        <v>0</v>
      </c>
      <c r="G36" s="52">
        <v>7200</v>
      </c>
      <c r="H36" s="52">
        <v>0</v>
      </c>
      <c r="I36" s="52">
        <v>0</v>
      </c>
      <c r="J36" s="52">
        <v>6337.9051428567263</v>
      </c>
      <c r="K36" s="52">
        <v>0</v>
      </c>
      <c r="L36" s="52">
        <v>0</v>
      </c>
      <c r="M36" s="52">
        <v>319.96205714264738</v>
      </c>
      <c r="N36" s="52">
        <v>0</v>
      </c>
      <c r="O36" s="52">
        <v>0</v>
      </c>
      <c r="P36" s="52">
        <v>16800</v>
      </c>
      <c r="Q36" s="52">
        <v>15288.000000000311</v>
      </c>
      <c r="R36" s="52">
        <v>0</v>
      </c>
      <c r="S36" s="52">
        <v>6000</v>
      </c>
      <c r="T36" s="52">
        <v>6760.0000000001373</v>
      </c>
      <c r="U36" s="52">
        <v>0</v>
      </c>
      <c r="V36" s="52">
        <v>15200.000000000002</v>
      </c>
      <c r="W36" s="52">
        <v>7687.4000000001543</v>
      </c>
      <c r="X36" s="52">
        <v>0</v>
      </c>
      <c r="Y36" s="52">
        <v>1927.2000000000039</v>
      </c>
      <c r="Z36" s="52">
        <v>0</v>
      </c>
      <c r="AA36" s="52">
        <v>0</v>
      </c>
      <c r="AB36" s="52">
        <v>17600</v>
      </c>
      <c r="AC36" s="52">
        <v>15557.333647058853</v>
      </c>
      <c r="AD36" s="52">
        <v>0</v>
      </c>
      <c r="AE36" s="52">
        <v>5400</v>
      </c>
      <c r="AF36" s="52">
        <v>5909.7663529411875</v>
      </c>
      <c r="AG36" s="52">
        <v>0</v>
      </c>
      <c r="AH36" s="52">
        <v>15481.199999999946</v>
      </c>
      <c r="AI36" s="52">
        <v>0</v>
      </c>
      <c r="AJ36" s="52">
        <v>0</v>
      </c>
      <c r="AK36" s="52">
        <v>3497.8672000003476</v>
      </c>
      <c r="AL36" s="52">
        <v>0</v>
      </c>
      <c r="AM36" s="52">
        <v>0</v>
      </c>
      <c r="AN36" s="52">
        <v>22000</v>
      </c>
      <c r="AO36" s="52">
        <v>0</v>
      </c>
      <c r="AP36" s="52">
        <v>0</v>
      </c>
      <c r="AQ36" s="52">
        <v>0</v>
      </c>
      <c r="AR36" s="52">
        <v>0</v>
      </c>
      <c r="AS36" s="52">
        <v>0</v>
      </c>
      <c r="AT36" s="52">
        <v>17600</v>
      </c>
      <c r="AU36" s="52">
        <v>26317.200000000306</v>
      </c>
      <c r="AV36" s="52">
        <v>0</v>
      </c>
      <c r="AW36" s="52">
        <v>5400</v>
      </c>
      <c r="AX36" s="52">
        <v>0</v>
      </c>
      <c r="AY36" s="52">
        <v>0</v>
      </c>
      <c r="AZ36" s="52">
        <v>20000</v>
      </c>
      <c r="BA36" s="52">
        <v>5447.9999999999809</v>
      </c>
      <c r="BB36" s="52">
        <v>0</v>
      </c>
      <c r="BC36" s="52">
        <v>2184.0000000000018</v>
      </c>
      <c r="BD36" s="52">
        <v>0</v>
      </c>
      <c r="BE36" s="52">
        <v>0</v>
      </c>
      <c r="BF36" s="52">
        <v>3861.0000000000305</v>
      </c>
      <c r="BG36" s="52">
        <v>0</v>
      </c>
      <c r="BH36" s="52">
        <v>0</v>
      </c>
      <c r="BI36" s="52">
        <v>1579.5000000000125</v>
      </c>
      <c r="BJ36" s="52">
        <v>0</v>
      </c>
      <c r="BK36" s="52">
        <v>0</v>
      </c>
      <c r="BL36" s="52">
        <v>7950.5128347823711</v>
      </c>
      <c r="BM36" s="52">
        <v>0</v>
      </c>
      <c r="BN36" s="52">
        <v>0</v>
      </c>
      <c r="BO36" s="52">
        <v>5111.0439652172381</v>
      </c>
      <c r="BP36" s="52">
        <v>0</v>
      </c>
      <c r="BQ36" s="52">
        <v>0</v>
      </c>
      <c r="BR36" s="52">
        <v>13600.000000000002</v>
      </c>
      <c r="BS36" s="52">
        <v>0</v>
      </c>
      <c r="BT36" s="52">
        <v>0</v>
      </c>
      <c r="BU36" s="52">
        <v>11200.000000000002</v>
      </c>
      <c r="BV36" s="52">
        <v>0</v>
      </c>
      <c r="BW36" s="52">
        <v>0</v>
      </c>
    </row>
    <row r="37" spans="1:75" x14ac:dyDescent="0.3">
      <c r="A37" s="8" t="s">
        <v>89</v>
      </c>
      <c r="B37" s="8" t="s">
        <v>9</v>
      </c>
      <c r="C37" s="8" t="s">
        <v>145</v>
      </c>
      <c r="D37" s="52">
        <v>8175.200000000018</v>
      </c>
      <c r="E37" s="52">
        <v>0</v>
      </c>
      <c r="F37" s="52">
        <v>0</v>
      </c>
      <c r="G37" s="52">
        <v>2829.6000000000549</v>
      </c>
      <c r="H37" s="52">
        <v>0</v>
      </c>
      <c r="I37" s="52">
        <v>0</v>
      </c>
      <c r="J37" s="52">
        <v>7756.0948571434301</v>
      </c>
      <c r="K37" s="52">
        <v>0</v>
      </c>
      <c r="L37" s="52">
        <v>0</v>
      </c>
      <c r="M37" s="52">
        <v>3102.437942857372</v>
      </c>
      <c r="N37" s="52">
        <v>0</v>
      </c>
      <c r="O37" s="52">
        <v>0</v>
      </c>
      <c r="P37" s="52">
        <v>16800</v>
      </c>
      <c r="Q37" s="52">
        <v>0</v>
      </c>
      <c r="R37" s="52">
        <v>0</v>
      </c>
      <c r="S37" s="52">
        <v>6000</v>
      </c>
      <c r="T37" s="52">
        <v>0</v>
      </c>
      <c r="U37" s="52">
        <v>0</v>
      </c>
      <c r="V37" s="52">
        <v>10130.800000000048</v>
      </c>
      <c r="W37" s="52">
        <v>0</v>
      </c>
      <c r="X37" s="52">
        <v>0</v>
      </c>
      <c r="Y37" s="52">
        <v>0</v>
      </c>
      <c r="Z37" s="52">
        <v>0</v>
      </c>
      <c r="AA37" s="52">
        <v>0</v>
      </c>
      <c r="AB37" s="52">
        <v>17600</v>
      </c>
      <c r="AC37" s="52">
        <v>0</v>
      </c>
      <c r="AD37" s="52">
        <v>0</v>
      </c>
      <c r="AE37" s="52">
        <v>5400</v>
      </c>
      <c r="AF37" s="52">
        <v>0</v>
      </c>
      <c r="AG37" s="52">
        <v>0</v>
      </c>
      <c r="AH37" s="52">
        <v>0</v>
      </c>
      <c r="AI37" s="52">
        <v>0</v>
      </c>
      <c r="AJ37" s="52">
        <v>0</v>
      </c>
      <c r="AK37" s="52">
        <v>0</v>
      </c>
      <c r="AL37" s="52">
        <v>0</v>
      </c>
      <c r="AM37" s="52">
        <v>0</v>
      </c>
      <c r="AN37" s="52">
        <v>7237.9999999999973</v>
      </c>
      <c r="AO37" s="52">
        <v>0</v>
      </c>
      <c r="AP37" s="52">
        <v>0</v>
      </c>
      <c r="AQ37" s="52">
        <v>0</v>
      </c>
      <c r="AR37" s="52">
        <v>0</v>
      </c>
      <c r="AS37" s="52">
        <v>0</v>
      </c>
      <c r="AT37" s="52">
        <v>14027.199999999943</v>
      </c>
      <c r="AU37" s="52">
        <v>0</v>
      </c>
      <c r="AV37" s="52">
        <v>0</v>
      </c>
      <c r="AW37" s="52">
        <v>116.10000000001678</v>
      </c>
      <c r="AX37" s="52">
        <v>0</v>
      </c>
      <c r="AY37" s="52">
        <v>0</v>
      </c>
      <c r="AZ37" s="52">
        <v>12569.999999999945</v>
      </c>
      <c r="BA37" s="52">
        <v>0</v>
      </c>
      <c r="BB37" s="52">
        <v>0</v>
      </c>
      <c r="BC37" s="52">
        <v>0</v>
      </c>
      <c r="BD37" s="52">
        <v>0</v>
      </c>
      <c r="BE37" s="52">
        <v>0</v>
      </c>
      <c r="BF37" s="52">
        <v>0</v>
      </c>
      <c r="BG37" s="52">
        <v>0</v>
      </c>
      <c r="BH37" s="52">
        <v>0</v>
      </c>
      <c r="BI37" s="52">
        <v>0</v>
      </c>
      <c r="BJ37" s="52">
        <v>0</v>
      </c>
      <c r="BK37" s="52">
        <v>0</v>
      </c>
      <c r="BL37" s="52">
        <v>5829.6871652176542</v>
      </c>
      <c r="BM37" s="52">
        <v>0</v>
      </c>
      <c r="BN37" s="52">
        <v>0</v>
      </c>
      <c r="BO37" s="52">
        <v>2419.2560347827603</v>
      </c>
      <c r="BP37" s="52">
        <v>0</v>
      </c>
      <c r="BQ37" s="52">
        <v>0</v>
      </c>
      <c r="BR37" s="52">
        <v>2828.8000000000475</v>
      </c>
      <c r="BS37" s="52">
        <v>0</v>
      </c>
      <c r="BT37" s="52">
        <v>0</v>
      </c>
      <c r="BU37" s="52">
        <v>2329.6000000000386</v>
      </c>
      <c r="BV37" s="52">
        <v>0</v>
      </c>
      <c r="BW37" s="52">
        <v>0</v>
      </c>
    </row>
    <row r="38" spans="1:75" x14ac:dyDescent="0.3">
      <c r="A38" s="8" t="s">
        <v>89</v>
      </c>
      <c r="B38" s="8" t="s">
        <v>9</v>
      </c>
      <c r="C38" s="8" t="s">
        <v>146</v>
      </c>
      <c r="D38" s="52">
        <v>17600</v>
      </c>
      <c r="E38" s="52">
        <v>40455.870763637664</v>
      </c>
      <c r="F38" s="52">
        <v>0</v>
      </c>
      <c r="G38" s="52">
        <v>7200</v>
      </c>
      <c r="H38" s="52">
        <v>0</v>
      </c>
      <c r="I38" s="52">
        <v>0</v>
      </c>
      <c r="J38" s="52">
        <v>12000</v>
      </c>
      <c r="K38" s="52">
        <v>29460.000000000153</v>
      </c>
      <c r="L38" s="52">
        <v>0</v>
      </c>
      <c r="M38" s="52">
        <v>4800.0000000000009</v>
      </c>
      <c r="N38" s="52">
        <v>0</v>
      </c>
      <c r="O38" s="52">
        <v>0</v>
      </c>
      <c r="P38" s="52">
        <v>16800</v>
      </c>
      <c r="Q38" s="52">
        <v>58800.000000000007</v>
      </c>
      <c r="R38" s="52">
        <v>0</v>
      </c>
      <c r="S38" s="52">
        <v>6000</v>
      </c>
      <c r="T38" s="52">
        <v>26000</v>
      </c>
      <c r="U38" s="52">
        <v>0</v>
      </c>
      <c r="V38" s="52">
        <v>15200.000000000002</v>
      </c>
      <c r="W38" s="52">
        <v>53200</v>
      </c>
      <c r="X38" s="52">
        <v>0</v>
      </c>
      <c r="Y38" s="52">
        <v>6600.0000000000009</v>
      </c>
      <c r="Z38" s="52">
        <v>0</v>
      </c>
      <c r="AA38" s="52">
        <v>0</v>
      </c>
      <c r="AB38" s="52">
        <v>17600</v>
      </c>
      <c r="AC38" s="52">
        <v>61600</v>
      </c>
      <c r="AD38" s="52">
        <v>1452.0000000000014</v>
      </c>
      <c r="AE38" s="52">
        <v>5400</v>
      </c>
      <c r="AF38" s="52">
        <v>23400.000000000004</v>
      </c>
      <c r="AG38" s="52">
        <v>792.00000000000068</v>
      </c>
      <c r="AH38" s="52">
        <v>16800</v>
      </c>
      <c r="AI38" s="52">
        <v>18767.582959999796</v>
      </c>
      <c r="AJ38" s="52">
        <v>0</v>
      </c>
      <c r="AK38" s="52">
        <v>5400</v>
      </c>
      <c r="AL38" s="52">
        <v>8043.2498399999122</v>
      </c>
      <c r="AM38" s="52">
        <v>0</v>
      </c>
      <c r="AN38" s="52">
        <v>22000</v>
      </c>
      <c r="AO38" s="52">
        <v>33655.800000000163</v>
      </c>
      <c r="AP38" s="52">
        <v>0</v>
      </c>
      <c r="AQ38" s="52">
        <v>5400</v>
      </c>
      <c r="AR38" s="52">
        <v>0</v>
      </c>
      <c r="AS38" s="52">
        <v>0</v>
      </c>
      <c r="AT38" s="52">
        <v>17600</v>
      </c>
      <c r="AU38" s="52">
        <v>57200</v>
      </c>
      <c r="AV38" s="52">
        <v>0</v>
      </c>
      <c r="AW38" s="52">
        <v>5400</v>
      </c>
      <c r="AX38" s="52">
        <v>9538.2000000000262</v>
      </c>
      <c r="AY38" s="52">
        <v>0</v>
      </c>
      <c r="AZ38" s="52">
        <v>20000</v>
      </c>
      <c r="BA38" s="52">
        <v>48000</v>
      </c>
      <c r="BB38" s="52">
        <v>0</v>
      </c>
      <c r="BC38" s="52">
        <v>6000</v>
      </c>
      <c r="BD38" s="52">
        <v>0</v>
      </c>
      <c r="BE38" s="52">
        <v>0</v>
      </c>
      <c r="BF38" s="52">
        <v>13200.000000000002</v>
      </c>
      <c r="BG38" s="52">
        <v>0</v>
      </c>
      <c r="BH38" s="52">
        <v>0</v>
      </c>
      <c r="BI38" s="52">
        <v>5400</v>
      </c>
      <c r="BJ38" s="52">
        <v>0</v>
      </c>
      <c r="BK38" s="52">
        <v>0</v>
      </c>
      <c r="BL38" s="52">
        <v>8400</v>
      </c>
      <c r="BM38" s="52">
        <v>36981.000000000196</v>
      </c>
      <c r="BN38" s="52">
        <v>0</v>
      </c>
      <c r="BO38" s="52">
        <v>5400</v>
      </c>
      <c r="BP38" s="52">
        <v>10740.600000000011</v>
      </c>
      <c r="BQ38" s="52">
        <v>0</v>
      </c>
      <c r="BR38" s="52">
        <v>13600.000000000002</v>
      </c>
      <c r="BS38" s="52">
        <v>0</v>
      </c>
      <c r="BT38" s="52">
        <v>0</v>
      </c>
      <c r="BU38" s="52">
        <v>11200.000000000002</v>
      </c>
      <c r="BV38" s="52">
        <v>0</v>
      </c>
      <c r="BW38" s="52">
        <v>0</v>
      </c>
    </row>
    <row r="39" spans="1:75" x14ac:dyDescent="0.3">
      <c r="A39" s="8" t="s">
        <v>89</v>
      </c>
      <c r="B39" s="8" t="s">
        <v>9</v>
      </c>
      <c r="C39" s="8" t="s">
        <v>28</v>
      </c>
      <c r="D39" s="52">
        <v>17600</v>
      </c>
      <c r="E39" s="52">
        <v>61600</v>
      </c>
      <c r="F39" s="52">
        <v>26400.000000000004</v>
      </c>
      <c r="G39" s="52">
        <v>7200</v>
      </c>
      <c r="H39" s="52">
        <v>25200.000000000004</v>
      </c>
      <c r="I39" s="52">
        <v>10800</v>
      </c>
      <c r="J39" s="52">
        <v>12000</v>
      </c>
      <c r="K39" s="52">
        <v>60000</v>
      </c>
      <c r="L39" s="52">
        <v>24000</v>
      </c>
      <c r="M39" s="52">
        <v>4800.0000000000009</v>
      </c>
      <c r="N39" s="52">
        <v>20800</v>
      </c>
      <c r="O39" s="52">
        <v>12800</v>
      </c>
      <c r="P39" s="52">
        <v>16800</v>
      </c>
      <c r="Q39" s="52">
        <v>58800.000000000007</v>
      </c>
      <c r="R39" s="52">
        <v>25200.000000000004</v>
      </c>
      <c r="S39" s="52">
        <v>6000</v>
      </c>
      <c r="T39" s="52">
        <v>26000</v>
      </c>
      <c r="U39" s="52">
        <v>16000</v>
      </c>
      <c r="V39" s="52">
        <v>15200.000000000002</v>
      </c>
      <c r="W39" s="52">
        <v>53200</v>
      </c>
      <c r="X39" s="52">
        <v>22800</v>
      </c>
      <c r="Y39" s="52">
        <v>6600.0000000000009</v>
      </c>
      <c r="Z39" s="52">
        <v>30800</v>
      </c>
      <c r="AA39" s="52">
        <v>15400</v>
      </c>
      <c r="AB39" s="52">
        <v>17600</v>
      </c>
      <c r="AC39" s="52">
        <v>61600</v>
      </c>
      <c r="AD39" s="52">
        <v>26400.000000000004</v>
      </c>
      <c r="AE39" s="52">
        <v>5400</v>
      </c>
      <c r="AF39" s="52">
        <v>23400.000000000004</v>
      </c>
      <c r="AG39" s="52">
        <v>14400</v>
      </c>
      <c r="AH39" s="52">
        <v>16800</v>
      </c>
      <c r="AI39" s="52">
        <v>58800.000000000007</v>
      </c>
      <c r="AJ39" s="52">
        <v>25200.000000000004</v>
      </c>
      <c r="AK39" s="52">
        <v>5400</v>
      </c>
      <c r="AL39" s="52">
        <v>25200.000000000004</v>
      </c>
      <c r="AM39" s="52">
        <v>12600.000000000002</v>
      </c>
      <c r="AN39" s="52">
        <v>22000</v>
      </c>
      <c r="AO39" s="52">
        <v>52800.000000000007</v>
      </c>
      <c r="AP39" s="52">
        <v>30800</v>
      </c>
      <c r="AQ39" s="52">
        <v>5400</v>
      </c>
      <c r="AR39" s="52">
        <v>25200.000000000004</v>
      </c>
      <c r="AS39" s="52">
        <v>12600.000000000002</v>
      </c>
      <c r="AT39" s="52">
        <v>17600</v>
      </c>
      <c r="AU39" s="52">
        <v>57200</v>
      </c>
      <c r="AV39" s="52">
        <v>30800</v>
      </c>
      <c r="AW39" s="52">
        <v>5400</v>
      </c>
      <c r="AX39" s="52">
        <v>25200.000000000004</v>
      </c>
      <c r="AY39" s="52">
        <v>12600.000000000002</v>
      </c>
      <c r="AZ39" s="52">
        <v>20000</v>
      </c>
      <c r="BA39" s="52">
        <v>48000</v>
      </c>
      <c r="BB39" s="52">
        <v>28000</v>
      </c>
      <c r="BC39" s="52">
        <v>6000</v>
      </c>
      <c r="BD39" s="52">
        <v>26000</v>
      </c>
      <c r="BE39" s="52">
        <v>16000</v>
      </c>
      <c r="BF39" s="52">
        <v>13200.000000000002</v>
      </c>
      <c r="BG39" s="52">
        <v>61600</v>
      </c>
      <c r="BH39" s="52">
        <v>30800</v>
      </c>
      <c r="BI39" s="52">
        <v>5400</v>
      </c>
      <c r="BJ39" s="52">
        <v>23400.000000000004</v>
      </c>
      <c r="BK39" s="52">
        <v>14400</v>
      </c>
      <c r="BL39" s="52">
        <v>8400</v>
      </c>
      <c r="BM39" s="52">
        <v>63000</v>
      </c>
      <c r="BN39" s="52">
        <v>29400.000000000004</v>
      </c>
      <c r="BO39" s="52">
        <v>5400</v>
      </c>
      <c r="BP39" s="52">
        <v>23400.000000000004</v>
      </c>
      <c r="BQ39" s="52">
        <v>14400</v>
      </c>
      <c r="BR39" s="52">
        <v>13600.000000000002</v>
      </c>
      <c r="BS39" s="52">
        <v>47600</v>
      </c>
      <c r="BT39" s="52">
        <v>20400.000000000004</v>
      </c>
      <c r="BU39" s="52">
        <v>11200.000000000002</v>
      </c>
      <c r="BV39" s="52">
        <v>36400</v>
      </c>
      <c r="BW39" s="52">
        <v>19600</v>
      </c>
    </row>
    <row r="40" spans="1:75" x14ac:dyDescent="0.3">
      <c r="A40" s="8" t="s">
        <v>89</v>
      </c>
      <c r="B40" s="8" t="s">
        <v>10</v>
      </c>
      <c r="C40" s="8" t="s">
        <v>60</v>
      </c>
      <c r="D40" s="52">
        <v>67900.800000000003</v>
      </c>
      <c r="E40" s="52">
        <v>237652.80000000002</v>
      </c>
      <c r="F40" s="52">
        <v>101851.20000000001</v>
      </c>
      <c r="G40" s="52">
        <v>27777.600000000002</v>
      </c>
      <c r="H40" s="52">
        <v>97221.6</v>
      </c>
      <c r="I40" s="52">
        <v>41666.400000000001</v>
      </c>
      <c r="J40" s="52">
        <v>46296.000000000007</v>
      </c>
      <c r="K40" s="52">
        <v>231480.00000000003</v>
      </c>
      <c r="L40" s="52">
        <v>92592.000000000015</v>
      </c>
      <c r="M40" s="52">
        <v>18518.400000000001</v>
      </c>
      <c r="N40" s="52">
        <v>80246.400000000009</v>
      </c>
      <c r="O40" s="52">
        <v>49382.400000000001</v>
      </c>
      <c r="P40" s="52">
        <v>64814.400000000009</v>
      </c>
      <c r="Q40" s="52">
        <v>226850.4</v>
      </c>
      <c r="R40" s="52">
        <v>97221.6</v>
      </c>
      <c r="S40" s="52">
        <v>23148.000000000004</v>
      </c>
      <c r="T40" s="52">
        <v>100308</v>
      </c>
      <c r="U40" s="52">
        <v>61728.000000000007</v>
      </c>
      <c r="V40" s="52">
        <v>58641.600000000006</v>
      </c>
      <c r="W40" s="52">
        <v>205245.60000000003</v>
      </c>
      <c r="X40" s="52">
        <v>87962.400000000009</v>
      </c>
      <c r="Y40" s="52">
        <v>25462.800000000003</v>
      </c>
      <c r="Z40" s="52">
        <v>118826.40000000001</v>
      </c>
      <c r="AA40" s="52">
        <v>59413.200000000004</v>
      </c>
      <c r="AB40" s="52">
        <v>67900.800000000003</v>
      </c>
      <c r="AC40" s="52">
        <v>237652.80000000002</v>
      </c>
      <c r="AD40" s="52">
        <v>101851.20000000001</v>
      </c>
      <c r="AE40" s="52">
        <v>20833.2</v>
      </c>
      <c r="AF40" s="52">
        <v>90277.200000000012</v>
      </c>
      <c r="AG40" s="52">
        <v>55555.200000000004</v>
      </c>
      <c r="AH40" s="52">
        <v>64814.400000000009</v>
      </c>
      <c r="AI40" s="52">
        <v>226850.4</v>
      </c>
      <c r="AJ40" s="52">
        <v>97221.6</v>
      </c>
      <c r="AK40" s="52">
        <v>20833.2</v>
      </c>
      <c r="AL40" s="52">
        <v>97221.6</v>
      </c>
      <c r="AM40" s="52">
        <v>48610.8</v>
      </c>
      <c r="AN40" s="52">
        <v>84876</v>
      </c>
      <c r="AO40" s="52">
        <v>203702.40000000002</v>
      </c>
      <c r="AP40" s="52">
        <v>118826.40000000001</v>
      </c>
      <c r="AQ40" s="52">
        <v>20833.2</v>
      </c>
      <c r="AR40" s="52">
        <v>97221.6</v>
      </c>
      <c r="AS40" s="52">
        <v>48610.8</v>
      </c>
      <c r="AT40" s="52">
        <v>67900.800000000003</v>
      </c>
      <c r="AU40" s="52">
        <v>220677.6</v>
      </c>
      <c r="AV40" s="52">
        <v>118826.40000000001</v>
      </c>
      <c r="AW40" s="52">
        <v>20833.2</v>
      </c>
      <c r="AX40" s="52">
        <v>97221.6</v>
      </c>
      <c r="AY40" s="52">
        <v>48610.8</v>
      </c>
      <c r="AZ40" s="52">
        <v>77160.000000000015</v>
      </c>
      <c r="BA40" s="52">
        <v>185184.00000000003</v>
      </c>
      <c r="BB40" s="52">
        <v>108024.00000000001</v>
      </c>
      <c r="BC40" s="52">
        <v>23148.000000000004</v>
      </c>
      <c r="BD40" s="52">
        <v>100308</v>
      </c>
      <c r="BE40" s="52">
        <v>61728.000000000007</v>
      </c>
      <c r="BF40" s="52">
        <v>50925.600000000006</v>
      </c>
      <c r="BG40" s="52">
        <v>237652.80000000002</v>
      </c>
      <c r="BH40" s="52">
        <v>118826.40000000001</v>
      </c>
      <c r="BI40" s="52">
        <v>20833.2</v>
      </c>
      <c r="BJ40" s="52">
        <v>90277.200000000012</v>
      </c>
      <c r="BK40" s="52">
        <v>55555.200000000004</v>
      </c>
      <c r="BL40" s="52">
        <v>32407.200000000004</v>
      </c>
      <c r="BM40" s="52">
        <v>243054.00000000003</v>
      </c>
      <c r="BN40" s="52">
        <v>113425.2</v>
      </c>
      <c r="BO40" s="52">
        <v>20833.2</v>
      </c>
      <c r="BP40" s="52">
        <v>90277.200000000012</v>
      </c>
      <c r="BQ40" s="52">
        <v>55555.200000000004</v>
      </c>
      <c r="BR40" s="52">
        <v>52468.800000000003</v>
      </c>
      <c r="BS40" s="52">
        <v>183640.80000000002</v>
      </c>
      <c r="BT40" s="52">
        <v>78703.200000000012</v>
      </c>
      <c r="BU40" s="52">
        <v>43209.599999999999</v>
      </c>
      <c r="BV40" s="52">
        <v>140431.20000000001</v>
      </c>
      <c r="BW40" s="52">
        <v>75616.800000000017</v>
      </c>
    </row>
    <row r="41" spans="1:75" x14ac:dyDescent="0.3">
      <c r="A41" s="8" t="s">
        <v>89</v>
      </c>
      <c r="B41" s="8" t="s">
        <v>10</v>
      </c>
      <c r="C41" s="8" t="s">
        <v>150</v>
      </c>
      <c r="D41" s="52">
        <v>28872.800000000097</v>
      </c>
      <c r="E41" s="52">
        <v>72441.599999999991</v>
      </c>
      <c r="F41" s="52">
        <v>31046.399999999994</v>
      </c>
      <c r="G41" s="52">
        <v>11296.80000000005</v>
      </c>
      <c r="H41" s="52">
        <v>29635.199999999993</v>
      </c>
      <c r="I41" s="52">
        <v>12700.799999999997</v>
      </c>
      <c r="J41" s="52">
        <v>27761.273142857219</v>
      </c>
      <c r="K41" s="52">
        <v>70559.999999999985</v>
      </c>
      <c r="L41" s="52">
        <v>28223.999999999996</v>
      </c>
      <c r="M41" s="52">
        <v>8889.3092571428569</v>
      </c>
      <c r="N41" s="52">
        <v>24460.799999999996</v>
      </c>
      <c r="O41" s="52">
        <v>15052.799999999997</v>
      </c>
      <c r="P41" s="52">
        <v>19756.8</v>
      </c>
      <c r="Q41" s="52">
        <v>69148.799999999988</v>
      </c>
      <c r="R41" s="52">
        <v>29635.199999999993</v>
      </c>
      <c r="S41" s="52">
        <v>0</v>
      </c>
      <c r="T41" s="52">
        <v>0</v>
      </c>
      <c r="U41" s="52">
        <v>0</v>
      </c>
      <c r="V41" s="52">
        <v>17875.199999999997</v>
      </c>
      <c r="W41" s="52">
        <v>62563.19999999999</v>
      </c>
      <c r="X41" s="52">
        <v>26812.799999999996</v>
      </c>
      <c r="Y41" s="52">
        <v>0</v>
      </c>
      <c r="Z41" s="52">
        <v>0</v>
      </c>
      <c r="AA41" s="52">
        <v>0</v>
      </c>
      <c r="AB41" s="52">
        <v>20697.599999999999</v>
      </c>
      <c r="AC41" s="52">
        <v>83607.21368094135</v>
      </c>
      <c r="AD41" s="52">
        <v>31046.399999999994</v>
      </c>
      <c r="AE41" s="52">
        <v>6350.3999999999987</v>
      </c>
      <c r="AF41" s="52">
        <v>31759.88311905889</v>
      </c>
      <c r="AG41" s="52">
        <v>16934.399999999994</v>
      </c>
      <c r="AH41" s="52">
        <v>19756.8</v>
      </c>
      <c r="AI41" s="52">
        <v>76566.070000000429</v>
      </c>
      <c r="AJ41" s="52">
        <v>29635.199999999993</v>
      </c>
      <c r="AK41" s="52">
        <v>6350.3999999999987</v>
      </c>
      <c r="AL41" s="52">
        <v>32814.030000000181</v>
      </c>
      <c r="AM41" s="52">
        <v>14817.599999999997</v>
      </c>
      <c r="AN41" s="52">
        <v>25871.999999999996</v>
      </c>
      <c r="AO41" s="52">
        <v>62092.799999999988</v>
      </c>
      <c r="AP41" s="52">
        <v>36220.799999999996</v>
      </c>
      <c r="AQ41" s="52">
        <v>0</v>
      </c>
      <c r="AR41" s="52">
        <v>0</v>
      </c>
      <c r="AS41" s="52">
        <v>0</v>
      </c>
      <c r="AT41" s="52">
        <v>34724.800000000076</v>
      </c>
      <c r="AU41" s="52">
        <v>67267.199999999924</v>
      </c>
      <c r="AV41" s="52">
        <v>36220.799999999959</v>
      </c>
      <c r="AW41" s="52">
        <v>0</v>
      </c>
      <c r="AX41" s="52">
        <v>0</v>
      </c>
      <c r="AY41" s="52">
        <v>0</v>
      </c>
      <c r="AZ41" s="52">
        <v>23519.999999999996</v>
      </c>
      <c r="BA41" s="52">
        <v>56447.999999999993</v>
      </c>
      <c r="BB41" s="52">
        <v>32928</v>
      </c>
      <c r="BC41" s="52">
        <v>0</v>
      </c>
      <c r="BD41" s="52">
        <v>0</v>
      </c>
      <c r="BE41" s="52">
        <v>0</v>
      </c>
      <c r="BF41" s="52">
        <v>15523.199999999984</v>
      </c>
      <c r="BG41" s="52">
        <v>72441.599999999919</v>
      </c>
      <c r="BH41" s="52">
        <v>36220.799999999959</v>
      </c>
      <c r="BI41" s="52">
        <v>6350.3999999999933</v>
      </c>
      <c r="BJ41" s="52">
        <v>27518.399999999998</v>
      </c>
      <c r="BK41" s="52">
        <v>16934.399999999998</v>
      </c>
      <c r="BL41" s="52">
        <v>15388.800000000088</v>
      </c>
      <c r="BM41" s="52">
        <v>74088</v>
      </c>
      <c r="BN41" s="52">
        <v>34574.399999999994</v>
      </c>
      <c r="BO41" s="52">
        <v>6350.3999999999987</v>
      </c>
      <c r="BP41" s="52">
        <v>27518.399999999998</v>
      </c>
      <c r="BQ41" s="52">
        <v>16934.399999999998</v>
      </c>
      <c r="BR41" s="52">
        <v>18822.400000000056</v>
      </c>
      <c r="BS41" s="52">
        <v>55977.599999999991</v>
      </c>
      <c r="BT41" s="52">
        <v>23990.399999999998</v>
      </c>
      <c r="BU41" s="52">
        <v>15500.800000000047</v>
      </c>
      <c r="BV41" s="52">
        <v>42806.399999999994</v>
      </c>
      <c r="BW41" s="52">
        <v>23049.599999999999</v>
      </c>
    </row>
    <row r="42" spans="1:75" x14ac:dyDescent="0.3">
      <c r="A42" s="8" t="s">
        <v>89</v>
      </c>
      <c r="B42" s="8" t="s">
        <v>10</v>
      </c>
      <c r="C42" s="8" t="s">
        <v>61</v>
      </c>
      <c r="D42" s="52">
        <v>17872.800000000003</v>
      </c>
      <c r="E42" s="52">
        <v>25021.919999999998</v>
      </c>
      <c r="F42" s="52">
        <v>10723.68</v>
      </c>
      <c r="G42" s="52">
        <v>0</v>
      </c>
      <c r="H42" s="52">
        <v>0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0</v>
      </c>
      <c r="P42" s="52">
        <v>0</v>
      </c>
      <c r="Q42" s="52">
        <v>0</v>
      </c>
      <c r="R42" s="52">
        <v>0</v>
      </c>
      <c r="S42" s="52">
        <v>0</v>
      </c>
      <c r="T42" s="52">
        <v>0</v>
      </c>
      <c r="U42" s="52">
        <v>0</v>
      </c>
      <c r="V42" s="52">
        <v>0</v>
      </c>
      <c r="W42" s="52">
        <v>0</v>
      </c>
      <c r="X42" s="52">
        <v>0</v>
      </c>
      <c r="Y42" s="52">
        <v>0</v>
      </c>
      <c r="Z42" s="52">
        <v>0</v>
      </c>
      <c r="AA42" s="52">
        <v>0</v>
      </c>
      <c r="AB42" s="52">
        <v>0</v>
      </c>
      <c r="AC42" s="52">
        <v>0</v>
      </c>
      <c r="AD42" s="52">
        <v>0</v>
      </c>
      <c r="AE42" s="52">
        <v>0</v>
      </c>
      <c r="AF42" s="52">
        <v>0</v>
      </c>
      <c r="AG42" s="52">
        <v>0</v>
      </c>
      <c r="AH42" s="52">
        <v>17060.400000000001</v>
      </c>
      <c r="AI42" s="52">
        <v>27577.199999999877</v>
      </c>
      <c r="AJ42" s="52">
        <v>10236.239999999998</v>
      </c>
      <c r="AK42" s="52">
        <v>0</v>
      </c>
      <c r="AL42" s="52">
        <v>0</v>
      </c>
      <c r="AM42" s="52">
        <v>0</v>
      </c>
      <c r="AN42" s="52">
        <v>0</v>
      </c>
      <c r="AO42" s="52">
        <v>0</v>
      </c>
      <c r="AP42" s="52">
        <v>0</v>
      </c>
      <c r="AQ42" s="52">
        <v>0</v>
      </c>
      <c r="AR42" s="52">
        <v>0</v>
      </c>
      <c r="AS42" s="52">
        <v>0</v>
      </c>
      <c r="AT42" s="52">
        <v>0</v>
      </c>
      <c r="AU42" s="52">
        <v>0</v>
      </c>
      <c r="AV42" s="52">
        <v>0</v>
      </c>
      <c r="AW42" s="52">
        <v>0</v>
      </c>
      <c r="AX42" s="52">
        <v>0</v>
      </c>
      <c r="AY42" s="52">
        <v>0</v>
      </c>
      <c r="AZ42" s="52">
        <v>0</v>
      </c>
      <c r="BA42" s="52">
        <v>0</v>
      </c>
      <c r="BB42" s="52">
        <v>0</v>
      </c>
      <c r="BC42" s="52">
        <v>0</v>
      </c>
      <c r="BD42" s="52">
        <v>0</v>
      </c>
      <c r="BE42" s="52">
        <v>0</v>
      </c>
      <c r="BF42" s="52">
        <v>0</v>
      </c>
      <c r="BG42" s="52">
        <v>0</v>
      </c>
      <c r="BH42" s="52">
        <v>0</v>
      </c>
      <c r="BI42" s="52">
        <v>0</v>
      </c>
      <c r="BJ42" s="52">
        <v>0</v>
      </c>
      <c r="BK42" s="52">
        <v>0</v>
      </c>
      <c r="BL42" s="52">
        <v>0</v>
      </c>
      <c r="BM42" s="52">
        <v>0</v>
      </c>
      <c r="BN42" s="52">
        <v>0</v>
      </c>
      <c r="BO42" s="52">
        <v>0</v>
      </c>
      <c r="BP42" s="52">
        <v>0</v>
      </c>
      <c r="BQ42" s="52">
        <v>0</v>
      </c>
      <c r="BR42" s="52">
        <v>9730.8000000001302</v>
      </c>
      <c r="BS42" s="52">
        <v>19335.119999999901</v>
      </c>
      <c r="BT42" s="52">
        <v>8286.4799999999559</v>
      </c>
      <c r="BU42" s="52">
        <v>0</v>
      </c>
      <c r="BV42" s="52">
        <v>0</v>
      </c>
      <c r="BW42" s="52">
        <v>0</v>
      </c>
    </row>
    <row r="43" spans="1:75" x14ac:dyDescent="0.3">
      <c r="A43" s="8" t="s">
        <v>89</v>
      </c>
      <c r="B43" s="8" t="s">
        <v>10</v>
      </c>
      <c r="C43" s="8" t="s">
        <v>152</v>
      </c>
      <c r="D43" s="52">
        <v>0</v>
      </c>
      <c r="E43" s="52">
        <v>0</v>
      </c>
      <c r="F43" s="52">
        <v>0</v>
      </c>
      <c r="G43" s="52">
        <v>0</v>
      </c>
      <c r="H43" s="52">
        <v>0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0</v>
      </c>
      <c r="O43" s="52">
        <v>0</v>
      </c>
      <c r="P43" s="52">
        <v>0</v>
      </c>
      <c r="Q43" s="52">
        <v>0</v>
      </c>
      <c r="R43" s="52">
        <v>0</v>
      </c>
      <c r="S43" s="52">
        <v>0</v>
      </c>
      <c r="T43" s="52">
        <v>0</v>
      </c>
      <c r="U43" s="52">
        <v>0</v>
      </c>
      <c r="V43" s="52">
        <v>0</v>
      </c>
      <c r="W43" s="52">
        <v>0</v>
      </c>
      <c r="X43" s="52">
        <v>0</v>
      </c>
      <c r="Y43" s="52">
        <v>0</v>
      </c>
      <c r="Z43" s="52">
        <v>0</v>
      </c>
      <c r="AA43" s="52">
        <v>0</v>
      </c>
      <c r="AB43" s="52">
        <v>0</v>
      </c>
      <c r="AC43" s="52">
        <v>0</v>
      </c>
      <c r="AD43" s="52">
        <v>0</v>
      </c>
      <c r="AE43" s="52">
        <v>0</v>
      </c>
      <c r="AF43" s="52">
        <v>0</v>
      </c>
      <c r="AG43" s="52">
        <v>0</v>
      </c>
      <c r="AH43" s="52">
        <v>8324.3999999999687</v>
      </c>
      <c r="AI43" s="52">
        <v>44217.600000000006</v>
      </c>
      <c r="AJ43" s="52">
        <v>7580.1599999999889</v>
      </c>
      <c r="AK43" s="52">
        <v>0</v>
      </c>
      <c r="AL43" s="52">
        <v>0</v>
      </c>
      <c r="AM43" s="52">
        <v>0</v>
      </c>
      <c r="AN43" s="52">
        <v>0</v>
      </c>
      <c r="AO43" s="52">
        <v>0</v>
      </c>
      <c r="AP43" s="52">
        <v>0</v>
      </c>
      <c r="AQ43" s="52">
        <v>0</v>
      </c>
      <c r="AR43" s="52">
        <v>0</v>
      </c>
      <c r="AS43" s="52">
        <v>0</v>
      </c>
      <c r="AT43" s="52">
        <v>0</v>
      </c>
      <c r="AU43" s="52">
        <v>0</v>
      </c>
      <c r="AV43" s="52">
        <v>0</v>
      </c>
      <c r="AW43" s="52">
        <v>0</v>
      </c>
      <c r="AX43" s="52">
        <v>0</v>
      </c>
      <c r="AY43" s="52">
        <v>0</v>
      </c>
      <c r="AZ43" s="52">
        <v>0</v>
      </c>
      <c r="BA43" s="52">
        <v>0</v>
      </c>
      <c r="BB43" s="52">
        <v>0</v>
      </c>
      <c r="BC43" s="52">
        <v>0</v>
      </c>
      <c r="BD43" s="52">
        <v>0</v>
      </c>
      <c r="BE43" s="52">
        <v>0</v>
      </c>
      <c r="BF43" s="52">
        <v>9570</v>
      </c>
      <c r="BG43" s="52">
        <v>42627.200000000128</v>
      </c>
      <c r="BH43" s="52">
        <v>9264.6399999999976</v>
      </c>
      <c r="BI43" s="52">
        <v>0</v>
      </c>
      <c r="BJ43" s="52">
        <v>0</v>
      </c>
      <c r="BK43" s="52">
        <v>0</v>
      </c>
      <c r="BL43" s="52">
        <v>0</v>
      </c>
      <c r="BM43" s="52">
        <v>0</v>
      </c>
      <c r="BN43" s="52">
        <v>0</v>
      </c>
      <c r="BO43" s="52">
        <v>0</v>
      </c>
      <c r="BP43" s="52">
        <v>0</v>
      </c>
      <c r="BQ43" s="52">
        <v>0</v>
      </c>
      <c r="BR43" s="52">
        <v>10227.200000000001</v>
      </c>
      <c r="BS43" s="52">
        <v>14318.079999999998</v>
      </c>
      <c r="BT43" s="52">
        <v>6136.32</v>
      </c>
      <c r="BU43" s="52">
        <v>0</v>
      </c>
      <c r="BV43" s="52">
        <v>0</v>
      </c>
      <c r="BW43" s="52">
        <v>0</v>
      </c>
    </row>
    <row r="44" spans="1:75" x14ac:dyDescent="0.3">
      <c r="A44" s="8" t="s">
        <v>89</v>
      </c>
      <c r="B44" s="8" t="s">
        <v>10</v>
      </c>
      <c r="C44" s="8" t="s">
        <v>151</v>
      </c>
      <c r="D44" s="52">
        <v>17107.2</v>
      </c>
      <c r="E44" s="52">
        <v>51700.166400000526</v>
      </c>
      <c r="F44" s="52">
        <v>10264.320000000002</v>
      </c>
      <c r="G44" s="52">
        <v>6998.4000000000005</v>
      </c>
      <c r="H44" s="52">
        <v>9797.760000000002</v>
      </c>
      <c r="I44" s="52">
        <v>4199.04</v>
      </c>
      <c r="J44" s="52">
        <v>0</v>
      </c>
      <c r="K44" s="52">
        <v>0</v>
      </c>
      <c r="L44" s="52">
        <v>0</v>
      </c>
      <c r="M44" s="52">
        <v>0</v>
      </c>
      <c r="N44" s="52">
        <v>0</v>
      </c>
      <c r="O44" s="52">
        <v>0</v>
      </c>
      <c r="P44" s="52">
        <v>0</v>
      </c>
      <c r="Q44" s="52">
        <v>0</v>
      </c>
      <c r="R44" s="52">
        <v>0</v>
      </c>
      <c r="S44" s="52">
        <v>0</v>
      </c>
      <c r="T44" s="52">
        <v>0</v>
      </c>
      <c r="U44" s="52">
        <v>0</v>
      </c>
      <c r="V44" s="52">
        <v>14774.400000000001</v>
      </c>
      <c r="W44" s="52">
        <v>51710.400000000009</v>
      </c>
      <c r="X44" s="52">
        <v>8864.6400000000012</v>
      </c>
      <c r="Y44" s="52">
        <v>6415.2000000000007</v>
      </c>
      <c r="Z44" s="52">
        <v>29937.600000000002</v>
      </c>
      <c r="AA44" s="52">
        <v>5987.52</v>
      </c>
      <c r="AB44" s="52">
        <v>12091.199999999963</v>
      </c>
      <c r="AC44" s="52">
        <v>53838.399999999885</v>
      </c>
      <c r="AD44" s="52">
        <v>10264.32</v>
      </c>
      <c r="AE44" s="52">
        <v>0</v>
      </c>
      <c r="AF44" s="52">
        <v>0</v>
      </c>
      <c r="AG44" s="52">
        <v>0</v>
      </c>
      <c r="AH44" s="52">
        <v>16329.600000000002</v>
      </c>
      <c r="AI44" s="52">
        <v>57153.600000000006</v>
      </c>
      <c r="AJ44" s="52">
        <v>9797.760000000002</v>
      </c>
      <c r="AK44" s="52">
        <v>5248.8</v>
      </c>
      <c r="AL44" s="52">
        <v>24494.400000000001</v>
      </c>
      <c r="AM44" s="52">
        <v>4898.880000000001</v>
      </c>
      <c r="AN44" s="52">
        <v>8553.6</v>
      </c>
      <c r="AO44" s="52">
        <v>20528.640000000003</v>
      </c>
      <c r="AP44" s="52">
        <v>11975.04</v>
      </c>
      <c r="AQ44" s="52">
        <v>0</v>
      </c>
      <c r="AR44" s="52">
        <v>0</v>
      </c>
      <c r="AS44" s="52">
        <v>0</v>
      </c>
      <c r="AT44" s="52">
        <v>17107.2</v>
      </c>
      <c r="AU44" s="52">
        <v>55598.400000000009</v>
      </c>
      <c r="AV44" s="52">
        <v>11975.04</v>
      </c>
      <c r="AW44" s="52">
        <v>5248.8</v>
      </c>
      <c r="AX44" s="52">
        <v>9797.760000000002</v>
      </c>
      <c r="AY44" s="52">
        <v>4898.880000000001</v>
      </c>
      <c r="AZ44" s="52">
        <v>0</v>
      </c>
      <c r="BA44" s="52">
        <v>0</v>
      </c>
      <c r="BB44" s="52">
        <v>0</v>
      </c>
      <c r="BC44" s="52">
        <v>0</v>
      </c>
      <c r="BD44" s="52">
        <v>0</v>
      </c>
      <c r="BE44" s="52">
        <v>0</v>
      </c>
      <c r="BF44" s="52">
        <v>12830.400000000001</v>
      </c>
      <c r="BG44" s="52">
        <v>59875.200000000004</v>
      </c>
      <c r="BH44" s="52">
        <v>11975.04</v>
      </c>
      <c r="BI44" s="52">
        <v>5248.8</v>
      </c>
      <c r="BJ44" s="52">
        <v>14004.899999999963</v>
      </c>
      <c r="BK44" s="52">
        <v>5598.7200000000012</v>
      </c>
      <c r="BL44" s="52">
        <v>0</v>
      </c>
      <c r="BM44" s="52">
        <v>0</v>
      </c>
      <c r="BN44" s="52">
        <v>0</v>
      </c>
      <c r="BO44" s="52">
        <v>0</v>
      </c>
      <c r="BP44" s="52">
        <v>0</v>
      </c>
      <c r="BQ44" s="52">
        <v>0</v>
      </c>
      <c r="BR44" s="52">
        <v>13219.2</v>
      </c>
      <c r="BS44" s="52">
        <v>18506.88</v>
      </c>
      <c r="BT44" s="52">
        <v>7931.52</v>
      </c>
      <c r="BU44" s="52">
        <v>10886.400000000001</v>
      </c>
      <c r="BV44" s="52">
        <v>14152.320000000002</v>
      </c>
      <c r="BW44" s="52">
        <v>7620.4800000000005</v>
      </c>
    </row>
    <row r="45" spans="1:75" x14ac:dyDescent="0.3">
      <c r="A45" s="8" t="s">
        <v>89</v>
      </c>
      <c r="B45" s="8" t="s">
        <v>10</v>
      </c>
      <c r="C45" s="8" t="s">
        <v>62</v>
      </c>
      <c r="D45" s="52">
        <v>44000</v>
      </c>
      <c r="E45" s="52">
        <v>154000</v>
      </c>
      <c r="F45" s="52">
        <v>66000</v>
      </c>
      <c r="G45" s="52">
        <v>18000</v>
      </c>
      <c r="H45" s="52">
        <v>63000</v>
      </c>
      <c r="I45" s="52">
        <v>27000</v>
      </c>
      <c r="J45" s="52">
        <v>30000</v>
      </c>
      <c r="K45" s="52">
        <v>150000</v>
      </c>
      <c r="L45" s="52">
        <v>60000</v>
      </c>
      <c r="M45" s="52">
        <v>12000</v>
      </c>
      <c r="N45" s="52">
        <v>52000</v>
      </c>
      <c r="O45" s="52">
        <v>32000</v>
      </c>
      <c r="P45" s="52">
        <v>42000</v>
      </c>
      <c r="Q45" s="52">
        <v>147000</v>
      </c>
      <c r="R45" s="52">
        <v>63000</v>
      </c>
      <c r="S45" s="52">
        <v>15000</v>
      </c>
      <c r="T45" s="52">
        <v>65000</v>
      </c>
      <c r="U45" s="52">
        <v>40000</v>
      </c>
      <c r="V45" s="52">
        <v>38000</v>
      </c>
      <c r="W45" s="52">
        <v>133000</v>
      </c>
      <c r="X45" s="52">
        <v>57000</v>
      </c>
      <c r="Y45" s="52">
        <v>16500</v>
      </c>
      <c r="Z45" s="52">
        <v>77000</v>
      </c>
      <c r="AA45" s="52">
        <v>38500</v>
      </c>
      <c r="AB45" s="52">
        <v>44000</v>
      </c>
      <c r="AC45" s="52">
        <v>154000</v>
      </c>
      <c r="AD45" s="52">
        <v>66000</v>
      </c>
      <c r="AE45" s="52">
        <v>13500</v>
      </c>
      <c r="AF45" s="52">
        <v>58500</v>
      </c>
      <c r="AG45" s="52">
        <v>36000</v>
      </c>
      <c r="AH45" s="52">
        <v>42000</v>
      </c>
      <c r="AI45" s="52">
        <v>147000</v>
      </c>
      <c r="AJ45" s="52">
        <v>63000</v>
      </c>
      <c r="AK45" s="52">
        <v>13500</v>
      </c>
      <c r="AL45" s="52">
        <v>63000</v>
      </c>
      <c r="AM45" s="52">
        <v>31500</v>
      </c>
      <c r="AN45" s="52">
        <v>55000</v>
      </c>
      <c r="AO45" s="52">
        <v>132000</v>
      </c>
      <c r="AP45" s="52">
        <v>77000</v>
      </c>
      <c r="AQ45" s="52">
        <v>13500</v>
      </c>
      <c r="AR45" s="52">
        <v>63000</v>
      </c>
      <c r="AS45" s="52">
        <v>31500</v>
      </c>
      <c r="AT45" s="52">
        <v>44000</v>
      </c>
      <c r="AU45" s="52">
        <v>143000</v>
      </c>
      <c r="AV45" s="52">
        <v>77000</v>
      </c>
      <c r="AW45" s="52">
        <v>13500</v>
      </c>
      <c r="AX45" s="52">
        <v>63000</v>
      </c>
      <c r="AY45" s="52">
        <v>31500</v>
      </c>
      <c r="AZ45" s="52">
        <v>50000</v>
      </c>
      <c r="BA45" s="52">
        <v>120000</v>
      </c>
      <c r="BB45" s="52">
        <v>70000</v>
      </c>
      <c r="BC45" s="52">
        <v>15000</v>
      </c>
      <c r="BD45" s="52">
        <v>65000</v>
      </c>
      <c r="BE45" s="52">
        <v>40000</v>
      </c>
      <c r="BF45" s="52">
        <v>33000</v>
      </c>
      <c r="BG45" s="52">
        <v>154000</v>
      </c>
      <c r="BH45" s="52">
        <v>67952.350088495572</v>
      </c>
      <c r="BI45" s="52">
        <v>13500</v>
      </c>
      <c r="BJ45" s="52">
        <v>58500</v>
      </c>
      <c r="BK45" s="52">
        <v>28771.849911504443</v>
      </c>
      <c r="BL45" s="52">
        <v>21000</v>
      </c>
      <c r="BM45" s="52">
        <v>157500</v>
      </c>
      <c r="BN45" s="52">
        <v>73500</v>
      </c>
      <c r="BO45" s="52">
        <v>13500</v>
      </c>
      <c r="BP45" s="52">
        <v>58500</v>
      </c>
      <c r="BQ45" s="52">
        <v>33256.800000000061</v>
      </c>
      <c r="BR45" s="52">
        <v>34000</v>
      </c>
      <c r="BS45" s="52">
        <v>119000</v>
      </c>
      <c r="BT45" s="52">
        <v>37733.880000000107</v>
      </c>
      <c r="BU45" s="52">
        <v>28000</v>
      </c>
      <c r="BV45" s="52">
        <v>91000</v>
      </c>
      <c r="BW45" s="52">
        <v>21289.520000000142</v>
      </c>
    </row>
    <row r="46" spans="1:75" x14ac:dyDescent="0.3">
      <c r="A46" s="8" t="s">
        <v>89</v>
      </c>
      <c r="B46" s="8" t="s">
        <v>10</v>
      </c>
      <c r="C46" s="8" t="s">
        <v>63</v>
      </c>
      <c r="D46" s="52">
        <v>44000</v>
      </c>
      <c r="E46" s="52">
        <v>154000</v>
      </c>
      <c r="F46" s="52">
        <v>13200.000000000002</v>
      </c>
      <c r="G46" s="52">
        <v>18000</v>
      </c>
      <c r="H46" s="52">
        <v>48867.839999999997</v>
      </c>
      <c r="I46" s="52">
        <v>5400</v>
      </c>
      <c r="J46" s="52">
        <v>30000</v>
      </c>
      <c r="K46" s="52">
        <v>150000</v>
      </c>
      <c r="L46" s="52">
        <v>12000</v>
      </c>
      <c r="M46" s="52">
        <v>12000</v>
      </c>
      <c r="N46" s="52">
        <v>48224.800000000083</v>
      </c>
      <c r="O46" s="52">
        <v>6400</v>
      </c>
      <c r="P46" s="52">
        <v>42000</v>
      </c>
      <c r="Q46" s="52">
        <v>147000</v>
      </c>
      <c r="R46" s="52">
        <v>12600.000000000002</v>
      </c>
      <c r="S46" s="52">
        <v>15000</v>
      </c>
      <c r="T46" s="52">
        <v>65000</v>
      </c>
      <c r="U46" s="52">
        <v>8000</v>
      </c>
      <c r="V46" s="52">
        <v>32930.799999999959</v>
      </c>
      <c r="W46" s="52">
        <v>96265.400000000111</v>
      </c>
      <c r="X46" s="52">
        <v>11400</v>
      </c>
      <c r="Y46" s="52">
        <v>0</v>
      </c>
      <c r="Z46" s="52">
        <v>0</v>
      </c>
      <c r="AA46" s="52">
        <v>0</v>
      </c>
      <c r="AB46" s="52">
        <v>44000</v>
      </c>
      <c r="AC46" s="52">
        <v>154000</v>
      </c>
      <c r="AD46" s="52">
        <v>13200.000000000002</v>
      </c>
      <c r="AE46" s="52">
        <v>0</v>
      </c>
      <c r="AF46" s="52">
        <v>0</v>
      </c>
      <c r="AG46" s="52">
        <v>0</v>
      </c>
      <c r="AH46" s="52">
        <v>42000</v>
      </c>
      <c r="AI46" s="52">
        <v>147000</v>
      </c>
      <c r="AJ46" s="52">
        <v>12600.000000000002</v>
      </c>
      <c r="AK46" s="52">
        <v>0</v>
      </c>
      <c r="AL46" s="52">
        <v>0</v>
      </c>
      <c r="AM46" s="52">
        <v>0</v>
      </c>
      <c r="AN46" s="52">
        <v>55000</v>
      </c>
      <c r="AO46" s="52">
        <v>132000</v>
      </c>
      <c r="AP46" s="52">
        <v>55703.935587097185</v>
      </c>
      <c r="AQ46" s="52">
        <v>13500</v>
      </c>
      <c r="AR46" s="52">
        <v>63000</v>
      </c>
      <c r="AS46" s="52">
        <v>22787.973649267031</v>
      </c>
      <c r="AT46" s="52">
        <v>44000</v>
      </c>
      <c r="AU46" s="52">
        <v>143000</v>
      </c>
      <c r="AV46" s="52">
        <v>35595.55999999999</v>
      </c>
      <c r="AW46" s="52">
        <v>13500</v>
      </c>
      <c r="AX46" s="52">
        <v>63000</v>
      </c>
      <c r="AY46" s="52">
        <v>14561.819999999996</v>
      </c>
      <c r="AZ46" s="52">
        <v>50000</v>
      </c>
      <c r="BA46" s="52">
        <v>120000</v>
      </c>
      <c r="BB46" s="52">
        <v>44643.454545454595</v>
      </c>
      <c r="BC46" s="52">
        <v>15000</v>
      </c>
      <c r="BD46" s="52">
        <v>65000</v>
      </c>
      <c r="BE46" s="52">
        <v>25510.545454545481</v>
      </c>
      <c r="BF46" s="52">
        <v>33000</v>
      </c>
      <c r="BG46" s="52">
        <v>154000</v>
      </c>
      <c r="BH46" s="52">
        <v>15400</v>
      </c>
      <c r="BI46" s="52">
        <v>0</v>
      </c>
      <c r="BJ46" s="52">
        <v>0</v>
      </c>
      <c r="BK46" s="52">
        <v>0</v>
      </c>
      <c r="BL46" s="52">
        <v>21000</v>
      </c>
      <c r="BM46" s="52">
        <v>157500</v>
      </c>
      <c r="BN46" s="52">
        <v>19564.290545454558</v>
      </c>
      <c r="BO46" s="52">
        <v>13500</v>
      </c>
      <c r="BP46" s="52">
        <v>45840.600000000057</v>
      </c>
      <c r="BQ46" s="52">
        <v>7200</v>
      </c>
      <c r="BR46" s="52">
        <v>34000</v>
      </c>
      <c r="BS46" s="52">
        <v>119000</v>
      </c>
      <c r="BT46" s="52">
        <v>10200.000000000002</v>
      </c>
      <c r="BU46" s="52">
        <v>28000</v>
      </c>
      <c r="BV46" s="52">
        <v>66357.940799999851</v>
      </c>
      <c r="BW46" s="52">
        <v>9800</v>
      </c>
    </row>
    <row r="47" spans="1:75" x14ac:dyDescent="0.3">
      <c r="A47" s="8" t="s">
        <v>89</v>
      </c>
      <c r="B47" s="8" t="s">
        <v>10</v>
      </c>
      <c r="C47" s="8" t="s">
        <v>64</v>
      </c>
      <c r="D47" s="52">
        <v>44000</v>
      </c>
      <c r="E47" s="52">
        <v>154000</v>
      </c>
      <c r="F47" s="52">
        <v>13200.000000000002</v>
      </c>
      <c r="G47" s="52">
        <v>0</v>
      </c>
      <c r="H47" s="52">
        <v>0</v>
      </c>
      <c r="I47" s="52">
        <v>0</v>
      </c>
      <c r="J47" s="52">
        <v>30000</v>
      </c>
      <c r="K47" s="52">
        <v>150000</v>
      </c>
      <c r="L47" s="52">
        <v>12000</v>
      </c>
      <c r="M47" s="52">
        <v>0</v>
      </c>
      <c r="N47" s="52">
        <v>0</v>
      </c>
      <c r="O47" s="52">
        <v>0</v>
      </c>
      <c r="P47" s="52">
        <v>33961.199999999983</v>
      </c>
      <c r="Q47" s="52">
        <v>125302.79999999971</v>
      </c>
      <c r="R47" s="52">
        <v>12600.000000000002</v>
      </c>
      <c r="S47" s="52">
        <v>0</v>
      </c>
      <c r="T47" s="52">
        <v>0</v>
      </c>
      <c r="U47" s="52">
        <v>0</v>
      </c>
      <c r="V47" s="52">
        <v>0</v>
      </c>
      <c r="W47" s="52">
        <v>0</v>
      </c>
      <c r="X47" s="52">
        <v>0</v>
      </c>
      <c r="Y47" s="52">
        <v>0</v>
      </c>
      <c r="Z47" s="52">
        <v>0</v>
      </c>
      <c r="AA47" s="52">
        <v>0</v>
      </c>
      <c r="AB47" s="52">
        <v>0</v>
      </c>
      <c r="AC47" s="52">
        <v>0</v>
      </c>
      <c r="AD47" s="52">
        <v>0</v>
      </c>
      <c r="AE47" s="52">
        <v>0</v>
      </c>
      <c r="AF47" s="52">
        <v>0</v>
      </c>
      <c r="AG47" s="52">
        <v>0</v>
      </c>
      <c r="AH47" s="52">
        <v>0</v>
      </c>
      <c r="AI47" s="52">
        <v>0</v>
      </c>
      <c r="AJ47" s="52">
        <v>0</v>
      </c>
      <c r="AK47" s="52">
        <v>0</v>
      </c>
      <c r="AL47" s="52">
        <v>0</v>
      </c>
      <c r="AM47" s="52">
        <v>0</v>
      </c>
      <c r="AN47" s="52">
        <v>53068.399999999936</v>
      </c>
      <c r="AO47" s="52">
        <v>107933.76000000046</v>
      </c>
      <c r="AP47" s="52">
        <v>15400</v>
      </c>
      <c r="AQ47" s="52">
        <v>0</v>
      </c>
      <c r="AR47" s="52">
        <v>0</v>
      </c>
      <c r="AS47" s="52">
        <v>0</v>
      </c>
      <c r="AT47" s="52">
        <v>0</v>
      </c>
      <c r="AU47" s="52">
        <v>0</v>
      </c>
      <c r="AV47" s="52">
        <v>0</v>
      </c>
      <c r="AW47" s="52">
        <v>0</v>
      </c>
      <c r="AX47" s="52">
        <v>0</v>
      </c>
      <c r="AY47" s="52">
        <v>0</v>
      </c>
      <c r="AZ47" s="52">
        <v>50000</v>
      </c>
      <c r="BA47" s="52">
        <v>115655.99999999991</v>
      </c>
      <c r="BB47" s="52">
        <v>14000</v>
      </c>
      <c r="BC47" s="52">
        <v>0</v>
      </c>
      <c r="BD47" s="52">
        <v>0</v>
      </c>
      <c r="BE47" s="52">
        <v>0</v>
      </c>
      <c r="BF47" s="52">
        <v>0</v>
      </c>
      <c r="BG47" s="52">
        <v>0</v>
      </c>
      <c r="BH47" s="52">
        <v>0</v>
      </c>
      <c r="BI47" s="52">
        <v>0</v>
      </c>
      <c r="BJ47" s="52">
        <v>0</v>
      </c>
      <c r="BK47" s="52">
        <v>0</v>
      </c>
      <c r="BL47" s="52">
        <v>21000</v>
      </c>
      <c r="BM47" s="52">
        <v>136954.53599999985</v>
      </c>
      <c r="BN47" s="52">
        <v>14700.000000000002</v>
      </c>
      <c r="BO47" s="52">
        <v>0</v>
      </c>
      <c r="BP47" s="52">
        <v>0</v>
      </c>
      <c r="BQ47" s="52">
        <v>0</v>
      </c>
      <c r="BR47" s="52">
        <v>34000</v>
      </c>
      <c r="BS47" s="52">
        <v>86117.9200000001</v>
      </c>
      <c r="BT47" s="52">
        <v>10200.000000000002</v>
      </c>
      <c r="BU47" s="52">
        <v>0</v>
      </c>
      <c r="BV47" s="52">
        <v>0</v>
      </c>
      <c r="BW47" s="52">
        <v>0</v>
      </c>
    </row>
    <row r="48" spans="1:75" x14ac:dyDescent="0.3">
      <c r="A48" s="8" t="s">
        <v>89</v>
      </c>
      <c r="B48" s="8" t="s">
        <v>10</v>
      </c>
      <c r="C48" s="8" t="s">
        <v>65</v>
      </c>
      <c r="D48" s="52">
        <v>58739.999999999993</v>
      </c>
      <c r="E48" s="52">
        <v>205590</v>
      </c>
      <c r="F48" s="52">
        <v>88110</v>
      </c>
      <c r="G48" s="52">
        <v>24030</v>
      </c>
      <c r="H48" s="52">
        <v>84105</v>
      </c>
      <c r="I48" s="52">
        <v>36045</v>
      </c>
      <c r="J48" s="52">
        <v>40050</v>
      </c>
      <c r="K48" s="52">
        <v>200250</v>
      </c>
      <c r="L48" s="52">
        <v>80100</v>
      </c>
      <c r="M48" s="52">
        <v>16020</v>
      </c>
      <c r="N48" s="52">
        <v>69420</v>
      </c>
      <c r="O48" s="52">
        <v>42720</v>
      </c>
      <c r="P48" s="52">
        <v>56070</v>
      </c>
      <c r="Q48" s="52">
        <v>196245</v>
      </c>
      <c r="R48" s="52">
        <v>84105</v>
      </c>
      <c r="S48" s="52">
        <v>20025</v>
      </c>
      <c r="T48" s="52">
        <v>86774.999999999985</v>
      </c>
      <c r="U48" s="52">
        <v>53400</v>
      </c>
      <c r="V48" s="52">
        <v>50730</v>
      </c>
      <c r="W48" s="52">
        <v>177555</v>
      </c>
      <c r="X48" s="52">
        <v>76095</v>
      </c>
      <c r="Y48" s="52">
        <v>22027.5</v>
      </c>
      <c r="Z48" s="52">
        <v>102795</v>
      </c>
      <c r="AA48" s="52">
        <v>51397.5</v>
      </c>
      <c r="AB48" s="52">
        <v>58739.999999999993</v>
      </c>
      <c r="AC48" s="52">
        <v>205590</v>
      </c>
      <c r="AD48" s="52">
        <v>88110</v>
      </c>
      <c r="AE48" s="52">
        <v>18022.5</v>
      </c>
      <c r="AF48" s="52">
        <v>78097.5</v>
      </c>
      <c r="AG48" s="52">
        <v>48060</v>
      </c>
      <c r="AH48" s="52">
        <v>56070</v>
      </c>
      <c r="AI48" s="52">
        <v>196245</v>
      </c>
      <c r="AJ48" s="52">
        <v>84105</v>
      </c>
      <c r="AK48" s="52">
        <v>18022.5</v>
      </c>
      <c r="AL48" s="52">
        <v>84105</v>
      </c>
      <c r="AM48" s="52">
        <v>42052.5</v>
      </c>
      <c r="AN48" s="52">
        <v>73425</v>
      </c>
      <c r="AO48" s="52">
        <v>176220</v>
      </c>
      <c r="AP48" s="52">
        <v>102795</v>
      </c>
      <c r="AQ48" s="52">
        <v>18022.5</v>
      </c>
      <c r="AR48" s="52">
        <v>84105</v>
      </c>
      <c r="AS48" s="52">
        <v>42052.5</v>
      </c>
      <c r="AT48" s="52">
        <v>58739.999999999993</v>
      </c>
      <c r="AU48" s="52">
        <v>190905</v>
      </c>
      <c r="AV48" s="52">
        <v>102795</v>
      </c>
      <c r="AW48" s="52">
        <v>18022.5</v>
      </c>
      <c r="AX48" s="52">
        <v>84105</v>
      </c>
      <c r="AY48" s="52">
        <v>42052.5</v>
      </c>
      <c r="AZ48" s="52">
        <v>66750</v>
      </c>
      <c r="BA48" s="52">
        <v>160200</v>
      </c>
      <c r="BB48" s="52">
        <v>93450</v>
      </c>
      <c r="BC48" s="52">
        <v>20025</v>
      </c>
      <c r="BD48" s="52">
        <v>86774.999999999985</v>
      </c>
      <c r="BE48" s="52">
        <v>53400</v>
      </c>
      <c r="BF48" s="52">
        <v>44055</v>
      </c>
      <c r="BG48" s="52">
        <v>205590</v>
      </c>
      <c r="BH48" s="52">
        <v>102795</v>
      </c>
      <c r="BI48" s="52">
        <v>18022.5</v>
      </c>
      <c r="BJ48" s="52">
        <v>78097.5</v>
      </c>
      <c r="BK48" s="52">
        <v>48060</v>
      </c>
      <c r="BL48" s="52">
        <v>28035</v>
      </c>
      <c r="BM48" s="52">
        <v>210262.5</v>
      </c>
      <c r="BN48" s="52">
        <v>98122.5</v>
      </c>
      <c r="BO48" s="52">
        <v>18022.5</v>
      </c>
      <c r="BP48" s="52">
        <v>78097.5</v>
      </c>
      <c r="BQ48" s="52">
        <v>48060</v>
      </c>
      <c r="BR48" s="52">
        <v>45390</v>
      </c>
      <c r="BS48" s="52">
        <v>158865</v>
      </c>
      <c r="BT48" s="52">
        <v>68085</v>
      </c>
      <c r="BU48" s="52">
        <v>37379.999999999993</v>
      </c>
      <c r="BV48" s="52">
        <v>121485</v>
      </c>
      <c r="BW48" s="52">
        <v>65414.999999999993</v>
      </c>
    </row>
    <row r="49" spans="1:75" x14ac:dyDescent="0.3">
      <c r="A49" s="8" t="s">
        <v>89</v>
      </c>
      <c r="B49" s="8" t="s">
        <v>10</v>
      </c>
      <c r="C49" s="8" t="s">
        <v>66</v>
      </c>
      <c r="D49" s="52">
        <v>0</v>
      </c>
      <c r="E49" s="52">
        <v>0</v>
      </c>
      <c r="F49" s="52">
        <v>0</v>
      </c>
      <c r="G49" s="52">
        <v>0</v>
      </c>
      <c r="H49" s="52">
        <v>0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v>0</v>
      </c>
      <c r="O49" s="52">
        <v>0</v>
      </c>
      <c r="P49" s="52">
        <v>0</v>
      </c>
      <c r="Q49" s="52">
        <v>0</v>
      </c>
      <c r="R49" s="52">
        <v>0</v>
      </c>
      <c r="S49" s="52">
        <v>0</v>
      </c>
      <c r="T49" s="52">
        <v>0</v>
      </c>
      <c r="U49" s="52">
        <v>0</v>
      </c>
      <c r="V49" s="52">
        <v>0</v>
      </c>
      <c r="W49" s="52">
        <v>0</v>
      </c>
      <c r="X49" s="52">
        <v>0</v>
      </c>
      <c r="Y49" s="52">
        <v>0</v>
      </c>
      <c r="Z49" s="52">
        <v>0</v>
      </c>
      <c r="AA49" s="52">
        <v>0</v>
      </c>
      <c r="AB49" s="52">
        <v>0</v>
      </c>
      <c r="AC49" s="52">
        <v>0</v>
      </c>
      <c r="AD49" s="52">
        <v>0</v>
      </c>
      <c r="AE49" s="52">
        <v>0</v>
      </c>
      <c r="AF49" s="52">
        <v>0</v>
      </c>
      <c r="AG49" s="52">
        <v>0</v>
      </c>
      <c r="AH49" s="52">
        <v>0</v>
      </c>
      <c r="AI49" s="52">
        <v>0</v>
      </c>
      <c r="AJ49" s="52">
        <v>0</v>
      </c>
      <c r="AK49" s="52">
        <v>0</v>
      </c>
      <c r="AL49" s="52">
        <v>0</v>
      </c>
      <c r="AM49" s="52">
        <v>0</v>
      </c>
      <c r="AN49" s="52">
        <v>0</v>
      </c>
      <c r="AO49" s="52">
        <v>0</v>
      </c>
      <c r="AP49" s="52">
        <v>0</v>
      </c>
      <c r="AQ49" s="52">
        <v>0</v>
      </c>
      <c r="AR49" s="52">
        <v>0</v>
      </c>
      <c r="AS49" s="52">
        <v>0</v>
      </c>
      <c r="AT49" s="52">
        <v>0</v>
      </c>
      <c r="AU49" s="52">
        <v>0</v>
      </c>
      <c r="AV49" s="52">
        <v>0</v>
      </c>
      <c r="AW49" s="52">
        <v>0</v>
      </c>
      <c r="AX49" s="52">
        <v>0</v>
      </c>
      <c r="AY49" s="52">
        <v>0</v>
      </c>
      <c r="AZ49" s="52">
        <v>0</v>
      </c>
      <c r="BA49" s="52">
        <v>0</v>
      </c>
      <c r="BB49" s="52">
        <v>0</v>
      </c>
      <c r="BC49" s="52">
        <v>0</v>
      </c>
      <c r="BD49" s="52">
        <v>0</v>
      </c>
      <c r="BE49" s="52">
        <v>0</v>
      </c>
      <c r="BF49" s="52">
        <v>0</v>
      </c>
      <c r="BG49" s="52">
        <v>0</v>
      </c>
      <c r="BH49" s="52">
        <v>0</v>
      </c>
      <c r="BI49" s="52">
        <v>0</v>
      </c>
      <c r="BJ49" s="52">
        <v>0</v>
      </c>
      <c r="BK49" s="52">
        <v>0</v>
      </c>
      <c r="BL49" s="52">
        <v>0</v>
      </c>
      <c r="BM49" s="52">
        <v>0</v>
      </c>
      <c r="BN49" s="52">
        <v>0</v>
      </c>
      <c r="BO49" s="52">
        <v>0</v>
      </c>
      <c r="BP49" s="52">
        <v>0</v>
      </c>
      <c r="BQ49" s="52">
        <v>0</v>
      </c>
      <c r="BR49" s="52">
        <v>0</v>
      </c>
      <c r="BS49" s="52">
        <v>0</v>
      </c>
      <c r="BT49" s="52">
        <v>0</v>
      </c>
      <c r="BU49" s="52">
        <v>0</v>
      </c>
      <c r="BV49" s="52">
        <v>0</v>
      </c>
      <c r="BW49" s="52">
        <v>0</v>
      </c>
    </row>
    <row r="50" spans="1:75" x14ac:dyDescent="0.3">
      <c r="A50" s="8" t="s">
        <v>89</v>
      </c>
      <c r="B50" s="8" t="s">
        <v>10</v>
      </c>
      <c r="C50" s="8" t="s">
        <v>67</v>
      </c>
      <c r="D50" s="52">
        <v>0</v>
      </c>
      <c r="E50" s="52">
        <v>0</v>
      </c>
      <c r="F50" s="52">
        <v>0</v>
      </c>
      <c r="G50" s="52">
        <v>0</v>
      </c>
      <c r="H50" s="52">
        <v>0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2">
        <v>0</v>
      </c>
      <c r="O50" s="52">
        <v>0</v>
      </c>
      <c r="P50" s="52">
        <v>0</v>
      </c>
      <c r="Q50" s="52">
        <v>0</v>
      </c>
      <c r="R50" s="52">
        <v>0</v>
      </c>
      <c r="S50" s="52">
        <v>0</v>
      </c>
      <c r="T50" s="52">
        <v>0</v>
      </c>
      <c r="U50" s="52">
        <v>0</v>
      </c>
      <c r="V50" s="52">
        <v>0</v>
      </c>
      <c r="W50" s="52">
        <v>0</v>
      </c>
      <c r="X50" s="52">
        <v>0</v>
      </c>
      <c r="Y50" s="52">
        <v>0</v>
      </c>
      <c r="Z50" s="52">
        <v>0</v>
      </c>
      <c r="AA50" s="52">
        <v>0</v>
      </c>
      <c r="AB50" s="52">
        <v>0</v>
      </c>
      <c r="AC50" s="52">
        <v>0</v>
      </c>
      <c r="AD50" s="52">
        <v>0</v>
      </c>
      <c r="AE50" s="52">
        <v>0</v>
      </c>
      <c r="AF50" s="52">
        <v>0</v>
      </c>
      <c r="AG50" s="52">
        <v>0</v>
      </c>
      <c r="AH50" s="52">
        <v>0</v>
      </c>
      <c r="AI50" s="52">
        <v>0</v>
      </c>
      <c r="AJ50" s="52">
        <v>0</v>
      </c>
      <c r="AK50" s="52">
        <v>0</v>
      </c>
      <c r="AL50" s="52">
        <v>0</v>
      </c>
      <c r="AM50" s="52">
        <v>0</v>
      </c>
      <c r="AN50" s="52">
        <v>0</v>
      </c>
      <c r="AO50" s="52">
        <v>0</v>
      </c>
      <c r="AP50" s="52">
        <v>0</v>
      </c>
      <c r="AQ50" s="52">
        <v>0</v>
      </c>
      <c r="AR50" s="52">
        <v>0</v>
      </c>
      <c r="AS50" s="52">
        <v>0</v>
      </c>
      <c r="AT50" s="52">
        <v>0</v>
      </c>
      <c r="AU50" s="52">
        <v>0</v>
      </c>
      <c r="AV50" s="52">
        <v>0</v>
      </c>
      <c r="AW50" s="52">
        <v>0</v>
      </c>
      <c r="AX50" s="52">
        <v>0</v>
      </c>
      <c r="AY50" s="52">
        <v>0</v>
      </c>
      <c r="AZ50" s="52">
        <v>0</v>
      </c>
      <c r="BA50" s="52">
        <v>0</v>
      </c>
      <c r="BB50" s="52">
        <v>0</v>
      </c>
      <c r="BC50" s="52">
        <v>0</v>
      </c>
      <c r="BD50" s="52">
        <v>0</v>
      </c>
      <c r="BE50" s="52">
        <v>0</v>
      </c>
      <c r="BF50" s="52">
        <v>0</v>
      </c>
      <c r="BG50" s="52">
        <v>0</v>
      </c>
      <c r="BH50" s="52">
        <v>0</v>
      </c>
      <c r="BI50" s="52">
        <v>0</v>
      </c>
      <c r="BJ50" s="52">
        <v>0</v>
      </c>
      <c r="BK50" s="52">
        <v>0</v>
      </c>
      <c r="BL50" s="52">
        <v>0</v>
      </c>
      <c r="BM50" s="52">
        <v>0</v>
      </c>
      <c r="BN50" s="52">
        <v>0</v>
      </c>
      <c r="BO50" s="52">
        <v>0</v>
      </c>
      <c r="BP50" s="52">
        <v>0</v>
      </c>
      <c r="BQ50" s="52">
        <v>0</v>
      </c>
      <c r="BR50" s="52">
        <v>0</v>
      </c>
      <c r="BS50" s="52">
        <v>0</v>
      </c>
      <c r="BT50" s="52">
        <v>0</v>
      </c>
      <c r="BU50" s="52">
        <v>0</v>
      </c>
      <c r="BV50" s="52">
        <v>0</v>
      </c>
      <c r="BW50" s="52">
        <v>0</v>
      </c>
    </row>
    <row r="51" spans="1:75" x14ac:dyDescent="0.3">
      <c r="A51" s="8" t="s">
        <v>89</v>
      </c>
      <c r="B51" s="8" t="s">
        <v>10</v>
      </c>
      <c r="C51" s="8" t="s">
        <v>68</v>
      </c>
      <c r="D51" s="52">
        <v>0</v>
      </c>
      <c r="E51" s="52">
        <v>0</v>
      </c>
      <c r="F51" s="52">
        <v>0</v>
      </c>
      <c r="G51" s="52">
        <v>0</v>
      </c>
      <c r="H51" s="52">
        <v>0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2">
        <v>0</v>
      </c>
      <c r="O51" s="52">
        <v>0</v>
      </c>
      <c r="P51" s="52">
        <v>0</v>
      </c>
      <c r="Q51" s="52">
        <v>0</v>
      </c>
      <c r="R51" s="52">
        <v>0</v>
      </c>
      <c r="S51" s="52">
        <v>0</v>
      </c>
      <c r="T51" s="52">
        <v>0</v>
      </c>
      <c r="U51" s="52">
        <v>0</v>
      </c>
      <c r="V51" s="52">
        <v>0</v>
      </c>
      <c r="W51" s="52">
        <v>0</v>
      </c>
      <c r="X51" s="52">
        <v>0</v>
      </c>
      <c r="Y51" s="52">
        <v>0</v>
      </c>
      <c r="Z51" s="52">
        <v>0</v>
      </c>
      <c r="AA51" s="52">
        <v>0</v>
      </c>
      <c r="AB51" s="52">
        <v>0</v>
      </c>
      <c r="AC51" s="52">
        <v>0</v>
      </c>
      <c r="AD51" s="52">
        <v>0</v>
      </c>
      <c r="AE51" s="52">
        <v>0</v>
      </c>
      <c r="AF51" s="52">
        <v>0</v>
      </c>
      <c r="AG51" s="52">
        <v>0</v>
      </c>
      <c r="AH51" s="52">
        <v>0</v>
      </c>
      <c r="AI51" s="52">
        <v>0</v>
      </c>
      <c r="AJ51" s="52">
        <v>0</v>
      </c>
      <c r="AK51" s="52">
        <v>0</v>
      </c>
      <c r="AL51" s="52">
        <v>0</v>
      </c>
      <c r="AM51" s="52">
        <v>0</v>
      </c>
      <c r="AN51" s="52">
        <v>0</v>
      </c>
      <c r="AO51" s="52">
        <v>0</v>
      </c>
      <c r="AP51" s="52">
        <v>0</v>
      </c>
      <c r="AQ51" s="52">
        <v>0</v>
      </c>
      <c r="AR51" s="52">
        <v>0</v>
      </c>
      <c r="AS51" s="52">
        <v>0</v>
      </c>
      <c r="AT51" s="52">
        <v>0</v>
      </c>
      <c r="AU51" s="52">
        <v>0</v>
      </c>
      <c r="AV51" s="52">
        <v>0</v>
      </c>
      <c r="AW51" s="52">
        <v>0</v>
      </c>
      <c r="AX51" s="52">
        <v>0</v>
      </c>
      <c r="AY51" s="52">
        <v>0</v>
      </c>
      <c r="AZ51" s="52">
        <v>0</v>
      </c>
      <c r="BA51" s="52">
        <v>0</v>
      </c>
      <c r="BB51" s="52">
        <v>0</v>
      </c>
      <c r="BC51" s="52">
        <v>0</v>
      </c>
      <c r="BD51" s="52">
        <v>0</v>
      </c>
      <c r="BE51" s="52">
        <v>0</v>
      </c>
      <c r="BF51" s="52">
        <v>0</v>
      </c>
      <c r="BG51" s="52">
        <v>0</v>
      </c>
      <c r="BH51" s="52">
        <v>0</v>
      </c>
      <c r="BI51" s="52">
        <v>0</v>
      </c>
      <c r="BJ51" s="52">
        <v>0</v>
      </c>
      <c r="BK51" s="52">
        <v>0</v>
      </c>
      <c r="BL51" s="52">
        <v>0</v>
      </c>
      <c r="BM51" s="52">
        <v>0</v>
      </c>
      <c r="BN51" s="52">
        <v>0</v>
      </c>
      <c r="BO51" s="52">
        <v>0</v>
      </c>
      <c r="BP51" s="52">
        <v>0</v>
      </c>
      <c r="BQ51" s="52">
        <v>0</v>
      </c>
      <c r="BR51" s="52">
        <v>0</v>
      </c>
      <c r="BS51" s="52">
        <v>0</v>
      </c>
      <c r="BT51" s="52">
        <v>0</v>
      </c>
      <c r="BU51" s="52">
        <v>0</v>
      </c>
      <c r="BV51" s="52">
        <v>0</v>
      </c>
      <c r="BW51" s="52">
        <v>0</v>
      </c>
    </row>
    <row r="52" spans="1:75" x14ac:dyDescent="0.3">
      <c r="A52" s="8" t="s">
        <v>89</v>
      </c>
      <c r="B52" s="8" t="s">
        <v>10</v>
      </c>
      <c r="C52" s="8" t="s">
        <v>69</v>
      </c>
      <c r="D52" s="52">
        <v>0</v>
      </c>
      <c r="E52" s="52">
        <v>0</v>
      </c>
      <c r="F52" s="52">
        <v>0</v>
      </c>
      <c r="G52" s="52">
        <v>0</v>
      </c>
      <c r="H52" s="52">
        <v>0</v>
      </c>
      <c r="I52" s="52">
        <v>0</v>
      </c>
      <c r="J52" s="52">
        <v>0</v>
      </c>
      <c r="K52" s="52">
        <v>0</v>
      </c>
      <c r="L52" s="52">
        <v>0</v>
      </c>
      <c r="M52" s="52">
        <v>0</v>
      </c>
      <c r="N52" s="52">
        <v>0</v>
      </c>
      <c r="O52" s="52">
        <v>0</v>
      </c>
      <c r="P52" s="52">
        <v>0</v>
      </c>
      <c r="Q52" s="52">
        <v>0</v>
      </c>
      <c r="R52" s="52">
        <v>0</v>
      </c>
      <c r="S52" s="52">
        <v>0</v>
      </c>
      <c r="T52" s="52">
        <v>0</v>
      </c>
      <c r="U52" s="52">
        <v>0</v>
      </c>
      <c r="V52" s="52">
        <v>0</v>
      </c>
      <c r="W52" s="52">
        <v>0</v>
      </c>
      <c r="X52" s="52">
        <v>0</v>
      </c>
      <c r="Y52" s="52">
        <v>0</v>
      </c>
      <c r="Z52" s="52">
        <v>0</v>
      </c>
      <c r="AA52" s="52">
        <v>0</v>
      </c>
      <c r="AB52" s="52">
        <v>0</v>
      </c>
      <c r="AC52" s="52">
        <v>0</v>
      </c>
      <c r="AD52" s="52">
        <v>0</v>
      </c>
      <c r="AE52" s="52">
        <v>0</v>
      </c>
      <c r="AF52" s="52">
        <v>0</v>
      </c>
      <c r="AG52" s="52">
        <v>0</v>
      </c>
      <c r="AH52" s="52">
        <v>0</v>
      </c>
      <c r="AI52" s="52">
        <v>0</v>
      </c>
      <c r="AJ52" s="52">
        <v>0</v>
      </c>
      <c r="AK52" s="52">
        <v>0</v>
      </c>
      <c r="AL52" s="52">
        <v>0</v>
      </c>
      <c r="AM52" s="52">
        <v>0</v>
      </c>
      <c r="AN52" s="52">
        <v>0</v>
      </c>
      <c r="AO52" s="52">
        <v>0</v>
      </c>
      <c r="AP52" s="52">
        <v>0</v>
      </c>
      <c r="AQ52" s="52">
        <v>0</v>
      </c>
      <c r="AR52" s="52">
        <v>0</v>
      </c>
      <c r="AS52" s="52">
        <v>0</v>
      </c>
      <c r="AT52" s="52">
        <v>0</v>
      </c>
      <c r="AU52" s="52">
        <v>0</v>
      </c>
      <c r="AV52" s="52">
        <v>0</v>
      </c>
      <c r="AW52" s="52">
        <v>0</v>
      </c>
      <c r="AX52" s="52">
        <v>0</v>
      </c>
      <c r="AY52" s="52">
        <v>0</v>
      </c>
      <c r="AZ52" s="52">
        <v>0</v>
      </c>
      <c r="BA52" s="52">
        <v>0</v>
      </c>
      <c r="BB52" s="52">
        <v>0</v>
      </c>
      <c r="BC52" s="52">
        <v>0</v>
      </c>
      <c r="BD52" s="52">
        <v>0</v>
      </c>
      <c r="BE52" s="52">
        <v>0</v>
      </c>
      <c r="BF52" s="52">
        <v>0</v>
      </c>
      <c r="BG52" s="52">
        <v>0</v>
      </c>
      <c r="BH52" s="52">
        <v>0</v>
      </c>
      <c r="BI52" s="52">
        <v>0</v>
      </c>
      <c r="BJ52" s="52">
        <v>0</v>
      </c>
      <c r="BK52" s="52">
        <v>0</v>
      </c>
      <c r="BL52" s="52">
        <v>0</v>
      </c>
      <c r="BM52" s="52">
        <v>0</v>
      </c>
      <c r="BN52" s="52">
        <v>0</v>
      </c>
      <c r="BO52" s="52">
        <v>0</v>
      </c>
      <c r="BP52" s="52">
        <v>0</v>
      </c>
      <c r="BQ52" s="52">
        <v>0</v>
      </c>
      <c r="BR52" s="52">
        <v>0</v>
      </c>
      <c r="BS52" s="52">
        <v>0</v>
      </c>
      <c r="BT52" s="52">
        <v>0</v>
      </c>
      <c r="BU52" s="52">
        <v>0</v>
      </c>
      <c r="BV52" s="52">
        <v>0</v>
      </c>
      <c r="BW52" s="52">
        <v>0</v>
      </c>
    </row>
    <row r="53" spans="1:75" x14ac:dyDescent="0.3">
      <c r="A53" s="8" t="s">
        <v>89</v>
      </c>
      <c r="B53" s="8" t="s">
        <v>10</v>
      </c>
      <c r="C53" s="8" t="s">
        <v>27</v>
      </c>
      <c r="D53" s="52">
        <v>13200</v>
      </c>
      <c r="E53" s="52">
        <v>46199.999999999993</v>
      </c>
      <c r="F53" s="52">
        <v>19800</v>
      </c>
      <c r="G53" s="52">
        <v>5399.9999999999991</v>
      </c>
      <c r="H53" s="52">
        <v>18900</v>
      </c>
      <c r="I53" s="52">
        <v>3636.0000000000073</v>
      </c>
      <c r="J53" s="52">
        <v>9000</v>
      </c>
      <c r="K53" s="52">
        <v>45000</v>
      </c>
      <c r="L53" s="52">
        <v>18000</v>
      </c>
      <c r="M53" s="52">
        <v>3599.9999999999995</v>
      </c>
      <c r="N53" s="52">
        <v>15600</v>
      </c>
      <c r="O53" s="52">
        <v>9600</v>
      </c>
      <c r="P53" s="52">
        <v>12600</v>
      </c>
      <c r="Q53" s="52">
        <v>44100</v>
      </c>
      <c r="R53" s="52">
        <v>18900</v>
      </c>
      <c r="S53" s="52">
        <v>4500</v>
      </c>
      <c r="T53" s="52">
        <v>19500</v>
      </c>
      <c r="U53" s="52">
        <v>12000</v>
      </c>
      <c r="V53" s="52">
        <v>11400</v>
      </c>
      <c r="W53" s="52">
        <v>39900</v>
      </c>
      <c r="X53" s="52">
        <v>9493.633507853403</v>
      </c>
      <c r="Y53" s="52">
        <v>4950</v>
      </c>
      <c r="Z53" s="52">
        <v>23099.999999999996</v>
      </c>
      <c r="AA53" s="52">
        <v>6412.366492146597</v>
      </c>
      <c r="AB53" s="52">
        <v>13200</v>
      </c>
      <c r="AC53" s="52">
        <v>46199.999999999993</v>
      </c>
      <c r="AD53" s="52">
        <v>3369.6000000000035</v>
      </c>
      <c r="AE53" s="52">
        <v>4050</v>
      </c>
      <c r="AF53" s="52">
        <v>17550</v>
      </c>
      <c r="AG53" s="52">
        <v>0</v>
      </c>
      <c r="AH53" s="52">
        <v>12600</v>
      </c>
      <c r="AI53" s="52">
        <v>26447.399999999998</v>
      </c>
      <c r="AJ53" s="52">
        <v>0</v>
      </c>
      <c r="AK53" s="52">
        <v>4050</v>
      </c>
      <c r="AL53" s="52">
        <v>11334.6</v>
      </c>
      <c r="AM53" s="52">
        <v>0</v>
      </c>
      <c r="AN53" s="52">
        <v>16500</v>
      </c>
      <c r="AO53" s="52">
        <v>24163.716923076921</v>
      </c>
      <c r="AP53" s="52">
        <v>0</v>
      </c>
      <c r="AQ53" s="52">
        <v>4050</v>
      </c>
      <c r="AR53" s="52">
        <v>11532.683076923075</v>
      </c>
      <c r="AS53" s="52">
        <v>0</v>
      </c>
      <c r="AT53" s="52">
        <v>13200</v>
      </c>
      <c r="AU53" s="52">
        <v>42900</v>
      </c>
      <c r="AV53" s="52">
        <v>0</v>
      </c>
      <c r="AW53" s="52">
        <v>146.39999999999793</v>
      </c>
      <c r="AX53" s="52">
        <v>0</v>
      </c>
      <c r="AY53" s="52">
        <v>0</v>
      </c>
      <c r="AZ53" s="52">
        <v>15000</v>
      </c>
      <c r="BA53" s="52">
        <v>36000</v>
      </c>
      <c r="BB53" s="52">
        <v>4230.545454545455</v>
      </c>
      <c r="BC53" s="52">
        <v>4500</v>
      </c>
      <c r="BD53" s="52">
        <v>19500</v>
      </c>
      <c r="BE53" s="52">
        <v>2417.4545454545455</v>
      </c>
      <c r="BF53" s="52">
        <v>9900</v>
      </c>
      <c r="BG53" s="52">
        <v>46199.999999999993</v>
      </c>
      <c r="BH53" s="52">
        <v>14126.569911504423</v>
      </c>
      <c r="BI53" s="52">
        <v>4050</v>
      </c>
      <c r="BJ53" s="52">
        <v>17550</v>
      </c>
      <c r="BK53" s="52">
        <v>6604.6300884955726</v>
      </c>
      <c r="BL53" s="52">
        <v>6300</v>
      </c>
      <c r="BM53" s="52">
        <v>47250</v>
      </c>
      <c r="BN53" s="52">
        <v>22050</v>
      </c>
      <c r="BO53" s="52">
        <v>4050</v>
      </c>
      <c r="BP53" s="52">
        <v>17550</v>
      </c>
      <c r="BQ53" s="52">
        <v>10799.999999999998</v>
      </c>
      <c r="BR53" s="52">
        <v>10200</v>
      </c>
      <c r="BS53" s="52">
        <v>35699.999999999993</v>
      </c>
      <c r="BT53" s="52">
        <v>15299.999999999998</v>
      </c>
      <c r="BU53" s="52">
        <v>8400</v>
      </c>
      <c r="BV53" s="52">
        <v>27300</v>
      </c>
      <c r="BW53" s="52">
        <v>14700</v>
      </c>
    </row>
    <row r="54" spans="1:75" x14ac:dyDescent="0.3">
      <c r="A54" s="8" t="s">
        <v>89</v>
      </c>
      <c r="B54" s="8" t="s">
        <v>10</v>
      </c>
      <c r="C54" s="8" t="s">
        <v>144</v>
      </c>
      <c r="D54" s="52">
        <v>17600</v>
      </c>
      <c r="E54" s="52">
        <v>3019.1135999994922</v>
      </c>
      <c r="F54" s="52">
        <v>0</v>
      </c>
      <c r="G54" s="52">
        <v>7200</v>
      </c>
      <c r="H54" s="52">
        <v>0</v>
      </c>
      <c r="I54" s="52">
        <v>0</v>
      </c>
      <c r="J54" s="52">
        <v>12000</v>
      </c>
      <c r="K54" s="52">
        <v>27780.000000000073</v>
      </c>
      <c r="L54" s="52">
        <v>0</v>
      </c>
      <c r="M54" s="52">
        <v>4800.0000000000009</v>
      </c>
      <c r="N54" s="52">
        <v>0</v>
      </c>
      <c r="O54" s="52">
        <v>0</v>
      </c>
      <c r="P54" s="52">
        <v>16800</v>
      </c>
      <c r="Q54" s="52">
        <v>15288.000000000307</v>
      </c>
      <c r="R54" s="52">
        <v>0</v>
      </c>
      <c r="S54" s="52">
        <v>6000</v>
      </c>
      <c r="T54" s="52">
        <v>6760.0000000001355</v>
      </c>
      <c r="U54" s="52">
        <v>0</v>
      </c>
      <c r="V54" s="52">
        <v>15200.000000000002</v>
      </c>
      <c r="W54" s="52">
        <v>44422.000000000015</v>
      </c>
      <c r="X54" s="52">
        <v>0</v>
      </c>
      <c r="Y54" s="52">
        <v>6600.0000000000009</v>
      </c>
      <c r="Z54" s="52">
        <v>25718.000000000007</v>
      </c>
      <c r="AA54" s="52">
        <v>0</v>
      </c>
      <c r="AB54" s="52">
        <v>16244.800000000057</v>
      </c>
      <c r="AC54" s="52">
        <v>2293.9863190587607</v>
      </c>
      <c r="AD54" s="52">
        <v>0</v>
      </c>
      <c r="AE54" s="52">
        <v>4984.2000000000171</v>
      </c>
      <c r="AF54" s="52">
        <v>871.4168809411525</v>
      </c>
      <c r="AG54" s="52">
        <v>0</v>
      </c>
      <c r="AH54" s="52">
        <v>16800</v>
      </c>
      <c r="AI54" s="52">
        <v>0</v>
      </c>
      <c r="AJ54" s="52">
        <v>0</v>
      </c>
      <c r="AK54" s="52">
        <v>5400</v>
      </c>
      <c r="AL54" s="52">
        <v>0</v>
      </c>
      <c r="AM54" s="52">
        <v>0</v>
      </c>
      <c r="AN54" s="52">
        <v>22000</v>
      </c>
      <c r="AO54" s="52">
        <v>43948.283076923086</v>
      </c>
      <c r="AP54" s="52">
        <v>0</v>
      </c>
      <c r="AQ54" s="52">
        <v>5400</v>
      </c>
      <c r="AR54" s="52">
        <v>20975.316923076924</v>
      </c>
      <c r="AS54" s="52">
        <v>0</v>
      </c>
      <c r="AT54" s="52">
        <v>17600</v>
      </c>
      <c r="AU54" s="52">
        <v>4639.4031999998879</v>
      </c>
      <c r="AV54" s="52">
        <v>0</v>
      </c>
      <c r="AW54" s="52">
        <v>5369.700000000008</v>
      </c>
      <c r="AX54" s="52">
        <v>0</v>
      </c>
      <c r="AY54" s="52">
        <v>0</v>
      </c>
      <c r="AZ54" s="52">
        <v>20000</v>
      </c>
      <c r="BA54" s="52">
        <v>0</v>
      </c>
      <c r="BB54" s="52">
        <v>0</v>
      </c>
      <c r="BC54" s="52">
        <v>6000</v>
      </c>
      <c r="BD54" s="52">
        <v>0</v>
      </c>
      <c r="BE54" s="52">
        <v>0</v>
      </c>
      <c r="BF54" s="52">
        <v>12795.604800000045</v>
      </c>
      <c r="BG54" s="52">
        <v>0</v>
      </c>
      <c r="BH54" s="52">
        <v>0</v>
      </c>
      <c r="BI54" s="52">
        <v>5234.5656000000181</v>
      </c>
      <c r="BJ54" s="52">
        <v>0</v>
      </c>
      <c r="BK54" s="52">
        <v>0</v>
      </c>
      <c r="BL54" s="52">
        <v>8400</v>
      </c>
      <c r="BM54" s="52">
        <v>55289.651999999973</v>
      </c>
      <c r="BN54" s="52">
        <v>0</v>
      </c>
      <c r="BO54" s="52">
        <v>2130.3000000000002</v>
      </c>
      <c r="BP54" s="52">
        <v>0</v>
      </c>
      <c r="BQ54" s="52">
        <v>0</v>
      </c>
      <c r="BR54" s="52">
        <v>13600.000000000002</v>
      </c>
      <c r="BS54" s="52">
        <v>47600</v>
      </c>
      <c r="BT54" s="52">
        <v>0</v>
      </c>
      <c r="BU54" s="52">
        <v>11200.000000000002</v>
      </c>
      <c r="BV54" s="52">
        <v>8014.5391999999929</v>
      </c>
      <c r="BW54" s="52">
        <v>0</v>
      </c>
    </row>
    <row r="55" spans="1:75" x14ac:dyDescent="0.3">
      <c r="A55" s="8" t="s">
        <v>89</v>
      </c>
      <c r="B55" s="8" t="s">
        <v>10</v>
      </c>
      <c r="C55" s="8" t="s">
        <v>145</v>
      </c>
      <c r="D55" s="52">
        <v>0</v>
      </c>
      <c r="E55" s="52">
        <v>0</v>
      </c>
      <c r="F55" s="52">
        <v>0</v>
      </c>
      <c r="G55" s="52">
        <v>0</v>
      </c>
      <c r="H55" s="52">
        <v>0</v>
      </c>
      <c r="I55" s="52">
        <v>0</v>
      </c>
      <c r="J55" s="52">
        <v>108.72685714284425</v>
      </c>
      <c r="K55" s="52">
        <v>0</v>
      </c>
      <c r="L55" s="52">
        <v>0</v>
      </c>
      <c r="M55" s="52">
        <v>43.490742857137704</v>
      </c>
      <c r="N55" s="52">
        <v>0</v>
      </c>
      <c r="O55" s="52">
        <v>0</v>
      </c>
      <c r="P55" s="52">
        <v>16800</v>
      </c>
      <c r="Q55" s="52">
        <v>0</v>
      </c>
      <c r="R55" s="52">
        <v>0</v>
      </c>
      <c r="S55" s="52">
        <v>6000</v>
      </c>
      <c r="T55" s="52">
        <v>0</v>
      </c>
      <c r="U55" s="52">
        <v>0</v>
      </c>
      <c r="V55" s="52">
        <v>15200.000000000002</v>
      </c>
      <c r="W55" s="52">
        <v>0</v>
      </c>
      <c r="X55" s="52">
        <v>0</v>
      </c>
      <c r="Y55" s="52">
        <v>6600.0000000000009</v>
      </c>
      <c r="Z55" s="52">
        <v>0</v>
      </c>
      <c r="AA55" s="52">
        <v>0</v>
      </c>
      <c r="AB55" s="52">
        <v>17600</v>
      </c>
      <c r="AC55" s="52">
        <v>0</v>
      </c>
      <c r="AD55" s="52">
        <v>0</v>
      </c>
      <c r="AE55" s="52">
        <v>5400</v>
      </c>
      <c r="AF55" s="52">
        <v>0</v>
      </c>
      <c r="AG55" s="52">
        <v>0</v>
      </c>
      <c r="AH55" s="52">
        <v>15296.400000000031</v>
      </c>
      <c r="AI55" s="52">
        <v>29521.729999999647</v>
      </c>
      <c r="AJ55" s="52">
        <v>0</v>
      </c>
      <c r="AK55" s="52">
        <v>4916.7000000000107</v>
      </c>
      <c r="AL55" s="52">
        <v>12652.169999999849</v>
      </c>
      <c r="AM55" s="52">
        <v>0</v>
      </c>
      <c r="AN55" s="52">
        <v>22000</v>
      </c>
      <c r="AO55" s="52">
        <v>0</v>
      </c>
      <c r="AP55" s="52">
        <v>0</v>
      </c>
      <c r="AQ55" s="52">
        <v>5400</v>
      </c>
      <c r="AR55" s="52">
        <v>0</v>
      </c>
      <c r="AS55" s="52">
        <v>0</v>
      </c>
      <c r="AT55" s="52">
        <v>0</v>
      </c>
      <c r="AU55" s="52">
        <v>16467.396800000348</v>
      </c>
      <c r="AV55" s="52">
        <v>0</v>
      </c>
      <c r="AW55" s="52">
        <v>0</v>
      </c>
      <c r="AX55" s="52">
        <v>0</v>
      </c>
      <c r="AY55" s="52">
        <v>0</v>
      </c>
      <c r="AZ55" s="52">
        <v>8489.9999999999927</v>
      </c>
      <c r="BA55" s="52">
        <v>0</v>
      </c>
      <c r="BB55" s="52">
        <v>0</v>
      </c>
      <c r="BC55" s="52">
        <v>2016.0000000000266</v>
      </c>
      <c r="BD55" s="52">
        <v>0</v>
      </c>
      <c r="BE55" s="52">
        <v>0</v>
      </c>
      <c r="BF55" s="52">
        <v>8542.1951999999965</v>
      </c>
      <c r="BG55" s="52">
        <v>0</v>
      </c>
      <c r="BH55" s="52">
        <v>0</v>
      </c>
      <c r="BI55" s="52">
        <v>3494.5343999999991</v>
      </c>
      <c r="BJ55" s="52">
        <v>0</v>
      </c>
      <c r="BK55" s="52">
        <v>0</v>
      </c>
      <c r="BL55" s="52">
        <v>8400</v>
      </c>
      <c r="BM55" s="52">
        <v>3213.3120000000017</v>
      </c>
      <c r="BN55" s="52">
        <v>0</v>
      </c>
      <c r="BO55" s="52">
        <v>5400</v>
      </c>
      <c r="BP55" s="52">
        <v>0</v>
      </c>
      <c r="BQ55" s="52">
        <v>0</v>
      </c>
      <c r="BR55" s="52">
        <v>0</v>
      </c>
      <c r="BS55" s="52">
        <v>0</v>
      </c>
      <c r="BT55" s="52">
        <v>0</v>
      </c>
      <c r="BU55" s="52">
        <v>0</v>
      </c>
      <c r="BV55" s="52">
        <v>0</v>
      </c>
      <c r="BW55" s="52">
        <v>0</v>
      </c>
    </row>
    <row r="56" spans="1:75" x14ac:dyDescent="0.3">
      <c r="A56" s="8" t="s">
        <v>89</v>
      </c>
      <c r="B56" s="8" t="s">
        <v>10</v>
      </c>
      <c r="C56" s="8" t="s">
        <v>146</v>
      </c>
      <c r="D56" s="52">
        <v>17600</v>
      </c>
      <c r="E56" s="52">
        <v>61600</v>
      </c>
      <c r="F56" s="52">
        <v>13780.799999999917</v>
      </c>
      <c r="G56" s="52">
        <v>7200</v>
      </c>
      <c r="H56" s="52">
        <v>25200.000000000004</v>
      </c>
      <c r="I56" s="52">
        <v>0.35999999996638721</v>
      </c>
      <c r="J56" s="52">
        <v>12000</v>
      </c>
      <c r="K56" s="52">
        <v>60000</v>
      </c>
      <c r="L56" s="52">
        <v>19367.999999999916</v>
      </c>
      <c r="M56" s="52">
        <v>4800.0000000000009</v>
      </c>
      <c r="N56" s="52">
        <v>20800</v>
      </c>
      <c r="O56" s="52">
        <v>1273.5999999999663</v>
      </c>
      <c r="P56" s="52">
        <v>16800</v>
      </c>
      <c r="Q56" s="52">
        <v>58800.000000000007</v>
      </c>
      <c r="R56" s="52">
        <v>23045.400000000122</v>
      </c>
      <c r="S56" s="52">
        <v>6000</v>
      </c>
      <c r="T56" s="52">
        <v>26000</v>
      </c>
      <c r="U56" s="52">
        <v>14632.000000000076</v>
      </c>
      <c r="V56" s="52">
        <v>15200.000000000002</v>
      </c>
      <c r="W56" s="52">
        <v>53200</v>
      </c>
      <c r="X56" s="52">
        <v>15465.526492146571</v>
      </c>
      <c r="Y56" s="52">
        <v>6600.0000000000009</v>
      </c>
      <c r="Z56" s="52">
        <v>30800</v>
      </c>
      <c r="AA56" s="52">
        <v>10446.013507853386</v>
      </c>
      <c r="AB56" s="52">
        <v>17600</v>
      </c>
      <c r="AC56" s="52">
        <v>61600</v>
      </c>
      <c r="AD56" s="52">
        <v>3275.2800000000357</v>
      </c>
      <c r="AE56" s="52">
        <v>5400</v>
      </c>
      <c r="AF56" s="52">
        <v>23400.000000000004</v>
      </c>
      <c r="AG56" s="52">
        <v>792.00000000000068</v>
      </c>
      <c r="AH56" s="52">
        <v>16800</v>
      </c>
      <c r="AI56" s="52">
        <v>58800.000000000007</v>
      </c>
      <c r="AJ56" s="52">
        <v>10475.639999999958</v>
      </c>
      <c r="AK56" s="52">
        <v>5400</v>
      </c>
      <c r="AL56" s="52">
        <v>25200.000000000004</v>
      </c>
      <c r="AM56" s="52">
        <v>3801.419999999976</v>
      </c>
      <c r="AN56" s="52">
        <v>22000</v>
      </c>
      <c r="AO56" s="52">
        <v>52800.000000000007</v>
      </c>
      <c r="AP56" s="52">
        <v>15166.864412902834</v>
      </c>
      <c r="AQ56" s="52">
        <v>5400</v>
      </c>
      <c r="AR56" s="52">
        <v>25200.000000000004</v>
      </c>
      <c r="AS56" s="52">
        <v>6204.6263507329777</v>
      </c>
      <c r="AT56" s="52">
        <v>17600</v>
      </c>
      <c r="AU56" s="52">
        <v>57200</v>
      </c>
      <c r="AV56" s="52">
        <v>0</v>
      </c>
      <c r="AW56" s="52">
        <v>5400</v>
      </c>
      <c r="AX56" s="52">
        <v>24234.839999999989</v>
      </c>
      <c r="AY56" s="52">
        <v>0</v>
      </c>
      <c r="AZ56" s="52">
        <v>20000</v>
      </c>
      <c r="BA56" s="52">
        <v>48000</v>
      </c>
      <c r="BB56" s="52">
        <v>0</v>
      </c>
      <c r="BC56" s="52">
        <v>6000</v>
      </c>
      <c r="BD56" s="52">
        <v>15638.999999999996</v>
      </c>
      <c r="BE56" s="52">
        <v>0</v>
      </c>
      <c r="BF56" s="52">
        <v>13200.000000000002</v>
      </c>
      <c r="BG56" s="52">
        <v>61600</v>
      </c>
      <c r="BH56" s="52">
        <v>0</v>
      </c>
      <c r="BI56" s="52">
        <v>5400</v>
      </c>
      <c r="BJ56" s="52">
        <v>23400.000000000004</v>
      </c>
      <c r="BK56" s="52">
        <v>0</v>
      </c>
      <c r="BL56" s="52">
        <v>8400</v>
      </c>
      <c r="BM56" s="52">
        <v>63000</v>
      </c>
      <c r="BN56" s="52">
        <v>19287.80945454539</v>
      </c>
      <c r="BO56" s="52">
        <v>5400</v>
      </c>
      <c r="BP56" s="52">
        <v>23400.000000000004</v>
      </c>
      <c r="BQ56" s="52">
        <v>0</v>
      </c>
      <c r="BR56" s="52">
        <v>13600.000000000002</v>
      </c>
      <c r="BS56" s="52">
        <v>47600</v>
      </c>
      <c r="BT56" s="52">
        <v>20400.000000000004</v>
      </c>
      <c r="BU56" s="52">
        <v>11200.000000000002</v>
      </c>
      <c r="BV56" s="52">
        <v>36400</v>
      </c>
      <c r="BW56" s="52">
        <v>19600</v>
      </c>
    </row>
    <row r="57" spans="1:75" x14ac:dyDescent="0.3">
      <c r="A57" s="8" t="s">
        <v>89</v>
      </c>
      <c r="B57" s="8" t="s">
        <v>10</v>
      </c>
      <c r="C57" s="8" t="s">
        <v>28</v>
      </c>
      <c r="D57" s="52">
        <v>17600</v>
      </c>
      <c r="E57" s="52">
        <v>61600</v>
      </c>
      <c r="F57" s="52">
        <v>26400.000000000004</v>
      </c>
      <c r="G57" s="52">
        <v>7200</v>
      </c>
      <c r="H57" s="52">
        <v>25200.000000000004</v>
      </c>
      <c r="I57" s="52">
        <v>10800</v>
      </c>
      <c r="J57" s="52">
        <v>12000</v>
      </c>
      <c r="K57" s="52">
        <v>60000</v>
      </c>
      <c r="L57" s="52">
        <v>24000</v>
      </c>
      <c r="M57" s="52">
        <v>4800.0000000000009</v>
      </c>
      <c r="N57" s="52">
        <v>20800</v>
      </c>
      <c r="O57" s="52">
        <v>12800</v>
      </c>
      <c r="P57" s="52">
        <v>16800</v>
      </c>
      <c r="Q57" s="52">
        <v>58800.000000000007</v>
      </c>
      <c r="R57" s="52">
        <v>25200.000000000004</v>
      </c>
      <c r="S57" s="52">
        <v>6000</v>
      </c>
      <c r="T57" s="52">
        <v>26000</v>
      </c>
      <c r="U57" s="52">
        <v>16000</v>
      </c>
      <c r="V57" s="52">
        <v>15200.000000000002</v>
      </c>
      <c r="W57" s="52">
        <v>53200</v>
      </c>
      <c r="X57" s="52">
        <v>22800</v>
      </c>
      <c r="Y57" s="52">
        <v>6600.0000000000009</v>
      </c>
      <c r="Z57" s="52">
        <v>30800</v>
      </c>
      <c r="AA57" s="52">
        <v>15400</v>
      </c>
      <c r="AB57" s="52">
        <v>17600</v>
      </c>
      <c r="AC57" s="52">
        <v>61600</v>
      </c>
      <c r="AD57" s="52">
        <v>26400.000000000004</v>
      </c>
      <c r="AE57" s="52">
        <v>5400</v>
      </c>
      <c r="AF57" s="52">
        <v>23400.000000000004</v>
      </c>
      <c r="AG57" s="52">
        <v>14400</v>
      </c>
      <c r="AH57" s="52">
        <v>16800</v>
      </c>
      <c r="AI57" s="52">
        <v>58800.000000000007</v>
      </c>
      <c r="AJ57" s="52">
        <v>25200.000000000004</v>
      </c>
      <c r="AK57" s="52">
        <v>5400</v>
      </c>
      <c r="AL57" s="52">
        <v>25200.000000000004</v>
      </c>
      <c r="AM57" s="52">
        <v>12600.000000000002</v>
      </c>
      <c r="AN57" s="52">
        <v>22000</v>
      </c>
      <c r="AO57" s="52">
        <v>52800.000000000007</v>
      </c>
      <c r="AP57" s="52">
        <v>30800</v>
      </c>
      <c r="AQ57" s="52">
        <v>5400</v>
      </c>
      <c r="AR57" s="52">
        <v>25200.000000000004</v>
      </c>
      <c r="AS57" s="52">
        <v>12600.000000000002</v>
      </c>
      <c r="AT57" s="52">
        <v>17600</v>
      </c>
      <c r="AU57" s="52">
        <v>57200</v>
      </c>
      <c r="AV57" s="52">
        <v>30800</v>
      </c>
      <c r="AW57" s="52">
        <v>5400</v>
      </c>
      <c r="AX57" s="52">
        <v>25200.000000000004</v>
      </c>
      <c r="AY57" s="52">
        <v>12600.000000000002</v>
      </c>
      <c r="AZ57" s="52">
        <v>20000</v>
      </c>
      <c r="BA57" s="52">
        <v>48000</v>
      </c>
      <c r="BB57" s="52">
        <v>28000</v>
      </c>
      <c r="BC57" s="52">
        <v>6000</v>
      </c>
      <c r="BD57" s="52">
        <v>26000</v>
      </c>
      <c r="BE57" s="52">
        <v>16000</v>
      </c>
      <c r="BF57" s="52">
        <v>13200.000000000002</v>
      </c>
      <c r="BG57" s="52">
        <v>61600</v>
      </c>
      <c r="BH57" s="52">
        <v>30800</v>
      </c>
      <c r="BI57" s="52">
        <v>5400</v>
      </c>
      <c r="BJ57" s="52">
        <v>23400.000000000004</v>
      </c>
      <c r="BK57" s="52">
        <v>14400</v>
      </c>
      <c r="BL57" s="52">
        <v>8400</v>
      </c>
      <c r="BM57" s="52">
        <v>63000</v>
      </c>
      <c r="BN57" s="52">
        <v>29400.000000000004</v>
      </c>
      <c r="BO57" s="52">
        <v>5400</v>
      </c>
      <c r="BP57" s="52">
        <v>23400.000000000004</v>
      </c>
      <c r="BQ57" s="52">
        <v>14400</v>
      </c>
      <c r="BR57" s="52">
        <v>13600.000000000002</v>
      </c>
      <c r="BS57" s="52">
        <v>47600</v>
      </c>
      <c r="BT57" s="52">
        <v>20400.000000000004</v>
      </c>
      <c r="BU57" s="52">
        <v>11200.000000000002</v>
      </c>
      <c r="BV57" s="52">
        <v>36400</v>
      </c>
      <c r="BW57" s="52">
        <v>19600</v>
      </c>
    </row>
    <row r="58" spans="1:75" x14ac:dyDescent="0.3">
      <c r="A58" s="8" t="s">
        <v>102</v>
      </c>
      <c r="B58" s="8" t="s">
        <v>8</v>
      </c>
      <c r="C58" s="8" t="s">
        <v>60</v>
      </c>
      <c r="D58" s="52">
        <v>67900.800000000003</v>
      </c>
      <c r="E58" s="52">
        <v>237652.80000000002</v>
      </c>
      <c r="F58" s="52">
        <v>101851.20000000001</v>
      </c>
      <c r="G58" s="52">
        <v>27777.600000000002</v>
      </c>
      <c r="H58" s="52">
        <v>97221.6</v>
      </c>
      <c r="I58" s="52">
        <v>41666.400000000001</v>
      </c>
      <c r="J58" s="52">
        <v>46296.000000000007</v>
      </c>
      <c r="K58" s="52">
        <v>231480.00000000003</v>
      </c>
      <c r="L58" s="52">
        <v>92592.000000000015</v>
      </c>
      <c r="M58" s="52">
        <v>18518.400000000001</v>
      </c>
      <c r="N58" s="52">
        <v>80246.400000000009</v>
      </c>
      <c r="O58" s="52">
        <v>49382.400000000001</v>
      </c>
      <c r="P58" s="52">
        <v>64814.400000000009</v>
      </c>
      <c r="Q58" s="52">
        <v>226850.4</v>
      </c>
      <c r="R58" s="52">
        <v>97221.6</v>
      </c>
      <c r="S58" s="52">
        <v>23148.000000000004</v>
      </c>
      <c r="T58" s="52">
        <v>100308</v>
      </c>
      <c r="U58" s="52">
        <v>61728.000000000007</v>
      </c>
      <c r="V58" s="52">
        <v>58641.600000000006</v>
      </c>
      <c r="W58" s="52">
        <v>205245.60000000003</v>
      </c>
      <c r="X58" s="52">
        <v>87962.400000000009</v>
      </c>
      <c r="Y58" s="52">
        <v>25462.800000000003</v>
      </c>
      <c r="Z58" s="52">
        <v>118826.40000000001</v>
      </c>
      <c r="AA58" s="52">
        <v>59413.200000000004</v>
      </c>
      <c r="AB58" s="52">
        <v>67900.800000000003</v>
      </c>
      <c r="AC58" s="52">
        <v>237652.80000000002</v>
      </c>
      <c r="AD58" s="52">
        <v>101851.20000000001</v>
      </c>
      <c r="AE58" s="52">
        <v>20833.2</v>
      </c>
      <c r="AF58" s="52">
        <v>90277.200000000012</v>
      </c>
      <c r="AG58" s="52">
        <v>55555.200000000004</v>
      </c>
      <c r="AH58" s="52">
        <v>64814.400000000009</v>
      </c>
      <c r="AI58" s="52">
        <v>226850.4</v>
      </c>
      <c r="AJ58" s="52">
        <v>97221.6</v>
      </c>
      <c r="AK58" s="52">
        <v>20833.2</v>
      </c>
      <c r="AL58" s="52">
        <v>97221.6</v>
      </c>
      <c r="AM58" s="52">
        <v>48610.8</v>
      </c>
      <c r="AN58" s="52">
        <v>84876</v>
      </c>
      <c r="AO58" s="52">
        <v>203702.40000000002</v>
      </c>
      <c r="AP58" s="52">
        <v>118826.40000000001</v>
      </c>
      <c r="AQ58" s="52">
        <v>20833.2</v>
      </c>
      <c r="AR58" s="52">
        <v>97221.6</v>
      </c>
      <c r="AS58" s="52">
        <v>48610.8</v>
      </c>
      <c r="AT58" s="52">
        <v>67900.800000000003</v>
      </c>
      <c r="AU58" s="52">
        <v>220677.6</v>
      </c>
      <c r="AV58" s="52">
        <v>118826.40000000001</v>
      </c>
      <c r="AW58" s="52">
        <v>20833.2</v>
      </c>
      <c r="AX58" s="52">
        <v>97221.6</v>
      </c>
      <c r="AY58" s="52">
        <v>48610.8</v>
      </c>
      <c r="AZ58" s="52">
        <v>77160.000000000015</v>
      </c>
      <c r="BA58" s="52">
        <v>185184.00000000003</v>
      </c>
      <c r="BB58" s="52">
        <v>108024.00000000001</v>
      </c>
      <c r="BC58" s="52">
        <v>23148.000000000004</v>
      </c>
      <c r="BD58" s="52">
        <v>100308</v>
      </c>
      <c r="BE58" s="52">
        <v>61728.000000000007</v>
      </c>
      <c r="BF58" s="52">
        <v>50925.600000000006</v>
      </c>
      <c r="BG58" s="52">
        <v>237652.80000000002</v>
      </c>
      <c r="BH58" s="52">
        <v>118826.40000000001</v>
      </c>
      <c r="BI58" s="52">
        <v>20833.2</v>
      </c>
      <c r="BJ58" s="52">
        <v>90277.200000000012</v>
      </c>
      <c r="BK58" s="52">
        <v>55555.200000000004</v>
      </c>
      <c r="BL58" s="52">
        <v>32407.200000000004</v>
      </c>
      <c r="BM58" s="52">
        <v>243054.00000000003</v>
      </c>
      <c r="BN58" s="52">
        <v>113425.2</v>
      </c>
      <c r="BO58" s="52">
        <v>20833.2</v>
      </c>
      <c r="BP58" s="52">
        <v>90277.200000000012</v>
      </c>
      <c r="BQ58" s="52">
        <v>55555.200000000004</v>
      </c>
      <c r="BR58" s="52">
        <v>52468.800000000003</v>
      </c>
      <c r="BS58" s="52">
        <v>183640.80000000002</v>
      </c>
      <c r="BT58" s="52">
        <v>78703.200000000012</v>
      </c>
      <c r="BU58" s="52">
        <v>43209.599999999999</v>
      </c>
      <c r="BV58" s="52">
        <v>140431.20000000001</v>
      </c>
      <c r="BW58" s="52">
        <v>75616.800000000017</v>
      </c>
    </row>
    <row r="59" spans="1:75" x14ac:dyDescent="0.3">
      <c r="A59" s="8" t="s">
        <v>102</v>
      </c>
      <c r="B59" s="8" t="s">
        <v>8</v>
      </c>
      <c r="C59" s="8" t="s">
        <v>150</v>
      </c>
      <c r="D59" s="52">
        <v>22587.311999999849</v>
      </c>
      <c r="E59" s="52">
        <v>72441.599999999991</v>
      </c>
      <c r="F59" s="52">
        <v>31046.399999999994</v>
      </c>
      <c r="G59" s="52">
        <v>8467.1999999999989</v>
      </c>
      <c r="H59" s="52">
        <v>29635.199999999993</v>
      </c>
      <c r="I59" s="52">
        <v>12700.799999999997</v>
      </c>
      <c r="J59" s="52">
        <v>14111.999999999998</v>
      </c>
      <c r="K59" s="52">
        <v>70559.999999999985</v>
      </c>
      <c r="L59" s="52">
        <v>28223.999999999996</v>
      </c>
      <c r="M59" s="52">
        <v>5644.7999999999993</v>
      </c>
      <c r="N59" s="52">
        <v>24460.799999999967</v>
      </c>
      <c r="O59" s="52">
        <v>15052.799999999979</v>
      </c>
      <c r="P59" s="52">
        <v>27523.943999999956</v>
      </c>
      <c r="Q59" s="52">
        <v>69148.799999999988</v>
      </c>
      <c r="R59" s="52">
        <v>29635.199999999993</v>
      </c>
      <c r="S59" s="52">
        <v>7055.9999999999991</v>
      </c>
      <c r="T59" s="52">
        <v>30575.999999999996</v>
      </c>
      <c r="U59" s="52">
        <v>18815.999999999996</v>
      </c>
      <c r="V59" s="52">
        <v>19030.475999999988</v>
      </c>
      <c r="W59" s="52">
        <v>62563.19999999999</v>
      </c>
      <c r="X59" s="52">
        <v>26812.799999999996</v>
      </c>
      <c r="Y59" s="52">
        <v>7761.5999999999949</v>
      </c>
      <c r="Z59" s="52">
        <v>36220.799999999974</v>
      </c>
      <c r="AA59" s="52">
        <v>18110.399999999987</v>
      </c>
      <c r="AB59" s="52">
        <v>35628.933843479281</v>
      </c>
      <c r="AC59" s="52">
        <v>72441.599999999991</v>
      </c>
      <c r="AD59" s="52">
        <v>31046.399999999994</v>
      </c>
      <c r="AE59" s="52">
        <v>10931.604701976597</v>
      </c>
      <c r="AF59" s="52">
        <v>27518.399999999998</v>
      </c>
      <c r="AG59" s="52">
        <v>16934.399999999998</v>
      </c>
      <c r="AH59" s="52">
        <v>19756.8</v>
      </c>
      <c r="AI59" s="52">
        <v>69148.799999999988</v>
      </c>
      <c r="AJ59" s="52">
        <v>29635.199999999993</v>
      </c>
      <c r="AK59" s="52">
        <v>0</v>
      </c>
      <c r="AL59" s="52">
        <v>0</v>
      </c>
      <c r="AM59" s="52">
        <v>0</v>
      </c>
      <c r="AN59" s="52">
        <v>25871.999999999996</v>
      </c>
      <c r="AO59" s="52">
        <v>62092.799999999988</v>
      </c>
      <c r="AP59" s="52">
        <v>36220.799999999996</v>
      </c>
      <c r="AQ59" s="52">
        <v>0</v>
      </c>
      <c r="AR59" s="52">
        <v>0</v>
      </c>
      <c r="AS59" s="52">
        <v>0</v>
      </c>
      <c r="AT59" s="52">
        <v>30914.663999999917</v>
      </c>
      <c r="AU59" s="52">
        <v>67267.199999999983</v>
      </c>
      <c r="AV59" s="52">
        <v>36220.799999999996</v>
      </c>
      <c r="AW59" s="52">
        <v>0</v>
      </c>
      <c r="AX59" s="52">
        <v>0</v>
      </c>
      <c r="AY59" s="52">
        <v>0</v>
      </c>
      <c r="AZ59" s="52">
        <v>23519.999999999978</v>
      </c>
      <c r="BA59" s="52">
        <v>56447.999999999942</v>
      </c>
      <c r="BB59" s="52">
        <v>32927.999999999971</v>
      </c>
      <c r="BC59" s="52">
        <v>0</v>
      </c>
      <c r="BD59" s="52">
        <v>0</v>
      </c>
      <c r="BE59" s="52">
        <v>0</v>
      </c>
      <c r="BF59" s="52">
        <v>15523.199999999997</v>
      </c>
      <c r="BG59" s="52">
        <v>72441.599999999991</v>
      </c>
      <c r="BH59" s="52">
        <v>36220.799999999996</v>
      </c>
      <c r="BI59" s="52">
        <v>6350.3999999999796</v>
      </c>
      <c r="BJ59" s="52">
        <v>27518.399999999911</v>
      </c>
      <c r="BK59" s="52">
        <v>16934.399999999947</v>
      </c>
      <c r="BL59" s="52">
        <v>17176.11000000003</v>
      </c>
      <c r="BM59" s="52">
        <v>75154.767454544795</v>
      </c>
      <c r="BN59" s="52">
        <v>34574.399999999994</v>
      </c>
      <c r="BO59" s="52">
        <v>0</v>
      </c>
      <c r="BP59" s="52">
        <v>0</v>
      </c>
      <c r="BQ59" s="52">
        <v>0</v>
      </c>
      <c r="BR59" s="52">
        <v>21311.404000000053</v>
      </c>
      <c r="BS59" s="52">
        <v>55977.599999999991</v>
      </c>
      <c r="BT59" s="52">
        <v>23990.399999999998</v>
      </c>
      <c r="BU59" s="52">
        <v>17550.568000000039</v>
      </c>
      <c r="BV59" s="52">
        <v>42806.399999999929</v>
      </c>
      <c r="BW59" s="52">
        <v>23049.599999999962</v>
      </c>
    </row>
    <row r="60" spans="1:75" x14ac:dyDescent="0.3">
      <c r="A60" s="8" t="s">
        <v>102</v>
      </c>
      <c r="B60" s="8" t="s">
        <v>8</v>
      </c>
      <c r="C60" s="8" t="s">
        <v>61</v>
      </c>
      <c r="D60" s="52">
        <v>17872.800000000003</v>
      </c>
      <c r="E60" s="52">
        <v>25021.919999999998</v>
      </c>
      <c r="F60" s="52">
        <v>10723.68</v>
      </c>
      <c r="G60" s="52">
        <v>0</v>
      </c>
      <c r="H60" s="52">
        <v>0</v>
      </c>
      <c r="I60" s="52">
        <v>0</v>
      </c>
      <c r="J60" s="52">
        <v>0</v>
      </c>
      <c r="K60" s="52">
        <v>0</v>
      </c>
      <c r="L60" s="52">
        <v>0</v>
      </c>
      <c r="M60" s="52">
        <v>0</v>
      </c>
      <c r="N60" s="52">
        <v>0</v>
      </c>
      <c r="O60" s="52">
        <v>0</v>
      </c>
      <c r="P60" s="52">
        <v>0</v>
      </c>
      <c r="Q60" s="52">
        <v>0</v>
      </c>
      <c r="R60" s="52">
        <v>0</v>
      </c>
      <c r="S60" s="52">
        <v>0</v>
      </c>
      <c r="T60" s="52">
        <v>0</v>
      </c>
      <c r="U60" s="52">
        <v>0</v>
      </c>
      <c r="V60" s="52">
        <v>0</v>
      </c>
      <c r="W60" s="52">
        <v>0</v>
      </c>
      <c r="X60" s="52">
        <v>0</v>
      </c>
      <c r="Y60" s="52">
        <v>0</v>
      </c>
      <c r="Z60" s="52">
        <v>0</v>
      </c>
      <c r="AA60" s="52">
        <v>0</v>
      </c>
      <c r="AB60" s="52">
        <v>0</v>
      </c>
      <c r="AC60" s="52">
        <v>0</v>
      </c>
      <c r="AD60" s="52">
        <v>0</v>
      </c>
      <c r="AE60" s="52">
        <v>0</v>
      </c>
      <c r="AF60" s="52">
        <v>0</v>
      </c>
      <c r="AG60" s="52">
        <v>0</v>
      </c>
      <c r="AH60" s="52">
        <v>0</v>
      </c>
      <c r="AI60" s="52">
        <v>0</v>
      </c>
      <c r="AJ60" s="52">
        <v>0</v>
      </c>
      <c r="AK60" s="52">
        <v>0</v>
      </c>
      <c r="AL60" s="52">
        <v>0</v>
      </c>
      <c r="AM60" s="52">
        <v>0</v>
      </c>
      <c r="AN60" s="52">
        <v>0</v>
      </c>
      <c r="AO60" s="52">
        <v>0</v>
      </c>
      <c r="AP60" s="52">
        <v>0</v>
      </c>
      <c r="AQ60" s="52">
        <v>0</v>
      </c>
      <c r="AR60" s="52">
        <v>0</v>
      </c>
      <c r="AS60" s="52">
        <v>0</v>
      </c>
      <c r="AT60" s="52">
        <v>0</v>
      </c>
      <c r="AU60" s="52">
        <v>0</v>
      </c>
      <c r="AV60" s="52">
        <v>0</v>
      </c>
      <c r="AW60" s="52">
        <v>0</v>
      </c>
      <c r="AX60" s="52">
        <v>0</v>
      </c>
      <c r="AY60" s="52">
        <v>0</v>
      </c>
      <c r="AZ60" s="52">
        <v>0</v>
      </c>
      <c r="BA60" s="52">
        <v>0</v>
      </c>
      <c r="BB60" s="52">
        <v>0</v>
      </c>
      <c r="BC60" s="52">
        <v>0</v>
      </c>
      <c r="BD60" s="52">
        <v>0</v>
      </c>
      <c r="BE60" s="52">
        <v>0</v>
      </c>
      <c r="BF60" s="52">
        <v>0</v>
      </c>
      <c r="BG60" s="52">
        <v>0</v>
      </c>
      <c r="BH60" s="52">
        <v>0</v>
      </c>
      <c r="BI60" s="52">
        <v>0</v>
      </c>
      <c r="BJ60" s="52">
        <v>0</v>
      </c>
      <c r="BK60" s="52">
        <v>0</v>
      </c>
      <c r="BL60" s="52">
        <v>0</v>
      </c>
      <c r="BM60" s="52">
        <v>0</v>
      </c>
      <c r="BN60" s="52">
        <v>0</v>
      </c>
      <c r="BO60" s="52">
        <v>0</v>
      </c>
      <c r="BP60" s="52">
        <v>0</v>
      </c>
      <c r="BQ60" s="52">
        <v>0</v>
      </c>
      <c r="BR60" s="52">
        <v>13810.800000000001</v>
      </c>
      <c r="BS60" s="52">
        <v>19335.119999999868</v>
      </c>
      <c r="BT60" s="52">
        <v>8286.479999999945</v>
      </c>
      <c r="BU60" s="52">
        <v>0</v>
      </c>
      <c r="BV60" s="52">
        <v>0</v>
      </c>
      <c r="BW60" s="52">
        <v>0</v>
      </c>
    </row>
    <row r="61" spans="1:75" x14ac:dyDescent="0.3">
      <c r="A61" s="8" t="s">
        <v>102</v>
      </c>
      <c r="B61" s="8" t="s">
        <v>8</v>
      </c>
      <c r="C61" s="8" t="s">
        <v>152</v>
      </c>
      <c r="D61" s="52">
        <v>0</v>
      </c>
      <c r="E61" s="52">
        <v>0</v>
      </c>
      <c r="F61" s="52">
        <v>0</v>
      </c>
      <c r="G61" s="52">
        <v>0</v>
      </c>
      <c r="H61" s="52">
        <v>0</v>
      </c>
      <c r="I61" s="52">
        <v>0</v>
      </c>
      <c r="J61" s="52">
        <v>0</v>
      </c>
      <c r="K61" s="52">
        <v>0</v>
      </c>
      <c r="L61" s="52">
        <v>0</v>
      </c>
      <c r="M61" s="52">
        <v>0</v>
      </c>
      <c r="N61" s="52">
        <v>0</v>
      </c>
      <c r="O61" s="52">
        <v>0</v>
      </c>
      <c r="P61" s="52">
        <v>0</v>
      </c>
      <c r="Q61" s="52">
        <v>0</v>
      </c>
      <c r="R61" s="52">
        <v>0</v>
      </c>
      <c r="S61" s="52">
        <v>0</v>
      </c>
      <c r="T61" s="52">
        <v>0</v>
      </c>
      <c r="U61" s="52">
        <v>0</v>
      </c>
      <c r="V61" s="52">
        <v>0</v>
      </c>
      <c r="W61" s="52">
        <v>0</v>
      </c>
      <c r="X61" s="52">
        <v>0</v>
      </c>
      <c r="Y61" s="52">
        <v>0</v>
      </c>
      <c r="Z61" s="52">
        <v>0</v>
      </c>
      <c r="AA61" s="52">
        <v>0</v>
      </c>
      <c r="AB61" s="52">
        <v>0</v>
      </c>
      <c r="AC61" s="52">
        <v>0</v>
      </c>
      <c r="AD61" s="52">
        <v>0</v>
      </c>
      <c r="AE61" s="52">
        <v>0</v>
      </c>
      <c r="AF61" s="52">
        <v>0</v>
      </c>
      <c r="AG61" s="52">
        <v>0</v>
      </c>
      <c r="AH61" s="52">
        <v>0</v>
      </c>
      <c r="AI61" s="52">
        <v>0</v>
      </c>
      <c r="AJ61" s="52">
        <v>0</v>
      </c>
      <c r="AK61" s="52">
        <v>0</v>
      </c>
      <c r="AL61" s="52">
        <v>0</v>
      </c>
      <c r="AM61" s="52">
        <v>0</v>
      </c>
      <c r="AN61" s="52">
        <v>0</v>
      </c>
      <c r="AO61" s="52">
        <v>0</v>
      </c>
      <c r="AP61" s="52">
        <v>0</v>
      </c>
      <c r="AQ61" s="52">
        <v>0</v>
      </c>
      <c r="AR61" s="52">
        <v>0</v>
      </c>
      <c r="AS61" s="52">
        <v>0</v>
      </c>
      <c r="AT61" s="52">
        <v>0</v>
      </c>
      <c r="AU61" s="52">
        <v>0</v>
      </c>
      <c r="AV61" s="52">
        <v>0</v>
      </c>
      <c r="AW61" s="52">
        <v>0</v>
      </c>
      <c r="AX61" s="52">
        <v>0</v>
      </c>
      <c r="AY61" s="52">
        <v>0</v>
      </c>
      <c r="AZ61" s="52">
        <v>0</v>
      </c>
      <c r="BA61" s="52">
        <v>0</v>
      </c>
      <c r="BB61" s="52">
        <v>0</v>
      </c>
      <c r="BC61" s="52">
        <v>0</v>
      </c>
      <c r="BD61" s="52">
        <v>0</v>
      </c>
      <c r="BE61" s="52">
        <v>0</v>
      </c>
      <c r="BF61" s="52">
        <v>9926.4000000000015</v>
      </c>
      <c r="BG61" s="52">
        <v>46323.199999999997</v>
      </c>
      <c r="BH61" s="52">
        <v>9264.6399999999976</v>
      </c>
      <c r="BI61" s="52">
        <v>0</v>
      </c>
      <c r="BJ61" s="52">
        <v>0</v>
      </c>
      <c r="BK61" s="52">
        <v>0</v>
      </c>
      <c r="BL61" s="52">
        <v>0</v>
      </c>
      <c r="BM61" s="52">
        <v>0</v>
      </c>
      <c r="BN61" s="52">
        <v>0</v>
      </c>
      <c r="BO61" s="52">
        <v>0</v>
      </c>
      <c r="BP61" s="52">
        <v>0</v>
      </c>
      <c r="BQ61" s="52">
        <v>0</v>
      </c>
      <c r="BR61" s="52">
        <v>6686.779999999967</v>
      </c>
      <c r="BS61" s="52">
        <v>14318.079999999924</v>
      </c>
      <c r="BT61" s="52">
        <v>6136.3199999999679</v>
      </c>
      <c r="BU61" s="52">
        <v>0</v>
      </c>
      <c r="BV61" s="52">
        <v>0</v>
      </c>
      <c r="BW61" s="52">
        <v>0</v>
      </c>
    </row>
    <row r="62" spans="1:75" x14ac:dyDescent="0.3">
      <c r="A62" s="8" t="s">
        <v>102</v>
      </c>
      <c r="B62" s="8" t="s">
        <v>8</v>
      </c>
      <c r="C62" s="8" t="s">
        <v>151</v>
      </c>
      <c r="D62" s="52">
        <v>17107.2</v>
      </c>
      <c r="E62" s="52">
        <v>59875.200000000004</v>
      </c>
      <c r="F62" s="52">
        <v>10264.320000000002</v>
      </c>
      <c r="G62" s="52">
        <v>6998.4000000000005</v>
      </c>
      <c r="H62" s="52">
        <v>9797.760000000002</v>
      </c>
      <c r="I62" s="52">
        <v>4199.04</v>
      </c>
      <c r="J62" s="52">
        <v>5893.3800000000401</v>
      </c>
      <c r="K62" s="52">
        <v>28960.210000000297</v>
      </c>
      <c r="L62" s="52">
        <v>9331.1999999999753</v>
      </c>
      <c r="M62" s="52">
        <v>0</v>
      </c>
      <c r="N62" s="52">
        <v>0</v>
      </c>
      <c r="O62" s="52">
        <v>0</v>
      </c>
      <c r="P62" s="52">
        <v>0</v>
      </c>
      <c r="Q62" s="52">
        <v>0</v>
      </c>
      <c r="R62" s="52">
        <v>0</v>
      </c>
      <c r="S62" s="52">
        <v>0</v>
      </c>
      <c r="T62" s="52">
        <v>0</v>
      </c>
      <c r="U62" s="52">
        <v>0</v>
      </c>
      <c r="V62" s="52">
        <v>14774.400000000001</v>
      </c>
      <c r="W62" s="52">
        <v>38883.49545151597</v>
      </c>
      <c r="X62" s="52">
        <v>8864.6400000000012</v>
      </c>
      <c r="Y62" s="52">
        <v>6415.2000000000007</v>
      </c>
      <c r="Z62" s="52">
        <v>22511.497366667139</v>
      </c>
      <c r="AA62" s="52">
        <v>5987.5199999999995</v>
      </c>
      <c r="AB62" s="52">
        <v>12652.111999999952</v>
      </c>
      <c r="AC62" s="52">
        <v>55916.784000000014</v>
      </c>
      <c r="AD62" s="52">
        <v>10264.320000000002</v>
      </c>
      <c r="AE62" s="52">
        <v>0</v>
      </c>
      <c r="AF62" s="52">
        <v>0</v>
      </c>
      <c r="AG62" s="52">
        <v>0</v>
      </c>
      <c r="AH62" s="52">
        <v>16329.600000000002</v>
      </c>
      <c r="AI62" s="52">
        <v>57153.600000000006</v>
      </c>
      <c r="AJ62" s="52">
        <v>9797.760000000002</v>
      </c>
      <c r="AK62" s="52">
        <v>5248.8</v>
      </c>
      <c r="AL62" s="52">
        <v>24494.400000000001</v>
      </c>
      <c r="AM62" s="52">
        <v>4898.880000000001</v>
      </c>
      <c r="AN62" s="52">
        <v>21384</v>
      </c>
      <c r="AO62" s="52">
        <v>51321.600000000006</v>
      </c>
      <c r="AP62" s="52">
        <v>11975.04</v>
      </c>
      <c r="AQ62" s="52">
        <v>0</v>
      </c>
      <c r="AR62" s="52">
        <v>0</v>
      </c>
      <c r="AS62" s="52">
        <v>0</v>
      </c>
      <c r="AT62" s="52">
        <v>17107.2</v>
      </c>
      <c r="AU62" s="52">
        <v>55598.400000000009</v>
      </c>
      <c r="AV62" s="52">
        <v>11975.04</v>
      </c>
      <c r="AW62" s="52">
        <v>0</v>
      </c>
      <c r="AX62" s="52">
        <v>0</v>
      </c>
      <c r="AY62" s="52">
        <v>0</v>
      </c>
      <c r="AZ62" s="52">
        <v>0</v>
      </c>
      <c r="BA62" s="52">
        <v>0</v>
      </c>
      <c r="BB62" s="52">
        <v>0</v>
      </c>
      <c r="BC62" s="52">
        <v>0</v>
      </c>
      <c r="BD62" s="52">
        <v>0</v>
      </c>
      <c r="BE62" s="52">
        <v>0</v>
      </c>
      <c r="BF62" s="52">
        <v>12830.400000000001</v>
      </c>
      <c r="BG62" s="52">
        <v>59875.200000000004</v>
      </c>
      <c r="BH62" s="52">
        <v>11975.04</v>
      </c>
      <c r="BI62" s="52">
        <v>5248.8</v>
      </c>
      <c r="BJ62" s="52">
        <v>22744.800000000003</v>
      </c>
      <c r="BK62" s="52">
        <v>5598.7200000000012</v>
      </c>
      <c r="BL62" s="52">
        <v>0</v>
      </c>
      <c r="BM62" s="52">
        <v>0</v>
      </c>
      <c r="BN62" s="52">
        <v>0</v>
      </c>
      <c r="BO62" s="52">
        <v>0</v>
      </c>
      <c r="BP62" s="52">
        <v>0</v>
      </c>
      <c r="BQ62" s="52">
        <v>0</v>
      </c>
      <c r="BR62" s="52">
        <v>13219.2</v>
      </c>
      <c r="BS62" s="52">
        <v>31324.422000000366</v>
      </c>
      <c r="BT62" s="52">
        <v>7931.5199999999695</v>
      </c>
      <c r="BU62" s="52">
        <v>10886.400000000001</v>
      </c>
      <c r="BV62" s="52">
        <v>14152.320000000002</v>
      </c>
      <c r="BW62" s="52">
        <v>7620.4800000000005</v>
      </c>
    </row>
    <row r="63" spans="1:75" x14ac:dyDescent="0.3">
      <c r="A63" s="8" t="s">
        <v>102</v>
      </c>
      <c r="B63" s="8" t="s">
        <v>8</v>
      </c>
      <c r="C63" s="8" t="s">
        <v>62</v>
      </c>
      <c r="D63" s="52">
        <v>44000</v>
      </c>
      <c r="E63" s="52">
        <v>154000</v>
      </c>
      <c r="F63" s="52">
        <v>66000</v>
      </c>
      <c r="G63" s="52">
        <v>18000</v>
      </c>
      <c r="H63" s="52">
        <v>63000</v>
      </c>
      <c r="I63" s="52">
        <v>27000</v>
      </c>
      <c r="J63" s="52">
        <v>30000</v>
      </c>
      <c r="K63" s="52">
        <v>150000</v>
      </c>
      <c r="L63" s="52">
        <v>60000</v>
      </c>
      <c r="M63" s="52">
        <v>12000</v>
      </c>
      <c r="N63" s="52">
        <v>52000</v>
      </c>
      <c r="O63" s="52">
        <v>32000</v>
      </c>
      <c r="P63" s="52">
        <v>42000</v>
      </c>
      <c r="Q63" s="52">
        <v>147000</v>
      </c>
      <c r="R63" s="52">
        <v>63000</v>
      </c>
      <c r="S63" s="52">
        <v>15000</v>
      </c>
      <c r="T63" s="52">
        <v>65000</v>
      </c>
      <c r="U63" s="52">
        <v>40000</v>
      </c>
      <c r="V63" s="52">
        <v>38000</v>
      </c>
      <c r="W63" s="52">
        <v>133000</v>
      </c>
      <c r="X63" s="52">
        <v>57000</v>
      </c>
      <c r="Y63" s="52">
        <v>16500</v>
      </c>
      <c r="Z63" s="52">
        <v>77000</v>
      </c>
      <c r="AA63" s="52">
        <v>38500</v>
      </c>
      <c r="AB63" s="52">
        <v>44000</v>
      </c>
      <c r="AC63" s="52">
        <v>154000</v>
      </c>
      <c r="AD63" s="52">
        <v>66000</v>
      </c>
      <c r="AE63" s="52">
        <v>13500</v>
      </c>
      <c r="AF63" s="52">
        <v>58500</v>
      </c>
      <c r="AG63" s="52">
        <v>36000</v>
      </c>
      <c r="AH63" s="52">
        <v>42000</v>
      </c>
      <c r="AI63" s="52">
        <v>147000</v>
      </c>
      <c r="AJ63" s="52">
        <v>63000</v>
      </c>
      <c r="AK63" s="52">
        <v>13500</v>
      </c>
      <c r="AL63" s="52">
        <v>63000</v>
      </c>
      <c r="AM63" s="52">
        <v>31500</v>
      </c>
      <c r="AN63" s="52">
        <v>55000</v>
      </c>
      <c r="AO63" s="52">
        <v>132000</v>
      </c>
      <c r="AP63" s="52">
        <v>77000</v>
      </c>
      <c r="AQ63" s="52">
        <v>13500</v>
      </c>
      <c r="AR63" s="52">
        <v>63000</v>
      </c>
      <c r="AS63" s="52">
        <v>31500</v>
      </c>
      <c r="AT63" s="52">
        <v>44000</v>
      </c>
      <c r="AU63" s="52">
        <v>143000</v>
      </c>
      <c r="AV63" s="52">
        <v>77000</v>
      </c>
      <c r="AW63" s="52">
        <v>13500</v>
      </c>
      <c r="AX63" s="52">
        <v>63000</v>
      </c>
      <c r="AY63" s="52">
        <v>31500</v>
      </c>
      <c r="AZ63" s="52">
        <v>50000</v>
      </c>
      <c r="BA63" s="52">
        <v>120000</v>
      </c>
      <c r="BB63" s="52">
        <v>70000</v>
      </c>
      <c r="BC63" s="52">
        <v>15000</v>
      </c>
      <c r="BD63" s="52">
        <v>65000</v>
      </c>
      <c r="BE63" s="52">
        <v>40000</v>
      </c>
      <c r="BF63" s="52">
        <v>33000</v>
      </c>
      <c r="BG63" s="52">
        <v>154000</v>
      </c>
      <c r="BH63" s="52">
        <v>73077.944353982413</v>
      </c>
      <c r="BI63" s="52">
        <v>13500</v>
      </c>
      <c r="BJ63" s="52">
        <v>58500</v>
      </c>
      <c r="BK63" s="52">
        <v>34166.311646017755</v>
      </c>
      <c r="BL63" s="52">
        <v>21000</v>
      </c>
      <c r="BM63" s="52">
        <v>157500</v>
      </c>
      <c r="BN63" s="52">
        <v>73500</v>
      </c>
      <c r="BO63" s="52">
        <v>13500</v>
      </c>
      <c r="BP63" s="52">
        <v>58500</v>
      </c>
      <c r="BQ63" s="52">
        <v>36000</v>
      </c>
      <c r="BR63" s="52">
        <v>34000</v>
      </c>
      <c r="BS63" s="52">
        <v>119000</v>
      </c>
      <c r="BT63" s="52">
        <v>51000</v>
      </c>
      <c r="BU63" s="52">
        <v>28000</v>
      </c>
      <c r="BV63" s="52">
        <v>91000</v>
      </c>
      <c r="BW63" s="52">
        <v>47920.434000000088</v>
      </c>
    </row>
    <row r="64" spans="1:75" x14ac:dyDescent="0.3">
      <c r="A64" s="8" t="s">
        <v>102</v>
      </c>
      <c r="B64" s="8" t="s">
        <v>8</v>
      </c>
      <c r="C64" s="8" t="s">
        <v>63</v>
      </c>
      <c r="D64" s="52">
        <v>44000</v>
      </c>
      <c r="E64" s="52">
        <v>154000</v>
      </c>
      <c r="F64" s="52">
        <v>30924.563999999904</v>
      </c>
      <c r="G64" s="52">
        <v>18000</v>
      </c>
      <c r="H64" s="52">
        <v>63000</v>
      </c>
      <c r="I64" s="52">
        <v>6814.8360000000039</v>
      </c>
      <c r="J64" s="52">
        <v>30000</v>
      </c>
      <c r="K64" s="52">
        <v>150000</v>
      </c>
      <c r="L64" s="52">
        <v>25499.640000000032</v>
      </c>
      <c r="M64" s="52">
        <v>12000</v>
      </c>
      <c r="N64" s="52">
        <v>52000</v>
      </c>
      <c r="O64" s="52">
        <v>13397.88799999997</v>
      </c>
      <c r="P64" s="52">
        <v>42000</v>
      </c>
      <c r="Q64" s="52">
        <v>147000</v>
      </c>
      <c r="R64" s="52">
        <v>28567.72800000001</v>
      </c>
      <c r="S64" s="52">
        <v>15000</v>
      </c>
      <c r="T64" s="52">
        <v>65000</v>
      </c>
      <c r="U64" s="52">
        <v>10337.599999999991</v>
      </c>
      <c r="V64" s="52">
        <v>38000</v>
      </c>
      <c r="W64" s="52">
        <v>133000</v>
      </c>
      <c r="X64" s="52">
        <v>11650.328000000134</v>
      </c>
      <c r="Y64" s="52">
        <v>0</v>
      </c>
      <c r="Z64" s="52">
        <v>0</v>
      </c>
      <c r="AA64" s="52">
        <v>0</v>
      </c>
      <c r="AB64" s="52">
        <v>44000</v>
      </c>
      <c r="AC64" s="52">
        <v>154000</v>
      </c>
      <c r="AD64" s="52">
        <v>18679.452000000067</v>
      </c>
      <c r="AE64" s="52">
        <v>0</v>
      </c>
      <c r="AF64" s="52">
        <v>0</v>
      </c>
      <c r="AG64" s="52">
        <v>0</v>
      </c>
      <c r="AH64" s="52">
        <v>42000</v>
      </c>
      <c r="AI64" s="52">
        <v>147000</v>
      </c>
      <c r="AJ64" s="52">
        <v>40403.664000000106</v>
      </c>
      <c r="AK64" s="52">
        <v>13500</v>
      </c>
      <c r="AL64" s="52">
        <v>63000</v>
      </c>
      <c r="AM64" s="52">
        <v>20201.832000000053</v>
      </c>
      <c r="AN64" s="52">
        <v>55000</v>
      </c>
      <c r="AO64" s="52">
        <v>132000</v>
      </c>
      <c r="AP64" s="52">
        <v>59473.722000000176</v>
      </c>
      <c r="AQ64" s="52">
        <v>13500</v>
      </c>
      <c r="AR64" s="52">
        <v>63000</v>
      </c>
      <c r="AS64" s="52">
        <v>24330.159000000069</v>
      </c>
      <c r="AT64" s="52">
        <v>0</v>
      </c>
      <c r="AU64" s="52">
        <v>0</v>
      </c>
      <c r="AV64" s="52">
        <v>0</v>
      </c>
      <c r="AW64" s="52">
        <v>0</v>
      </c>
      <c r="AX64" s="52">
        <v>0</v>
      </c>
      <c r="AY64" s="52">
        <v>0</v>
      </c>
      <c r="AZ64" s="52">
        <v>50000</v>
      </c>
      <c r="BA64" s="52">
        <v>120000</v>
      </c>
      <c r="BB64" s="52">
        <v>50601.116363636451</v>
      </c>
      <c r="BC64" s="52">
        <v>15000</v>
      </c>
      <c r="BD64" s="52">
        <v>65000</v>
      </c>
      <c r="BE64" s="52">
        <v>28914.923636363685</v>
      </c>
      <c r="BF64" s="52">
        <v>33000</v>
      </c>
      <c r="BG64" s="52">
        <v>154000</v>
      </c>
      <c r="BH64" s="52">
        <v>15400</v>
      </c>
      <c r="BI64" s="52">
        <v>0</v>
      </c>
      <c r="BJ64" s="52">
        <v>0</v>
      </c>
      <c r="BK64" s="52">
        <v>0</v>
      </c>
      <c r="BL64" s="52">
        <v>21000</v>
      </c>
      <c r="BM64" s="52">
        <v>157500</v>
      </c>
      <c r="BN64" s="52">
        <v>45998.068027397334</v>
      </c>
      <c r="BO64" s="52">
        <v>13500</v>
      </c>
      <c r="BP64" s="52">
        <v>58500</v>
      </c>
      <c r="BQ64" s="52">
        <v>17473.537972602669</v>
      </c>
      <c r="BR64" s="52">
        <v>34000</v>
      </c>
      <c r="BS64" s="52">
        <v>119000</v>
      </c>
      <c r="BT64" s="52">
        <v>20407.548000000206</v>
      </c>
      <c r="BU64" s="52">
        <v>28000</v>
      </c>
      <c r="BV64" s="52">
        <v>91000</v>
      </c>
      <c r="BW64" s="52">
        <v>9800</v>
      </c>
    </row>
    <row r="65" spans="1:75" x14ac:dyDescent="0.3">
      <c r="A65" s="8" t="s">
        <v>102</v>
      </c>
      <c r="B65" s="8" t="s">
        <v>8</v>
      </c>
      <c r="C65" s="8" t="s">
        <v>64</v>
      </c>
      <c r="D65" s="52">
        <v>44000</v>
      </c>
      <c r="E65" s="52">
        <v>154000</v>
      </c>
      <c r="F65" s="52">
        <v>13200.000000000002</v>
      </c>
      <c r="G65" s="52">
        <v>0</v>
      </c>
      <c r="H65" s="52">
        <v>0</v>
      </c>
      <c r="I65" s="52">
        <v>0</v>
      </c>
      <c r="J65" s="52">
        <v>30000</v>
      </c>
      <c r="K65" s="52">
        <v>150000</v>
      </c>
      <c r="L65" s="52">
        <v>12000</v>
      </c>
      <c r="M65" s="52">
        <v>0</v>
      </c>
      <c r="N65" s="52">
        <v>0</v>
      </c>
      <c r="O65" s="52">
        <v>0</v>
      </c>
      <c r="P65" s="52">
        <v>42000</v>
      </c>
      <c r="Q65" s="52">
        <v>147000</v>
      </c>
      <c r="R65" s="52">
        <v>12600.000000000002</v>
      </c>
      <c r="S65" s="52">
        <v>0</v>
      </c>
      <c r="T65" s="52">
        <v>0</v>
      </c>
      <c r="U65" s="52">
        <v>0</v>
      </c>
      <c r="V65" s="52">
        <v>0</v>
      </c>
      <c r="W65" s="52">
        <v>0</v>
      </c>
      <c r="X65" s="52">
        <v>0</v>
      </c>
      <c r="Y65" s="52">
        <v>0</v>
      </c>
      <c r="Z65" s="52">
        <v>0</v>
      </c>
      <c r="AA65" s="52">
        <v>0</v>
      </c>
      <c r="AB65" s="52">
        <v>0</v>
      </c>
      <c r="AC65" s="52">
        <v>0</v>
      </c>
      <c r="AD65" s="52">
        <v>0</v>
      </c>
      <c r="AE65" s="52">
        <v>0</v>
      </c>
      <c r="AF65" s="52">
        <v>0</v>
      </c>
      <c r="AG65" s="52">
        <v>0</v>
      </c>
      <c r="AH65" s="52">
        <v>42000</v>
      </c>
      <c r="AI65" s="52">
        <v>147000</v>
      </c>
      <c r="AJ65" s="52">
        <v>12600.000000000002</v>
      </c>
      <c r="AK65" s="52">
        <v>0</v>
      </c>
      <c r="AL65" s="52">
        <v>0</v>
      </c>
      <c r="AM65" s="52">
        <v>0</v>
      </c>
      <c r="AN65" s="52">
        <v>55000</v>
      </c>
      <c r="AO65" s="52">
        <v>132000</v>
      </c>
      <c r="AP65" s="52">
        <v>15400</v>
      </c>
      <c r="AQ65" s="52">
        <v>13500</v>
      </c>
      <c r="AR65" s="52">
        <v>61610.346000000063</v>
      </c>
      <c r="AS65" s="52">
        <v>6300.0000000000009</v>
      </c>
      <c r="AT65" s="52">
        <v>44000</v>
      </c>
      <c r="AU65" s="52">
        <v>143000</v>
      </c>
      <c r="AV65" s="52">
        <v>51340.52</v>
      </c>
      <c r="AW65" s="52">
        <v>13500</v>
      </c>
      <c r="AX65" s="52">
        <v>63000</v>
      </c>
      <c r="AY65" s="52">
        <v>21002.940000000002</v>
      </c>
      <c r="AZ65" s="52">
        <v>50000</v>
      </c>
      <c r="BA65" s="52">
        <v>120000</v>
      </c>
      <c r="BB65" s="52">
        <v>14000</v>
      </c>
      <c r="BC65" s="52">
        <v>0</v>
      </c>
      <c r="BD65" s="52">
        <v>0</v>
      </c>
      <c r="BE65" s="52">
        <v>0</v>
      </c>
      <c r="BF65" s="52">
        <v>0</v>
      </c>
      <c r="BG65" s="52">
        <v>0</v>
      </c>
      <c r="BH65" s="52">
        <v>0</v>
      </c>
      <c r="BI65" s="52">
        <v>0</v>
      </c>
      <c r="BJ65" s="52">
        <v>0</v>
      </c>
      <c r="BK65" s="52">
        <v>0</v>
      </c>
      <c r="BL65" s="52">
        <v>21000</v>
      </c>
      <c r="BM65" s="52">
        <v>157500</v>
      </c>
      <c r="BN65" s="52">
        <v>14700.000000000002</v>
      </c>
      <c r="BO65" s="52">
        <v>13500</v>
      </c>
      <c r="BP65" s="52">
        <v>41904.836999999985</v>
      </c>
      <c r="BQ65" s="52">
        <v>7200</v>
      </c>
      <c r="BR65" s="52">
        <v>34000</v>
      </c>
      <c r="BS65" s="52">
        <v>119000</v>
      </c>
      <c r="BT65" s="52">
        <v>10200.000000000002</v>
      </c>
      <c r="BU65" s="52">
        <v>0</v>
      </c>
      <c r="BV65" s="52">
        <v>0</v>
      </c>
      <c r="BW65" s="52">
        <v>0</v>
      </c>
    </row>
    <row r="66" spans="1:75" x14ac:dyDescent="0.3">
      <c r="A66" s="8" t="s">
        <v>102</v>
      </c>
      <c r="B66" s="8" t="s">
        <v>8</v>
      </c>
      <c r="C66" s="8" t="s">
        <v>65</v>
      </c>
      <c r="D66" s="52">
        <v>58739.999999999993</v>
      </c>
      <c r="E66" s="52">
        <v>205590</v>
      </c>
      <c r="F66" s="52">
        <v>88110</v>
      </c>
      <c r="G66" s="52">
        <v>24030</v>
      </c>
      <c r="H66" s="52">
        <v>84105</v>
      </c>
      <c r="I66" s="52">
        <v>36045</v>
      </c>
      <c r="J66" s="52">
        <v>40050</v>
      </c>
      <c r="K66" s="52">
        <v>200250</v>
      </c>
      <c r="L66" s="52">
        <v>80100</v>
      </c>
      <c r="M66" s="52">
        <v>16020</v>
      </c>
      <c r="N66" s="52">
        <v>69420</v>
      </c>
      <c r="O66" s="52">
        <v>42720</v>
      </c>
      <c r="P66" s="52">
        <v>56070</v>
      </c>
      <c r="Q66" s="52">
        <v>196245</v>
      </c>
      <c r="R66" s="52">
        <v>84105</v>
      </c>
      <c r="S66" s="52">
        <v>20025</v>
      </c>
      <c r="T66" s="52">
        <v>86774.999999999985</v>
      </c>
      <c r="U66" s="52">
        <v>53400</v>
      </c>
      <c r="V66" s="52">
        <v>50730</v>
      </c>
      <c r="W66" s="52">
        <v>177555</v>
      </c>
      <c r="X66" s="52">
        <v>76095</v>
      </c>
      <c r="Y66" s="52">
        <v>22027.5</v>
      </c>
      <c r="Z66" s="52">
        <v>102795</v>
      </c>
      <c r="AA66" s="52">
        <v>51397.5</v>
      </c>
      <c r="AB66" s="52">
        <v>58739.999999999993</v>
      </c>
      <c r="AC66" s="52">
        <v>205590</v>
      </c>
      <c r="AD66" s="52">
        <v>88110</v>
      </c>
      <c r="AE66" s="52">
        <v>18022.5</v>
      </c>
      <c r="AF66" s="52">
        <v>78097.5</v>
      </c>
      <c r="AG66" s="52">
        <v>48060</v>
      </c>
      <c r="AH66" s="52">
        <v>56070</v>
      </c>
      <c r="AI66" s="52">
        <v>196245</v>
      </c>
      <c r="AJ66" s="52">
        <v>84105</v>
      </c>
      <c r="AK66" s="52">
        <v>18022.5</v>
      </c>
      <c r="AL66" s="52">
        <v>84105</v>
      </c>
      <c r="AM66" s="52">
        <v>42052.5</v>
      </c>
      <c r="AN66" s="52">
        <v>73425</v>
      </c>
      <c r="AO66" s="52">
        <v>176220</v>
      </c>
      <c r="AP66" s="52">
        <v>102795</v>
      </c>
      <c r="AQ66" s="52">
        <v>18022.5</v>
      </c>
      <c r="AR66" s="52">
        <v>84105</v>
      </c>
      <c r="AS66" s="52">
        <v>42052.5</v>
      </c>
      <c r="AT66" s="52">
        <v>58739.999999999993</v>
      </c>
      <c r="AU66" s="52">
        <v>190905</v>
      </c>
      <c r="AV66" s="52">
        <v>102795</v>
      </c>
      <c r="AW66" s="52">
        <v>18022.5</v>
      </c>
      <c r="AX66" s="52">
        <v>84105</v>
      </c>
      <c r="AY66" s="52">
        <v>42052.5</v>
      </c>
      <c r="AZ66" s="52">
        <v>66750</v>
      </c>
      <c r="BA66" s="52">
        <v>160200</v>
      </c>
      <c r="BB66" s="52">
        <v>93450</v>
      </c>
      <c r="BC66" s="52">
        <v>20025</v>
      </c>
      <c r="BD66" s="52">
        <v>86774.999999999985</v>
      </c>
      <c r="BE66" s="52">
        <v>53400</v>
      </c>
      <c r="BF66" s="52">
        <v>44055</v>
      </c>
      <c r="BG66" s="52">
        <v>205590</v>
      </c>
      <c r="BH66" s="52">
        <v>102795</v>
      </c>
      <c r="BI66" s="52">
        <v>18022.5</v>
      </c>
      <c r="BJ66" s="52">
        <v>78097.5</v>
      </c>
      <c r="BK66" s="52">
        <v>48060</v>
      </c>
      <c r="BL66" s="52">
        <v>28035</v>
      </c>
      <c r="BM66" s="52">
        <v>210262.5</v>
      </c>
      <c r="BN66" s="52">
        <v>98122.5</v>
      </c>
      <c r="BO66" s="52">
        <v>18022.5</v>
      </c>
      <c r="BP66" s="52">
        <v>78097.5</v>
      </c>
      <c r="BQ66" s="52">
        <v>48060</v>
      </c>
      <c r="BR66" s="52">
        <v>45390</v>
      </c>
      <c r="BS66" s="52">
        <v>158865</v>
      </c>
      <c r="BT66" s="52">
        <v>68085</v>
      </c>
      <c r="BU66" s="52">
        <v>37379.999999999993</v>
      </c>
      <c r="BV66" s="52">
        <v>121485</v>
      </c>
      <c r="BW66" s="52">
        <v>65414.999999999993</v>
      </c>
    </row>
    <row r="67" spans="1:75" x14ac:dyDescent="0.3">
      <c r="A67" s="8" t="s">
        <v>102</v>
      </c>
      <c r="B67" s="8" t="s">
        <v>8</v>
      </c>
      <c r="C67" s="8" t="s">
        <v>66</v>
      </c>
      <c r="D67" s="52">
        <v>0</v>
      </c>
      <c r="E67" s="52">
        <v>0</v>
      </c>
      <c r="F67" s="52">
        <v>0</v>
      </c>
      <c r="G67" s="52">
        <v>0</v>
      </c>
      <c r="H67" s="52">
        <v>0</v>
      </c>
      <c r="I67" s="52">
        <v>0</v>
      </c>
      <c r="J67" s="52">
        <v>0</v>
      </c>
      <c r="K67" s="52">
        <v>0</v>
      </c>
      <c r="L67" s="52">
        <v>0</v>
      </c>
      <c r="M67" s="52">
        <v>0</v>
      </c>
      <c r="N67" s="52">
        <v>0</v>
      </c>
      <c r="O67" s="52">
        <v>0</v>
      </c>
      <c r="P67" s="52">
        <v>0</v>
      </c>
      <c r="Q67" s="52">
        <v>0</v>
      </c>
      <c r="R67" s="52">
        <v>0</v>
      </c>
      <c r="S67" s="52">
        <v>0</v>
      </c>
      <c r="T67" s="52">
        <v>0</v>
      </c>
      <c r="U67" s="52">
        <v>0</v>
      </c>
      <c r="V67" s="52">
        <v>0</v>
      </c>
      <c r="W67" s="52">
        <v>0</v>
      </c>
      <c r="X67" s="52">
        <v>0</v>
      </c>
      <c r="Y67" s="52">
        <v>0</v>
      </c>
      <c r="Z67" s="52">
        <v>0</v>
      </c>
      <c r="AA67" s="52">
        <v>0</v>
      </c>
      <c r="AB67" s="52">
        <v>0</v>
      </c>
      <c r="AC67" s="52">
        <v>0</v>
      </c>
      <c r="AD67" s="52">
        <v>0</v>
      </c>
      <c r="AE67" s="52">
        <v>0</v>
      </c>
      <c r="AF67" s="52">
        <v>0</v>
      </c>
      <c r="AG67" s="52">
        <v>0</v>
      </c>
      <c r="AH67" s="52">
        <v>0</v>
      </c>
      <c r="AI67" s="52">
        <v>0</v>
      </c>
      <c r="AJ67" s="52">
        <v>0</v>
      </c>
      <c r="AK67" s="52">
        <v>0</v>
      </c>
      <c r="AL67" s="52">
        <v>0</v>
      </c>
      <c r="AM67" s="52">
        <v>0</v>
      </c>
      <c r="AN67" s="52">
        <v>0</v>
      </c>
      <c r="AO67" s="52">
        <v>0</v>
      </c>
      <c r="AP67" s="52">
        <v>0</v>
      </c>
      <c r="AQ67" s="52">
        <v>0</v>
      </c>
      <c r="AR67" s="52">
        <v>0</v>
      </c>
      <c r="AS67" s="52">
        <v>0</v>
      </c>
      <c r="AT67" s="52">
        <v>0</v>
      </c>
      <c r="AU67" s="52">
        <v>0</v>
      </c>
      <c r="AV67" s="52">
        <v>0</v>
      </c>
      <c r="AW67" s="52">
        <v>0</v>
      </c>
      <c r="AX67" s="52">
        <v>0</v>
      </c>
      <c r="AY67" s="52">
        <v>0</v>
      </c>
      <c r="AZ67" s="52">
        <v>0</v>
      </c>
      <c r="BA67" s="52">
        <v>0</v>
      </c>
      <c r="BB67" s="52">
        <v>0</v>
      </c>
      <c r="BC67" s="52">
        <v>0</v>
      </c>
      <c r="BD67" s="52">
        <v>0</v>
      </c>
      <c r="BE67" s="52">
        <v>0</v>
      </c>
      <c r="BF67" s="52">
        <v>0</v>
      </c>
      <c r="BG67" s="52">
        <v>0</v>
      </c>
      <c r="BH67" s="52">
        <v>0</v>
      </c>
      <c r="BI67" s="52">
        <v>0</v>
      </c>
      <c r="BJ67" s="52">
        <v>0</v>
      </c>
      <c r="BK67" s="52">
        <v>0</v>
      </c>
      <c r="BL67" s="52">
        <v>0</v>
      </c>
      <c r="BM67" s="52">
        <v>0</v>
      </c>
      <c r="BN67" s="52">
        <v>0</v>
      </c>
      <c r="BO67" s="52">
        <v>0</v>
      </c>
      <c r="BP67" s="52">
        <v>0</v>
      </c>
      <c r="BQ67" s="52">
        <v>0</v>
      </c>
      <c r="BR67" s="52">
        <v>0</v>
      </c>
      <c r="BS67" s="52">
        <v>0</v>
      </c>
      <c r="BT67" s="52">
        <v>0</v>
      </c>
      <c r="BU67" s="52">
        <v>0</v>
      </c>
      <c r="BV67" s="52">
        <v>0</v>
      </c>
      <c r="BW67" s="52">
        <v>0</v>
      </c>
    </row>
    <row r="68" spans="1:75" x14ac:dyDescent="0.3">
      <c r="A68" s="8" t="s">
        <v>102</v>
      </c>
      <c r="B68" s="8" t="s">
        <v>8</v>
      </c>
      <c r="C68" s="8" t="s">
        <v>67</v>
      </c>
      <c r="D68" s="52">
        <v>0</v>
      </c>
      <c r="E68" s="52">
        <v>0</v>
      </c>
      <c r="F68" s="52">
        <v>0</v>
      </c>
      <c r="G68" s="52">
        <v>0</v>
      </c>
      <c r="H68" s="52">
        <v>0</v>
      </c>
      <c r="I68" s="52">
        <v>0</v>
      </c>
      <c r="J68" s="52">
        <v>0</v>
      </c>
      <c r="K68" s="52">
        <v>0</v>
      </c>
      <c r="L68" s="52">
        <v>0</v>
      </c>
      <c r="M68" s="52">
        <v>0</v>
      </c>
      <c r="N68" s="52">
        <v>0</v>
      </c>
      <c r="O68" s="52">
        <v>0</v>
      </c>
      <c r="P68" s="52">
        <v>0</v>
      </c>
      <c r="Q68" s="52">
        <v>0</v>
      </c>
      <c r="R68" s="52">
        <v>0</v>
      </c>
      <c r="S68" s="52">
        <v>0</v>
      </c>
      <c r="T68" s="52">
        <v>0</v>
      </c>
      <c r="U68" s="52">
        <v>0</v>
      </c>
      <c r="V68" s="52">
        <v>0</v>
      </c>
      <c r="W68" s="52">
        <v>0</v>
      </c>
      <c r="X68" s="52">
        <v>0</v>
      </c>
      <c r="Y68" s="52">
        <v>0</v>
      </c>
      <c r="Z68" s="52">
        <v>0</v>
      </c>
      <c r="AA68" s="52">
        <v>0</v>
      </c>
      <c r="AB68" s="52">
        <v>0</v>
      </c>
      <c r="AC68" s="52">
        <v>0</v>
      </c>
      <c r="AD68" s="52">
        <v>0</v>
      </c>
      <c r="AE68" s="52">
        <v>0</v>
      </c>
      <c r="AF68" s="52">
        <v>0</v>
      </c>
      <c r="AG68" s="52">
        <v>0</v>
      </c>
      <c r="AH68" s="52">
        <v>0</v>
      </c>
      <c r="AI68" s="52">
        <v>0</v>
      </c>
      <c r="AJ68" s="52">
        <v>0</v>
      </c>
      <c r="AK68" s="52">
        <v>0</v>
      </c>
      <c r="AL68" s="52">
        <v>0</v>
      </c>
      <c r="AM68" s="52">
        <v>0</v>
      </c>
      <c r="AN68" s="52">
        <v>0</v>
      </c>
      <c r="AO68" s="52">
        <v>0</v>
      </c>
      <c r="AP68" s="52">
        <v>0</v>
      </c>
      <c r="AQ68" s="52">
        <v>0</v>
      </c>
      <c r="AR68" s="52">
        <v>0</v>
      </c>
      <c r="AS68" s="52">
        <v>0</v>
      </c>
      <c r="AT68" s="52">
        <v>0</v>
      </c>
      <c r="AU68" s="52">
        <v>0</v>
      </c>
      <c r="AV68" s="52">
        <v>0</v>
      </c>
      <c r="AW68" s="52">
        <v>0</v>
      </c>
      <c r="AX68" s="52">
        <v>0</v>
      </c>
      <c r="AY68" s="52">
        <v>0</v>
      </c>
      <c r="AZ68" s="52">
        <v>0</v>
      </c>
      <c r="BA68" s="52">
        <v>0</v>
      </c>
      <c r="BB68" s="52">
        <v>0</v>
      </c>
      <c r="BC68" s="52">
        <v>0</v>
      </c>
      <c r="BD68" s="52">
        <v>0</v>
      </c>
      <c r="BE68" s="52">
        <v>0</v>
      </c>
      <c r="BF68" s="52">
        <v>0</v>
      </c>
      <c r="BG68" s="52">
        <v>0</v>
      </c>
      <c r="BH68" s="52">
        <v>0</v>
      </c>
      <c r="BI68" s="52">
        <v>0</v>
      </c>
      <c r="BJ68" s="52">
        <v>0</v>
      </c>
      <c r="BK68" s="52">
        <v>0</v>
      </c>
      <c r="BL68" s="52">
        <v>0</v>
      </c>
      <c r="BM68" s="52">
        <v>0</v>
      </c>
      <c r="BN68" s="52">
        <v>0</v>
      </c>
      <c r="BO68" s="52">
        <v>0</v>
      </c>
      <c r="BP68" s="52">
        <v>0</v>
      </c>
      <c r="BQ68" s="52">
        <v>0</v>
      </c>
      <c r="BR68" s="52">
        <v>0</v>
      </c>
      <c r="BS68" s="52">
        <v>0</v>
      </c>
      <c r="BT68" s="52">
        <v>0</v>
      </c>
      <c r="BU68" s="52">
        <v>0</v>
      </c>
      <c r="BV68" s="52">
        <v>0</v>
      </c>
      <c r="BW68" s="52">
        <v>0</v>
      </c>
    </row>
    <row r="69" spans="1:75" x14ac:dyDescent="0.3">
      <c r="A69" s="8" t="s">
        <v>102</v>
      </c>
      <c r="B69" s="8" t="s">
        <v>8</v>
      </c>
      <c r="C69" s="8" t="s">
        <v>68</v>
      </c>
      <c r="D69" s="52">
        <v>0</v>
      </c>
      <c r="E69" s="52">
        <v>0</v>
      </c>
      <c r="F69" s="52">
        <v>0</v>
      </c>
      <c r="G69" s="52">
        <v>0</v>
      </c>
      <c r="H69" s="52">
        <v>0</v>
      </c>
      <c r="I69" s="52">
        <v>0</v>
      </c>
      <c r="J69" s="52">
        <v>0</v>
      </c>
      <c r="K69" s="52">
        <v>0</v>
      </c>
      <c r="L69" s="52">
        <v>0</v>
      </c>
      <c r="M69" s="52">
        <v>0</v>
      </c>
      <c r="N69" s="52">
        <v>0</v>
      </c>
      <c r="O69" s="52">
        <v>0</v>
      </c>
      <c r="P69" s="52">
        <v>0</v>
      </c>
      <c r="Q69" s="52">
        <v>0</v>
      </c>
      <c r="R69" s="52">
        <v>0</v>
      </c>
      <c r="S69" s="52">
        <v>0</v>
      </c>
      <c r="T69" s="52">
        <v>0</v>
      </c>
      <c r="U69" s="52">
        <v>0</v>
      </c>
      <c r="V69" s="52">
        <v>0</v>
      </c>
      <c r="W69" s="52">
        <v>0</v>
      </c>
      <c r="X69" s="52">
        <v>0</v>
      </c>
      <c r="Y69" s="52">
        <v>0</v>
      </c>
      <c r="Z69" s="52">
        <v>0</v>
      </c>
      <c r="AA69" s="52">
        <v>0</v>
      </c>
      <c r="AB69" s="52">
        <v>0</v>
      </c>
      <c r="AC69" s="52">
        <v>0</v>
      </c>
      <c r="AD69" s="52">
        <v>0</v>
      </c>
      <c r="AE69" s="52">
        <v>0</v>
      </c>
      <c r="AF69" s="52">
        <v>0</v>
      </c>
      <c r="AG69" s="52">
        <v>0</v>
      </c>
      <c r="AH69" s="52">
        <v>0</v>
      </c>
      <c r="AI69" s="52">
        <v>0</v>
      </c>
      <c r="AJ69" s="52">
        <v>0</v>
      </c>
      <c r="AK69" s="52">
        <v>0</v>
      </c>
      <c r="AL69" s="52">
        <v>0</v>
      </c>
      <c r="AM69" s="52">
        <v>0</v>
      </c>
      <c r="AN69" s="52">
        <v>0</v>
      </c>
      <c r="AO69" s="52">
        <v>0</v>
      </c>
      <c r="AP69" s="52">
        <v>0</v>
      </c>
      <c r="AQ69" s="52">
        <v>0</v>
      </c>
      <c r="AR69" s="52">
        <v>0</v>
      </c>
      <c r="AS69" s="52">
        <v>0</v>
      </c>
      <c r="AT69" s="52">
        <v>0</v>
      </c>
      <c r="AU69" s="52">
        <v>0</v>
      </c>
      <c r="AV69" s="52">
        <v>0</v>
      </c>
      <c r="AW69" s="52">
        <v>0</v>
      </c>
      <c r="AX69" s="52">
        <v>0</v>
      </c>
      <c r="AY69" s="52">
        <v>0</v>
      </c>
      <c r="AZ69" s="52">
        <v>0</v>
      </c>
      <c r="BA69" s="52">
        <v>0</v>
      </c>
      <c r="BB69" s="52">
        <v>0</v>
      </c>
      <c r="BC69" s="52">
        <v>0</v>
      </c>
      <c r="BD69" s="52">
        <v>0</v>
      </c>
      <c r="BE69" s="52">
        <v>0</v>
      </c>
      <c r="BF69" s="52">
        <v>0</v>
      </c>
      <c r="BG69" s="52">
        <v>0</v>
      </c>
      <c r="BH69" s="52">
        <v>0</v>
      </c>
      <c r="BI69" s="52">
        <v>0</v>
      </c>
      <c r="BJ69" s="52">
        <v>0</v>
      </c>
      <c r="BK69" s="52">
        <v>0</v>
      </c>
      <c r="BL69" s="52">
        <v>0</v>
      </c>
      <c r="BM69" s="52">
        <v>0</v>
      </c>
      <c r="BN69" s="52">
        <v>0</v>
      </c>
      <c r="BO69" s="52">
        <v>0</v>
      </c>
      <c r="BP69" s="52">
        <v>0</v>
      </c>
      <c r="BQ69" s="52">
        <v>0</v>
      </c>
      <c r="BR69" s="52">
        <v>0</v>
      </c>
      <c r="BS69" s="52">
        <v>0</v>
      </c>
      <c r="BT69" s="52">
        <v>0</v>
      </c>
      <c r="BU69" s="52">
        <v>0</v>
      </c>
      <c r="BV69" s="52">
        <v>0</v>
      </c>
      <c r="BW69" s="52">
        <v>0</v>
      </c>
    </row>
    <row r="70" spans="1:75" x14ac:dyDescent="0.3">
      <c r="A70" s="8" t="s">
        <v>102</v>
      </c>
      <c r="B70" s="8" t="s">
        <v>8</v>
      </c>
      <c r="C70" s="8" t="s">
        <v>69</v>
      </c>
      <c r="D70" s="52">
        <v>0</v>
      </c>
      <c r="E70" s="52">
        <v>0</v>
      </c>
      <c r="F70" s="52">
        <v>0</v>
      </c>
      <c r="G70" s="52">
        <v>0</v>
      </c>
      <c r="H70" s="52">
        <v>0</v>
      </c>
      <c r="I70" s="52">
        <v>0</v>
      </c>
      <c r="J70" s="52">
        <v>0</v>
      </c>
      <c r="K70" s="52">
        <v>0</v>
      </c>
      <c r="L70" s="52">
        <v>0</v>
      </c>
      <c r="M70" s="52">
        <v>0</v>
      </c>
      <c r="N70" s="52">
        <v>0</v>
      </c>
      <c r="O70" s="52">
        <v>0</v>
      </c>
      <c r="P70" s="52">
        <v>0</v>
      </c>
      <c r="Q70" s="52">
        <v>0</v>
      </c>
      <c r="R70" s="52">
        <v>0</v>
      </c>
      <c r="S70" s="52">
        <v>0</v>
      </c>
      <c r="T70" s="52">
        <v>0</v>
      </c>
      <c r="U70" s="52">
        <v>0</v>
      </c>
      <c r="V70" s="52">
        <v>0</v>
      </c>
      <c r="W70" s="52">
        <v>0</v>
      </c>
      <c r="X70" s="52">
        <v>0</v>
      </c>
      <c r="Y70" s="52">
        <v>0</v>
      </c>
      <c r="Z70" s="52">
        <v>0</v>
      </c>
      <c r="AA70" s="52">
        <v>0</v>
      </c>
      <c r="AB70" s="52">
        <v>0</v>
      </c>
      <c r="AC70" s="52">
        <v>0</v>
      </c>
      <c r="AD70" s="52">
        <v>0</v>
      </c>
      <c r="AE70" s="52">
        <v>0</v>
      </c>
      <c r="AF70" s="52">
        <v>0</v>
      </c>
      <c r="AG70" s="52">
        <v>0</v>
      </c>
      <c r="AH70" s="52">
        <v>0</v>
      </c>
      <c r="AI70" s="52">
        <v>0</v>
      </c>
      <c r="AJ70" s="52">
        <v>0</v>
      </c>
      <c r="AK70" s="52">
        <v>0</v>
      </c>
      <c r="AL70" s="52">
        <v>0</v>
      </c>
      <c r="AM70" s="52">
        <v>0</v>
      </c>
      <c r="AN70" s="52">
        <v>0</v>
      </c>
      <c r="AO70" s="52">
        <v>0</v>
      </c>
      <c r="AP70" s="52">
        <v>0</v>
      </c>
      <c r="AQ70" s="52">
        <v>0</v>
      </c>
      <c r="AR70" s="52">
        <v>0</v>
      </c>
      <c r="AS70" s="52">
        <v>0</v>
      </c>
      <c r="AT70" s="52">
        <v>0</v>
      </c>
      <c r="AU70" s="52">
        <v>0</v>
      </c>
      <c r="AV70" s="52">
        <v>0</v>
      </c>
      <c r="AW70" s="52">
        <v>0</v>
      </c>
      <c r="AX70" s="52">
        <v>0</v>
      </c>
      <c r="AY70" s="52">
        <v>0</v>
      </c>
      <c r="AZ70" s="52">
        <v>0</v>
      </c>
      <c r="BA70" s="52">
        <v>0</v>
      </c>
      <c r="BB70" s="52">
        <v>0</v>
      </c>
      <c r="BC70" s="52">
        <v>0</v>
      </c>
      <c r="BD70" s="52">
        <v>0</v>
      </c>
      <c r="BE70" s="52">
        <v>0</v>
      </c>
      <c r="BF70" s="52">
        <v>0</v>
      </c>
      <c r="BG70" s="52">
        <v>0</v>
      </c>
      <c r="BH70" s="52">
        <v>0</v>
      </c>
      <c r="BI70" s="52">
        <v>0</v>
      </c>
      <c r="BJ70" s="52">
        <v>0</v>
      </c>
      <c r="BK70" s="52">
        <v>0</v>
      </c>
      <c r="BL70" s="52">
        <v>0</v>
      </c>
      <c r="BM70" s="52">
        <v>0</v>
      </c>
      <c r="BN70" s="52">
        <v>0</v>
      </c>
      <c r="BO70" s="52">
        <v>0</v>
      </c>
      <c r="BP70" s="52">
        <v>0</v>
      </c>
      <c r="BQ70" s="52">
        <v>0</v>
      </c>
      <c r="BR70" s="52">
        <v>0</v>
      </c>
      <c r="BS70" s="52">
        <v>0</v>
      </c>
      <c r="BT70" s="52">
        <v>0</v>
      </c>
      <c r="BU70" s="52">
        <v>0</v>
      </c>
      <c r="BV70" s="52">
        <v>0</v>
      </c>
      <c r="BW70" s="52">
        <v>0</v>
      </c>
    </row>
    <row r="71" spans="1:75" x14ac:dyDescent="0.3">
      <c r="A71" s="8" t="s">
        <v>102</v>
      </c>
      <c r="B71" s="8" t="s">
        <v>8</v>
      </c>
      <c r="C71" s="8" t="s">
        <v>27</v>
      </c>
      <c r="D71" s="52">
        <v>13200</v>
      </c>
      <c r="E71" s="52">
        <v>46199.999999999993</v>
      </c>
      <c r="F71" s="52">
        <v>19800</v>
      </c>
      <c r="G71" s="52">
        <v>5399.9999999999991</v>
      </c>
      <c r="H71" s="52">
        <v>18900</v>
      </c>
      <c r="I71" s="52">
        <v>3636.0000000000073</v>
      </c>
      <c r="J71" s="52">
        <v>9000</v>
      </c>
      <c r="K71" s="52">
        <v>45000</v>
      </c>
      <c r="L71" s="52">
        <v>18000</v>
      </c>
      <c r="M71" s="52">
        <v>3599.9999999999995</v>
      </c>
      <c r="N71" s="52">
        <v>15600</v>
      </c>
      <c r="O71" s="52">
        <v>5568.0000000000155</v>
      </c>
      <c r="P71" s="52">
        <v>12600</v>
      </c>
      <c r="Q71" s="52">
        <v>44100</v>
      </c>
      <c r="R71" s="52">
        <v>18900</v>
      </c>
      <c r="S71" s="52">
        <v>4500</v>
      </c>
      <c r="T71" s="52">
        <v>19500</v>
      </c>
      <c r="U71" s="52">
        <v>7536.0000000000146</v>
      </c>
      <c r="V71" s="52">
        <v>11400</v>
      </c>
      <c r="W71" s="52">
        <v>39900</v>
      </c>
      <c r="X71" s="52">
        <v>10746.453999999914</v>
      </c>
      <c r="Y71" s="52">
        <v>4950</v>
      </c>
      <c r="Z71" s="52">
        <v>23099.999999999996</v>
      </c>
      <c r="AA71" s="52">
        <v>623.54600000008747</v>
      </c>
      <c r="AB71" s="52">
        <v>12704.13913043478</v>
      </c>
      <c r="AC71" s="52">
        <v>46199.999999999993</v>
      </c>
      <c r="AD71" s="52">
        <v>0</v>
      </c>
      <c r="AE71" s="52">
        <v>3897.8608695652165</v>
      </c>
      <c r="AF71" s="52">
        <v>17550</v>
      </c>
      <c r="AG71" s="52">
        <v>0</v>
      </c>
      <c r="AH71" s="52">
        <v>12600</v>
      </c>
      <c r="AI71" s="52">
        <v>26083.184400000024</v>
      </c>
      <c r="AJ71" s="52">
        <v>0</v>
      </c>
      <c r="AK71" s="52">
        <v>4050</v>
      </c>
      <c r="AL71" s="52">
        <v>9106.8155999999817</v>
      </c>
      <c r="AM71" s="52">
        <v>0</v>
      </c>
      <c r="AN71" s="52">
        <v>16500</v>
      </c>
      <c r="AO71" s="52">
        <v>34153.916999999994</v>
      </c>
      <c r="AP71" s="52">
        <v>0</v>
      </c>
      <c r="AQ71" s="52">
        <v>2914.0830000000119</v>
      </c>
      <c r="AR71" s="52">
        <v>0</v>
      </c>
      <c r="AS71" s="52">
        <v>0</v>
      </c>
      <c r="AT71" s="52">
        <v>2734.8640000000678</v>
      </c>
      <c r="AU71" s="52">
        <v>37495.837999999989</v>
      </c>
      <c r="AV71" s="52">
        <v>0</v>
      </c>
      <c r="AW71" s="52">
        <v>839.1060000000208</v>
      </c>
      <c r="AX71" s="52">
        <v>12498.191999999992</v>
      </c>
      <c r="AY71" s="52">
        <v>0</v>
      </c>
      <c r="AZ71" s="52">
        <v>15000</v>
      </c>
      <c r="BA71" s="52">
        <v>36000</v>
      </c>
      <c r="BB71" s="52">
        <v>1756.3636363636354</v>
      </c>
      <c r="BC71" s="52">
        <v>4500</v>
      </c>
      <c r="BD71" s="52">
        <v>19500</v>
      </c>
      <c r="BE71" s="52">
        <v>1003.6363636363629</v>
      </c>
      <c r="BF71" s="52">
        <v>9900</v>
      </c>
      <c r="BG71" s="52">
        <v>46199.999999999993</v>
      </c>
      <c r="BH71" s="52">
        <v>13074.583646017691</v>
      </c>
      <c r="BI71" s="52">
        <v>4050</v>
      </c>
      <c r="BJ71" s="52">
        <v>17550</v>
      </c>
      <c r="BK71" s="52">
        <v>2969.4163539823007</v>
      </c>
      <c r="BL71" s="52">
        <v>6300</v>
      </c>
      <c r="BM71" s="52">
        <v>47250</v>
      </c>
      <c r="BN71" s="52">
        <v>19150.273972602743</v>
      </c>
      <c r="BO71" s="52">
        <v>4050</v>
      </c>
      <c r="BP71" s="52">
        <v>17550</v>
      </c>
      <c r="BQ71" s="52">
        <v>9379.7260273972624</v>
      </c>
      <c r="BR71" s="52">
        <v>10200</v>
      </c>
      <c r="BS71" s="52">
        <v>35699.999999999993</v>
      </c>
      <c r="BT71" s="52">
        <v>15299.999999999998</v>
      </c>
      <c r="BU71" s="52">
        <v>8400</v>
      </c>
      <c r="BV71" s="52">
        <v>27300</v>
      </c>
      <c r="BW71" s="52">
        <v>10236.000000000009</v>
      </c>
    </row>
    <row r="72" spans="1:75" x14ac:dyDescent="0.3">
      <c r="A72" s="8" t="s">
        <v>102</v>
      </c>
      <c r="B72" s="8" t="s">
        <v>8</v>
      </c>
      <c r="C72" s="8" t="s">
        <v>144</v>
      </c>
      <c r="D72" s="52">
        <v>17600</v>
      </c>
      <c r="E72" s="52">
        <v>7112.3360000000348</v>
      </c>
      <c r="F72" s="52">
        <v>0</v>
      </c>
      <c r="G72" s="52">
        <v>7200</v>
      </c>
      <c r="H72" s="52">
        <v>0</v>
      </c>
      <c r="I72" s="52">
        <v>0</v>
      </c>
      <c r="J72" s="52">
        <v>12000</v>
      </c>
      <c r="K72" s="52">
        <v>10270.489999999616</v>
      </c>
      <c r="L72" s="52">
        <v>0</v>
      </c>
      <c r="M72" s="52">
        <v>4800.0000000000009</v>
      </c>
      <c r="N72" s="52">
        <v>0</v>
      </c>
      <c r="O72" s="52">
        <v>0</v>
      </c>
      <c r="P72" s="52">
        <v>16800</v>
      </c>
      <c r="Q72" s="52">
        <v>4476.1500000003271</v>
      </c>
      <c r="R72" s="52">
        <v>0</v>
      </c>
      <c r="S72" s="52">
        <v>6000</v>
      </c>
      <c r="T72" s="52">
        <v>0</v>
      </c>
      <c r="U72" s="52">
        <v>0</v>
      </c>
      <c r="V72" s="52">
        <v>15200.000000000002</v>
      </c>
      <c r="W72" s="52">
        <v>33723.919533333326</v>
      </c>
      <c r="X72" s="52">
        <v>0</v>
      </c>
      <c r="Y72" s="52">
        <v>6600.0000000000009</v>
      </c>
      <c r="Z72" s="52">
        <v>3651.440466666666</v>
      </c>
      <c r="AA72" s="52">
        <v>0</v>
      </c>
      <c r="AB72" s="52">
        <v>17600</v>
      </c>
      <c r="AC72" s="52">
        <v>21985.040000000172</v>
      </c>
      <c r="AD72" s="52">
        <v>0</v>
      </c>
      <c r="AE72" s="52">
        <v>5400</v>
      </c>
      <c r="AF72" s="52">
        <v>8351.4600000000646</v>
      </c>
      <c r="AG72" s="52">
        <v>0</v>
      </c>
      <c r="AH72" s="52">
        <v>2127.7200000000062</v>
      </c>
      <c r="AI72" s="52">
        <v>0</v>
      </c>
      <c r="AJ72" s="52">
        <v>0</v>
      </c>
      <c r="AK72" s="52">
        <v>0</v>
      </c>
      <c r="AL72" s="52">
        <v>0</v>
      </c>
      <c r="AM72" s="52">
        <v>0</v>
      </c>
      <c r="AN72" s="52">
        <v>14688.781454544538</v>
      </c>
      <c r="AO72" s="52">
        <v>0</v>
      </c>
      <c r="AP72" s="52">
        <v>0</v>
      </c>
      <c r="AQ72" s="52">
        <v>0</v>
      </c>
      <c r="AR72" s="52">
        <v>0</v>
      </c>
      <c r="AS72" s="52">
        <v>0</v>
      </c>
      <c r="AT72" s="52">
        <v>17600</v>
      </c>
      <c r="AU72" s="52">
        <v>36499.512000000228</v>
      </c>
      <c r="AV72" s="52">
        <v>0</v>
      </c>
      <c r="AW72" s="52">
        <v>5400</v>
      </c>
      <c r="AX72" s="52">
        <v>0</v>
      </c>
      <c r="AY72" s="52">
        <v>0</v>
      </c>
      <c r="AZ72" s="52">
        <v>20000</v>
      </c>
      <c r="BA72" s="52">
        <v>4550.8800000000347</v>
      </c>
      <c r="BB72" s="52">
        <v>0</v>
      </c>
      <c r="BC72" s="52">
        <v>6000</v>
      </c>
      <c r="BD72" s="52">
        <v>0</v>
      </c>
      <c r="BE72" s="52">
        <v>0</v>
      </c>
      <c r="BF72" s="52">
        <v>13200.000000000002</v>
      </c>
      <c r="BG72" s="52">
        <v>7259.8680000000022</v>
      </c>
      <c r="BH72" s="52">
        <v>0</v>
      </c>
      <c r="BI72" s="52">
        <v>5371.6500000000051</v>
      </c>
      <c r="BJ72" s="52">
        <v>0</v>
      </c>
      <c r="BK72" s="52">
        <v>0</v>
      </c>
      <c r="BL72" s="52">
        <v>8400</v>
      </c>
      <c r="BM72" s="52">
        <v>49001.852545454909</v>
      </c>
      <c r="BN72" s="52">
        <v>0</v>
      </c>
      <c r="BO72" s="52">
        <v>1326.5640000000062</v>
      </c>
      <c r="BP72" s="52">
        <v>0</v>
      </c>
      <c r="BQ72" s="52">
        <v>0</v>
      </c>
      <c r="BR72" s="52">
        <v>13600.000000000002</v>
      </c>
      <c r="BS72" s="52">
        <v>11432.991999999995</v>
      </c>
      <c r="BT72" s="52">
        <v>0</v>
      </c>
      <c r="BU72" s="52">
        <v>11200.000000000002</v>
      </c>
      <c r="BV72" s="52">
        <v>0</v>
      </c>
      <c r="BW72" s="52">
        <v>0</v>
      </c>
    </row>
    <row r="73" spans="1:75" x14ac:dyDescent="0.3">
      <c r="A73" s="8" t="s">
        <v>102</v>
      </c>
      <c r="B73" s="8" t="s">
        <v>8</v>
      </c>
      <c r="C73" s="8" t="s">
        <v>145</v>
      </c>
      <c r="D73" s="52">
        <v>10170.424000000072</v>
      </c>
      <c r="E73" s="52">
        <v>0</v>
      </c>
      <c r="F73" s="52">
        <v>0</v>
      </c>
      <c r="G73" s="52">
        <v>4160.6280000000297</v>
      </c>
      <c r="H73" s="52">
        <v>0</v>
      </c>
      <c r="I73" s="52">
        <v>0</v>
      </c>
      <c r="J73" s="52">
        <v>10356.780000000015</v>
      </c>
      <c r="K73" s="52">
        <v>0</v>
      </c>
      <c r="L73" s="52">
        <v>0</v>
      </c>
      <c r="M73" s="52">
        <v>4142.7120000000059</v>
      </c>
      <c r="N73" s="52">
        <v>0</v>
      </c>
      <c r="O73" s="52">
        <v>0</v>
      </c>
      <c r="P73" s="52">
        <v>4378.0800000000327</v>
      </c>
      <c r="Q73" s="52">
        <v>0</v>
      </c>
      <c r="R73" s="52">
        <v>0</v>
      </c>
      <c r="S73" s="52">
        <v>1563.6000000000117</v>
      </c>
      <c r="T73" s="52">
        <v>0</v>
      </c>
      <c r="U73" s="52">
        <v>0</v>
      </c>
      <c r="V73" s="52">
        <v>11827.044000000065</v>
      </c>
      <c r="W73" s="52">
        <v>0</v>
      </c>
      <c r="X73" s="52">
        <v>0</v>
      </c>
      <c r="Y73" s="52">
        <v>5135.4270000000279</v>
      </c>
      <c r="Z73" s="52">
        <v>0</v>
      </c>
      <c r="AA73" s="52">
        <v>0</v>
      </c>
      <c r="AB73" s="52">
        <v>4545.1590260859848</v>
      </c>
      <c r="AC73" s="52">
        <v>0</v>
      </c>
      <c r="AD73" s="52">
        <v>0</v>
      </c>
      <c r="AE73" s="52">
        <v>1394.5374284581999</v>
      </c>
      <c r="AF73" s="52">
        <v>0</v>
      </c>
      <c r="AG73" s="52">
        <v>0</v>
      </c>
      <c r="AH73" s="52">
        <v>16800</v>
      </c>
      <c r="AI73" s="52">
        <v>0</v>
      </c>
      <c r="AJ73" s="52">
        <v>0</v>
      </c>
      <c r="AK73" s="52">
        <v>4058.3160000000084</v>
      </c>
      <c r="AL73" s="52">
        <v>0</v>
      </c>
      <c r="AM73" s="52">
        <v>0</v>
      </c>
      <c r="AN73" s="52">
        <v>19152.168545455406</v>
      </c>
      <c r="AO73" s="52">
        <v>0</v>
      </c>
      <c r="AP73" s="52">
        <v>0</v>
      </c>
      <c r="AQ73" s="52">
        <v>0</v>
      </c>
      <c r="AR73" s="52">
        <v>0</v>
      </c>
      <c r="AS73" s="52">
        <v>0</v>
      </c>
      <c r="AT73" s="52">
        <v>17600</v>
      </c>
      <c r="AU73" s="52">
        <v>0</v>
      </c>
      <c r="AV73" s="52">
        <v>0</v>
      </c>
      <c r="AW73" s="52">
        <v>5400</v>
      </c>
      <c r="AX73" s="52">
        <v>0</v>
      </c>
      <c r="AY73" s="52">
        <v>0</v>
      </c>
      <c r="AZ73" s="52">
        <v>12499.199999999999</v>
      </c>
      <c r="BA73" s="52">
        <v>0</v>
      </c>
      <c r="BB73" s="52">
        <v>0</v>
      </c>
      <c r="BC73" s="52">
        <v>2992.8900000000203</v>
      </c>
      <c r="BD73" s="52">
        <v>0</v>
      </c>
      <c r="BE73" s="52">
        <v>0</v>
      </c>
      <c r="BF73" s="52">
        <v>10346.820000000063</v>
      </c>
      <c r="BG73" s="52">
        <v>0</v>
      </c>
      <c r="BH73" s="52">
        <v>0</v>
      </c>
      <c r="BI73" s="52">
        <v>4232.7900000000263</v>
      </c>
      <c r="BJ73" s="52">
        <v>0</v>
      </c>
      <c r="BK73" s="52">
        <v>0</v>
      </c>
      <c r="BL73" s="52">
        <v>8400</v>
      </c>
      <c r="BM73" s="52">
        <v>0</v>
      </c>
      <c r="BN73" s="52">
        <v>0</v>
      </c>
      <c r="BO73" s="52">
        <v>0</v>
      </c>
      <c r="BP73" s="52">
        <v>0</v>
      </c>
      <c r="BQ73" s="52">
        <v>0</v>
      </c>
      <c r="BR73" s="52">
        <v>0</v>
      </c>
      <c r="BS73" s="52">
        <v>0</v>
      </c>
      <c r="BT73" s="52">
        <v>0</v>
      </c>
      <c r="BU73" s="52">
        <v>0</v>
      </c>
      <c r="BV73" s="52">
        <v>0</v>
      </c>
      <c r="BW73" s="52">
        <v>0</v>
      </c>
    </row>
    <row r="74" spans="1:75" x14ac:dyDescent="0.3">
      <c r="A74" s="8" t="s">
        <v>102</v>
      </c>
      <c r="B74" s="8" t="s">
        <v>8</v>
      </c>
      <c r="C74" s="8" t="s">
        <v>146</v>
      </c>
      <c r="D74" s="52">
        <v>17600</v>
      </c>
      <c r="E74" s="52">
        <v>61600</v>
      </c>
      <c r="F74" s="52">
        <v>0</v>
      </c>
      <c r="G74" s="52">
        <v>7200</v>
      </c>
      <c r="H74" s="52">
        <v>15087.114000000081</v>
      </c>
      <c r="I74" s="52">
        <v>0</v>
      </c>
      <c r="J74" s="52">
        <v>12000</v>
      </c>
      <c r="K74" s="52">
        <v>60000</v>
      </c>
      <c r="L74" s="52">
        <v>0</v>
      </c>
      <c r="M74" s="52">
        <v>4800.0000000000009</v>
      </c>
      <c r="N74" s="52">
        <v>20340.320000000076</v>
      </c>
      <c r="O74" s="52">
        <v>0</v>
      </c>
      <c r="P74" s="52">
        <v>16800</v>
      </c>
      <c r="Q74" s="52">
        <v>58800.000000000007</v>
      </c>
      <c r="R74" s="52">
        <v>0</v>
      </c>
      <c r="S74" s="52">
        <v>6000</v>
      </c>
      <c r="T74" s="52">
        <v>6137.4300000000649</v>
      </c>
      <c r="U74" s="52">
        <v>0</v>
      </c>
      <c r="V74" s="52">
        <v>15200.000000000002</v>
      </c>
      <c r="W74" s="52">
        <v>49161.001015150789</v>
      </c>
      <c r="X74" s="52">
        <v>0</v>
      </c>
      <c r="Y74" s="52">
        <v>6600.0000000000009</v>
      </c>
      <c r="Z74" s="52">
        <v>28461.632166666244</v>
      </c>
      <c r="AA74" s="52">
        <v>0</v>
      </c>
      <c r="AB74" s="52">
        <v>17600</v>
      </c>
      <c r="AC74" s="52">
        <v>61600</v>
      </c>
      <c r="AD74" s="52">
        <v>4600.5960000000032</v>
      </c>
      <c r="AE74" s="52">
        <v>5400</v>
      </c>
      <c r="AF74" s="52">
        <v>23400.000000000004</v>
      </c>
      <c r="AG74" s="52">
        <v>2509.4160000000015</v>
      </c>
      <c r="AH74" s="52">
        <v>16800</v>
      </c>
      <c r="AI74" s="52">
        <v>31859.805600000091</v>
      </c>
      <c r="AJ74" s="52">
        <v>0</v>
      </c>
      <c r="AK74" s="52">
        <v>5400</v>
      </c>
      <c r="AL74" s="52">
        <v>13654.202400000038</v>
      </c>
      <c r="AM74" s="52">
        <v>0</v>
      </c>
      <c r="AN74" s="52">
        <v>22000</v>
      </c>
      <c r="AO74" s="52">
        <v>41980.779000000177</v>
      </c>
      <c r="AP74" s="52">
        <v>0</v>
      </c>
      <c r="AQ74" s="52">
        <v>5400</v>
      </c>
      <c r="AR74" s="52">
        <v>0</v>
      </c>
      <c r="AS74" s="52">
        <v>0</v>
      </c>
      <c r="AT74" s="52">
        <v>17600</v>
      </c>
      <c r="AU74" s="52">
        <v>57200</v>
      </c>
      <c r="AV74" s="52">
        <v>0</v>
      </c>
      <c r="AW74" s="52">
        <v>5400</v>
      </c>
      <c r="AX74" s="52">
        <v>25200.000000000004</v>
      </c>
      <c r="AY74" s="52">
        <v>0</v>
      </c>
      <c r="AZ74" s="52">
        <v>20000</v>
      </c>
      <c r="BA74" s="52">
        <v>48000</v>
      </c>
      <c r="BB74" s="52">
        <v>0</v>
      </c>
      <c r="BC74" s="52">
        <v>6000</v>
      </c>
      <c r="BD74" s="52">
        <v>19421.220000000092</v>
      </c>
      <c r="BE74" s="52">
        <v>0</v>
      </c>
      <c r="BF74" s="52">
        <v>13200.000000000002</v>
      </c>
      <c r="BG74" s="52">
        <v>61600</v>
      </c>
      <c r="BH74" s="52">
        <v>0</v>
      </c>
      <c r="BI74" s="52">
        <v>5400</v>
      </c>
      <c r="BJ74" s="52">
        <v>17987.580000000075</v>
      </c>
      <c r="BK74" s="52">
        <v>0</v>
      </c>
      <c r="BL74" s="52">
        <v>8400</v>
      </c>
      <c r="BM74" s="52">
        <v>63000</v>
      </c>
      <c r="BN74" s="52">
        <v>0</v>
      </c>
      <c r="BO74" s="52">
        <v>5400</v>
      </c>
      <c r="BP74" s="52">
        <v>0</v>
      </c>
      <c r="BQ74" s="52">
        <v>0</v>
      </c>
      <c r="BR74" s="52">
        <v>13600.000000000002</v>
      </c>
      <c r="BS74" s="52">
        <v>47600</v>
      </c>
      <c r="BT74" s="52">
        <v>0</v>
      </c>
      <c r="BU74" s="52">
        <v>11200.000000000002</v>
      </c>
      <c r="BV74" s="52">
        <v>25615.954000000096</v>
      </c>
      <c r="BW74" s="52">
        <v>0</v>
      </c>
    </row>
    <row r="75" spans="1:75" x14ac:dyDescent="0.3">
      <c r="A75" s="8" t="s">
        <v>102</v>
      </c>
      <c r="B75" s="8" t="s">
        <v>8</v>
      </c>
      <c r="C75" s="8" t="s">
        <v>28</v>
      </c>
      <c r="D75" s="52">
        <v>17600</v>
      </c>
      <c r="E75" s="52">
        <v>61600</v>
      </c>
      <c r="F75" s="52">
        <v>26400.000000000004</v>
      </c>
      <c r="G75" s="52">
        <v>7200</v>
      </c>
      <c r="H75" s="52">
        <v>25200.000000000004</v>
      </c>
      <c r="I75" s="52">
        <v>10800</v>
      </c>
      <c r="J75" s="52">
        <v>12000</v>
      </c>
      <c r="K75" s="52">
        <v>60000</v>
      </c>
      <c r="L75" s="52">
        <v>24000</v>
      </c>
      <c r="M75" s="52">
        <v>4800.0000000000009</v>
      </c>
      <c r="N75" s="52">
        <v>20800</v>
      </c>
      <c r="O75" s="52">
        <v>12800</v>
      </c>
      <c r="P75" s="52">
        <v>16800</v>
      </c>
      <c r="Q75" s="52">
        <v>58800.000000000007</v>
      </c>
      <c r="R75" s="52">
        <v>25200.000000000004</v>
      </c>
      <c r="S75" s="52">
        <v>6000</v>
      </c>
      <c r="T75" s="52">
        <v>26000</v>
      </c>
      <c r="U75" s="52">
        <v>16000</v>
      </c>
      <c r="V75" s="52">
        <v>15200.000000000002</v>
      </c>
      <c r="W75" s="52">
        <v>53200</v>
      </c>
      <c r="X75" s="52">
        <v>22800</v>
      </c>
      <c r="Y75" s="52">
        <v>6600.0000000000009</v>
      </c>
      <c r="Z75" s="52">
        <v>30800</v>
      </c>
      <c r="AA75" s="52">
        <v>15400</v>
      </c>
      <c r="AB75" s="52">
        <v>17600</v>
      </c>
      <c r="AC75" s="52">
        <v>61600</v>
      </c>
      <c r="AD75" s="52">
        <v>26400.000000000004</v>
      </c>
      <c r="AE75" s="52">
        <v>5400</v>
      </c>
      <c r="AF75" s="52">
        <v>23400.000000000004</v>
      </c>
      <c r="AG75" s="52">
        <v>14400</v>
      </c>
      <c r="AH75" s="52">
        <v>16800</v>
      </c>
      <c r="AI75" s="52">
        <v>58800.000000000007</v>
      </c>
      <c r="AJ75" s="52">
        <v>25200.000000000004</v>
      </c>
      <c r="AK75" s="52">
        <v>5400</v>
      </c>
      <c r="AL75" s="52">
        <v>25200.000000000004</v>
      </c>
      <c r="AM75" s="52">
        <v>12600.000000000002</v>
      </c>
      <c r="AN75" s="52">
        <v>22000</v>
      </c>
      <c r="AO75" s="52">
        <v>52800.000000000007</v>
      </c>
      <c r="AP75" s="52">
        <v>30800</v>
      </c>
      <c r="AQ75" s="52">
        <v>5400</v>
      </c>
      <c r="AR75" s="52">
        <v>25200.000000000004</v>
      </c>
      <c r="AS75" s="52">
        <v>12600.000000000002</v>
      </c>
      <c r="AT75" s="52">
        <v>17600</v>
      </c>
      <c r="AU75" s="52">
        <v>57200</v>
      </c>
      <c r="AV75" s="52">
        <v>30800</v>
      </c>
      <c r="AW75" s="52">
        <v>5400</v>
      </c>
      <c r="AX75" s="52">
        <v>25200.000000000004</v>
      </c>
      <c r="AY75" s="52">
        <v>12600.000000000002</v>
      </c>
      <c r="AZ75" s="52">
        <v>20000</v>
      </c>
      <c r="BA75" s="52">
        <v>48000</v>
      </c>
      <c r="BB75" s="52">
        <v>28000</v>
      </c>
      <c r="BC75" s="52">
        <v>6000</v>
      </c>
      <c r="BD75" s="52">
        <v>26000</v>
      </c>
      <c r="BE75" s="52">
        <v>16000</v>
      </c>
      <c r="BF75" s="52">
        <v>13200.000000000002</v>
      </c>
      <c r="BG75" s="52">
        <v>61600</v>
      </c>
      <c r="BH75" s="52">
        <v>30800</v>
      </c>
      <c r="BI75" s="52">
        <v>5400</v>
      </c>
      <c r="BJ75" s="52">
        <v>23400.000000000004</v>
      </c>
      <c r="BK75" s="52">
        <v>14400</v>
      </c>
      <c r="BL75" s="52">
        <v>8400</v>
      </c>
      <c r="BM75" s="52">
        <v>63000</v>
      </c>
      <c r="BN75" s="52">
        <v>29400.000000000004</v>
      </c>
      <c r="BO75" s="52">
        <v>5400</v>
      </c>
      <c r="BP75" s="52">
        <v>23400.000000000004</v>
      </c>
      <c r="BQ75" s="52">
        <v>14400</v>
      </c>
      <c r="BR75" s="52">
        <v>13600.000000000002</v>
      </c>
      <c r="BS75" s="52">
        <v>47600</v>
      </c>
      <c r="BT75" s="52">
        <v>20400.000000000004</v>
      </c>
      <c r="BU75" s="52">
        <v>11200.000000000002</v>
      </c>
      <c r="BV75" s="52">
        <v>36400</v>
      </c>
      <c r="BW75" s="52">
        <v>19600</v>
      </c>
    </row>
    <row r="76" spans="1:75" x14ac:dyDescent="0.3">
      <c r="A76" s="8" t="s">
        <v>102</v>
      </c>
      <c r="B76" s="8" t="s">
        <v>9</v>
      </c>
      <c r="C76" s="8" t="s">
        <v>60</v>
      </c>
      <c r="D76" s="52">
        <v>67900.800000000003</v>
      </c>
      <c r="E76" s="52">
        <v>237652.80000000002</v>
      </c>
      <c r="F76" s="52">
        <v>101851.20000000001</v>
      </c>
      <c r="G76" s="52">
        <v>27777.600000000002</v>
      </c>
      <c r="H76" s="52">
        <v>97221.6</v>
      </c>
      <c r="I76" s="52">
        <v>41666.400000000001</v>
      </c>
      <c r="J76" s="52">
        <v>46296.000000000007</v>
      </c>
      <c r="K76" s="52">
        <v>231480.00000000003</v>
      </c>
      <c r="L76" s="52">
        <v>92592.000000000015</v>
      </c>
      <c r="M76" s="52">
        <v>18518.400000000001</v>
      </c>
      <c r="N76" s="52">
        <v>80246.400000000009</v>
      </c>
      <c r="O76" s="52">
        <v>49382.400000000001</v>
      </c>
      <c r="P76" s="52">
        <v>64814.400000000009</v>
      </c>
      <c r="Q76" s="52">
        <v>226850.4</v>
      </c>
      <c r="R76" s="52">
        <v>97221.6</v>
      </c>
      <c r="S76" s="52">
        <v>23148.000000000004</v>
      </c>
      <c r="T76" s="52">
        <v>100308</v>
      </c>
      <c r="U76" s="52">
        <v>61728.000000000007</v>
      </c>
      <c r="V76" s="52">
        <v>58641.600000000006</v>
      </c>
      <c r="W76" s="52">
        <v>205245.60000000003</v>
      </c>
      <c r="X76" s="52">
        <v>87962.400000000009</v>
      </c>
      <c r="Y76" s="52">
        <v>25462.800000000003</v>
      </c>
      <c r="Z76" s="52">
        <v>118826.40000000001</v>
      </c>
      <c r="AA76" s="52">
        <v>59413.200000000004</v>
      </c>
      <c r="AB76" s="52">
        <v>67900.800000000003</v>
      </c>
      <c r="AC76" s="52">
        <v>237652.80000000002</v>
      </c>
      <c r="AD76" s="52">
        <v>101851.20000000001</v>
      </c>
      <c r="AE76" s="52">
        <v>20833.2</v>
      </c>
      <c r="AF76" s="52">
        <v>90277.200000000012</v>
      </c>
      <c r="AG76" s="52">
        <v>55555.200000000004</v>
      </c>
      <c r="AH76" s="52">
        <v>64814.400000000009</v>
      </c>
      <c r="AI76" s="52">
        <v>226850.4</v>
      </c>
      <c r="AJ76" s="52">
        <v>97221.6</v>
      </c>
      <c r="AK76" s="52">
        <v>20833.2</v>
      </c>
      <c r="AL76" s="52">
        <v>97221.6</v>
      </c>
      <c r="AM76" s="52">
        <v>48610.8</v>
      </c>
      <c r="AN76" s="52">
        <v>84876</v>
      </c>
      <c r="AO76" s="52">
        <v>203702.40000000002</v>
      </c>
      <c r="AP76" s="52">
        <v>118826.40000000001</v>
      </c>
      <c r="AQ76" s="52">
        <v>20833.2</v>
      </c>
      <c r="AR76" s="52">
        <v>97221.6</v>
      </c>
      <c r="AS76" s="52">
        <v>48610.8</v>
      </c>
      <c r="AT76" s="52">
        <v>67900.800000000003</v>
      </c>
      <c r="AU76" s="52">
        <v>220677.6</v>
      </c>
      <c r="AV76" s="52">
        <v>118826.40000000001</v>
      </c>
      <c r="AW76" s="52">
        <v>20833.2</v>
      </c>
      <c r="AX76" s="52">
        <v>97221.6</v>
      </c>
      <c r="AY76" s="52">
        <v>48610.8</v>
      </c>
      <c r="AZ76" s="52">
        <v>77160.000000000015</v>
      </c>
      <c r="BA76" s="52">
        <v>185184.00000000003</v>
      </c>
      <c r="BB76" s="52">
        <v>108024.00000000001</v>
      </c>
      <c r="BC76" s="52">
        <v>23148.000000000004</v>
      </c>
      <c r="BD76" s="52">
        <v>100308</v>
      </c>
      <c r="BE76" s="52">
        <v>61728.000000000007</v>
      </c>
      <c r="BF76" s="52">
        <v>50925.600000000006</v>
      </c>
      <c r="BG76" s="52">
        <v>237652.80000000002</v>
      </c>
      <c r="BH76" s="52">
        <v>118826.40000000001</v>
      </c>
      <c r="BI76" s="52">
        <v>20833.2</v>
      </c>
      <c r="BJ76" s="52">
        <v>90277.200000000012</v>
      </c>
      <c r="BK76" s="52">
        <v>55555.200000000004</v>
      </c>
      <c r="BL76" s="52">
        <v>32407.200000000004</v>
      </c>
      <c r="BM76" s="52">
        <v>243054.00000000003</v>
      </c>
      <c r="BN76" s="52">
        <v>113425.2</v>
      </c>
      <c r="BO76" s="52">
        <v>20833.2</v>
      </c>
      <c r="BP76" s="52">
        <v>90277.200000000012</v>
      </c>
      <c r="BQ76" s="52">
        <v>55555.200000000004</v>
      </c>
      <c r="BR76" s="52">
        <v>52468.800000000003</v>
      </c>
      <c r="BS76" s="52">
        <v>183640.80000000002</v>
      </c>
      <c r="BT76" s="52">
        <v>78703.200000000012</v>
      </c>
      <c r="BU76" s="52">
        <v>43209.599999999999</v>
      </c>
      <c r="BV76" s="52">
        <v>140431.20000000001</v>
      </c>
      <c r="BW76" s="52">
        <v>75616.800000000017</v>
      </c>
    </row>
    <row r="77" spans="1:75" x14ac:dyDescent="0.3">
      <c r="A77" s="8" t="s">
        <v>102</v>
      </c>
      <c r="B77" s="8" t="s">
        <v>9</v>
      </c>
      <c r="C77" s="8" t="s">
        <v>150</v>
      </c>
      <c r="D77" s="52">
        <v>20697.599999999966</v>
      </c>
      <c r="E77" s="52">
        <v>72441.599999999991</v>
      </c>
      <c r="F77" s="52">
        <v>31046.399999999994</v>
      </c>
      <c r="G77" s="52">
        <v>8467.199999999988</v>
      </c>
      <c r="H77" s="52">
        <v>29635.199999999953</v>
      </c>
      <c r="I77" s="52">
        <v>12700.799999999979</v>
      </c>
      <c r="J77" s="52">
        <v>14111.999999999998</v>
      </c>
      <c r="K77" s="52">
        <v>70559.999999999985</v>
      </c>
      <c r="L77" s="52">
        <v>28223.999999999996</v>
      </c>
      <c r="M77" s="52">
        <v>5644.7999999999993</v>
      </c>
      <c r="N77" s="52">
        <v>24460.799999999996</v>
      </c>
      <c r="O77" s="52">
        <v>15052.799999999997</v>
      </c>
      <c r="P77" s="52">
        <v>19756.8</v>
      </c>
      <c r="Q77" s="52">
        <v>69148.799999999988</v>
      </c>
      <c r="R77" s="52">
        <v>29635.199999999993</v>
      </c>
      <c r="S77" s="52">
        <v>7055.9999999999973</v>
      </c>
      <c r="T77" s="52">
        <v>30575.999999999989</v>
      </c>
      <c r="U77" s="52">
        <v>18815.999999999993</v>
      </c>
      <c r="V77" s="52">
        <v>17875.199999999997</v>
      </c>
      <c r="W77" s="52">
        <v>62563.19999999999</v>
      </c>
      <c r="X77" s="52">
        <v>26812.799999999996</v>
      </c>
      <c r="Y77" s="52">
        <v>7761.5999999999985</v>
      </c>
      <c r="Z77" s="52">
        <v>36220.799999999996</v>
      </c>
      <c r="AA77" s="52">
        <v>18110.399999999998</v>
      </c>
      <c r="AB77" s="52">
        <v>20697.599999999999</v>
      </c>
      <c r="AC77" s="52">
        <v>72441.599999999991</v>
      </c>
      <c r="AD77" s="52">
        <v>31046.399999999994</v>
      </c>
      <c r="AE77" s="52">
        <v>0</v>
      </c>
      <c r="AF77" s="52">
        <v>0</v>
      </c>
      <c r="AG77" s="52">
        <v>0</v>
      </c>
      <c r="AH77" s="52">
        <v>19756.8</v>
      </c>
      <c r="AI77" s="52">
        <v>69148.799999999988</v>
      </c>
      <c r="AJ77" s="52">
        <v>29635.199999999993</v>
      </c>
      <c r="AK77" s="52">
        <v>6350.3999999999987</v>
      </c>
      <c r="AL77" s="52">
        <v>29635.199999999993</v>
      </c>
      <c r="AM77" s="52">
        <v>14817.599999999997</v>
      </c>
      <c r="AN77" s="52">
        <v>25871.999999999996</v>
      </c>
      <c r="AO77" s="52">
        <v>62092.799999999988</v>
      </c>
      <c r="AP77" s="52">
        <v>36220.799999999996</v>
      </c>
      <c r="AQ77" s="52">
        <v>0</v>
      </c>
      <c r="AR77" s="52">
        <v>0</v>
      </c>
      <c r="AS77" s="52">
        <v>0</v>
      </c>
      <c r="AT77" s="52">
        <v>0</v>
      </c>
      <c r="AU77" s="52">
        <v>0</v>
      </c>
      <c r="AV77" s="52">
        <v>0</v>
      </c>
      <c r="AW77" s="52">
        <v>0</v>
      </c>
      <c r="AX77" s="52">
        <v>0</v>
      </c>
      <c r="AY77" s="52">
        <v>0</v>
      </c>
      <c r="AZ77" s="52">
        <v>23519.999999999996</v>
      </c>
      <c r="BA77" s="52">
        <v>56447.999999999993</v>
      </c>
      <c r="BB77" s="52">
        <v>32928</v>
      </c>
      <c r="BC77" s="52">
        <v>7055.9999999999991</v>
      </c>
      <c r="BD77" s="52">
        <v>30575.999999999996</v>
      </c>
      <c r="BE77" s="52">
        <v>18815.999999999996</v>
      </c>
      <c r="BF77" s="52">
        <v>15523.199999999997</v>
      </c>
      <c r="BG77" s="52">
        <v>72441.599999999991</v>
      </c>
      <c r="BH77" s="52">
        <v>36220.799999999996</v>
      </c>
      <c r="BI77" s="52">
        <v>6350.3999999999987</v>
      </c>
      <c r="BJ77" s="52">
        <v>27518.399999999998</v>
      </c>
      <c r="BK77" s="52">
        <v>16934.399999999998</v>
      </c>
      <c r="BL77" s="52">
        <v>9878.4</v>
      </c>
      <c r="BM77" s="52">
        <v>74088</v>
      </c>
      <c r="BN77" s="52">
        <v>34574.399999999994</v>
      </c>
      <c r="BO77" s="52">
        <v>6350.3999999999969</v>
      </c>
      <c r="BP77" s="52">
        <v>27518.399999999998</v>
      </c>
      <c r="BQ77" s="52">
        <v>16934.399999999994</v>
      </c>
      <c r="BR77" s="52">
        <v>15993.599999999997</v>
      </c>
      <c r="BS77" s="52">
        <v>55977.599999999991</v>
      </c>
      <c r="BT77" s="52">
        <v>23990.399999999998</v>
      </c>
      <c r="BU77" s="52">
        <v>13171.199999999999</v>
      </c>
      <c r="BV77" s="52">
        <v>42806.399999999994</v>
      </c>
      <c r="BW77" s="52">
        <v>23049.599999999999</v>
      </c>
    </row>
    <row r="78" spans="1:75" x14ac:dyDescent="0.3">
      <c r="A78" s="8" t="s">
        <v>102</v>
      </c>
      <c r="B78" s="8" t="s">
        <v>9</v>
      </c>
      <c r="C78" s="8" t="s">
        <v>61</v>
      </c>
      <c r="D78" s="52">
        <v>14468.431999999926</v>
      </c>
      <c r="E78" s="52">
        <v>45394.569236364157</v>
      </c>
      <c r="F78" s="52">
        <v>10723.68</v>
      </c>
      <c r="G78" s="52">
        <v>0</v>
      </c>
      <c r="H78" s="52">
        <v>0</v>
      </c>
      <c r="I78" s="52">
        <v>0</v>
      </c>
      <c r="J78" s="52">
        <v>0</v>
      </c>
      <c r="K78" s="52">
        <v>0</v>
      </c>
      <c r="L78" s="52">
        <v>0</v>
      </c>
      <c r="M78" s="52">
        <v>0</v>
      </c>
      <c r="N78" s="52">
        <v>0</v>
      </c>
      <c r="O78" s="52">
        <v>0</v>
      </c>
      <c r="P78" s="52">
        <v>0</v>
      </c>
      <c r="Q78" s="52">
        <v>0</v>
      </c>
      <c r="R78" s="52">
        <v>0</v>
      </c>
      <c r="S78" s="52">
        <v>0</v>
      </c>
      <c r="T78" s="52">
        <v>0</v>
      </c>
      <c r="U78" s="52">
        <v>0</v>
      </c>
      <c r="V78" s="52">
        <v>0</v>
      </c>
      <c r="W78" s="52">
        <v>0</v>
      </c>
      <c r="X78" s="52">
        <v>0</v>
      </c>
      <c r="Y78" s="52">
        <v>0</v>
      </c>
      <c r="Z78" s="52">
        <v>0</v>
      </c>
      <c r="AA78" s="52">
        <v>0</v>
      </c>
      <c r="AB78" s="52">
        <v>0</v>
      </c>
      <c r="AC78" s="52">
        <v>0</v>
      </c>
      <c r="AD78" s="52">
        <v>0</v>
      </c>
      <c r="AE78" s="52">
        <v>0</v>
      </c>
      <c r="AF78" s="52">
        <v>0</v>
      </c>
      <c r="AG78" s="52">
        <v>0</v>
      </c>
      <c r="AH78" s="52">
        <v>0</v>
      </c>
      <c r="AI78" s="52">
        <v>0</v>
      </c>
      <c r="AJ78" s="52">
        <v>0</v>
      </c>
      <c r="AK78" s="52">
        <v>0</v>
      </c>
      <c r="AL78" s="52">
        <v>0</v>
      </c>
      <c r="AM78" s="52">
        <v>0</v>
      </c>
      <c r="AN78" s="52">
        <v>0</v>
      </c>
      <c r="AO78" s="52">
        <v>0</v>
      </c>
      <c r="AP78" s="52">
        <v>0</v>
      </c>
      <c r="AQ78" s="52">
        <v>0</v>
      </c>
      <c r="AR78" s="52">
        <v>0</v>
      </c>
      <c r="AS78" s="52">
        <v>0</v>
      </c>
      <c r="AT78" s="52">
        <v>0</v>
      </c>
      <c r="AU78" s="52">
        <v>0</v>
      </c>
      <c r="AV78" s="52">
        <v>0</v>
      </c>
      <c r="AW78" s="52">
        <v>0</v>
      </c>
      <c r="AX78" s="52">
        <v>0</v>
      </c>
      <c r="AY78" s="52">
        <v>0</v>
      </c>
      <c r="AZ78" s="52">
        <v>0</v>
      </c>
      <c r="BA78" s="52">
        <v>0</v>
      </c>
      <c r="BB78" s="52">
        <v>0</v>
      </c>
      <c r="BC78" s="52">
        <v>0</v>
      </c>
      <c r="BD78" s="52">
        <v>0</v>
      </c>
      <c r="BE78" s="52">
        <v>0</v>
      </c>
      <c r="BF78" s="52">
        <v>0</v>
      </c>
      <c r="BG78" s="52">
        <v>0</v>
      </c>
      <c r="BH78" s="52">
        <v>0</v>
      </c>
      <c r="BI78" s="52">
        <v>0</v>
      </c>
      <c r="BJ78" s="52">
        <v>0</v>
      </c>
      <c r="BK78" s="52">
        <v>0</v>
      </c>
      <c r="BL78" s="52">
        <v>0</v>
      </c>
      <c r="BM78" s="52">
        <v>0</v>
      </c>
      <c r="BN78" s="52">
        <v>0</v>
      </c>
      <c r="BO78" s="52">
        <v>0</v>
      </c>
      <c r="BP78" s="52">
        <v>0</v>
      </c>
      <c r="BQ78" s="52">
        <v>0</v>
      </c>
      <c r="BR78" s="52">
        <v>13810.800000000001</v>
      </c>
      <c r="BS78" s="52">
        <v>48337.8</v>
      </c>
      <c r="BT78" s="52">
        <v>8286.48</v>
      </c>
      <c r="BU78" s="52">
        <v>0</v>
      </c>
      <c r="BV78" s="52">
        <v>0</v>
      </c>
      <c r="BW78" s="52">
        <v>0</v>
      </c>
    </row>
    <row r="79" spans="1:75" x14ac:dyDescent="0.3">
      <c r="A79" s="8" t="s">
        <v>102</v>
      </c>
      <c r="B79" s="8" t="s">
        <v>9</v>
      </c>
      <c r="C79" s="8" t="s">
        <v>152</v>
      </c>
      <c r="D79" s="52">
        <v>5294.079999999999</v>
      </c>
      <c r="E79" s="52">
        <v>18529.279999999995</v>
      </c>
      <c r="F79" s="52">
        <v>7941.119999999999</v>
      </c>
      <c r="G79" s="52">
        <v>0</v>
      </c>
      <c r="H79" s="52">
        <v>0</v>
      </c>
      <c r="I79" s="52">
        <v>0</v>
      </c>
      <c r="J79" s="52">
        <v>0</v>
      </c>
      <c r="K79" s="52">
        <v>0</v>
      </c>
      <c r="L79" s="52">
        <v>0</v>
      </c>
      <c r="M79" s="52">
        <v>0</v>
      </c>
      <c r="N79" s="52">
        <v>0</v>
      </c>
      <c r="O79" s="52">
        <v>0</v>
      </c>
      <c r="P79" s="52">
        <v>0</v>
      </c>
      <c r="Q79" s="52">
        <v>0</v>
      </c>
      <c r="R79" s="52">
        <v>0</v>
      </c>
      <c r="S79" s="52">
        <v>0</v>
      </c>
      <c r="T79" s="52">
        <v>0</v>
      </c>
      <c r="U79" s="52">
        <v>0</v>
      </c>
      <c r="V79" s="52">
        <v>0</v>
      </c>
      <c r="W79" s="52">
        <v>0</v>
      </c>
      <c r="X79" s="52">
        <v>0</v>
      </c>
      <c r="Y79" s="52">
        <v>0</v>
      </c>
      <c r="Z79" s="52">
        <v>0</v>
      </c>
      <c r="AA79" s="52">
        <v>0</v>
      </c>
      <c r="AB79" s="52">
        <v>0</v>
      </c>
      <c r="AC79" s="52">
        <v>0</v>
      </c>
      <c r="AD79" s="52">
        <v>0</v>
      </c>
      <c r="AE79" s="52">
        <v>0</v>
      </c>
      <c r="AF79" s="52">
        <v>0</v>
      </c>
      <c r="AG79" s="52">
        <v>0</v>
      </c>
      <c r="AH79" s="52">
        <v>0</v>
      </c>
      <c r="AI79" s="52">
        <v>0</v>
      </c>
      <c r="AJ79" s="52">
        <v>0</v>
      </c>
      <c r="AK79" s="52">
        <v>0</v>
      </c>
      <c r="AL79" s="52">
        <v>0</v>
      </c>
      <c r="AM79" s="52">
        <v>0</v>
      </c>
      <c r="AN79" s="52">
        <v>0</v>
      </c>
      <c r="AO79" s="52">
        <v>0</v>
      </c>
      <c r="AP79" s="52">
        <v>0</v>
      </c>
      <c r="AQ79" s="52">
        <v>0</v>
      </c>
      <c r="AR79" s="52">
        <v>0</v>
      </c>
      <c r="AS79" s="52">
        <v>0</v>
      </c>
      <c r="AT79" s="52">
        <v>13235.2</v>
      </c>
      <c r="AU79" s="52">
        <v>26212.601000000188</v>
      </c>
      <c r="AV79" s="52">
        <v>9264.6399999999976</v>
      </c>
      <c r="AW79" s="52">
        <v>4060.8</v>
      </c>
      <c r="AX79" s="52">
        <v>7580.1599999999989</v>
      </c>
      <c r="AY79" s="52">
        <v>3790.0799999999995</v>
      </c>
      <c r="AZ79" s="52">
        <v>0</v>
      </c>
      <c r="BA79" s="52">
        <v>0</v>
      </c>
      <c r="BB79" s="52">
        <v>0</v>
      </c>
      <c r="BC79" s="52">
        <v>0</v>
      </c>
      <c r="BD79" s="52">
        <v>0</v>
      </c>
      <c r="BE79" s="52">
        <v>0</v>
      </c>
      <c r="BF79" s="52">
        <v>9926.4000000000015</v>
      </c>
      <c r="BG79" s="52">
        <v>46323.199999999997</v>
      </c>
      <c r="BH79" s="52">
        <v>9264.6399999999976</v>
      </c>
      <c r="BI79" s="52">
        <v>0</v>
      </c>
      <c r="BJ79" s="52">
        <v>0</v>
      </c>
      <c r="BK79" s="52">
        <v>0</v>
      </c>
      <c r="BL79" s="52">
        <v>2747.7660000000283</v>
      </c>
      <c r="BM79" s="52">
        <v>18950.399999999998</v>
      </c>
      <c r="BN79" s="52">
        <v>8843.5199999999986</v>
      </c>
      <c r="BO79" s="52">
        <v>0</v>
      </c>
      <c r="BP79" s="52">
        <v>0</v>
      </c>
      <c r="BQ79" s="52">
        <v>0</v>
      </c>
      <c r="BR79" s="52">
        <v>6686.7800000000079</v>
      </c>
      <c r="BS79" s="52">
        <v>23668.148000000227</v>
      </c>
      <c r="BT79" s="52">
        <v>6136.3199999999115</v>
      </c>
      <c r="BU79" s="52">
        <v>0</v>
      </c>
      <c r="BV79" s="52">
        <v>0</v>
      </c>
      <c r="BW79" s="52">
        <v>0</v>
      </c>
    </row>
    <row r="80" spans="1:75" x14ac:dyDescent="0.3">
      <c r="A80" s="8" t="s">
        <v>102</v>
      </c>
      <c r="B80" s="8" t="s">
        <v>9</v>
      </c>
      <c r="C80" s="8" t="s">
        <v>151</v>
      </c>
      <c r="D80" s="52">
        <v>17107.2</v>
      </c>
      <c r="E80" s="52">
        <v>59875.200000000004</v>
      </c>
      <c r="F80" s="52">
        <v>10264.320000000002</v>
      </c>
      <c r="G80" s="52">
        <v>6998.4000000000005</v>
      </c>
      <c r="H80" s="52">
        <v>24494.400000000001</v>
      </c>
      <c r="I80" s="52">
        <v>4199.04</v>
      </c>
      <c r="J80" s="52">
        <v>11664.000000000002</v>
      </c>
      <c r="K80" s="52">
        <v>58320.000000000007</v>
      </c>
      <c r="L80" s="52">
        <v>9331.1999999999953</v>
      </c>
      <c r="M80" s="52">
        <v>4665.6000000000004</v>
      </c>
      <c r="N80" s="52">
        <v>20217.600000000002</v>
      </c>
      <c r="O80" s="52">
        <v>4976.6400000000003</v>
      </c>
      <c r="P80" s="52">
        <v>0</v>
      </c>
      <c r="Q80" s="52">
        <v>0</v>
      </c>
      <c r="R80" s="52">
        <v>0</v>
      </c>
      <c r="S80" s="52">
        <v>0</v>
      </c>
      <c r="T80" s="52">
        <v>0</v>
      </c>
      <c r="U80" s="52">
        <v>0</v>
      </c>
      <c r="V80" s="52">
        <v>14774.400000000001</v>
      </c>
      <c r="W80" s="52">
        <v>51710.400000000009</v>
      </c>
      <c r="X80" s="52">
        <v>8864.6399999999849</v>
      </c>
      <c r="Y80" s="52">
        <v>6415.2000000000007</v>
      </c>
      <c r="Z80" s="52">
        <v>29937.600000000002</v>
      </c>
      <c r="AA80" s="52">
        <v>5987.52</v>
      </c>
      <c r="AB80" s="52">
        <v>17107.2</v>
      </c>
      <c r="AC80" s="52">
        <v>59875.200000000004</v>
      </c>
      <c r="AD80" s="52">
        <v>10264.320000000002</v>
      </c>
      <c r="AE80" s="52">
        <v>5248.8</v>
      </c>
      <c r="AF80" s="52">
        <v>9097.9199999999983</v>
      </c>
      <c r="AG80" s="52">
        <v>5598.7200000000012</v>
      </c>
      <c r="AH80" s="52">
        <v>16329.600000000002</v>
      </c>
      <c r="AI80" s="52">
        <v>57153.600000000006</v>
      </c>
      <c r="AJ80" s="52">
        <v>9797.760000000002</v>
      </c>
      <c r="AK80" s="52">
        <v>0</v>
      </c>
      <c r="AL80" s="52">
        <v>0</v>
      </c>
      <c r="AM80" s="52">
        <v>0</v>
      </c>
      <c r="AN80" s="52">
        <v>21384</v>
      </c>
      <c r="AO80" s="52">
        <v>51321.600000000006</v>
      </c>
      <c r="AP80" s="52">
        <v>11975.04</v>
      </c>
      <c r="AQ80" s="52">
        <v>0</v>
      </c>
      <c r="AR80" s="52">
        <v>0</v>
      </c>
      <c r="AS80" s="52">
        <v>0</v>
      </c>
      <c r="AT80" s="52">
        <v>17107.2</v>
      </c>
      <c r="AU80" s="52">
        <v>55598.400000000009</v>
      </c>
      <c r="AV80" s="52">
        <v>11975.04</v>
      </c>
      <c r="AW80" s="52">
        <v>5248.8</v>
      </c>
      <c r="AX80" s="52">
        <v>24494.400000000001</v>
      </c>
      <c r="AY80" s="52">
        <v>4898.880000000001</v>
      </c>
      <c r="AZ80" s="52">
        <v>0</v>
      </c>
      <c r="BA80" s="52">
        <v>0</v>
      </c>
      <c r="BB80" s="52">
        <v>0</v>
      </c>
      <c r="BC80" s="52">
        <v>0</v>
      </c>
      <c r="BD80" s="52">
        <v>0</v>
      </c>
      <c r="BE80" s="52">
        <v>0</v>
      </c>
      <c r="BF80" s="52">
        <v>12830.400000000001</v>
      </c>
      <c r="BG80" s="52">
        <v>59875.200000000004</v>
      </c>
      <c r="BH80" s="52">
        <v>11975.04</v>
      </c>
      <c r="BI80" s="52">
        <v>5248.8</v>
      </c>
      <c r="BJ80" s="52">
        <v>22744.800000000003</v>
      </c>
      <c r="BK80" s="52">
        <v>5598.7200000000012</v>
      </c>
      <c r="BL80" s="52">
        <v>8164.8000000000011</v>
      </c>
      <c r="BM80" s="52">
        <v>55385.505000000157</v>
      </c>
      <c r="BN80" s="52">
        <v>11430.719999999943</v>
      </c>
      <c r="BO80" s="52">
        <v>0</v>
      </c>
      <c r="BP80" s="52">
        <v>0</v>
      </c>
      <c r="BQ80" s="52">
        <v>0</v>
      </c>
      <c r="BR80" s="52">
        <v>13219.2</v>
      </c>
      <c r="BS80" s="52">
        <v>46267.200000000004</v>
      </c>
      <c r="BT80" s="52">
        <v>7931.52</v>
      </c>
      <c r="BU80" s="52">
        <v>10886.400000000001</v>
      </c>
      <c r="BV80" s="52">
        <v>35380.800000000003</v>
      </c>
      <c r="BW80" s="52">
        <v>7620.4800000000005</v>
      </c>
    </row>
    <row r="81" spans="1:75" x14ac:dyDescent="0.3">
      <c r="A81" s="8" t="s">
        <v>102</v>
      </c>
      <c r="B81" s="8" t="s">
        <v>9</v>
      </c>
      <c r="C81" s="8" t="s">
        <v>62</v>
      </c>
      <c r="D81" s="52">
        <v>44000</v>
      </c>
      <c r="E81" s="52">
        <v>154000</v>
      </c>
      <c r="F81" s="52">
        <v>66000</v>
      </c>
      <c r="G81" s="52">
        <v>18000</v>
      </c>
      <c r="H81" s="52">
        <v>63000</v>
      </c>
      <c r="I81" s="52">
        <v>27000</v>
      </c>
      <c r="J81" s="52">
        <v>30000</v>
      </c>
      <c r="K81" s="52">
        <v>150000</v>
      </c>
      <c r="L81" s="52">
        <v>60000</v>
      </c>
      <c r="M81" s="52">
        <v>12000</v>
      </c>
      <c r="N81" s="52">
        <v>52000</v>
      </c>
      <c r="O81" s="52">
        <v>32000</v>
      </c>
      <c r="P81" s="52">
        <v>42000</v>
      </c>
      <c r="Q81" s="52">
        <v>147000</v>
      </c>
      <c r="R81" s="52">
        <v>63000</v>
      </c>
      <c r="S81" s="52">
        <v>15000</v>
      </c>
      <c r="T81" s="52">
        <v>65000</v>
      </c>
      <c r="U81" s="52">
        <v>40000</v>
      </c>
      <c r="V81" s="52">
        <v>38000</v>
      </c>
      <c r="W81" s="52">
        <v>133000</v>
      </c>
      <c r="X81" s="52">
        <v>57000</v>
      </c>
      <c r="Y81" s="52">
        <v>16500</v>
      </c>
      <c r="Z81" s="52">
        <v>77000</v>
      </c>
      <c r="AA81" s="52">
        <v>38500</v>
      </c>
      <c r="AB81" s="52">
        <v>44000</v>
      </c>
      <c r="AC81" s="52">
        <v>154000</v>
      </c>
      <c r="AD81" s="52">
        <v>66000</v>
      </c>
      <c r="AE81" s="52">
        <v>13500</v>
      </c>
      <c r="AF81" s="52">
        <v>58500</v>
      </c>
      <c r="AG81" s="52">
        <v>36000</v>
      </c>
      <c r="AH81" s="52">
        <v>42000</v>
      </c>
      <c r="AI81" s="52">
        <v>147000</v>
      </c>
      <c r="AJ81" s="52">
        <v>63000</v>
      </c>
      <c r="AK81" s="52">
        <v>13500</v>
      </c>
      <c r="AL81" s="52">
        <v>63000</v>
      </c>
      <c r="AM81" s="52">
        <v>31500</v>
      </c>
      <c r="AN81" s="52">
        <v>55000</v>
      </c>
      <c r="AO81" s="52">
        <v>132000</v>
      </c>
      <c r="AP81" s="52">
        <v>77000</v>
      </c>
      <c r="AQ81" s="52">
        <v>13500</v>
      </c>
      <c r="AR81" s="52">
        <v>63000</v>
      </c>
      <c r="AS81" s="52">
        <v>31500</v>
      </c>
      <c r="AT81" s="52">
        <v>44000</v>
      </c>
      <c r="AU81" s="52">
        <v>143000</v>
      </c>
      <c r="AV81" s="52">
        <v>77000</v>
      </c>
      <c r="AW81" s="52">
        <v>13500</v>
      </c>
      <c r="AX81" s="52">
        <v>63000</v>
      </c>
      <c r="AY81" s="52">
        <v>31500</v>
      </c>
      <c r="AZ81" s="52">
        <v>50000</v>
      </c>
      <c r="BA81" s="52">
        <v>120000</v>
      </c>
      <c r="BB81" s="52">
        <v>70000</v>
      </c>
      <c r="BC81" s="52">
        <v>15000</v>
      </c>
      <c r="BD81" s="52">
        <v>65000</v>
      </c>
      <c r="BE81" s="52">
        <v>40000</v>
      </c>
      <c r="BF81" s="52">
        <v>33000</v>
      </c>
      <c r="BG81" s="52">
        <v>154000</v>
      </c>
      <c r="BH81" s="52">
        <v>76271.877097345161</v>
      </c>
      <c r="BI81" s="52">
        <v>13500</v>
      </c>
      <c r="BJ81" s="52">
        <v>58500</v>
      </c>
      <c r="BK81" s="52">
        <v>35659.578902654888</v>
      </c>
      <c r="BL81" s="52">
        <v>21000</v>
      </c>
      <c r="BM81" s="52">
        <v>157500</v>
      </c>
      <c r="BN81" s="52">
        <v>73500</v>
      </c>
      <c r="BO81" s="52">
        <v>13500</v>
      </c>
      <c r="BP81" s="52">
        <v>58500</v>
      </c>
      <c r="BQ81" s="52">
        <v>36000</v>
      </c>
      <c r="BR81" s="52">
        <v>34000</v>
      </c>
      <c r="BS81" s="52">
        <v>119000</v>
      </c>
      <c r="BT81" s="52">
        <v>51000</v>
      </c>
      <c r="BU81" s="52">
        <v>28000</v>
      </c>
      <c r="BV81" s="52">
        <v>91000</v>
      </c>
      <c r="BW81" s="52">
        <v>49000</v>
      </c>
    </row>
    <row r="82" spans="1:75" x14ac:dyDescent="0.3">
      <c r="A82" s="8" t="s">
        <v>102</v>
      </c>
      <c r="B82" s="8" t="s">
        <v>9</v>
      </c>
      <c r="C82" s="8" t="s">
        <v>63</v>
      </c>
      <c r="D82" s="52">
        <v>44000</v>
      </c>
      <c r="E82" s="52">
        <v>154000</v>
      </c>
      <c r="F82" s="52">
        <v>22983.44400000001</v>
      </c>
      <c r="G82" s="52">
        <v>18000</v>
      </c>
      <c r="H82" s="52">
        <v>63000</v>
      </c>
      <c r="I82" s="52">
        <v>6814.8360000000157</v>
      </c>
      <c r="J82" s="52">
        <v>30000</v>
      </c>
      <c r="K82" s="52">
        <v>150000</v>
      </c>
      <c r="L82" s="52">
        <v>25499.64</v>
      </c>
      <c r="M82" s="52">
        <v>12000</v>
      </c>
      <c r="N82" s="52">
        <v>52000</v>
      </c>
      <c r="O82" s="52">
        <v>13259.647999999941</v>
      </c>
      <c r="P82" s="52">
        <v>42000</v>
      </c>
      <c r="Q82" s="52">
        <v>147000</v>
      </c>
      <c r="R82" s="52">
        <v>34574.625087378568</v>
      </c>
      <c r="S82" s="52">
        <v>15000</v>
      </c>
      <c r="T82" s="52">
        <v>65000</v>
      </c>
      <c r="U82" s="52">
        <v>9687.5029126214195</v>
      </c>
      <c r="V82" s="52">
        <v>38000</v>
      </c>
      <c r="W82" s="52">
        <v>133000</v>
      </c>
      <c r="X82" s="52">
        <v>16186.328000000085</v>
      </c>
      <c r="Y82" s="52">
        <v>0</v>
      </c>
      <c r="Z82" s="52">
        <v>0</v>
      </c>
      <c r="AA82" s="52">
        <v>0</v>
      </c>
      <c r="AB82" s="52">
        <v>44000</v>
      </c>
      <c r="AC82" s="52">
        <v>154000</v>
      </c>
      <c r="AD82" s="52">
        <v>25382.676000000069</v>
      </c>
      <c r="AE82" s="52">
        <v>13500</v>
      </c>
      <c r="AF82" s="52">
        <v>54837.540000000125</v>
      </c>
      <c r="AG82" s="52">
        <v>13845.096000000038</v>
      </c>
      <c r="AH82" s="52">
        <v>42000</v>
      </c>
      <c r="AI82" s="52">
        <v>147000</v>
      </c>
      <c r="AJ82" s="52">
        <v>23824.331999999922</v>
      </c>
      <c r="AK82" s="52">
        <v>0</v>
      </c>
      <c r="AL82" s="52">
        <v>0</v>
      </c>
      <c r="AM82" s="52">
        <v>0</v>
      </c>
      <c r="AN82" s="52">
        <v>55000</v>
      </c>
      <c r="AO82" s="52">
        <v>132000</v>
      </c>
      <c r="AP82" s="52">
        <v>59473.722000000103</v>
      </c>
      <c r="AQ82" s="52">
        <v>13500</v>
      </c>
      <c r="AR82" s="52">
        <v>63000</v>
      </c>
      <c r="AS82" s="52">
        <v>24330.15900000004</v>
      </c>
      <c r="AT82" s="52">
        <v>44000</v>
      </c>
      <c r="AU82" s="52">
        <v>143000</v>
      </c>
      <c r="AV82" s="52">
        <v>48686.329999999973</v>
      </c>
      <c r="AW82" s="52">
        <v>13500</v>
      </c>
      <c r="AX82" s="52">
        <v>63000</v>
      </c>
      <c r="AY82" s="52">
        <v>12313.979999999983</v>
      </c>
      <c r="AZ82" s="52">
        <v>50000</v>
      </c>
      <c r="BA82" s="52">
        <v>120000</v>
      </c>
      <c r="BB82" s="52">
        <v>39109.440000000111</v>
      </c>
      <c r="BC82" s="52">
        <v>15000</v>
      </c>
      <c r="BD82" s="52">
        <v>65000</v>
      </c>
      <c r="BE82" s="52">
        <v>11102.560000000032</v>
      </c>
      <c r="BF82" s="52">
        <v>33000</v>
      </c>
      <c r="BG82" s="52">
        <v>154000</v>
      </c>
      <c r="BH82" s="52">
        <v>15400</v>
      </c>
      <c r="BI82" s="52">
        <v>0</v>
      </c>
      <c r="BJ82" s="52">
        <v>0</v>
      </c>
      <c r="BK82" s="52">
        <v>0</v>
      </c>
      <c r="BL82" s="52">
        <v>21000</v>
      </c>
      <c r="BM82" s="52">
        <v>157500</v>
      </c>
      <c r="BN82" s="52">
        <v>25941.114164383627</v>
      </c>
      <c r="BO82" s="52">
        <v>13500</v>
      </c>
      <c r="BP82" s="52">
        <v>58500</v>
      </c>
      <c r="BQ82" s="52">
        <v>12705.85183561647</v>
      </c>
      <c r="BR82" s="52">
        <v>34000</v>
      </c>
      <c r="BS82" s="52">
        <v>119000</v>
      </c>
      <c r="BT82" s="52">
        <v>20407.548000000123</v>
      </c>
      <c r="BU82" s="52">
        <v>28000</v>
      </c>
      <c r="BV82" s="52">
        <v>91000</v>
      </c>
      <c r="BW82" s="52">
        <v>14077.233999999997</v>
      </c>
    </row>
    <row r="83" spans="1:75" x14ac:dyDescent="0.3">
      <c r="A83" s="8" t="s">
        <v>102</v>
      </c>
      <c r="B83" s="8" t="s">
        <v>9</v>
      </c>
      <c r="C83" s="8" t="s">
        <v>64</v>
      </c>
      <c r="D83" s="52">
        <v>44000</v>
      </c>
      <c r="E83" s="52">
        <v>154000</v>
      </c>
      <c r="F83" s="52">
        <v>13200.000000000002</v>
      </c>
      <c r="G83" s="52">
        <v>0</v>
      </c>
      <c r="H83" s="52">
        <v>0</v>
      </c>
      <c r="I83" s="52">
        <v>0</v>
      </c>
      <c r="J83" s="52">
        <v>30000</v>
      </c>
      <c r="K83" s="52">
        <v>150000</v>
      </c>
      <c r="L83" s="52">
        <v>12000</v>
      </c>
      <c r="M83" s="52">
        <v>0</v>
      </c>
      <c r="N83" s="52">
        <v>0</v>
      </c>
      <c r="O83" s="52">
        <v>0</v>
      </c>
      <c r="P83" s="52">
        <v>42000</v>
      </c>
      <c r="Q83" s="52">
        <v>147000</v>
      </c>
      <c r="R83" s="52">
        <v>12600.000000000002</v>
      </c>
      <c r="S83" s="52">
        <v>0</v>
      </c>
      <c r="T83" s="52">
        <v>0</v>
      </c>
      <c r="U83" s="52">
        <v>0</v>
      </c>
      <c r="V83" s="52">
        <v>0</v>
      </c>
      <c r="W83" s="52">
        <v>0</v>
      </c>
      <c r="X83" s="52">
        <v>0</v>
      </c>
      <c r="Y83" s="52">
        <v>0</v>
      </c>
      <c r="Z83" s="52">
        <v>0</v>
      </c>
      <c r="AA83" s="52">
        <v>0</v>
      </c>
      <c r="AB83" s="52">
        <v>0</v>
      </c>
      <c r="AC83" s="52">
        <v>0</v>
      </c>
      <c r="AD83" s="52">
        <v>0</v>
      </c>
      <c r="AE83" s="52">
        <v>0</v>
      </c>
      <c r="AF83" s="52">
        <v>0</v>
      </c>
      <c r="AG83" s="52">
        <v>0</v>
      </c>
      <c r="AH83" s="52">
        <v>42000</v>
      </c>
      <c r="AI83" s="52">
        <v>147000</v>
      </c>
      <c r="AJ83" s="52">
        <v>20566.224000000049</v>
      </c>
      <c r="AK83" s="52">
        <v>13500</v>
      </c>
      <c r="AL83" s="52">
        <v>63000</v>
      </c>
      <c r="AM83" s="52">
        <v>10283.112000000025</v>
      </c>
      <c r="AN83" s="52">
        <v>55000</v>
      </c>
      <c r="AO83" s="52">
        <v>132000</v>
      </c>
      <c r="AP83" s="52">
        <v>15400</v>
      </c>
      <c r="AQ83" s="52">
        <v>13500</v>
      </c>
      <c r="AR83" s="52">
        <v>61610.346000000063</v>
      </c>
      <c r="AS83" s="52">
        <v>6300.0000000000009</v>
      </c>
      <c r="AT83" s="52">
        <v>44000</v>
      </c>
      <c r="AU83" s="52">
        <v>143000</v>
      </c>
      <c r="AV83" s="52">
        <v>15400</v>
      </c>
      <c r="AW83" s="52">
        <v>0</v>
      </c>
      <c r="AX83" s="52">
        <v>0</v>
      </c>
      <c r="AY83" s="52">
        <v>0</v>
      </c>
      <c r="AZ83" s="52">
        <v>50000</v>
      </c>
      <c r="BA83" s="52">
        <v>120000</v>
      </c>
      <c r="BB83" s="52">
        <v>14000</v>
      </c>
      <c r="BC83" s="52">
        <v>0</v>
      </c>
      <c r="BD83" s="52">
        <v>0</v>
      </c>
      <c r="BE83" s="52">
        <v>0</v>
      </c>
      <c r="BF83" s="52">
        <v>0</v>
      </c>
      <c r="BG83" s="52">
        <v>0</v>
      </c>
      <c r="BH83" s="52">
        <v>0</v>
      </c>
      <c r="BI83" s="52">
        <v>0</v>
      </c>
      <c r="BJ83" s="52">
        <v>0</v>
      </c>
      <c r="BK83" s="52">
        <v>0</v>
      </c>
      <c r="BL83" s="52">
        <v>21000</v>
      </c>
      <c r="BM83" s="52">
        <v>157500</v>
      </c>
      <c r="BN83" s="52">
        <v>14700.000000000002</v>
      </c>
      <c r="BO83" s="52">
        <v>0</v>
      </c>
      <c r="BP83" s="52">
        <v>0</v>
      </c>
      <c r="BQ83" s="52">
        <v>0</v>
      </c>
      <c r="BR83" s="52">
        <v>34000</v>
      </c>
      <c r="BS83" s="52">
        <v>119000</v>
      </c>
      <c r="BT83" s="52">
        <v>10200.000000000002</v>
      </c>
      <c r="BU83" s="52">
        <v>0</v>
      </c>
      <c r="BV83" s="52">
        <v>0</v>
      </c>
      <c r="BW83" s="52">
        <v>0</v>
      </c>
    </row>
    <row r="84" spans="1:75" x14ac:dyDescent="0.3">
      <c r="A84" s="8" t="s">
        <v>102</v>
      </c>
      <c r="B84" s="8" t="s">
        <v>9</v>
      </c>
      <c r="C84" s="8" t="s">
        <v>65</v>
      </c>
      <c r="D84" s="52">
        <v>58739.999999999993</v>
      </c>
      <c r="E84" s="52">
        <v>205590</v>
      </c>
      <c r="F84" s="52">
        <v>88110</v>
      </c>
      <c r="G84" s="52">
        <v>24030</v>
      </c>
      <c r="H84" s="52">
        <v>84105</v>
      </c>
      <c r="I84" s="52">
        <v>36045</v>
      </c>
      <c r="J84" s="52">
        <v>40050</v>
      </c>
      <c r="K84" s="52">
        <v>200250</v>
      </c>
      <c r="L84" s="52">
        <v>80100</v>
      </c>
      <c r="M84" s="52">
        <v>16020</v>
      </c>
      <c r="N84" s="52">
        <v>69420</v>
      </c>
      <c r="O84" s="52">
        <v>42720</v>
      </c>
      <c r="P84" s="52">
        <v>56070</v>
      </c>
      <c r="Q84" s="52">
        <v>196245</v>
      </c>
      <c r="R84" s="52">
        <v>84105</v>
      </c>
      <c r="S84" s="52">
        <v>20025</v>
      </c>
      <c r="T84" s="52">
        <v>86774.999999999985</v>
      </c>
      <c r="U84" s="52">
        <v>53400</v>
      </c>
      <c r="V84" s="52">
        <v>50730</v>
      </c>
      <c r="W84" s="52">
        <v>177555</v>
      </c>
      <c r="X84" s="52">
        <v>76095</v>
      </c>
      <c r="Y84" s="52">
        <v>22027.5</v>
      </c>
      <c r="Z84" s="52">
        <v>102795</v>
      </c>
      <c r="AA84" s="52">
        <v>51397.5</v>
      </c>
      <c r="AB84" s="52">
        <v>58739.999999999993</v>
      </c>
      <c r="AC84" s="52">
        <v>205590</v>
      </c>
      <c r="AD84" s="52">
        <v>88110</v>
      </c>
      <c r="AE84" s="52">
        <v>18022.5</v>
      </c>
      <c r="AF84" s="52">
        <v>78097.5</v>
      </c>
      <c r="AG84" s="52">
        <v>48060</v>
      </c>
      <c r="AH84" s="52">
        <v>56070</v>
      </c>
      <c r="AI84" s="52">
        <v>196245</v>
      </c>
      <c r="AJ84" s="52">
        <v>84105</v>
      </c>
      <c r="AK84" s="52">
        <v>18022.5</v>
      </c>
      <c r="AL84" s="52">
        <v>84105</v>
      </c>
      <c r="AM84" s="52">
        <v>42052.5</v>
      </c>
      <c r="AN84" s="52">
        <v>73425</v>
      </c>
      <c r="AO84" s="52">
        <v>176220</v>
      </c>
      <c r="AP84" s="52">
        <v>102795</v>
      </c>
      <c r="AQ84" s="52">
        <v>18022.5</v>
      </c>
      <c r="AR84" s="52">
        <v>84105</v>
      </c>
      <c r="AS84" s="52">
        <v>42052.5</v>
      </c>
      <c r="AT84" s="52">
        <v>58739.999999999993</v>
      </c>
      <c r="AU84" s="52">
        <v>190905</v>
      </c>
      <c r="AV84" s="52">
        <v>102795</v>
      </c>
      <c r="AW84" s="52">
        <v>18022.5</v>
      </c>
      <c r="AX84" s="52">
        <v>84105</v>
      </c>
      <c r="AY84" s="52">
        <v>42052.5</v>
      </c>
      <c r="AZ84" s="52">
        <v>66750</v>
      </c>
      <c r="BA84" s="52">
        <v>160200</v>
      </c>
      <c r="BB84" s="52">
        <v>93450</v>
      </c>
      <c r="BC84" s="52">
        <v>20025</v>
      </c>
      <c r="BD84" s="52">
        <v>86774.999999999985</v>
      </c>
      <c r="BE84" s="52">
        <v>53400</v>
      </c>
      <c r="BF84" s="52">
        <v>44055</v>
      </c>
      <c r="BG84" s="52">
        <v>205590</v>
      </c>
      <c r="BH84" s="52">
        <v>102795</v>
      </c>
      <c r="BI84" s="52">
        <v>18022.5</v>
      </c>
      <c r="BJ84" s="52">
        <v>78097.5</v>
      </c>
      <c r="BK84" s="52">
        <v>48060</v>
      </c>
      <c r="BL84" s="52">
        <v>28035</v>
      </c>
      <c r="BM84" s="52">
        <v>210262.5</v>
      </c>
      <c r="BN84" s="52">
        <v>98122.5</v>
      </c>
      <c r="BO84" s="52">
        <v>18022.5</v>
      </c>
      <c r="BP84" s="52">
        <v>78097.5</v>
      </c>
      <c r="BQ84" s="52">
        <v>48060</v>
      </c>
      <c r="BR84" s="52">
        <v>45390</v>
      </c>
      <c r="BS84" s="52">
        <v>158865</v>
      </c>
      <c r="BT84" s="52">
        <v>68085</v>
      </c>
      <c r="BU84" s="52">
        <v>37379.999999999993</v>
      </c>
      <c r="BV84" s="52">
        <v>121485</v>
      </c>
      <c r="BW84" s="52">
        <v>65414.999999999993</v>
      </c>
    </row>
    <row r="85" spans="1:75" x14ac:dyDescent="0.3">
      <c r="A85" s="8" t="s">
        <v>102</v>
      </c>
      <c r="B85" s="8" t="s">
        <v>9</v>
      </c>
      <c r="C85" s="8" t="s">
        <v>66</v>
      </c>
      <c r="D85" s="52">
        <v>0</v>
      </c>
      <c r="E85" s="52">
        <v>0</v>
      </c>
      <c r="F85" s="52">
        <v>0</v>
      </c>
      <c r="G85" s="52">
        <v>0</v>
      </c>
      <c r="H85" s="52">
        <v>0</v>
      </c>
      <c r="I85" s="52">
        <v>0</v>
      </c>
      <c r="J85" s="52">
        <v>0</v>
      </c>
      <c r="K85" s="52">
        <v>0</v>
      </c>
      <c r="L85" s="52">
        <v>0</v>
      </c>
      <c r="M85" s="52">
        <v>0</v>
      </c>
      <c r="N85" s="52">
        <v>0</v>
      </c>
      <c r="O85" s="52">
        <v>0</v>
      </c>
      <c r="P85" s="52">
        <v>0</v>
      </c>
      <c r="Q85" s="52">
        <v>0</v>
      </c>
      <c r="R85" s="52">
        <v>0</v>
      </c>
      <c r="S85" s="52">
        <v>0</v>
      </c>
      <c r="T85" s="52">
        <v>0</v>
      </c>
      <c r="U85" s="52">
        <v>0</v>
      </c>
      <c r="V85" s="52">
        <v>0</v>
      </c>
      <c r="W85" s="52">
        <v>0</v>
      </c>
      <c r="X85" s="52">
        <v>0</v>
      </c>
      <c r="Y85" s="52">
        <v>0</v>
      </c>
      <c r="Z85" s="52">
        <v>0</v>
      </c>
      <c r="AA85" s="52">
        <v>0</v>
      </c>
      <c r="AB85" s="52">
        <v>0</v>
      </c>
      <c r="AC85" s="52">
        <v>0</v>
      </c>
      <c r="AD85" s="52">
        <v>0</v>
      </c>
      <c r="AE85" s="52">
        <v>0</v>
      </c>
      <c r="AF85" s="52">
        <v>0</v>
      </c>
      <c r="AG85" s="52">
        <v>0</v>
      </c>
      <c r="AH85" s="52">
        <v>0</v>
      </c>
      <c r="AI85" s="52">
        <v>0</v>
      </c>
      <c r="AJ85" s="52">
        <v>0</v>
      </c>
      <c r="AK85" s="52">
        <v>0</v>
      </c>
      <c r="AL85" s="52">
        <v>0</v>
      </c>
      <c r="AM85" s="52">
        <v>0</v>
      </c>
      <c r="AN85" s="52">
        <v>0</v>
      </c>
      <c r="AO85" s="52">
        <v>0</v>
      </c>
      <c r="AP85" s="52">
        <v>0</v>
      </c>
      <c r="AQ85" s="52">
        <v>0</v>
      </c>
      <c r="AR85" s="52">
        <v>0</v>
      </c>
      <c r="AS85" s="52">
        <v>0</v>
      </c>
      <c r="AT85" s="52">
        <v>0</v>
      </c>
      <c r="AU85" s="52">
        <v>0</v>
      </c>
      <c r="AV85" s="52">
        <v>0</v>
      </c>
      <c r="AW85" s="52">
        <v>0</v>
      </c>
      <c r="AX85" s="52">
        <v>0</v>
      </c>
      <c r="AY85" s="52">
        <v>0</v>
      </c>
      <c r="AZ85" s="52">
        <v>0</v>
      </c>
      <c r="BA85" s="52">
        <v>0</v>
      </c>
      <c r="BB85" s="52">
        <v>0</v>
      </c>
      <c r="BC85" s="52">
        <v>0</v>
      </c>
      <c r="BD85" s="52">
        <v>0</v>
      </c>
      <c r="BE85" s="52">
        <v>0</v>
      </c>
      <c r="BF85" s="52">
        <v>0</v>
      </c>
      <c r="BG85" s="52">
        <v>0</v>
      </c>
      <c r="BH85" s="52">
        <v>0</v>
      </c>
      <c r="BI85" s="52">
        <v>0</v>
      </c>
      <c r="BJ85" s="52">
        <v>0</v>
      </c>
      <c r="BK85" s="52">
        <v>0</v>
      </c>
      <c r="BL85" s="52">
        <v>0</v>
      </c>
      <c r="BM85" s="52">
        <v>0</v>
      </c>
      <c r="BN85" s="52">
        <v>0</v>
      </c>
      <c r="BO85" s="52">
        <v>0</v>
      </c>
      <c r="BP85" s="52">
        <v>0</v>
      </c>
      <c r="BQ85" s="52">
        <v>0</v>
      </c>
      <c r="BR85" s="52">
        <v>0</v>
      </c>
      <c r="BS85" s="52">
        <v>0</v>
      </c>
      <c r="BT85" s="52">
        <v>0</v>
      </c>
      <c r="BU85" s="52">
        <v>0</v>
      </c>
      <c r="BV85" s="52">
        <v>0</v>
      </c>
      <c r="BW85" s="52">
        <v>0</v>
      </c>
    </row>
    <row r="86" spans="1:75" x14ac:dyDescent="0.3">
      <c r="A86" s="8" t="s">
        <v>102</v>
      </c>
      <c r="B86" s="8" t="s">
        <v>9</v>
      </c>
      <c r="C86" s="8" t="s">
        <v>67</v>
      </c>
      <c r="D86" s="52">
        <v>0</v>
      </c>
      <c r="E86" s="52">
        <v>0</v>
      </c>
      <c r="F86" s="52">
        <v>0</v>
      </c>
      <c r="G86" s="52">
        <v>0</v>
      </c>
      <c r="H86" s="52">
        <v>0</v>
      </c>
      <c r="I86" s="52">
        <v>0</v>
      </c>
      <c r="J86" s="52">
        <v>0</v>
      </c>
      <c r="K86" s="52">
        <v>0</v>
      </c>
      <c r="L86" s="52">
        <v>0</v>
      </c>
      <c r="M86" s="52">
        <v>0</v>
      </c>
      <c r="N86" s="52">
        <v>0</v>
      </c>
      <c r="O86" s="52">
        <v>0</v>
      </c>
      <c r="P86" s="52">
        <v>0</v>
      </c>
      <c r="Q86" s="52">
        <v>0</v>
      </c>
      <c r="R86" s="52">
        <v>0</v>
      </c>
      <c r="S86" s="52">
        <v>0</v>
      </c>
      <c r="T86" s="52">
        <v>0</v>
      </c>
      <c r="U86" s="52">
        <v>0</v>
      </c>
      <c r="V86" s="52">
        <v>0</v>
      </c>
      <c r="W86" s="52">
        <v>0</v>
      </c>
      <c r="X86" s="52">
        <v>0</v>
      </c>
      <c r="Y86" s="52">
        <v>0</v>
      </c>
      <c r="Z86" s="52">
        <v>0</v>
      </c>
      <c r="AA86" s="52">
        <v>0</v>
      </c>
      <c r="AB86" s="52">
        <v>0</v>
      </c>
      <c r="AC86" s="52">
        <v>0</v>
      </c>
      <c r="AD86" s="52">
        <v>0</v>
      </c>
      <c r="AE86" s="52">
        <v>0</v>
      </c>
      <c r="AF86" s="52">
        <v>0</v>
      </c>
      <c r="AG86" s="52">
        <v>0</v>
      </c>
      <c r="AH86" s="52">
        <v>0</v>
      </c>
      <c r="AI86" s="52">
        <v>0</v>
      </c>
      <c r="AJ86" s="52">
        <v>0</v>
      </c>
      <c r="AK86" s="52">
        <v>0</v>
      </c>
      <c r="AL86" s="52">
        <v>0</v>
      </c>
      <c r="AM86" s="52">
        <v>0</v>
      </c>
      <c r="AN86" s="52">
        <v>0</v>
      </c>
      <c r="AO86" s="52">
        <v>0</v>
      </c>
      <c r="AP86" s="52">
        <v>0</v>
      </c>
      <c r="AQ86" s="52">
        <v>0</v>
      </c>
      <c r="AR86" s="52">
        <v>0</v>
      </c>
      <c r="AS86" s="52">
        <v>0</v>
      </c>
      <c r="AT86" s="52">
        <v>0</v>
      </c>
      <c r="AU86" s="52">
        <v>0</v>
      </c>
      <c r="AV86" s="52">
        <v>0</v>
      </c>
      <c r="AW86" s="52">
        <v>0</v>
      </c>
      <c r="AX86" s="52">
        <v>0</v>
      </c>
      <c r="AY86" s="52">
        <v>0</v>
      </c>
      <c r="AZ86" s="52">
        <v>0</v>
      </c>
      <c r="BA86" s="52">
        <v>0</v>
      </c>
      <c r="BB86" s="52">
        <v>0</v>
      </c>
      <c r="BC86" s="52">
        <v>0</v>
      </c>
      <c r="BD86" s="52">
        <v>0</v>
      </c>
      <c r="BE86" s="52">
        <v>0</v>
      </c>
      <c r="BF86" s="52">
        <v>0</v>
      </c>
      <c r="BG86" s="52">
        <v>0</v>
      </c>
      <c r="BH86" s="52">
        <v>0</v>
      </c>
      <c r="BI86" s="52">
        <v>0</v>
      </c>
      <c r="BJ86" s="52">
        <v>0</v>
      </c>
      <c r="BK86" s="52">
        <v>0</v>
      </c>
      <c r="BL86" s="52">
        <v>0</v>
      </c>
      <c r="BM86" s="52">
        <v>0</v>
      </c>
      <c r="BN86" s="52">
        <v>0</v>
      </c>
      <c r="BO86" s="52">
        <v>0</v>
      </c>
      <c r="BP86" s="52">
        <v>0</v>
      </c>
      <c r="BQ86" s="52">
        <v>0</v>
      </c>
      <c r="BR86" s="52">
        <v>0</v>
      </c>
      <c r="BS86" s="52">
        <v>0</v>
      </c>
      <c r="BT86" s="52">
        <v>0</v>
      </c>
      <c r="BU86" s="52">
        <v>0</v>
      </c>
      <c r="BV86" s="52">
        <v>0</v>
      </c>
      <c r="BW86" s="52">
        <v>0</v>
      </c>
    </row>
    <row r="87" spans="1:75" x14ac:dyDescent="0.3">
      <c r="A87" s="8" t="s">
        <v>102</v>
      </c>
      <c r="B87" s="8" t="s">
        <v>9</v>
      </c>
      <c r="C87" s="8" t="s">
        <v>68</v>
      </c>
      <c r="D87" s="52">
        <v>0</v>
      </c>
      <c r="E87" s="52">
        <v>0</v>
      </c>
      <c r="F87" s="52">
        <v>0</v>
      </c>
      <c r="G87" s="52">
        <v>0</v>
      </c>
      <c r="H87" s="52">
        <v>0</v>
      </c>
      <c r="I87" s="52">
        <v>0</v>
      </c>
      <c r="J87" s="52">
        <v>0</v>
      </c>
      <c r="K87" s="52">
        <v>0</v>
      </c>
      <c r="L87" s="52">
        <v>0</v>
      </c>
      <c r="M87" s="52">
        <v>0</v>
      </c>
      <c r="N87" s="52">
        <v>0</v>
      </c>
      <c r="O87" s="52">
        <v>0</v>
      </c>
      <c r="P87" s="52">
        <v>0</v>
      </c>
      <c r="Q87" s="52">
        <v>0</v>
      </c>
      <c r="R87" s="52">
        <v>0</v>
      </c>
      <c r="S87" s="52">
        <v>0</v>
      </c>
      <c r="T87" s="52">
        <v>0</v>
      </c>
      <c r="U87" s="52">
        <v>0</v>
      </c>
      <c r="V87" s="52">
        <v>0</v>
      </c>
      <c r="W87" s="52">
        <v>0</v>
      </c>
      <c r="X87" s="52">
        <v>0</v>
      </c>
      <c r="Y87" s="52">
        <v>0</v>
      </c>
      <c r="Z87" s="52">
        <v>0</v>
      </c>
      <c r="AA87" s="52">
        <v>0</v>
      </c>
      <c r="AB87" s="52">
        <v>0</v>
      </c>
      <c r="AC87" s="52">
        <v>0</v>
      </c>
      <c r="AD87" s="52">
        <v>0</v>
      </c>
      <c r="AE87" s="52">
        <v>0</v>
      </c>
      <c r="AF87" s="52">
        <v>0</v>
      </c>
      <c r="AG87" s="52">
        <v>0</v>
      </c>
      <c r="AH87" s="52">
        <v>0</v>
      </c>
      <c r="AI87" s="52">
        <v>0</v>
      </c>
      <c r="AJ87" s="52">
        <v>0</v>
      </c>
      <c r="AK87" s="52">
        <v>0</v>
      </c>
      <c r="AL87" s="52">
        <v>0</v>
      </c>
      <c r="AM87" s="52">
        <v>0</v>
      </c>
      <c r="AN87" s="52">
        <v>0</v>
      </c>
      <c r="AO87" s="52">
        <v>0</v>
      </c>
      <c r="AP87" s="52">
        <v>0</v>
      </c>
      <c r="AQ87" s="52">
        <v>0</v>
      </c>
      <c r="AR87" s="52">
        <v>0</v>
      </c>
      <c r="AS87" s="52">
        <v>0</v>
      </c>
      <c r="AT87" s="52">
        <v>0</v>
      </c>
      <c r="AU87" s="52">
        <v>0</v>
      </c>
      <c r="AV87" s="52">
        <v>0</v>
      </c>
      <c r="AW87" s="52">
        <v>0</v>
      </c>
      <c r="AX87" s="52">
        <v>0</v>
      </c>
      <c r="AY87" s="52">
        <v>0</v>
      </c>
      <c r="AZ87" s="52">
        <v>0</v>
      </c>
      <c r="BA87" s="52">
        <v>0</v>
      </c>
      <c r="BB87" s="52">
        <v>0</v>
      </c>
      <c r="BC87" s="52">
        <v>0</v>
      </c>
      <c r="BD87" s="52">
        <v>0</v>
      </c>
      <c r="BE87" s="52">
        <v>0</v>
      </c>
      <c r="BF87" s="52">
        <v>0</v>
      </c>
      <c r="BG87" s="52">
        <v>0</v>
      </c>
      <c r="BH87" s="52">
        <v>0</v>
      </c>
      <c r="BI87" s="52">
        <v>0</v>
      </c>
      <c r="BJ87" s="52">
        <v>0</v>
      </c>
      <c r="BK87" s="52">
        <v>0</v>
      </c>
      <c r="BL87" s="52">
        <v>0</v>
      </c>
      <c r="BM87" s="52">
        <v>0</v>
      </c>
      <c r="BN87" s="52">
        <v>0</v>
      </c>
      <c r="BO87" s="52">
        <v>0</v>
      </c>
      <c r="BP87" s="52">
        <v>0</v>
      </c>
      <c r="BQ87" s="52">
        <v>0</v>
      </c>
      <c r="BR87" s="52">
        <v>0</v>
      </c>
      <c r="BS87" s="52">
        <v>0</v>
      </c>
      <c r="BT87" s="52">
        <v>0</v>
      </c>
      <c r="BU87" s="52">
        <v>0</v>
      </c>
      <c r="BV87" s="52">
        <v>0</v>
      </c>
      <c r="BW87" s="52">
        <v>0</v>
      </c>
    </row>
    <row r="88" spans="1:75" x14ac:dyDescent="0.3">
      <c r="A88" s="8" t="s">
        <v>102</v>
      </c>
      <c r="B88" s="8" t="s">
        <v>9</v>
      </c>
      <c r="C88" s="8" t="s">
        <v>69</v>
      </c>
      <c r="D88" s="52">
        <v>0</v>
      </c>
      <c r="E88" s="52">
        <v>0</v>
      </c>
      <c r="F88" s="52">
        <v>0</v>
      </c>
      <c r="G88" s="52">
        <v>0</v>
      </c>
      <c r="H88" s="52">
        <v>0</v>
      </c>
      <c r="I88" s="52">
        <v>0</v>
      </c>
      <c r="J88" s="52">
        <v>0</v>
      </c>
      <c r="K88" s="52">
        <v>0</v>
      </c>
      <c r="L88" s="52">
        <v>0</v>
      </c>
      <c r="M88" s="52">
        <v>0</v>
      </c>
      <c r="N88" s="52">
        <v>0</v>
      </c>
      <c r="O88" s="52">
        <v>0</v>
      </c>
      <c r="P88" s="52">
        <v>0</v>
      </c>
      <c r="Q88" s="52">
        <v>0</v>
      </c>
      <c r="R88" s="52">
        <v>0</v>
      </c>
      <c r="S88" s="52">
        <v>0</v>
      </c>
      <c r="T88" s="52">
        <v>0</v>
      </c>
      <c r="U88" s="52">
        <v>0</v>
      </c>
      <c r="V88" s="52">
        <v>0</v>
      </c>
      <c r="W88" s="52">
        <v>0</v>
      </c>
      <c r="X88" s="52">
        <v>0</v>
      </c>
      <c r="Y88" s="52">
        <v>0</v>
      </c>
      <c r="Z88" s="52">
        <v>0</v>
      </c>
      <c r="AA88" s="52">
        <v>0</v>
      </c>
      <c r="AB88" s="52">
        <v>0</v>
      </c>
      <c r="AC88" s="52">
        <v>0</v>
      </c>
      <c r="AD88" s="52">
        <v>0</v>
      </c>
      <c r="AE88" s="52">
        <v>0</v>
      </c>
      <c r="AF88" s="52">
        <v>0</v>
      </c>
      <c r="AG88" s="52">
        <v>0</v>
      </c>
      <c r="AH88" s="52">
        <v>0</v>
      </c>
      <c r="AI88" s="52">
        <v>0</v>
      </c>
      <c r="AJ88" s="52">
        <v>0</v>
      </c>
      <c r="AK88" s="52">
        <v>0</v>
      </c>
      <c r="AL88" s="52">
        <v>0</v>
      </c>
      <c r="AM88" s="52">
        <v>0</v>
      </c>
      <c r="AN88" s="52">
        <v>0</v>
      </c>
      <c r="AO88" s="52">
        <v>0</v>
      </c>
      <c r="AP88" s="52">
        <v>0</v>
      </c>
      <c r="AQ88" s="52">
        <v>0</v>
      </c>
      <c r="AR88" s="52">
        <v>0</v>
      </c>
      <c r="AS88" s="52">
        <v>0</v>
      </c>
      <c r="AT88" s="52">
        <v>0</v>
      </c>
      <c r="AU88" s="52">
        <v>0</v>
      </c>
      <c r="AV88" s="52">
        <v>0</v>
      </c>
      <c r="AW88" s="52">
        <v>0</v>
      </c>
      <c r="AX88" s="52">
        <v>0</v>
      </c>
      <c r="AY88" s="52">
        <v>0</v>
      </c>
      <c r="AZ88" s="52">
        <v>0</v>
      </c>
      <c r="BA88" s="52">
        <v>0</v>
      </c>
      <c r="BB88" s="52">
        <v>0</v>
      </c>
      <c r="BC88" s="52">
        <v>0</v>
      </c>
      <c r="BD88" s="52">
        <v>0</v>
      </c>
      <c r="BE88" s="52">
        <v>0</v>
      </c>
      <c r="BF88" s="52">
        <v>0</v>
      </c>
      <c r="BG88" s="52">
        <v>0</v>
      </c>
      <c r="BH88" s="52">
        <v>0</v>
      </c>
      <c r="BI88" s="52">
        <v>0</v>
      </c>
      <c r="BJ88" s="52">
        <v>0</v>
      </c>
      <c r="BK88" s="52">
        <v>0</v>
      </c>
      <c r="BL88" s="52">
        <v>0</v>
      </c>
      <c r="BM88" s="52">
        <v>0</v>
      </c>
      <c r="BN88" s="52">
        <v>0</v>
      </c>
      <c r="BO88" s="52">
        <v>0</v>
      </c>
      <c r="BP88" s="52">
        <v>0</v>
      </c>
      <c r="BQ88" s="52">
        <v>0</v>
      </c>
      <c r="BR88" s="52">
        <v>0</v>
      </c>
      <c r="BS88" s="52">
        <v>0</v>
      </c>
      <c r="BT88" s="52">
        <v>0</v>
      </c>
      <c r="BU88" s="52">
        <v>0</v>
      </c>
      <c r="BV88" s="52">
        <v>0</v>
      </c>
      <c r="BW88" s="52">
        <v>0</v>
      </c>
    </row>
    <row r="89" spans="1:75" x14ac:dyDescent="0.3">
      <c r="A89" s="8" t="s">
        <v>102</v>
      </c>
      <c r="B89" s="8" t="s">
        <v>9</v>
      </c>
      <c r="C89" s="8" t="s">
        <v>27</v>
      </c>
      <c r="D89" s="52">
        <v>13200</v>
      </c>
      <c r="E89" s="52">
        <v>46199.999999999993</v>
      </c>
      <c r="F89" s="52">
        <v>19800</v>
      </c>
      <c r="G89" s="52">
        <v>5399.9999999999991</v>
      </c>
      <c r="H89" s="52">
        <v>18900</v>
      </c>
      <c r="I89" s="52">
        <v>3636.0000000000073</v>
      </c>
      <c r="J89" s="52">
        <v>9000</v>
      </c>
      <c r="K89" s="52">
        <v>45000</v>
      </c>
      <c r="L89" s="52">
        <v>18000</v>
      </c>
      <c r="M89" s="52">
        <v>3599.9999999999995</v>
      </c>
      <c r="N89" s="52">
        <v>15600</v>
      </c>
      <c r="O89" s="52">
        <v>729.600000000009</v>
      </c>
      <c r="P89" s="52">
        <v>12600</v>
      </c>
      <c r="Q89" s="52">
        <v>44100</v>
      </c>
      <c r="R89" s="52">
        <v>12893.102912621363</v>
      </c>
      <c r="S89" s="52">
        <v>4500</v>
      </c>
      <c r="T89" s="52">
        <v>19500</v>
      </c>
      <c r="U89" s="52">
        <v>8186.0970873786446</v>
      </c>
      <c r="V89" s="52">
        <v>11400</v>
      </c>
      <c r="W89" s="52">
        <v>39900</v>
      </c>
      <c r="X89" s="52">
        <v>6210.4539999999743</v>
      </c>
      <c r="Y89" s="52">
        <v>4950</v>
      </c>
      <c r="Z89" s="52">
        <v>23099.999999999996</v>
      </c>
      <c r="AA89" s="52">
        <v>623.54600000004598</v>
      </c>
      <c r="AB89" s="52">
        <v>13200</v>
      </c>
      <c r="AC89" s="52">
        <v>46199.999999999993</v>
      </c>
      <c r="AD89" s="52">
        <v>0</v>
      </c>
      <c r="AE89" s="52">
        <v>4050</v>
      </c>
      <c r="AF89" s="52">
        <v>12884.399999999994</v>
      </c>
      <c r="AG89" s="52">
        <v>0</v>
      </c>
      <c r="AH89" s="52">
        <v>12600</v>
      </c>
      <c r="AI89" s="52">
        <v>27867.344400000049</v>
      </c>
      <c r="AJ89" s="52">
        <v>0</v>
      </c>
      <c r="AK89" s="52">
        <v>4050</v>
      </c>
      <c r="AL89" s="52">
        <v>4730.6555999999528</v>
      </c>
      <c r="AM89" s="52">
        <v>0</v>
      </c>
      <c r="AN89" s="52">
        <v>16500</v>
      </c>
      <c r="AO89" s="52">
        <v>32097.445999999087</v>
      </c>
      <c r="AP89" s="52">
        <v>0</v>
      </c>
      <c r="AQ89" s="52">
        <v>2292.1540000009068</v>
      </c>
      <c r="AR89" s="52">
        <v>0</v>
      </c>
      <c r="AS89" s="52">
        <v>0</v>
      </c>
      <c r="AT89" s="52">
        <v>13200</v>
      </c>
      <c r="AU89" s="52">
        <v>29249.949000000008</v>
      </c>
      <c r="AV89" s="52">
        <v>0</v>
      </c>
      <c r="AW89" s="52">
        <v>2816.0190000000216</v>
      </c>
      <c r="AX89" s="52">
        <v>5623.6319999999869</v>
      </c>
      <c r="AY89" s="52">
        <v>0</v>
      </c>
      <c r="AZ89" s="52">
        <v>15000</v>
      </c>
      <c r="BA89" s="52">
        <v>36000</v>
      </c>
      <c r="BB89" s="52">
        <v>10026.779999999955</v>
      </c>
      <c r="BC89" s="52">
        <v>4500</v>
      </c>
      <c r="BD89" s="52">
        <v>8345.2200000000394</v>
      </c>
      <c r="BE89" s="52">
        <v>0</v>
      </c>
      <c r="BF89" s="52">
        <v>9900</v>
      </c>
      <c r="BG89" s="52">
        <v>46199.999999999993</v>
      </c>
      <c r="BH89" s="52">
        <v>9880.6509026548811</v>
      </c>
      <c r="BI89" s="52">
        <v>4050</v>
      </c>
      <c r="BJ89" s="52">
        <v>17550</v>
      </c>
      <c r="BK89" s="52">
        <v>1476.1490973451209</v>
      </c>
      <c r="BL89" s="52">
        <v>6300</v>
      </c>
      <c r="BM89" s="52">
        <v>47250</v>
      </c>
      <c r="BN89" s="52">
        <v>18932.987835616463</v>
      </c>
      <c r="BO89" s="52">
        <v>4050</v>
      </c>
      <c r="BP89" s="52">
        <v>17550</v>
      </c>
      <c r="BQ89" s="52">
        <v>4413.0121643835419</v>
      </c>
      <c r="BR89" s="52">
        <v>10200</v>
      </c>
      <c r="BS89" s="52">
        <v>35699.999999999993</v>
      </c>
      <c r="BT89" s="52">
        <v>15299.999999999998</v>
      </c>
      <c r="BU89" s="52">
        <v>8400</v>
      </c>
      <c r="BV89" s="52">
        <v>27300</v>
      </c>
      <c r="BW89" s="52">
        <v>4879.2</v>
      </c>
    </row>
    <row r="90" spans="1:75" x14ac:dyDescent="0.3">
      <c r="A90" s="8" t="s">
        <v>102</v>
      </c>
      <c r="B90" s="8" t="s">
        <v>9</v>
      </c>
      <c r="C90" s="8" t="s">
        <v>144</v>
      </c>
      <c r="D90" s="52">
        <v>17600</v>
      </c>
      <c r="E90" s="52">
        <v>0</v>
      </c>
      <c r="F90" s="52">
        <v>0</v>
      </c>
      <c r="G90" s="52">
        <v>7200</v>
      </c>
      <c r="H90" s="52">
        <v>0</v>
      </c>
      <c r="I90" s="52">
        <v>0</v>
      </c>
      <c r="J90" s="52">
        <v>12000</v>
      </c>
      <c r="K90" s="52">
        <v>0</v>
      </c>
      <c r="L90" s="52">
        <v>0</v>
      </c>
      <c r="M90" s="52">
        <v>4277.1120000000228</v>
      </c>
      <c r="N90" s="52">
        <v>0</v>
      </c>
      <c r="O90" s="52">
        <v>0</v>
      </c>
      <c r="P90" s="52">
        <v>16800</v>
      </c>
      <c r="Q90" s="52">
        <v>4476.1500000003271</v>
      </c>
      <c r="R90" s="52">
        <v>0</v>
      </c>
      <c r="S90" s="52">
        <v>6000</v>
      </c>
      <c r="T90" s="52">
        <v>0</v>
      </c>
      <c r="U90" s="52">
        <v>0</v>
      </c>
      <c r="V90" s="52">
        <v>15200.000000000002</v>
      </c>
      <c r="W90" s="52">
        <v>16858.01600000016</v>
      </c>
      <c r="X90" s="52">
        <v>0</v>
      </c>
      <c r="Y90" s="52">
        <v>6600.0000000000009</v>
      </c>
      <c r="Z90" s="52">
        <v>0</v>
      </c>
      <c r="AA90" s="52">
        <v>0</v>
      </c>
      <c r="AB90" s="52">
        <v>17600</v>
      </c>
      <c r="AC90" s="52">
        <v>18026.624000000338</v>
      </c>
      <c r="AD90" s="52">
        <v>0</v>
      </c>
      <c r="AE90" s="52">
        <v>0</v>
      </c>
      <c r="AF90" s="52">
        <v>0</v>
      </c>
      <c r="AG90" s="52">
        <v>0</v>
      </c>
      <c r="AH90" s="52">
        <v>16800</v>
      </c>
      <c r="AI90" s="52">
        <v>0</v>
      </c>
      <c r="AJ90" s="52">
        <v>0</v>
      </c>
      <c r="AK90" s="52">
        <v>2272.8060000000128</v>
      </c>
      <c r="AL90" s="52">
        <v>0</v>
      </c>
      <c r="AM90" s="52">
        <v>0</v>
      </c>
      <c r="AN90" s="52">
        <v>22000</v>
      </c>
      <c r="AO90" s="52">
        <v>0</v>
      </c>
      <c r="AP90" s="52">
        <v>0</v>
      </c>
      <c r="AQ90" s="52">
        <v>0</v>
      </c>
      <c r="AR90" s="52">
        <v>0</v>
      </c>
      <c r="AS90" s="52">
        <v>0</v>
      </c>
      <c r="AT90" s="52">
        <v>16014.327999999996</v>
      </c>
      <c r="AU90" s="52">
        <v>0</v>
      </c>
      <c r="AV90" s="52">
        <v>0</v>
      </c>
      <c r="AW90" s="52">
        <v>4913.4869999999983</v>
      </c>
      <c r="AX90" s="52">
        <v>0</v>
      </c>
      <c r="AY90" s="52">
        <v>0</v>
      </c>
      <c r="AZ90" s="52">
        <v>20000</v>
      </c>
      <c r="BA90" s="52">
        <v>4550.8800000002047</v>
      </c>
      <c r="BB90" s="52">
        <v>0</v>
      </c>
      <c r="BC90" s="52">
        <v>1936.8900000000426</v>
      </c>
      <c r="BD90" s="52">
        <v>0</v>
      </c>
      <c r="BE90" s="52">
        <v>0</v>
      </c>
      <c r="BF90" s="52">
        <v>13200.000000000002</v>
      </c>
      <c r="BG90" s="52">
        <v>7259.8680000002596</v>
      </c>
      <c r="BH90" s="52">
        <v>0</v>
      </c>
      <c r="BI90" s="52">
        <v>5400</v>
      </c>
      <c r="BJ90" s="52">
        <v>2757.8070000000985</v>
      </c>
      <c r="BK90" s="52">
        <v>0</v>
      </c>
      <c r="BL90" s="52">
        <v>8400</v>
      </c>
      <c r="BM90" s="52">
        <v>2801.3543409090507</v>
      </c>
      <c r="BN90" s="52">
        <v>0</v>
      </c>
      <c r="BO90" s="52">
        <v>5400</v>
      </c>
      <c r="BP90" s="52">
        <v>1040.5030409090759</v>
      </c>
      <c r="BQ90" s="52">
        <v>0</v>
      </c>
      <c r="BR90" s="52">
        <v>13600.000000000002</v>
      </c>
      <c r="BS90" s="52">
        <v>2624.8372969696534</v>
      </c>
      <c r="BT90" s="52">
        <v>0</v>
      </c>
      <c r="BU90" s="52">
        <v>11200.000000000002</v>
      </c>
      <c r="BV90" s="52">
        <v>2007.2285212120878</v>
      </c>
      <c r="BW90" s="52">
        <v>0</v>
      </c>
    </row>
    <row r="91" spans="1:75" x14ac:dyDescent="0.3">
      <c r="A91" s="8" t="s">
        <v>102</v>
      </c>
      <c r="B91" s="8" t="s">
        <v>9</v>
      </c>
      <c r="C91" s="8" t="s">
        <v>145</v>
      </c>
      <c r="D91" s="52">
        <v>10170.424000000141</v>
      </c>
      <c r="E91" s="52">
        <v>0</v>
      </c>
      <c r="F91" s="52">
        <v>0</v>
      </c>
      <c r="G91" s="52">
        <v>4160.6280000000579</v>
      </c>
      <c r="H91" s="52">
        <v>0</v>
      </c>
      <c r="I91" s="52">
        <v>0</v>
      </c>
      <c r="J91" s="52">
        <v>4586.1600000001254</v>
      </c>
      <c r="K91" s="52">
        <v>0</v>
      </c>
      <c r="L91" s="52">
        <v>0</v>
      </c>
      <c r="M91" s="52">
        <v>0</v>
      </c>
      <c r="N91" s="52">
        <v>0</v>
      </c>
      <c r="O91" s="52">
        <v>0</v>
      </c>
      <c r="P91" s="52">
        <v>12145.223999999975</v>
      </c>
      <c r="Q91" s="52">
        <v>0</v>
      </c>
      <c r="R91" s="52">
        <v>0</v>
      </c>
      <c r="S91" s="52">
        <v>1563.600000000017</v>
      </c>
      <c r="T91" s="52">
        <v>0</v>
      </c>
      <c r="U91" s="52">
        <v>0</v>
      </c>
      <c r="V91" s="52">
        <v>12982.320000000074</v>
      </c>
      <c r="W91" s="52">
        <v>0</v>
      </c>
      <c r="X91" s="52">
        <v>0</v>
      </c>
      <c r="Y91" s="52">
        <v>5135.4270000000379</v>
      </c>
      <c r="Z91" s="52">
        <v>0</v>
      </c>
      <c r="AA91" s="52">
        <v>0</v>
      </c>
      <c r="AB91" s="52">
        <v>14525.543999999996</v>
      </c>
      <c r="AC91" s="52">
        <v>0</v>
      </c>
      <c r="AD91" s="52">
        <v>0</v>
      </c>
      <c r="AE91" s="52">
        <v>0</v>
      </c>
      <c r="AF91" s="52">
        <v>0</v>
      </c>
      <c r="AG91" s="52">
        <v>0</v>
      </c>
      <c r="AH91" s="52">
        <v>2127.7200000000062</v>
      </c>
      <c r="AI91" s="52">
        <v>0</v>
      </c>
      <c r="AJ91" s="52">
        <v>0</v>
      </c>
      <c r="AK91" s="52">
        <v>683.91000000000201</v>
      </c>
      <c r="AL91" s="52">
        <v>0</v>
      </c>
      <c r="AM91" s="52">
        <v>0</v>
      </c>
      <c r="AN91" s="52">
        <v>11840.950000000057</v>
      </c>
      <c r="AO91" s="52">
        <v>0</v>
      </c>
      <c r="AP91" s="52">
        <v>0</v>
      </c>
      <c r="AQ91" s="52">
        <v>621.92899999909321</v>
      </c>
      <c r="AR91" s="52">
        <v>0</v>
      </c>
      <c r="AS91" s="52">
        <v>0</v>
      </c>
      <c r="AT91" s="52">
        <v>0</v>
      </c>
      <c r="AU91" s="52">
        <v>0</v>
      </c>
      <c r="AV91" s="52">
        <v>0</v>
      </c>
      <c r="AW91" s="52">
        <v>0</v>
      </c>
      <c r="AX91" s="52">
        <v>0</v>
      </c>
      <c r="AY91" s="52">
        <v>0</v>
      </c>
      <c r="AZ91" s="52">
        <v>12499.199999999992</v>
      </c>
      <c r="BA91" s="52">
        <v>0</v>
      </c>
      <c r="BB91" s="52">
        <v>0</v>
      </c>
      <c r="BC91" s="52">
        <v>0</v>
      </c>
      <c r="BD91" s="52">
        <v>0</v>
      </c>
      <c r="BE91" s="52">
        <v>0</v>
      </c>
      <c r="BF91" s="52">
        <v>10346.820000000107</v>
      </c>
      <c r="BG91" s="52">
        <v>0</v>
      </c>
      <c r="BH91" s="52">
        <v>0</v>
      </c>
      <c r="BI91" s="52">
        <v>4204.4400000000333</v>
      </c>
      <c r="BJ91" s="52">
        <v>0</v>
      </c>
      <c r="BK91" s="52">
        <v>0</v>
      </c>
      <c r="BL91" s="52">
        <v>4785.1440000000148</v>
      </c>
      <c r="BM91" s="52">
        <v>0</v>
      </c>
      <c r="BN91" s="52">
        <v>0</v>
      </c>
      <c r="BO91" s="52">
        <v>3076.1640000000098</v>
      </c>
      <c r="BP91" s="52">
        <v>0</v>
      </c>
      <c r="BQ91" s="52">
        <v>0</v>
      </c>
      <c r="BR91" s="52">
        <v>5317.804000000031</v>
      </c>
      <c r="BS91" s="52">
        <v>0</v>
      </c>
      <c r="BT91" s="52">
        <v>0</v>
      </c>
      <c r="BU91" s="52">
        <v>4379.3680000000249</v>
      </c>
      <c r="BV91" s="52">
        <v>0</v>
      </c>
      <c r="BW91" s="52">
        <v>0</v>
      </c>
    </row>
    <row r="92" spans="1:75" x14ac:dyDescent="0.3">
      <c r="A92" s="8" t="s">
        <v>102</v>
      </c>
      <c r="B92" s="8" t="s">
        <v>9</v>
      </c>
      <c r="C92" s="8" t="s">
        <v>146</v>
      </c>
      <c r="D92" s="52">
        <v>17600</v>
      </c>
      <c r="E92" s="52">
        <v>29810.406763635863</v>
      </c>
      <c r="F92" s="52">
        <v>0</v>
      </c>
      <c r="G92" s="52">
        <v>7200</v>
      </c>
      <c r="H92" s="52">
        <v>390.47400000009475</v>
      </c>
      <c r="I92" s="52">
        <v>0</v>
      </c>
      <c r="J92" s="52">
        <v>12000</v>
      </c>
      <c r="K92" s="52">
        <v>40910.700000000121</v>
      </c>
      <c r="L92" s="52">
        <v>0</v>
      </c>
      <c r="M92" s="52">
        <v>4800.0000000000009</v>
      </c>
      <c r="N92" s="52">
        <v>122.72000000005346</v>
      </c>
      <c r="O92" s="52">
        <v>0</v>
      </c>
      <c r="P92" s="52">
        <v>16800</v>
      </c>
      <c r="Q92" s="52">
        <v>58800.000000000007</v>
      </c>
      <c r="R92" s="52">
        <v>0</v>
      </c>
      <c r="S92" s="52">
        <v>6000</v>
      </c>
      <c r="T92" s="52">
        <v>6137.4300000001012</v>
      </c>
      <c r="U92" s="52">
        <v>0</v>
      </c>
      <c r="V92" s="52">
        <v>15200.000000000002</v>
      </c>
      <c r="W92" s="52">
        <v>53200</v>
      </c>
      <c r="X92" s="52">
        <v>0</v>
      </c>
      <c r="Y92" s="52">
        <v>6600.0000000000009</v>
      </c>
      <c r="Z92" s="52">
        <v>24686.970000000023</v>
      </c>
      <c r="AA92" s="52">
        <v>0</v>
      </c>
      <c r="AB92" s="52">
        <v>17600</v>
      </c>
      <c r="AC92" s="52">
        <v>61600</v>
      </c>
      <c r="AD92" s="52">
        <v>0</v>
      </c>
      <c r="AE92" s="52">
        <v>4225.2030000000213</v>
      </c>
      <c r="AF92" s="52">
        <v>0</v>
      </c>
      <c r="AG92" s="52">
        <v>0</v>
      </c>
      <c r="AH92" s="52">
        <v>16800</v>
      </c>
      <c r="AI92" s="52">
        <v>30075.645600000211</v>
      </c>
      <c r="AJ92" s="52">
        <v>0</v>
      </c>
      <c r="AK92" s="52">
        <v>5400</v>
      </c>
      <c r="AL92" s="52">
        <v>12889.56240000009</v>
      </c>
      <c r="AM92" s="52">
        <v>0</v>
      </c>
      <c r="AN92" s="52">
        <v>22000</v>
      </c>
      <c r="AO92" s="52">
        <v>44037.250000001011</v>
      </c>
      <c r="AP92" s="52">
        <v>0</v>
      </c>
      <c r="AQ92" s="52">
        <v>5400</v>
      </c>
      <c r="AR92" s="52">
        <v>0</v>
      </c>
      <c r="AS92" s="52">
        <v>0</v>
      </c>
      <c r="AT92" s="52">
        <v>0</v>
      </c>
      <c r="AU92" s="52">
        <v>0</v>
      </c>
      <c r="AV92" s="52">
        <v>0</v>
      </c>
      <c r="AW92" s="52">
        <v>0</v>
      </c>
      <c r="AX92" s="52">
        <v>0</v>
      </c>
      <c r="AY92" s="52">
        <v>0</v>
      </c>
      <c r="AZ92" s="52">
        <v>20000</v>
      </c>
      <c r="BA92" s="52">
        <v>48000</v>
      </c>
      <c r="BB92" s="52">
        <v>0</v>
      </c>
      <c r="BC92" s="52">
        <v>6000</v>
      </c>
      <c r="BD92" s="52">
        <v>0</v>
      </c>
      <c r="BE92" s="52">
        <v>0</v>
      </c>
      <c r="BF92" s="52">
        <v>13200.000000000002</v>
      </c>
      <c r="BG92" s="52">
        <v>61600</v>
      </c>
      <c r="BH92" s="52">
        <v>0</v>
      </c>
      <c r="BI92" s="52">
        <v>5400</v>
      </c>
      <c r="BJ92" s="52">
        <v>15229.772999999816</v>
      </c>
      <c r="BK92" s="52">
        <v>0</v>
      </c>
      <c r="BL92" s="52">
        <v>8400</v>
      </c>
      <c r="BM92" s="52">
        <v>35931.360659090977</v>
      </c>
      <c r="BN92" s="52">
        <v>0</v>
      </c>
      <c r="BO92" s="52">
        <v>5400</v>
      </c>
      <c r="BP92" s="52">
        <v>13345.933959090935</v>
      </c>
      <c r="BQ92" s="52">
        <v>0</v>
      </c>
      <c r="BR92" s="52">
        <v>13600.000000000002</v>
      </c>
      <c r="BS92" s="52">
        <v>3112.6287030302906</v>
      </c>
      <c r="BT92" s="52">
        <v>0</v>
      </c>
      <c r="BU92" s="52">
        <v>11200.000000000002</v>
      </c>
      <c r="BV92" s="52">
        <v>2380.2454787878687</v>
      </c>
      <c r="BW92" s="52">
        <v>0</v>
      </c>
    </row>
    <row r="93" spans="1:75" x14ac:dyDescent="0.3">
      <c r="A93" s="8" t="s">
        <v>102</v>
      </c>
      <c r="B93" s="8" t="s">
        <v>9</v>
      </c>
      <c r="C93" s="8" t="s">
        <v>28</v>
      </c>
      <c r="D93" s="52">
        <v>17600</v>
      </c>
      <c r="E93" s="52">
        <v>61600</v>
      </c>
      <c r="F93" s="52">
        <v>26400.000000000004</v>
      </c>
      <c r="G93" s="52">
        <v>7200</v>
      </c>
      <c r="H93" s="52">
        <v>25200.000000000004</v>
      </c>
      <c r="I93" s="52">
        <v>10800</v>
      </c>
      <c r="J93" s="52">
        <v>12000</v>
      </c>
      <c r="K93" s="52">
        <v>60000</v>
      </c>
      <c r="L93" s="52">
        <v>24000</v>
      </c>
      <c r="M93" s="52">
        <v>4800.0000000000009</v>
      </c>
      <c r="N93" s="52">
        <v>20800</v>
      </c>
      <c r="O93" s="52">
        <v>12800</v>
      </c>
      <c r="P93" s="52">
        <v>16800</v>
      </c>
      <c r="Q93" s="52">
        <v>58800.000000000007</v>
      </c>
      <c r="R93" s="52">
        <v>25200.000000000004</v>
      </c>
      <c r="S93" s="52">
        <v>6000</v>
      </c>
      <c r="T93" s="52">
        <v>26000</v>
      </c>
      <c r="U93" s="52">
        <v>16000</v>
      </c>
      <c r="V93" s="52">
        <v>15200.000000000002</v>
      </c>
      <c r="W93" s="52">
        <v>53200</v>
      </c>
      <c r="X93" s="52">
        <v>22800</v>
      </c>
      <c r="Y93" s="52">
        <v>6600.0000000000009</v>
      </c>
      <c r="Z93" s="52">
        <v>30800</v>
      </c>
      <c r="AA93" s="52">
        <v>15400</v>
      </c>
      <c r="AB93" s="52">
        <v>17600</v>
      </c>
      <c r="AC93" s="52">
        <v>61600</v>
      </c>
      <c r="AD93" s="52">
        <v>26400.000000000004</v>
      </c>
      <c r="AE93" s="52">
        <v>5400</v>
      </c>
      <c r="AF93" s="52">
        <v>23400.000000000004</v>
      </c>
      <c r="AG93" s="52">
        <v>14400</v>
      </c>
      <c r="AH93" s="52">
        <v>16800</v>
      </c>
      <c r="AI93" s="52">
        <v>58800.000000000007</v>
      </c>
      <c r="AJ93" s="52">
        <v>25200.000000000004</v>
      </c>
      <c r="AK93" s="52">
        <v>5400</v>
      </c>
      <c r="AL93" s="52">
        <v>25200.000000000004</v>
      </c>
      <c r="AM93" s="52">
        <v>12600.000000000002</v>
      </c>
      <c r="AN93" s="52">
        <v>22000</v>
      </c>
      <c r="AO93" s="52">
        <v>52800.000000000007</v>
      </c>
      <c r="AP93" s="52">
        <v>30800</v>
      </c>
      <c r="AQ93" s="52">
        <v>5400</v>
      </c>
      <c r="AR93" s="52">
        <v>25200.000000000004</v>
      </c>
      <c r="AS93" s="52">
        <v>12600.000000000002</v>
      </c>
      <c r="AT93" s="52">
        <v>17600</v>
      </c>
      <c r="AU93" s="52">
        <v>57200</v>
      </c>
      <c r="AV93" s="52">
        <v>30800</v>
      </c>
      <c r="AW93" s="52">
        <v>5400</v>
      </c>
      <c r="AX93" s="52">
        <v>25200.000000000004</v>
      </c>
      <c r="AY93" s="52">
        <v>12600.000000000002</v>
      </c>
      <c r="AZ93" s="52">
        <v>20000</v>
      </c>
      <c r="BA93" s="52">
        <v>48000</v>
      </c>
      <c r="BB93" s="52">
        <v>28000</v>
      </c>
      <c r="BC93" s="52">
        <v>6000</v>
      </c>
      <c r="BD93" s="52">
        <v>26000</v>
      </c>
      <c r="BE93" s="52">
        <v>16000</v>
      </c>
      <c r="BF93" s="52">
        <v>13200.000000000002</v>
      </c>
      <c r="BG93" s="52">
        <v>61600</v>
      </c>
      <c r="BH93" s="52">
        <v>30800</v>
      </c>
      <c r="BI93" s="52">
        <v>5400</v>
      </c>
      <c r="BJ93" s="52">
        <v>23400.000000000004</v>
      </c>
      <c r="BK93" s="52">
        <v>14400</v>
      </c>
      <c r="BL93" s="52">
        <v>8400</v>
      </c>
      <c r="BM93" s="52">
        <v>63000</v>
      </c>
      <c r="BN93" s="52">
        <v>29400.000000000004</v>
      </c>
      <c r="BO93" s="52">
        <v>5400</v>
      </c>
      <c r="BP93" s="52">
        <v>23400.000000000004</v>
      </c>
      <c r="BQ93" s="52">
        <v>14400</v>
      </c>
      <c r="BR93" s="52">
        <v>13600.000000000002</v>
      </c>
      <c r="BS93" s="52">
        <v>47600</v>
      </c>
      <c r="BT93" s="52">
        <v>20400.000000000004</v>
      </c>
      <c r="BU93" s="52">
        <v>11200.000000000002</v>
      </c>
      <c r="BV93" s="52">
        <v>36400</v>
      </c>
      <c r="BW93" s="52">
        <v>19600</v>
      </c>
    </row>
    <row r="94" spans="1:75" x14ac:dyDescent="0.3">
      <c r="A94" s="8" t="s">
        <v>102</v>
      </c>
      <c r="B94" s="8" t="s">
        <v>10</v>
      </c>
      <c r="C94" s="8" t="s">
        <v>60</v>
      </c>
      <c r="D94" s="52">
        <v>67900.800000000003</v>
      </c>
      <c r="E94" s="52">
        <v>237652.80000000002</v>
      </c>
      <c r="F94" s="52">
        <v>101851.20000000001</v>
      </c>
      <c r="G94" s="52">
        <v>27777.600000000002</v>
      </c>
      <c r="H94" s="52">
        <v>97221.6</v>
      </c>
      <c r="I94" s="52">
        <v>41666.400000000001</v>
      </c>
      <c r="J94" s="52">
        <v>46296.000000000007</v>
      </c>
      <c r="K94" s="52">
        <v>231480.00000000003</v>
      </c>
      <c r="L94" s="52">
        <v>92592.000000000015</v>
      </c>
      <c r="M94" s="52">
        <v>18518.400000000001</v>
      </c>
      <c r="N94" s="52">
        <v>80246.400000000009</v>
      </c>
      <c r="O94" s="52">
        <v>49382.400000000001</v>
      </c>
      <c r="P94" s="52">
        <v>64814.400000000009</v>
      </c>
      <c r="Q94" s="52">
        <v>226850.4</v>
      </c>
      <c r="R94" s="52">
        <v>97221.6</v>
      </c>
      <c r="S94" s="52">
        <v>23148.000000000004</v>
      </c>
      <c r="T94" s="52">
        <v>100308</v>
      </c>
      <c r="U94" s="52">
        <v>61728.000000000007</v>
      </c>
      <c r="V94" s="52">
        <v>58641.600000000006</v>
      </c>
      <c r="W94" s="52">
        <v>205245.60000000003</v>
      </c>
      <c r="X94" s="52">
        <v>87962.400000000009</v>
      </c>
      <c r="Y94" s="52">
        <v>25462.800000000003</v>
      </c>
      <c r="Z94" s="52">
        <v>118826.40000000001</v>
      </c>
      <c r="AA94" s="52">
        <v>59413.200000000004</v>
      </c>
      <c r="AB94" s="52">
        <v>67900.800000000003</v>
      </c>
      <c r="AC94" s="52">
        <v>237652.80000000002</v>
      </c>
      <c r="AD94" s="52">
        <v>101851.20000000001</v>
      </c>
      <c r="AE94" s="52">
        <v>20833.2</v>
      </c>
      <c r="AF94" s="52">
        <v>90277.200000000012</v>
      </c>
      <c r="AG94" s="52">
        <v>55555.200000000004</v>
      </c>
      <c r="AH94" s="52">
        <v>64814.400000000009</v>
      </c>
      <c r="AI94" s="52">
        <v>226850.4</v>
      </c>
      <c r="AJ94" s="52">
        <v>97221.6</v>
      </c>
      <c r="AK94" s="52">
        <v>20833.2</v>
      </c>
      <c r="AL94" s="52">
        <v>97221.6</v>
      </c>
      <c r="AM94" s="52">
        <v>48610.8</v>
      </c>
      <c r="AN94" s="52">
        <v>84876</v>
      </c>
      <c r="AO94" s="52">
        <v>203702.40000000002</v>
      </c>
      <c r="AP94" s="52">
        <v>118826.40000000001</v>
      </c>
      <c r="AQ94" s="52">
        <v>20833.2</v>
      </c>
      <c r="AR94" s="52">
        <v>97221.6</v>
      </c>
      <c r="AS94" s="52">
        <v>48610.8</v>
      </c>
      <c r="AT94" s="52">
        <v>67900.800000000003</v>
      </c>
      <c r="AU94" s="52">
        <v>220677.6</v>
      </c>
      <c r="AV94" s="52">
        <v>118826.40000000001</v>
      </c>
      <c r="AW94" s="52">
        <v>20833.2</v>
      </c>
      <c r="AX94" s="52">
        <v>97221.6</v>
      </c>
      <c r="AY94" s="52">
        <v>48610.8</v>
      </c>
      <c r="AZ94" s="52">
        <v>77160.000000000015</v>
      </c>
      <c r="BA94" s="52">
        <v>185184.00000000003</v>
      </c>
      <c r="BB94" s="52">
        <v>108024.00000000001</v>
      </c>
      <c r="BC94" s="52">
        <v>23148.000000000004</v>
      </c>
      <c r="BD94" s="52">
        <v>100308</v>
      </c>
      <c r="BE94" s="52">
        <v>61728.000000000007</v>
      </c>
      <c r="BF94" s="52">
        <v>50925.600000000006</v>
      </c>
      <c r="BG94" s="52">
        <v>237652.80000000002</v>
      </c>
      <c r="BH94" s="52">
        <v>118826.40000000001</v>
      </c>
      <c r="BI94" s="52">
        <v>20833.2</v>
      </c>
      <c r="BJ94" s="52">
        <v>90277.200000000012</v>
      </c>
      <c r="BK94" s="52">
        <v>55555.200000000004</v>
      </c>
      <c r="BL94" s="52">
        <v>32407.200000000004</v>
      </c>
      <c r="BM94" s="52">
        <v>243054.00000000003</v>
      </c>
      <c r="BN94" s="52">
        <v>113425.2</v>
      </c>
      <c r="BO94" s="52">
        <v>20833.2</v>
      </c>
      <c r="BP94" s="52">
        <v>90277.200000000012</v>
      </c>
      <c r="BQ94" s="52">
        <v>55555.200000000004</v>
      </c>
      <c r="BR94" s="52">
        <v>52468.800000000003</v>
      </c>
      <c r="BS94" s="52">
        <v>183640.80000000002</v>
      </c>
      <c r="BT94" s="52">
        <v>78703.200000000012</v>
      </c>
      <c r="BU94" s="52">
        <v>43209.599999999999</v>
      </c>
      <c r="BV94" s="52">
        <v>140431.20000000001</v>
      </c>
      <c r="BW94" s="52">
        <v>75616.800000000017</v>
      </c>
    </row>
    <row r="95" spans="1:75" x14ac:dyDescent="0.3">
      <c r="A95" s="8" t="s">
        <v>102</v>
      </c>
      <c r="B95" s="8" t="s">
        <v>10</v>
      </c>
      <c r="C95" s="8" t="s">
        <v>150</v>
      </c>
      <c r="D95" s="52">
        <v>30868.024000000023</v>
      </c>
      <c r="E95" s="52">
        <v>72441.599999999991</v>
      </c>
      <c r="F95" s="52">
        <v>31046.399999999994</v>
      </c>
      <c r="G95" s="52">
        <v>12627.82800000001</v>
      </c>
      <c r="H95" s="52">
        <v>29635.199999999993</v>
      </c>
      <c r="I95" s="52">
        <v>12700.799999999997</v>
      </c>
      <c r="J95" s="52">
        <v>14111.999999999998</v>
      </c>
      <c r="K95" s="52">
        <v>70559.999999999985</v>
      </c>
      <c r="L95" s="52">
        <v>28223.999999999996</v>
      </c>
      <c r="M95" s="52">
        <v>5644.7999999999993</v>
      </c>
      <c r="N95" s="52">
        <v>24460.799999999996</v>
      </c>
      <c r="O95" s="52">
        <v>15052.799999999997</v>
      </c>
      <c r="P95" s="52">
        <v>27523.943999999956</v>
      </c>
      <c r="Q95" s="52">
        <v>69148.799999999988</v>
      </c>
      <c r="R95" s="52">
        <v>29635.199999999993</v>
      </c>
      <c r="S95" s="52">
        <v>7055.9999999999991</v>
      </c>
      <c r="T95" s="52">
        <v>30575.999999999996</v>
      </c>
      <c r="U95" s="52">
        <v>18815.999999999996</v>
      </c>
      <c r="V95" s="52">
        <v>29276.644000000029</v>
      </c>
      <c r="W95" s="52">
        <v>62563.19999999999</v>
      </c>
      <c r="X95" s="52">
        <v>26812.799999999996</v>
      </c>
      <c r="Y95" s="52">
        <v>12712.227000000014</v>
      </c>
      <c r="Z95" s="52">
        <v>36220.799999999996</v>
      </c>
      <c r="AA95" s="52">
        <v>18110.399999999998</v>
      </c>
      <c r="AB95" s="52">
        <v>22078.232000000069</v>
      </c>
      <c r="AC95" s="52">
        <v>72441.599999999991</v>
      </c>
      <c r="AD95" s="52">
        <v>31046.399999999994</v>
      </c>
      <c r="AE95" s="52">
        <v>6774.0030000000215</v>
      </c>
      <c r="AF95" s="52">
        <v>27518.399999999998</v>
      </c>
      <c r="AG95" s="52">
        <v>16934.399999999994</v>
      </c>
      <c r="AH95" s="52">
        <v>23587.205063390702</v>
      </c>
      <c r="AI95" s="52">
        <v>69148.799999999988</v>
      </c>
      <c r="AJ95" s="52">
        <v>29635.199999999993</v>
      </c>
      <c r="AK95" s="52">
        <v>7581.6016275184393</v>
      </c>
      <c r="AL95" s="52">
        <v>29635.199999999993</v>
      </c>
      <c r="AM95" s="52">
        <v>14817.599999999997</v>
      </c>
      <c r="AN95" s="52">
        <v>33609.807509091472</v>
      </c>
      <c r="AO95" s="52">
        <v>62092.799999999988</v>
      </c>
      <c r="AP95" s="52">
        <v>36220.799999999996</v>
      </c>
      <c r="AQ95" s="52">
        <v>6350.3999999999987</v>
      </c>
      <c r="AR95" s="52">
        <v>29635.199999999993</v>
      </c>
      <c r="AS95" s="52">
        <v>14817.599999999997</v>
      </c>
      <c r="AT95" s="52">
        <v>20697.599999999999</v>
      </c>
      <c r="AU95" s="52">
        <v>67267.199999999983</v>
      </c>
      <c r="AV95" s="52">
        <v>36220.799999999996</v>
      </c>
      <c r="AW95" s="52">
        <v>0</v>
      </c>
      <c r="AX95" s="52">
        <v>0</v>
      </c>
      <c r="AY95" s="52">
        <v>0</v>
      </c>
      <c r="AZ95" s="52">
        <v>23519.999999999996</v>
      </c>
      <c r="BA95" s="52">
        <v>56447.999999999993</v>
      </c>
      <c r="BB95" s="52">
        <v>32928</v>
      </c>
      <c r="BC95" s="52">
        <v>0</v>
      </c>
      <c r="BD95" s="52">
        <v>0</v>
      </c>
      <c r="BE95" s="52">
        <v>0</v>
      </c>
      <c r="BF95" s="52">
        <v>15523.199999999997</v>
      </c>
      <c r="BG95" s="52">
        <v>72441.599999999991</v>
      </c>
      <c r="BH95" s="52">
        <v>36220.799999999996</v>
      </c>
      <c r="BI95" s="52">
        <v>6350.3999999999987</v>
      </c>
      <c r="BJ95" s="52">
        <v>27518.399999999998</v>
      </c>
      <c r="BK95" s="52">
        <v>16934.399999999998</v>
      </c>
      <c r="BL95" s="52">
        <v>17176.11000000003</v>
      </c>
      <c r="BM95" s="52">
        <v>74088</v>
      </c>
      <c r="BN95" s="52">
        <v>34574.399999999994</v>
      </c>
      <c r="BO95" s="52">
        <v>6350.3999999999942</v>
      </c>
      <c r="BP95" s="52">
        <v>27518.399999999976</v>
      </c>
      <c r="BQ95" s="52">
        <v>16934.399999999987</v>
      </c>
      <c r="BR95" s="52">
        <v>21311.404000000053</v>
      </c>
      <c r="BS95" s="52">
        <v>55977.599999999991</v>
      </c>
      <c r="BT95" s="52">
        <v>23990.399999999998</v>
      </c>
      <c r="BU95" s="52">
        <v>17550.568000000039</v>
      </c>
      <c r="BV95" s="52">
        <v>42806.399999999994</v>
      </c>
      <c r="BW95" s="52">
        <v>23049.599999999999</v>
      </c>
    </row>
    <row r="96" spans="1:75" x14ac:dyDescent="0.3">
      <c r="A96" s="8" t="s">
        <v>102</v>
      </c>
      <c r="B96" s="8" t="s">
        <v>10</v>
      </c>
      <c r="C96" s="8" t="s">
        <v>61</v>
      </c>
      <c r="D96" s="52">
        <v>7149.119999999999</v>
      </c>
      <c r="E96" s="52">
        <v>25021.919999999998</v>
      </c>
      <c r="F96" s="52">
        <v>10723.68</v>
      </c>
      <c r="G96" s="52">
        <v>0</v>
      </c>
      <c r="H96" s="52">
        <v>0</v>
      </c>
      <c r="I96" s="52">
        <v>0</v>
      </c>
      <c r="J96" s="52">
        <v>0</v>
      </c>
      <c r="K96" s="52">
        <v>0</v>
      </c>
      <c r="L96" s="52">
        <v>0</v>
      </c>
      <c r="M96" s="52">
        <v>0</v>
      </c>
      <c r="N96" s="52">
        <v>0</v>
      </c>
      <c r="O96" s="52">
        <v>0</v>
      </c>
      <c r="P96" s="52">
        <v>0</v>
      </c>
      <c r="Q96" s="52">
        <v>0</v>
      </c>
      <c r="R96" s="52">
        <v>0</v>
      </c>
      <c r="S96" s="52">
        <v>0</v>
      </c>
      <c r="T96" s="52">
        <v>0</v>
      </c>
      <c r="U96" s="52">
        <v>0</v>
      </c>
      <c r="V96" s="52">
        <v>0</v>
      </c>
      <c r="W96" s="52">
        <v>0</v>
      </c>
      <c r="X96" s="52">
        <v>0</v>
      </c>
      <c r="Y96" s="52">
        <v>0</v>
      </c>
      <c r="Z96" s="52">
        <v>0</v>
      </c>
      <c r="AA96" s="52">
        <v>0</v>
      </c>
      <c r="AB96" s="52">
        <v>0</v>
      </c>
      <c r="AC96" s="52">
        <v>0</v>
      </c>
      <c r="AD96" s="52">
        <v>0</v>
      </c>
      <c r="AE96" s="52">
        <v>0</v>
      </c>
      <c r="AF96" s="52">
        <v>0</v>
      </c>
      <c r="AG96" s="52">
        <v>0</v>
      </c>
      <c r="AH96" s="52">
        <v>0</v>
      </c>
      <c r="AI96" s="52">
        <v>0</v>
      </c>
      <c r="AJ96" s="52">
        <v>0</v>
      </c>
      <c r="AK96" s="52">
        <v>0</v>
      </c>
      <c r="AL96" s="52">
        <v>0</v>
      </c>
      <c r="AM96" s="52">
        <v>0</v>
      </c>
      <c r="AN96" s="52">
        <v>0</v>
      </c>
      <c r="AO96" s="52">
        <v>0</v>
      </c>
      <c r="AP96" s="52">
        <v>0</v>
      </c>
      <c r="AQ96" s="52">
        <v>0</v>
      </c>
      <c r="AR96" s="52">
        <v>0</v>
      </c>
      <c r="AS96" s="52">
        <v>0</v>
      </c>
      <c r="AT96" s="52">
        <v>17872.800000000003</v>
      </c>
      <c r="AU96" s="52">
        <v>58086.600000000006</v>
      </c>
      <c r="AV96" s="52">
        <v>12510.96</v>
      </c>
      <c r="AW96" s="52">
        <v>5483.7</v>
      </c>
      <c r="AX96" s="52">
        <v>12498.192000000032</v>
      </c>
      <c r="AY96" s="52">
        <v>5118.119999999999</v>
      </c>
      <c r="AZ96" s="52">
        <v>0</v>
      </c>
      <c r="BA96" s="52">
        <v>0</v>
      </c>
      <c r="BB96" s="52">
        <v>0</v>
      </c>
      <c r="BC96" s="52">
        <v>0</v>
      </c>
      <c r="BD96" s="52">
        <v>0</v>
      </c>
      <c r="BE96" s="52">
        <v>0</v>
      </c>
      <c r="BF96" s="52">
        <v>0</v>
      </c>
      <c r="BG96" s="52">
        <v>0</v>
      </c>
      <c r="BH96" s="52">
        <v>0</v>
      </c>
      <c r="BI96" s="52">
        <v>0</v>
      </c>
      <c r="BJ96" s="52">
        <v>0</v>
      </c>
      <c r="BK96" s="52">
        <v>0</v>
      </c>
      <c r="BL96" s="52">
        <v>0</v>
      </c>
      <c r="BM96" s="52">
        <v>0</v>
      </c>
      <c r="BN96" s="52">
        <v>0</v>
      </c>
      <c r="BO96" s="52">
        <v>0</v>
      </c>
      <c r="BP96" s="52">
        <v>0</v>
      </c>
      <c r="BQ96" s="52">
        <v>0</v>
      </c>
      <c r="BR96" s="52">
        <v>13810.800000000001</v>
      </c>
      <c r="BS96" s="52">
        <v>19335.12</v>
      </c>
      <c r="BT96" s="52">
        <v>8286.48</v>
      </c>
      <c r="BU96" s="52">
        <v>0</v>
      </c>
      <c r="BV96" s="52">
        <v>0</v>
      </c>
      <c r="BW96" s="52">
        <v>0</v>
      </c>
    </row>
    <row r="97" spans="1:75" x14ac:dyDescent="0.3">
      <c r="A97" s="8" t="s">
        <v>102</v>
      </c>
      <c r="B97" s="8" t="s">
        <v>10</v>
      </c>
      <c r="C97" s="8" t="s">
        <v>152</v>
      </c>
      <c r="D97" s="52">
        <v>12613.391999999954</v>
      </c>
      <c r="E97" s="52">
        <v>18529.279999999995</v>
      </c>
      <c r="F97" s="52">
        <v>7941.119999999999</v>
      </c>
      <c r="G97" s="52">
        <v>0</v>
      </c>
      <c r="H97" s="52">
        <v>0</v>
      </c>
      <c r="I97" s="52">
        <v>0</v>
      </c>
      <c r="J97" s="52">
        <v>0</v>
      </c>
      <c r="K97" s="52">
        <v>0</v>
      </c>
      <c r="L97" s="52">
        <v>0</v>
      </c>
      <c r="M97" s="52">
        <v>0</v>
      </c>
      <c r="N97" s="52">
        <v>0</v>
      </c>
      <c r="O97" s="52">
        <v>0</v>
      </c>
      <c r="P97" s="52">
        <v>0</v>
      </c>
      <c r="Q97" s="52">
        <v>0</v>
      </c>
      <c r="R97" s="52">
        <v>0</v>
      </c>
      <c r="S97" s="52">
        <v>0</v>
      </c>
      <c r="T97" s="52">
        <v>0</v>
      </c>
      <c r="U97" s="52">
        <v>0</v>
      </c>
      <c r="V97" s="52">
        <v>0</v>
      </c>
      <c r="W97" s="52">
        <v>0</v>
      </c>
      <c r="X97" s="52">
        <v>0</v>
      </c>
      <c r="Y97" s="52">
        <v>0</v>
      </c>
      <c r="Z97" s="52">
        <v>0</v>
      </c>
      <c r="AA97" s="52">
        <v>0</v>
      </c>
      <c r="AB97" s="52">
        <v>0</v>
      </c>
      <c r="AC97" s="52">
        <v>0</v>
      </c>
      <c r="AD97" s="52">
        <v>0</v>
      </c>
      <c r="AE97" s="52">
        <v>0</v>
      </c>
      <c r="AF97" s="52">
        <v>0</v>
      </c>
      <c r="AG97" s="52">
        <v>0</v>
      </c>
      <c r="AH97" s="52">
        <v>0</v>
      </c>
      <c r="AI97" s="52">
        <v>0</v>
      </c>
      <c r="AJ97" s="52">
        <v>0</v>
      </c>
      <c r="AK97" s="52">
        <v>0</v>
      </c>
      <c r="AL97" s="52">
        <v>0</v>
      </c>
      <c r="AM97" s="52">
        <v>0</v>
      </c>
      <c r="AN97" s="52">
        <v>0</v>
      </c>
      <c r="AO97" s="52">
        <v>0</v>
      </c>
      <c r="AP97" s="52">
        <v>0</v>
      </c>
      <c r="AQ97" s="52">
        <v>0</v>
      </c>
      <c r="AR97" s="52">
        <v>0</v>
      </c>
      <c r="AS97" s="52">
        <v>0</v>
      </c>
      <c r="AT97" s="52">
        <v>0</v>
      </c>
      <c r="AU97" s="52">
        <v>0</v>
      </c>
      <c r="AV97" s="52">
        <v>0</v>
      </c>
      <c r="AW97" s="52">
        <v>0</v>
      </c>
      <c r="AX97" s="52">
        <v>0</v>
      </c>
      <c r="AY97" s="52">
        <v>0</v>
      </c>
      <c r="AZ97" s="52">
        <v>0</v>
      </c>
      <c r="BA97" s="52">
        <v>0</v>
      </c>
      <c r="BB97" s="52">
        <v>0</v>
      </c>
      <c r="BC97" s="52">
        <v>0</v>
      </c>
      <c r="BD97" s="52">
        <v>0</v>
      </c>
      <c r="BE97" s="52">
        <v>0</v>
      </c>
      <c r="BF97" s="52">
        <v>9926.4000000000015</v>
      </c>
      <c r="BG97" s="52">
        <v>46323.199999999997</v>
      </c>
      <c r="BH97" s="52">
        <v>9264.6399999999976</v>
      </c>
      <c r="BI97" s="52">
        <v>0</v>
      </c>
      <c r="BJ97" s="52">
        <v>0</v>
      </c>
      <c r="BK97" s="52">
        <v>0</v>
      </c>
      <c r="BL97" s="52">
        <v>0</v>
      </c>
      <c r="BM97" s="52">
        <v>0</v>
      </c>
      <c r="BN97" s="52">
        <v>0</v>
      </c>
      <c r="BO97" s="52">
        <v>0</v>
      </c>
      <c r="BP97" s="52">
        <v>0</v>
      </c>
      <c r="BQ97" s="52">
        <v>0</v>
      </c>
      <c r="BR97" s="52">
        <v>6686.7799999999643</v>
      </c>
      <c r="BS97" s="52">
        <v>14318.079999999994</v>
      </c>
      <c r="BT97" s="52">
        <v>6136.3199999999979</v>
      </c>
      <c r="BU97" s="52">
        <v>0</v>
      </c>
      <c r="BV97" s="52">
        <v>0</v>
      </c>
      <c r="BW97" s="52">
        <v>0</v>
      </c>
    </row>
    <row r="98" spans="1:75" x14ac:dyDescent="0.3">
      <c r="A98" s="8" t="s">
        <v>102</v>
      </c>
      <c r="B98" s="8" t="s">
        <v>10</v>
      </c>
      <c r="C98" s="8" t="s">
        <v>151</v>
      </c>
      <c r="D98" s="52">
        <v>17107.2</v>
      </c>
      <c r="E98" s="52">
        <v>23950.080000000002</v>
      </c>
      <c r="F98" s="52">
        <v>10264.320000000002</v>
      </c>
      <c r="G98" s="52">
        <v>6998.4000000000005</v>
      </c>
      <c r="H98" s="52">
        <v>9797.7599999999966</v>
      </c>
      <c r="I98" s="52">
        <v>4199.0399999999981</v>
      </c>
      <c r="J98" s="52">
        <v>5893.3800000000401</v>
      </c>
      <c r="K98" s="52">
        <v>23328.000000000004</v>
      </c>
      <c r="L98" s="52">
        <v>9331.2000000000007</v>
      </c>
      <c r="M98" s="52">
        <v>0</v>
      </c>
      <c r="N98" s="52">
        <v>0</v>
      </c>
      <c r="O98" s="52">
        <v>0</v>
      </c>
      <c r="P98" s="52">
        <v>0</v>
      </c>
      <c r="Q98" s="52">
        <v>0</v>
      </c>
      <c r="R98" s="52">
        <v>0</v>
      </c>
      <c r="S98" s="52">
        <v>0</v>
      </c>
      <c r="T98" s="52">
        <v>0</v>
      </c>
      <c r="U98" s="52">
        <v>0</v>
      </c>
      <c r="V98" s="52">
        <v>5909.76</v>
      </c>
      <c r="W98" s="52">
        <v>27416.886000000064</v>
      </c>
      <c r="X98" s="52">
        <v>8864.6400000000012</v>
      </c>
      <c r="Y98" s="52">
        <v>0</v>
      </c>
      <c r="Z98" s="52">
        <v>0</v>
      </c>
      <c r="AA98" s="52">
        <v>0</v>
      </c>
      <c r="AB98" s="52">
        <v>12652.111999999923</v>
      </c>
      <c r="AC98" s="52">
        <v>55916.784000000014</v>
      </c>
      <c r="AD98" s="52">
        <v>10264.320000000002</v>
      </c>
      <c r="AE98" s="52">
        <v>0</v>
      </c>
      <c r="AF98" s="52">
        <v>0</v>
      </c>
      <c r="AG98" s="52">
        <v>0</v>
      </c>
      <c r="AH98" s="52">
        <v>16329.600000000002</v>
      </c>
      <c r="AI98" s="52">
        <v>57153.600000000006</v>
      </c>
      <c r="AJ98" s="52">
        <v>9797.760000000002</v>
      </c>
      <c r="AK98" s="52">
        <v>5248.8</v>
      </c>
      <c r="AL98" s="52">
        <v>24494.400000000001</v>
      </c>
      <c r="AM98" s="52">
        <v>4898.880000000001</v>
      </c>
      <c r="AN98" s="52">
        <v>21384</v>
      </c>
      <c r="AO98" s="52">
        <v>45735.042000000205</v>
      </c>
      <c r="AP98" s="52">
        <v>11975.039999999997</v>
      </c>
      <c r="AQ98" s="52">
        <v>0</v>
      </c>
      <c r="AR98" s="52">
        <v>0</v>
      </c>
      <c r="AS98" s="52">
        <v>0</v>
      </c>
      <c r="AT98" s="52">
        <v>0</v>
      </c>
      <c r="AU98" s="52">
        <v>0</v>
      </c>
      <c r="AV98" s="52">
        <v>0</v>
      </c>
      <c r="AW98" s="52">
        <v>0</v>
      </c>
      <c r="AX98" s="52">
        <v>0</v>
      </c>
      <c r="AY98" s="52">
        <v>0</v>
      </c>
      <c r="AZ98" s="52">
        <v>0</v>
      </c>
      <c r="BA98" s="52">
        <v>0</v>
      </c>
      <c r="BB98" s="52">
        <v>0</v>
      </c>
      <c r="BC98" s="52">
        <v>0</v>
      </c>
      <c r="BD98" s="52">
        <v>0</v>
      </c>
      <c r="BE98" s="52">
        <v>0</v>
      </c>
      <c r="BF98" s="52">
        <v>12830.400000000001</v>
      </c>
      <c r="BG98" s="52">
        <v>59875.200000000004</v>
      </c>
      <c r="BH98" s="52">
        <v>11975.04</v>
      </c>
      <c r="BI98" s="52">
        <v>5248.8</v>
      </c>
      <c r="BJ98" s="52">
        <v>17332.380000000005</v>
      </c>
      <c r="BK98" s="52">
        <v>5598.7199999999984</v>
      </c>
      <c r="BL98" s="52">
        <v>0</v>
      </c>
      <c r="BM98" s="52">
        <v>0</v>
      </c>
      <c r="BN98" s="52">
        <v>0</v>
      </c>
      <c r="BO98" s="52">
        <v>0</v>
      </c>
      <c r="BP98" s="52">
        <v>0</v>
      </c>
      <c r="BQ98" s="52">
        <v>0</v>
      </c>
      <c r="BR98" s="52">
        <v>13219.2</v>
      </c>
      <c r="BS98" s="52">
        <v>18506.88</v>
      </c>
      <c r="BT98" s="52">
        <v>7931.52</v>
      </c>
      <c r="BU98" s="52">
        <v>10886.400000000001</v>
      </c>
      <c r="BV98" s="52">
        <v>14152.319999999994</v>
      </c>
      <c r="BW98" s="52">
        <v>7620.4799999999968</v>
      </c>
    </row>
    <row r="99" spans="1:75" x14ac:dyDescent="0.3">
      <c r="A99" s="8" t="s">
        <v>102</v>
      </c>
      <c r="B99" s="8" t="s">
        <v>10</v>
      </c>
      <c r="C99" s="8" t="s">
        <v>62</v>
      </c>
      <c r="D99" s="52">
        <v>44000</v>
      </c>
      <c r="E99" s="52">
        <v>154000</v>
      </c>
      <c r="F99" s="52">
        <v>66000</v>
      </c>
      <c r="G99" s="52">
        <v>18000</v>
      </c>
      <c r="H99" s="52">
        <v>63000</v>
      </c>
      <c r="I99" s="52">
        <v>27000</v>
      </c>
      <c r="J99" s="52">
        <v>30000</v>
      </c>
      <c r="K99" s="52">
        <v>150000</v>
      </c>
      <c r="L99" s="52">
        <v>60000</v>
      </c>
      <c r="M99" s="52">
        <v>12000</v>
      </c>
      <c r="N99" s="52">
        <v>52000</v>
      </c>
      <c r="O99" s="52">
        <v>32000</v>
      </c>
      <c r="P99" s="52">
        <v>42000</v>
      </c>
      <c r="Q99" s="52">
        <v>147000</v>
      </c>
      <c r="R99" s="52">
        <v>63000</v>
      </c>
      <c r="S99" s="52">
        <v>15000</v>
      </c>
      <c r="T99" s="52">
        <v>65000</v>
      </c>
      <c r="U99" s="52">
        <v>37873.600000000151</v>
      </c>
      <c r="V99" s="52">
        <v>38000</v>
      </c>
      <c r="W99" s="52">
        <v>133000</v>
      </c>
      <c r="X99" s="52">
        <v>57000</v>
      </c>
      <c r="Y99" s="52">
        <v>16500</v>
      </c>
      <c r="Z99" s="52">
        <v>77000</v>
      </c>
      <c r="AA99" s="52">
        <v>38500</v>
      </c>
      <c r="AB99" s="52">
        <v>44000</v>
      </c>
      <c r="AC99" s="52">
        <v>154000</v>
      </c>
      <c r="AD99" s="52">
        <v>66000</v>
      </c>
      <c r="AE99" s="52">
        <v>13500</v>
      </c>
      <c r="AF99" s="52">
        <v>58500</v>
      </c>
      <c r="AG99" s="52">
        <v>36000</v>
      </c>
      <c r="AH99" s="52">
        <v>42000</v>
      </c>
      <c r="AI99" s="52">
        <v>147000</v>
      </c>
      <c r="AJ99" s="52">
        <v>63000</v>
      </c>
      <c r="AK99" s="52">
        <v>13500</v>
      </c>
      <c r="AL99" s="52">
        <v>63000</v>
      </c>
      <c r="AM99" s="52">
        <v>31500</v>
      </c>
      <c r="AN99" s="52">
        <v>55000</v>
      </c>
      <c r="AO99" s="52">
        <v>132000</v>
      </c>
      <c r="AP99" s="52">
        <v>77000</v>
      </c>
      <c r="AQ99" s="52">
        <v>13500</v>
      </c>
      <c r="AR99" s="52">
        <v>63000</v>
      </c>
      <c r="AS99" s="52">
        <v>31500</v>
      </c>
      <c r="AT99" s="52">
        <v>44000</v>
      </c>
      <c r="AU99" s="52">
        <v>143000</v>
      </c>
      <c r="AV99" s="52">
        <v>77000</v>
      </c>
      <c r="AW99" s="52">
        <v>13500</v>
      </c>
      <c r="AX99" s="52">
        <v>63000</v>
      </c>
      <c r="AY99" s="52">
        <v>31500</v>
      </c>
      <c r="AZ99" s="52">
        <v>50000</v>
      </c>
      <c r="BA99" s="52">
        <v>120000</v>
      </c>
      <c r="BB99" s="52">
        <v>70000</v>
      </c>
      <c r="BC99" s="52">
        <v>15000</v>
      </c>
      <c r="BD99" s="52">
        <v>65000</v>
      </c>
      <c r="BE99" s="52">
        <v>40000</v>
      </c>
      <c r="BF99" s="52">
        <v>33000</v>
      </c>
      <c r="BG99" s="52">
        <v>154000</v>
      </c>
      <c r="BH99" s="52">
        <v>69884.011610619535</v>
      </c>
      <c r="BI99" s="52">
        <v>13500</v>
      </c>
      <c r="BJ99" s="52">
        <v>58500</v>
      </c>
      <c r="BK99" s="52">
        <v>32673.044389380564</v>
      </c>
      <c r="BL99" s="52">
        <v>21000</v>
      </c>
      <c r="BM99" s="52">
        <v>157500</v>
      </c>
      <c r="BN99" s="52">
        <v>73500</v>
      </c>
      <c r="BO99" s="52">
        <v>13500</v>
      </c>
      <c r="BP99" s="52">
        <v>58500</v>
      </c>
      <c r="BQ99" s="52">
        <v>35118.864000000103</v>
      </c>
      <c r="BR99" s="52">
        <v>34000</v>
      </c>
      <c r="BS99" s="52">
        <v>119000</v>
      </c>
      <c r="BT99" s="52">
        <v>40807.548000000141</v>
      </c>
      <c r="BU99" s="52">
        <v>28000</v>
      </c>
      <c r="BV99" s="52">
        <v>91000</v>
      </c>
      <c r="BW99" s="52">
        <v>23856.434000000074</v>
      </c>
    </row>
    <row r="100" spans="1:75" x14ac:dyDescent="0.3">
      <c r="A100" s="8" t="s">
        <v>102</v>
      </c>
      <c r="B100" s="8" t="s">
        <v>10</v>
      </c>
      <c r="C100" s="8" t="s">
        <v>63</v>
      </c>
      <c r="D100" s="52">
        <v>44000</v>
      </c>
      <c r="E100" s="52">
        <v>154000</v>
      </c>
      <c r="F100" s="52">
        <v>13200.000000000002</v>
      </c>
      <c r="G100" s="52">
        <v>18000</v>
      </c>
      <c r="H100" s="52">
        <v>52887.114000000154</v>
      </c>
      <c r="I100" s="52">
        <v>5400</v>
      </c>
      <c r="J100" s="52">
        <v>30000</v>
      </c>
      <c r="K100" s="52">
        <v>150000</v>
      </c>
      <c r="L100" s="52">
        <v>12000</v>
      </c>
      <c r="M100" s="52">
        <v>12000</v>
      </c>
      <c r="N100" s="52">
        <v>51540.320000000058</v>
      </c>
      <c r="O100" s="52">
        <v>6400</v>
      </c>
      <c r="P100" s="52">
        <v>42000</v>
      </c>
      <c r="Q100" s="52">
        <v>147000</v>
      </c>
      <c r="R100" s="52">
        <v>12600.000000000002</v>
      </c>
      <c r="S100" s="52">
        <v>15000</v>
      </c>
      <c r="T100" s="52">
        <v>45137.430000000168</v>
      </c>
      <c r="U100" s="52">
        <v>8000</v>
      </c>
      <c r="V100" s="52">
        <v>33245.515999999901</v>
      </c>
      <c r="W100" s="52">
        <v>133000</v>
      </c>
      <c r="X100" s="52">
        <v>11400</v>
      </c>
      <c r="Y100" s="52">
        <v>0</v>
      </c>
      <c r="Z100" s="52">
        <v>0</v>
      </c>
      <c r="AA100" s="52">
        <v>0</v>
      </c>
      <c r="AB100" s="52">
        <v>44000</v>
      </c>
      <c r="AC100" s="52">
        <v>154000</v>
      </c>
      <c r="AD100" s="52">
        <v>13200.000000000002</v>
      </c>
      <c r="AE100" s="52">
        <v>0</v>
      </c>
      <c r="AF100" s="52">
        <v>0</v>
      </c>
      <c r="AG100" s="52">
        <v>0</v>
      </c>
      <c r="AH100" s="52">
        <v>42000</v>
      </c>
      <c r="AI100" s="52">
        <v>147000</v>
      </c>
      <c r="AJ100" s="52">
        <v>12600.000000000002</v>
      </c>
      <c r="AK100" s="52">
        <v>0</v>
      </c>
      <c r="AL100" s="52">
        <v>0</v>
      </c>
      <c r="AM100" s="52">
        <v>0</v>
      </c>
      <c r="AN100" s="52">
        <v>55000</v>
      </c>
      <c r="AO100" s="52">
        <v>132000</v>
      </c>
      <c r="AP100" s="52">
        <v>25646.698000000008</v>
      </c>
      <c r="AQ100" s="52">
        <v>13500</v>
      </c>
      <c r="AR100" s="52">
        <v>63000</v>
      </c>
      <c r="AS100" s="52">
        <v>10491.831000000004</v>
      </c>
      <c r="AT100" s="52">
        <v>44000</v>
      </c>
      <c r="AU100" s="52">
        <v>143000</v>
      </c>
      <c r="AV100" s="52">
        <v>26245.995200000423</v>
      </c>
      <c r="AW100" s="52">
        <v>13500</v>
      </c>
      <c r="AX100" s="52">
        <v>63000</v>
      </c>
      <c r="AY100" s="52">
        <v>10736.998036363808</v>
      </c>
      <c r="AZ100" s="52">
        <v>50000</v>
      </c>
      <c r="BA100" s="52">
        <v>120000</v>
      </c>
      <c r="BB100" s="52">
        <v>48126.934545454598</v>
      </c>
      <c r="BC100" s="52">
        <v>15000</v>
      </c>
      <c r="BD100" s="52">
        <v>65000</v>
      </c>
      <c r="BE100" s="52">
        <v>27501.105454545486</v>
      </c>
      <c r="BF100" s="52">
        <v>33000</v>
      </c>
      <c r="BG100" s="52">
        <v>154000</v>
      </c>
      <c r="BH100" s="52">
        <v>15400</v>
      </c>
      <c r="BI100" s="52">
        <v>0</v>
      </c>
      <c r="BJ100" s="52">
        <v>0</v>
      </c>
      <c r="BK100" s="52">
        <v>0</v>
      </c>
      <c r="BL100" s="52">
        <v>21000</v>
      </c>
      <c r="BM100" s="52">
        <v>157500</v>
      </c>
      <c r="BN100" s="52">
        <v>14796.96954545482</v>
      </c>
      <c r="BO100" s="52">
        <v>13500</v>
      </c>
      <c r="BP100" s="52">
        <v>58500</v>
      </c>
      <c r="BQ100" s="52">
        <v>7200</v>
      </c>
      <c r="BR100" s="52">
        <v>34000</v>
      </c>
      <c r="BS100" s="52">
        <v>119000</v>
      </c>
      <c r="BT100" s="52">
        <v>10200.000000000002</v>
      </c>
      <c r="BU100" s="52">
        <v>28000</v>
      </c>
      <c r="BV100" s="52">
        <v>72201.414800000042</v>
      </c>
      <c r="BW100" s="52">
        <v>9800</v>
      </c>
    </row>
    <row r="101" spans="1:75" x14ac:dyDescent="0.3">
      <c r="A101" s="8" t="s">
        <v>102</v>
      </c>
      <c r="B101" s="8" t="s">
        <v>10</v>
      </c>
      <c r="C101" s="8" t="s">
        <v>64</v>
      </c>
      <c r="D101" s="52">
        <v>44000</v>
      </c>
      <c r="E101" s="52">
        <v>154000</v>
      </c>
      <c r="F101" s="52">
        <v>13200.000000000002</v>
      </c>
      <c r="G101" s="52">
        <v>0</v>
      </c>
      <c r="H101" s="52">
        <v>0</v>
      </c>
      <c r="I101" s="52">
        <v>0</v>
      </c>
      <c r="J101" s="52">
        <v>30000</v>
      </c>
      <c r="K101" s="52">
        <v>142039.91240000023</v>
      </c>
      <c r="L101" s="52">
        <v>12000</v>
      </c>
      <c r="M101" s="52">
        <v>0</v>
      </c>
      <c r="N101" s="52">
        <v>0</v>
      </c>
      <c r="O101" s="52">
        <v>0</v>
      </c>
      <c r="P101" s="52">
        <v>42000</v>
      </c>
      <c r="Q101" s="52">
        <v>147000</v>
      </c>
      <c r="R101" s="52">
        <v>12600.000000000002</v>
      </c>
      <c r="S101" s="52">
        <v>0</v>
      </c>
      <c r="T101" s="52">
        <v>0</v>
      </c>
      <c r="U101" s="52">
        <v>0</v>
      </c>
      <c r="V101" s="52">
        <v>0</v>
      </c>
      <c r="W101" s="52">
        <v>0</v>
      </c>
      <c r="X101" s="52">
        <v>0</v>
      </c>
      <c r="Y101" s="52">
        <v>0</v>
      </c>
      <c r="Z101" s="52">
        <v>0</v>
      </c>
      <c r="AA101" s="52">
        <v>0</v>
      </c>
      <c r="AB101" s="52">
        <v>0</v>
      </c>
      <c r="AC101" s="52">
        <v>0</v>
      </c>
      <c r="AD101" s="52">
        <v>0</v>
      </c>
      <c r="AE101" s="52">
        <v>0</v>
      </c>
      <c r="AF101" s="52">
        <v>0</v>
      </c>
      <c r="AG101" s="52">
        <v>0</v>
      </c>
      <c r="AH101" s="52">
        <v>26058.647999999972</v>
      </c>
      <c r="AI101" s="52">
        <v>73982.748000000051</v>
      </c>
      <c r="AJ101" s="52">
        <v>12600.000000000002</v>
      </c>
      <c r="AK101" s="52">
        <v>0</v>
      </c>
      <c r="AL101" s="52">
        <v>0</v>
      </c>
      <c r="AM101" s="52">
        <v>0</v>
      </c>
      <c r="AN101" s="52">
        <v>55000</v>
      </c>
      <c r="AO101" s="52">
        <v>132000</v>
      </c>
      <c r="AP101" s="52">
        <v>15400</v>
      </c>
      <c r="AQ101" s="52">
        <v>0</v>
      </c>
      <c r="AR101" s="52">
        <v>0</v>
      </c>
      <c r="AS101" s="52">
        <v>0</v>
      </c>
      <c r="AT101" s="52">
        <v>0</v>
      </c>
      <c r="AU101" s="52">
        <v>0</v>
      </c>
      <c r="AV101" s="52">
        <v>0</v>
      </c>
      <c r="AW101" s="52">
        <v>0</v>
      </c>
      <c r="AX101" s="52">
        <v>0</v>
      </c>
      <c r="AY101" s="52">
        <v>0</v>
      </c>
      <c r="AZ101" s="52">
        <v>50000</v>
      </c>
      <c r="BA101" s="52">
        <v>120000</v>
      </c>
      <c r="BB101" s="52">
        <v>14000</v>
      </c>
      <c r="BC101" s="52">
        <v>0</v>
      </c>
      <c r="BD101" s="52">
        <v>0</v>
      </c>
      <c r="BE101" s="52">
        <v>0</v>
      </c>
      <c r="BF101" s="52">
        <v>0</v>
      </c>
      <c r="BG101" s="52">
        <v>0</v>
      </c>
      <c r="BH101" s="52">
        <v>0</v>
      </c>
      <c r="BI101" s="52">
        <v>0</v>
      </c>
      <c r="BJ101" s="52">
        <v>0</v>
      </c>
      <c r="BK101" s="52">
        <v>0</v>
      </c>
      <c r="BL101" s="52">
        <v>21000</v>
      </c>
      <c r="BM101" s="52">
        <v>150011.51999999996</v>
      </c>
      <c r="BN101" s="52">
        <v>14700.000000000002</v>
      </c>
      <c r="BO101" s="52">
        <v>0</v>
      </c>
      <c r="BP101" s="52">
        <v>0</v>
      </c>
      <c r="BQ101" s="52">
        <v>0</v>
      </c>
      <c r="BR101" s="52">
        <v>34000</v>
      </c>
      <c r="BS101" s="52">
        <v>95650.533999999941</v>
      </c>
      <c r="BT101" s="52">
        <v>10200.000000000002</v>
      </c>
      <c r="BU101" s="52">
        <v>0</v>
      </c>
      <c r="BV101" s="52">
        <v>0</v>
      </c>
      <c r="BW101" s="52">
        <v>0</v>
      </c>
    </row>
    <row r="102" spans="1:75" x14ac:dyDescent="0.3">
      <c r="A102" s="8" t="s">
        <v>102</v>
      </c>
      <c r="B102" s="8" t="s">
        <v>10</v>
      </c>
      <c r="C102" s="8" t="s">
        <v>65</v>
      </c>
      <c r="D102" s="52">
        <v>58739.999999999993</v>
      </c>
      <c r="E102" s="52">
        <v>205590</v>
      </c>
      <c r="F102" s="52">
        <v>88110</v>
      </c>
      <c r="G102" s="52">
        <v>24030</v>
      </c>
      <c r="H102" s="52">
        <v>84105</v>
      </c>
      <c r="I102" s="52">
        <v>36045</v>
      </c>
      <c r="J102" s="52">
        <v>40050</v>
      </c>
      <c r="K102" s="52">
        <v>200250</v>
      </c>
      <c r="L102" s="52">
        <v>80100</v>
      </c>
      <c r="M102" s="52">
        <v>16020</v>
      </c>
      <c r="N102" s="52">
        <v>69420</v>
      </c>
      <c r="O102" s="52">
        <v>42720</v>
      </c>
      <c r="P102" s="52">
        <v>56070</v>
      </c>
      <c r="Q102" s="52">
        <v>196245</v>
      </c>
      <c r="R102" s="52">
        <v>84105</v>
      </c>
      <c r="S102" s="52">
        <v>20025</v>
      </c>
      <c r="T102" s="52">
        <v>86774.999999999985</v>
      </c>
      <c r="U102" s="52">
        <v>53400</v>
      </c>
      <c r="V102" s="52">
        <v>50730</v>
      </c>
      <c r="W102" s="52">
        <v>177555</v>
      </c>
      <c r="X102" s="52">
        <v>76095</v>
      </c>
      <c r="Y102" s="52">
        <v>22027.5</v>
      </c>
      <c r="Z102" s="52">
        <v>102795</v>
      </c>
      <c r="AA102" s="52">
        <v>51397.5</v>
      </c>
      <c r="AB102" s="52">
        <v>58739.999999999993</v>
      </c>
      <c r="AC102" s="52">
        <v>205590</v>
      </c>
      <c r="AD102" s="52">
        <v>88110</v>
      </c>
      <c r="AE102" s="52">
        <v>18022.5</v>
      </c>
      <c r="AF102" s="52">
        <v>78097.5</v>
      </c>
      <c r="AG102" s="52">
        <v>48060</v>
      </c>
      <c r="AH102" s="52">
        <v>56070</v>
      </c>
      <c r="AI102" s="52">
        <v>196245</v>
      </c>
      <c r="AJ102" s="52">
        <v>84105</v>
      </c>
      <c r="AK102" s="52">
        <v>18022.5</v>
      </c>
      <c r="AL102" s="52">
        <v>84105</v>
      </c>
      <c r="AM102" s="52">
        <v>42052.5</v>
      </c>
      <c r="AN102" s="52">
        <v>73425</v>
      </c>
      <c r="AO102" s="52">
        <v>176220</v>
      </c>
      <c r="AP102" s="52">
        <v>102795</v>
      </c>
      <c r="AQ102" s="52">
        <v>18022.5</v>
      </c>
      <c r="AR102" s="52">
        <v>84105</v>
      </c>
      <c r="AS102" s="52">
        <v>42052.5</v>
      </c>
      <c r="AT102" s="52">
        <v>58739.999999999993</v>
      </c>
      <c r="AU102" s="52">
        <v>190905</v>
      </c>
      <c r="AV102" s="52">
        <v>102795</v>
      </c>
      <c r="AW102" s="52">
        <v>18022.5</v>
      </c>
      <c r="AX102" s="52">
        <v>84105</v>
      </c>
      <c r="AY102" s="52">
        <v>42052.5</v>
      </c>
      <c r="AZ102" s="52">
        <v>66750</v>
      </c>
      <c r="BA102" s="52">
        <v>160200</v>
      </c>
      <c r="BB102" s="52">
        <v>93450</v>
      </c>
      <c r="BC102" s="52">
        <v>20025</v>
      </c>
      <c r="BD102" s="52">
        <v>86774.999999999985</v>
      </c>
      <c r="BE102" s="52">
        <v>53400</v>
      </c>
      <c r="BF102" s="52">
        <v>44055</v>
      </c>
      <c r="BG102" s="52">
        <v>205590</v>
      </c>
      <c r="BH102" s="52">
        <v>102795</v>
      </c>
      <c r="BI102" s="52">
        <v>18022.5</v>
      </c>
      <c r="BJ102" s="52">
        <v>78097.5</v>
      </c>
      <c r="BK102" s="52">
        <v>48060</v>
      </c>
      <c r="BL102" s="52">
        <v>28035</v>
      </c>
      <c r="BM102" s="52">
        <v>210262.5</v>
      </c>
      <c r="BN102" s="52">
        <v>98122.5</v>
      </c>
      <c r="BO102" s="52">
        <v>18022.5</v>
      </c>
      <c r="BP102" s="52">
        <v>78097.5</v>
      </c>
      <c r="BQ102" s="52">
        <v>48060</v>
      </c>
      <c r="BR102" s="52">
        <v>45390</v>
      </c>
      <c r="BS102" s="52">
        <v>158865</v>
      </c>
      <c r="BT102" s="52">
        <v>68085</v>
      </c>
      <c r="BU102" s="52">
        <v>37379.999999999993</v>
      </c>
      <c r="BV102" s="52">
        <v>121485</v>
      </c>
      <c r="BW102" s="52">
        <v>65414.999999999993</v>
      </c>
    </row>
    <row r="103" spans="1:75" x14ac:dyDescent="0.3">
      <c r="A103" s="8" t="s">
        <v>102</v>
      </c>
      <c r="B103" s="8" t="s">
        <v>10</v>
      </c>
      <c r="C103" s="8" t="s">
        <v>66</v>
      </c>
      <c r="D103" s="52">
        <v>0</v>
      </c>
      <c r="E103" s="52">
        <v>0</v>
      </c>
      <c r="F103" s="52">
        <v>0</v>
      </c>
      <c r="G103" s="52">
        <v>0</v>
      </c>
      <c r="H103" s="52">
        <v>0</v>
      </c>
      <c r="I103" s="52">
        <v>0</v>
      </c>
      <c r="J103" s="52">
        <v>0</v>
      </c>
      <c r="K103" s="52">
        <v>0</v>
      </c>
      <c r="L103" s="52">
        <v>0</v>
      </c>
      <c r="M103" s="52">
        <v>0</v>
      </c>
      <c r="N103" s="52">
        <v>0</v>
      </c>
      <c r="O103" s="52">
        <v>0</v>
      </c>
      <c r="P103" s="52">
        <v>0</v>
      </c>
      <c r="Q103" s="52">
        <v>0</v>
      </c>
      <c r="R103" s="52">
        <v>0</v>
      </c>
      <c r="S103" s="52">
        <v>0</v>
      </c>
      <c r="T103" s="52">
        <v>0</v>
      </c>
      <c r="U103" s="52">
        <v>0</v>
      </c>
      <c r="V103" s="52">
        <v>0</v>
      </c>
      <c r="W103" s="52">
        <v>0</v>
      </c>
      <c r="X103" s="52">
        <v>0</v>
      </c>
      <c r="Y103" s="52">
        <v>0</v>
      </c>
      <c r="Z103" s="52">
        <v>0</v>
      </c>
      <c r="AA103" s="52">
        <v>0</v>
      </c>
      <c r="AB103" s="52">
        <v>0</v>
      </c>
      <c r="AC103" s="52">
        <v>0</v>
      </c>
      <c r="AD103" s="52">
        <v>0</v>
      </c>
      <c r="AE103" s="52">
        <v>0</v>
      </c>
      <c r="AF103" s="52">
        <v>0</v>
      </c>
      <c r="AG103" s="52">
        <v>0</v>
      </c>
      <c r="AH103" s="52">
        <v>0</v>
      </c>
      <c r="AI103" s="52">
        <v>0</v>
      </c>
      <c r="AJ103" s="52">
        <v>0</v>
      </c>
      <c r="AK103" s="52">
        <v>0</v>
      </c>
      <c r="AL103" s="52">
        <v>0</v>
      </c>
      <c r="AM103" s="52">
        <v>0</v>
      </c>
      <c r="AN103" s="52">
        <v>0</v>
      </c>
      <c r="AO103" s="52">
        <v>0</v>
      </c>
      <c r="AP103" s="52">
        <v>0</v>
      </c>
      <c r="AQ103" s="52">
        <v>0</v>
      </c>
      <c r="AR103" s="52">
        <v>0</v>
      </c>
      <c r="AS103" s="52">
        <v>0</v>
      </c>
      <c r="AT103" s="52">
        <v>0</v>
      </c>
      <c r="AU103" s="52">
        <v>0</v>
      </c>
      <c r="AV103" s="52">
        <v>0</v>
      </c>
      <c r="AW103" s="52">
        <v>0</v>
      </c>
      <c r="AX103" s="52">
        <v>0</v>
      </c>
      <c r="AY103" s="52">
        <v>0</v>
      </c>
      <c r="AZ103" s="52">
        <v>0</v>
      </c>
      <c r="BA103" s="52">
        <v>0</v>
      </c>
      <c r="BB103" s="52">
        <v>0</v>
      </c>
      <c r="BC103" s="52">
        <v>0</v>
      </c>
      <c r="BD103" s="52">
        <v>0</v>
      </c>
      <c r="BE103" s="52">
        <v>0</v>
      </c>
      <c r="BF103" s="52">
        <v>0</v>
      </c>
      <c r="BG103" s="52">
        <v>0</v>
      </c>
      <c r="BH103" s="52">
        <v>0</v>
      </c>
      <c r="BI103" s="52">
        <v>0</v>
      </c>
      <c r="BJ103" s="52">
        <v>0</v>
      </c>
      <c r="BK103" s="52">
        <v>0</v>
      </c>
      <c r="BL103" s="52">
        <v>0</v>
      </c>
      <c r="BM103" s="52">
        <v>0</v>
      </c>
      <c r="BN103" s="52">
        <v>0</v>
      </c>
      <c r="BO103" s="52">
        <v>0</v>
      </c>
      <c r="BP103" s="52">
        <v>0</v>
      </c>
      <c r="BQ103" s="52">
        <v>0</v>
      </c>
      <c r="BR103" s="52">
        <v>0</v>
      </c>
      <c r="BS103" s="52">
        <v>0</v>
      </c>
      <c r="BT103" s="52">
        <v>0</v>
      </c>
      <c r="BU103" s="52">
        <v>0</v>
      </c>
      <c r="BV103" s="52">
        <v>0</v>
      </c>
      <c r="BW103" s="52">
        <v>0</v>
      </c>
    </row>
    <row r="104" spans="1:75" x14ac:dyDescent="0.3">
      <c r="A104" s="8" t="s">
        <v>102</v>
      </c>
      <c r="B104" s="8" t="s">
        <v>10</v>
      </c>
      <c r="C104" s="8" t="s">
        <v>67</v>
      </c>
      <c r="D104" s="52">
        <v>0</v>
      </c>
      <c r="E104" s="52">
        <v>0</v>
      </c>
      <c r="F104" s="52">
        <v>0</v>
      </c>
      <c r="G104" s="52">
        <v>0</v>
      </c>
      <c r="H104" s="52">
        <v>0</v>
      </c>
      <c r="I104" s="52">
        <v>0</v>
      </c>
      <c r="J104" s="52">
        <v>0</v>
      </c>
      <c r="K104" s="52">
        <v>0</v>
      </c>
      <c r="L104" s="52">
        <v>0</v>
      </c>
      <c r="M104" s="52">
        <v>0</v>
      </c>
      <c r="N104" s="52">
        <v>0</v>
      </c>
      <c r="O104" s="52">
        <v>0</v>
      </c>
      <c r="P104" s="52">
        <v>0</v>
      </c>
      <c r="Q104" s="52">
        <v>0</v>
      </c>
      <c r="R104" s="52">
        <v>0</v>
      </c>
      <c r="S104" s="52">
        <v>0</v>
      </c>
      <c r="T104" s="52">
        <v>0</v>
      </c>
      <c r="U104" s="52">
        <v>0</v>
      </c>
      <c r="V104" s="52">
        <v>0</v>
      </c>
      <c r="W104" s="52">
        <v>0</v>
      </c>
      <c r="X104" s="52">
        <v>0</v>
      </c>
      <c r="Y104" s="52">
        <v>0</v>
      </c>
      <c r="Z104" s="52">
        <v>0</v>
      </c>
      <c r="AA104" s="52">
        <v>0</v>
      </c>
      <c r="AB104" s="52">
        <v>0</v>
      </c>
      <c r="AC104" s="52">
        <v>0</v>
      </c>
      <c r="AD104" s="52">
        <v>0</v>
      </c>
      <c r="AE104" s="52">
        <v>0</v>
      </c>
      <c r="AF104" s="52">
        <v>0</v>
      </c>
      <c r="AG104" s="52">
        <v>0</v>
      </c>
      <c r="AH104" s="52">
        <v>0</v>
      </c>
      <c r="AI104" s="52">
        <v>0</v>
      </c>
      <c r="AJ104" s="52">
        <v>0</v>
      </c>
      <c r="AK104" s="52">
        <v>0</v>
      </c>
      <c r="AL104" s="52">
        <v>0</v>
      </c>
      <c r="AM104" s="52">
        <v>0</v>
      </c>
      <c r="AN104" s="52">
        <v>0</v>
      </c>
      <c r="AO104" s="52">
        <v>0</v>
      </c>
      <c r="AP104" s="52">
        <v>0</v>
      </c>
      <c r="AQ104" s="52">
        <v>0</v>
      </c>
      <c r="AR104" s="52">
        <v>0</v>
      </c>
      <c r="AS104" s="52">
        <v>0</v>
      </c>
      <c r="AT104" s="52">
        <v>0</v>
      </c>
      <c r="AU104" s="52">
        <v>0</v>
      </c>
      <c r="AV104" s="52">
        <v>0</v>
      </c>
      <c r="AW104" s="52">
        <v>0</v>
      </c>
      <c r="AX104" s="52">
        <v>0</v>
      </c>
      <c r="AY104" s="52">
        <v>0</v>
      </c>
      <c r="AZ104" s="52">
        <v>0</v>
      </c>
      <c r="BA104" s="52">
        <v>0</v>
      </c>
      <c r="BB104" s="52">
        <v>0</v>
      </c>
      <c r="BC104" s="52">
        <v>0</v>
      </c>
      <c r="BD104" s="52">
        <v>0</v>
      </c>
      <c r="BE104" s="52">
        <v>0</v>
      </c>
      <c r="BF104" s="52">
        <v>0</v>
      </c>
      <c r="BG104" s="52">
        <v>0</v>
      </c>
      <c r="BH104" s="52">
        <v>0</v>
      </c>
      <c r="BI104" s="52">
        <v>0</v>
      </c>
      <c r="BJ104" s="52">
        <v>0</v>
      </c>
      <c r="BK104" s="52">
        <v>0</v>
      </c>
      <c r="BL104" s="52">
        <v>0</v>
      </c>
      <c r="BM104" s="52">
        <v>0</v>
      </c>
      <c r="BN104" s="52">
        <v>0</v>
      </c>
      <c r="BO104" s="52">
        <v>0</v>
      </c>
      <c r="BP104" s="52">
        <v>0</v>
      </c>
      <c r="BQ104" s="52">
        <v>0</v>
      </c>
      <c r="BR104" s="52">
        <v>0</v>
      </c>
      <c r="BS104" s="52">
        <v>0</v>
      </c>
      <c r="BT104" s="52">
        <v>0</v>
      </c>
      <c r="BU104" s="52">
        <v>0</v>
      </c>
      <c r="BV104" s="52">
        <v>0</v>
      </c>
      <c r="BW104" s="52">
        <v>0</v>
      </c>
    </row>
    <row r="105" spans="1:75" x14ac:dyDescent="0.3">
      <c r="A105" s="8" t="s">
        <v>102</v>
      </c>
      <c r="B105" s="8" t="s">
        <v>10</v>
      </c>
      <c r="C105" s="8" t="s">
        <v>68</v>
      </c>
      <c r="D105" s="52">
        <v>0</v>
      </c>
      <c r="E105" s="52">
        <v>0</v>
      </c>
      <c r="F105" s="52">
        <v>0</v>
      </c>
      <c r="G105" s="52">
        <v>0</v>
      </c>
      <c r="H105" s="52">
        <v>0</v>
      </c>
      <c r="I105" s="52">
        <v>0</v>
      </c>
      <c r="J105" s="52">
        <v>0</v>
      </c>
      <c r="K105" s="52">
        <v>0</v>
      </c>
      <c r="L105" s="52">
        <v>0</v>
      </c>
      <c r="M105" s="52">
        <v>0</v>
      </c>
      <c r="N105" s="52">
        <v>0</v>
      </c>
      <c r="O105" s="52">
        <v>0</v>
      </c>
      <c r="P105" s="52">
        <v>0</v>
      </c>
      <c r="Q105" s="52">
        <v>0</v>
      </c>
      <c r="R105" s="52">
        <v>0</v>
      </c>
      <c r="S105" s="52">
        <v>0</v>
      </c>
      <c r="T105" s="52">
        <v>0</v>
      </c>
      <c r="U105" s="52">
        <v>0</v>
      </c>
      <c r="V105" s="52">
        <v>0</v>
      </c>
      <c r="W105" s="52">
        <v>0</v>
      </c>
      <c r="X105" s="52">
        <v>0</v>
      </c>
      <c r="Y105" s="52">
        <v>0</v>
      </c>
      <c r="Z105" s="52">
        <v>0</v>
      </c>
      <c r="AA105" s="52">
        <v>0</v>
      </c>
      <c r="AB105" s="52">
        <v>0</v>
      </c>
      <c r="AC105" s="52">
        <v>0</v>
      </c>
      <c r="AD105" s="52">
        <v>0</v>
      </c>
      <c r="AE105" s="52">
        <v>0</v>
      </c>
      <c r="AF105" s="52">
        <v>0</v>
      </c>
      <c r="AG105" s="52">
        <v>0</v>
      </c>
      <c r="AH105" s="52">
        <v>0</v>
      </c>
      <c r="AI105" s="52">
        <v>0</v>
      </c>
      <c r="AJ105" s="52">
        <v>0</v>
      </c>
      <c r="AK105" s="52">
        <v>0</v>
      </c>
      <c r="AL105" s="52">
        <v>0</v>
      </c>
      <c r="AM105" s="52">
        <v>0</v>
      </c>
      <c r="AN105" s="52">
        <v>0</v>
      </c>
      <c r="AO105" s="52">
        <v>0</v>
      </c>
      <c r="AP105" s="52">
        <v>0</v>
      </c>
      <c r="AQ105" s="52">
        <v>0</v>
      </c>
      <c r="AR105" s="52">
        <v>0</v>
      </c>
      <c r="AS105" s="52">
        <v>0</v>
      </c>
      <c r="AT105" s="52">
        <v>0</v>
      </c>
      <c r="AU105" s="52">
        <v>0</v>
      </c>
      <c r="AV105" s="52">
        <v>0</v>
      </c>
      <c r="AW105" s="52">
        <v>0</v>
      </c>
      <c r="AX105" s="52">
        <v>0</v>
      </c>
      <c r="AY105" s="52">
        <v>0</v>
      </c>
      <c r="AZ105" s="52">
        <v>0</v>
      </c>
      <c r="BA105" s="52">
        <v>0</v>
      </c>
      <c r="BB105" s="52">
        <v>0</v>
      </c>
      <c r="BC105" s="52">
        <v>0</v>
      </c>
      <c r="BD105" s="52">
        <v>0</v>
      </c>
      <c r="BE105" s="52">
        <v>0</v>
      </c>
      <c r="BF105" s="52">
        <v>0</v>
      </c>
      <c r="BG105" s="52">
        <v>0</v>
      </c>
      <c r="BH105" s="52">
        <v>0</v>
      </c>
      <c r="BI105" s="52">
        <v>0</v>
      </c>
      <c r="BJ105" s="52">
        <v>0</v>
      </c>
      <c r="BK105" s="52">
        <v>0</v>
      </c>
      <c r="BL105" s="52">
        <v>0</v>
      </c>
      <c r="BM105" s="52">
        <v>0</v>
      </c>
      <c r="BN105" s="52">
        <v>0</v>
      </c>
      <c r="BO105" s="52">
        <v>0</v>
      </c>
      <c r="BP105" s="52">
        <v>0</v>
      </c>
      <c r="BQ105" s="52">
        <v>0</v>
      </c>
      <c r="BR105" s="52">
        <v>0</v>
      </c>
      <c r="BS105" s="52">
        <v>0</v>
      </c>
      <c r="BT105" s="52">
        <v>0</v>
      </c>
      <c r="BU105" s="52">
        <v>0</v>
      </c>
      <c r="BV105" s="52">
        <v>0</v>
      </c>
      <c r="BW105" s="52">
        <v>0</v>
      </c>
    </row>
    <row r="106" spans="1:75" x14ac:dyDescent="0.3">
      <c r="A106" s="8" t="s">
        <v>102</v>
      </c>
      <c r="B106" s="8" t="s">
        <v>10</v>
      </c>
      <c r="C106" s="8" t="s">
        <v>69</v>
      </c>
      <c r="D106" s="52">
        <v>0</v>
      </c>
      <c r="E106" s="52">
        <v>0</v>
      </c>
      <c r="F106" s="52">
        <v>0</v>
      </c>
      <c r="G106" s="52">
        <v>0</v>
      </c>
      <c r="H106" s="52">
        <v>0</v>
      </c>
      <c r="I106" s="52">
        <v>0</v>
      </c>
      <c r="J106" s="52">
        <v>0</v>
      </c>
      <c r="K106" s="52">
        <v>0</v>
      </c>
      <c r="L106" s="52">
        <v>0</v>
      </c>
      <c r="M106" s="52">
        <v>0</v>
      </c>
      <c r="N106" s="52">
        <v>0</v>
      </c>
      <c r="O106" s="52">
        <v>0</v>
      </c>
      <c r="P106" s="52">
        <v>0</v>
      </c>
      <c r="Q106" s="52">
        <v>0</v>
      </c>
      <c r="R106" s="52">
        <v>0</v>
      </c>
      <c r="S106" s="52">
        <v>0</v>
      </c>
      <c r="T106" s="52">
        <v>0</v>
      </c>
      <c r="U106" s="52">
        <v>0</v>
      </c>
      <c r="V106" s="52">
        <v>0</v>
      </c>
      <c r="W106" s="52">
        <v>0</v>
      </c>
      <c r="X106" s="52">
        <v>0</v>
      </c>
      <c r="Y106" s="52">
        <v>0</v>
      </c>
      <c r="Z106" s="52">
        <v>0</v>
      </c>
      <c r="AA106" s="52">
        <v>0</v>
      </c>
      <c r="AB106" s="52">
        <v>0</v>
      </c>
      <c r="AC106" s="52">
        <v>0</v>
      </c>
      <c r="AD106" s="52">
        <v>0</v>
      </c>
      <c r="AE106" s="52">
        <v>0</v>
      </c>
      <c r="AF106" s="52">
        <v>0</v>
      </c>
      <c r="AG106" s="52">
        <v>0</v>
      </c>
      <c r="AH106" s="52">
        <v>0</v>
      </c>
      <c r="AI106" s="52">
        <v>0</v>
      </c>
      <c r="AJ106" s="52">
        <v>0</v>
      </c>
      <c r="AK106" s="52">
        <v>0</v>
      </c>
      <c r="AL106" s="52">
        <v>0</v>
      </c>
      <c r="AM106" s="52">
        <v>0</v>
      </c>
      <c r="AN106" s="52">
        <v>0</v>
      </c>
      <c r="AO106" s="52">
        <v>0</v>
      </c>
      <c r="AP106" s="52">
        <v>0</v>
      </c>
      <c r="AQ106" s="52">
        <v>0</v>
      </c>
      <c r="AR106" s="52">
        <v>0</v>
      </c>
      <c r="AS106" s="52">
        <v>0</v>
      </c>
      <c r="AT106" s="52">
        <v>0</v>
      </c>
      <c r="AU106" s="52">
        <v>0</v>
      </c>
      <c r="AV106" s="52">
        <v>0</v>
      </c>
      <c r="AW106" s="52">
        <v>0</v>
      </c>
      <c r="AX106" s="52">
        <v>0</v>
      </c>
      <c r="AY106" s="52">
        <v>0</v>
      </c>
      <c r="AZ106" s="52">
        <v>0</v>
      </c>
      <c r="BA106" s="52">
        <v>0</v>
      </c>
      <c r="BB106" s="52">
        <v>0</v>
      </c>
      <c r="BC106" s="52">
        <v>0</v>
      </c>
      <c r="BD106" s="52">
        <v>0</v>
      </c>
      <c r="BE106" s="52">
        <v>0</v>
      </c>
      <c r="BF106" s="52">
        <v>0</v>
      </c>
      <c r="BG106" s="52">
        <v>0</v>
      </c>
      <c r="BH106" s="52">
        <v>0</v>
      </c>
      <c r="BI106" s="52">
        <v>0</v>
      </c>
      <c r="BJ106" s="52">
        <v>0</v>
      </c>
      <c r="BK106" s="52">
        <v>0</v>
      </c>
      <c r="BL106" s="52">
        <v>0</v>
      </c>
      <c r="BM106" s="52">
        <v>0</v>
      </c>
      <c r="BN106" s="52">
        <v>0</v>
      </c>
      <c r="BO106" s="52">
        <v>0</v>
      </c>
      <c r="BP106" s="52">
        <v>0</v>
      </c>
      <c r="BQ106" s="52">
        <v>0</v>
      </c>
      <c r="BR106" s="52">
        <v>0</v>
      </c>
      <c r="BS106" s="52">
        <v>0</v>
      </c>
      <c r="BT106" s="52">
        <v>0</v>
      </c>
      <c r="BU106" s="52">
        <v>0</v>
      </c>
      <c r="BV106" s="52">
        <v>0</v>
      </c>
      <c r="BW106" s="52">
        <v>0</v>
      </c>
    </row>
    <row r="107" spans="1:75" x14ac:dyDescent="0.3">
      <c r="A107" s="8" t="s">
        <v>102</v>
      </c>
      <c r="B107" s="8" t="s">
        <v>10</v>
      </c>
      <c r="C107" s="8" t="s">
        <v>27</v>
      </c>
      <c r="D107" s="52">
        <v>13200</v>
      </c>
      <c r="E107" s="52">
        <v>46199.999999999993</v>
      </c>
      <c r="F107" s="52">
        <v>19800</v>
      </c>
      <c r="G107" s="52">
        <v>5399.9999999999991</v>
      </c>
      <c r="H107" s="52">
        <v>18900</v>
      </c>
      <c r="I107" s="52">
        <v>3636.0000000000073</v>
      </c>
      <c r="J107" s="52">
        <v>9000</v>
      </c>
      <c r="K107" s="52">
        <v>45000</v>
      </c>
      <c r="L107" s="52">
        <v>18000</v>
      </c>
      <c r="M107" s="52">
        <v>3599.9999999999995</v>
      </c>
      <c r="N107" s="52">
        <v>15600</v>
      </c>
      <c r="O107" s="52">
        <v>9600</v>
      </c>
      <c r="P107" s="52">
        <v>12600</v>
      </c>
      <c r="Q107" s="52">
        <v>44100</v>
      </c>
      <c r="R107" s="52">
        <v>18900</v>
      </c>
      <c r="S107" s="52">
        <v>4500</v>
      </c>
      <c r="T107" s="52">
        <v>19500</v>
      </c>
      <c r="U107" s="52">
        <v>12000</v>
      </c>
      <c r="V107" s="52">
        <v>11400</v>
      </c>
      <c r="W107" s="52">
        <v>39900</v>
      </c>
      <c r="X107" s="52">
        <v>9981.0193193717259</v>
      </c>
      <c r="Y107" s="52">
        <v>4950</v>
      </c>
      <c r="Z107" s="52">
        <v>23099.999999999996</v>
      </c>
      <c r="AA107" s="52">
        <v>5924.9806806282759</v>
      </c>
      <c r="AB107" s="52">
        <v>13200</v>
      </c>
      <c r="AC107" s="52">
        <v>46199.999999999993</v>
      </c>
      <c r="AD107" s="52">
        <v>2180.3294117647079</v>
      </c>
      <c r="AE107" s="52">
        <v>4050</v>
      </c>
      <c r="AF107" s="52">
        <v>17550</v>
      </c>
      <c r="AG107" s="52">
        <v>1189.2705882352957</v>
      </c>
      <c r="AH107" s="52">
        <v>10038.666936609337</v>
      </c>
      <c r="AI107" s="52">
        <v>28816.63308363636</v>
      </c>
      <c r="AJ107" s="52">
        <v>0</v>
      </c>
      <c r="AK107" s="52">
        <v>3226.7143724815724</v>
      </c>
      <c r="AL107" s="52">
        <v>12349.985607272725</v>
      </c>
      <c r="AM107" s="52">
        <v>0</v>
      </c>
      <c r="AN107" s="52">
        <v>16500</v>
      </c>
      <c r="AO107" s="52">
        <v>28921.253999999932</v>
      </c>
      <c r="AP107" s="52">
        <v>0</v>
      </c>
      <c r="AQ107" s="52">
        <v>4050</v>
      </c>
      <c r="AR107" s="52">
        <v>6775.1460000000643</v>
      </c>
      <c r="AS107" s="52">
        <v>0</v>
      </c>
      <c r="AT107" s="52">
        <v>13200</v>
      </c>
      <c r="AU107" s="52">
        <v>42900</v>
      </c>
      <c r="AV107" s="52">
        <v>0</v>
      </c>
      <c r="AW107" s="52">
        <v>146.39999999999793</v>
      </c>
      <c r="AX107" s="52">
        <v>0</v>
      </c>
      <c r="AY107" s="52">
        <v>0</v>
      </c>
      <c r="AZ107" s="52">
        <v>15000</v>
      </c>
      <c r="BA107" s="52">
        <v>36000</v>
      </c>
      <c r="BB107" s="52">
        <v>4230.545454545455</v>
      </c>
      <c r="BC107" s="52">
        <v>4500</v>
      </c>
      <c r="BD107" s="52">
        <v>19500</v>
      </c>
      <c r="BE107" s="52">
        <v>2417.4545454545455</v>
      </c>
      <c r="BF107" s="52">
        <v>9900</v>
      </c>
      <c r="BG107" s="52">
        <v>46199.999999999993</v>
      </c>
      <c r="BH107" s="52">
        <v>16268.516389380533</v>
      </c>
      <c r="BI107" s="52">
        <v>4050</v>
      </c>
      <c r="BJ107" s="52">
        <v>17550</v>
      </c>
      <c r="BK107" s="52">
        <v>4462.6836106194623</v>
      </c>
      <c r="BL107" s="52">
        <v>6300</v>
      </c>
      <c r="BM107" s="52">
        <v>47250</v>
      </c>
      <c r="BN107" s="52">
        <v>22050</v>
      </c>
      <c r="BO107" s="52">
        <v>4050</v>
      </c>
      <c r="BP107" s="52">
        <v>17550</v>
      </c>
      <c r="BQ107" s="52">
        <v>10799.999999999998</v>
      </c>
      <c r="BR107" s="52">
        <v>10200</v>
      </c>
      <c r="BS107" s="52">
        <v>35699.999999999993</v>
      </c>
      <c r="BT107" s="52">
        <v>15299.999999999998</v>
      </c>
      <c r="BU107" s="52">
        <v>8400</v>
      </c>
      <c r="BV107" s="52">
        <v>27300</v>
      </c>
      <c r="BW107" s="52">
        <v>14700</v>
      </c>
    </row>
    <row r="108" spans="1:75" x14ac:dyDescent="0.3">
      <c r="A108" s="8" t="s">
        <v>102</v>
      </c>
      <c r="B108" s="8" t="s">
        <v>10</v>
      </c>
      <c r="C108" s="8" t="s">
        <v>144</v>
      </c>
      <c r="D108" s="52">
        <v>17600</v>
      </c>
      <c r="E108" s="52">
        <v>24508.176000000061</v>
      </c>
      <c r="F108" s="52">
        <v>0</v>
      </c>
      <c r="G108" s="52">
        <v>7200</v>
      </c>
      <c r="H108" s="52">
        <v>0</v>
      </c>
      <c r="I108" s="52">
        <v>0</v>
      </c>
      <c r="J108" s="52">
        <v>12000</v>
      </c>
      <c r="K108" s="52">
        <v>23862.787599999821</v>
      </c>
      <c r="L108" s="52">
        <v>0</v>
      </c>
      <c r="M108" s="52">
        <v>4800.0000000000009</v>
      </c>
      <c r="N108" s="52">
        <v>0</v>
      </c>
      <c r="O108" s="52">
        <v>0</v>
      </c>
      <c r="P108" s="52">
        <v>16800</v>
      </c>
      <c r="Q108" s="52">
        <v>4476.1500000000906</v>
      </c>
      <c r="R108" s="52">
        <v>0</v>
      </c>
      <c r="S108" s="52">
        <v>6000</v>
      </c>
      <c r="T108" s="52">
        <v>0</v>
      </c>
      <c r="U108" s="52">
        <v>0</v>
      </c>
      <c r="V108" s="52">
        <v>15200.000000000002</v>
      </c>
      <c r="W108" s="52">
        <v>41151.529999999992</v>
      </c>
      <c r="X108" s="52">
        <v>0</v>
      </c>
      <c r="Y108" s="52">
        <v>6600.0000000000009</v>
      </c>
      <c r="Z108" s="52">
        <v>23824.569999999996</v>
      </c>
      <c r="AA108" s="52">
        <v>0</v>
      </c>
      <c r="AB108" s="52">
        <v>17600</v>
      </c>
      <c r="AC108" s="52">
        <v>21985.040000000172</v>
      </c>
      <c r="AD108" s="52">
        <v>0</v>
      </c>
      <c r="AE108" s="52">
        <v>5400</v>
      </c>
      <c r="AF108" s="52">
        <v>8351.4600000000646</v>
      </c>
      <c r="AG108" s="52">
        <v>0</v>
      </c>
      <c r="AH108" s="52">
        <v>16800</v>
      </c>
      <c r="AI108" s="52">
        <v>31012.548542528726</v>
      </c>
      <c r="AJ108" s="52">
        <v>0</v>
      </c>
      <c r="AK108" s="52">
        <v>5400</v>
      </c>
      <c r="AL108" s="52">
        <v>13291.09223251231</v>
      </c>
      <c r="AM108" s="52">
        <v>0</v>
      </c>
      <c r="AN108" s="52">
        <v>22000</v>
      </c>
      <c r="AO108" s="52">
        <v>0</v>
      </c>
      <c r="AP108" s="52">
        <v>0</v>
      </c>
      <c r="AQ108" s="52">
        <v>5006.54802495884</v>
      </c>
      <c r="AR108" s="52">
        <v>0</v>
      </c>
      <c r="AS108" s="52">
        <v>0</v>
      </c>
      <c r="AT108" s="52">
        <v>17600</v>
      </c>
      <c r="AU108" s="52">
        <v>0</v>
      </c>
      <c r="AV108" s="52">
        <v>0</v>
      </c>
      <c r="AW108" s="52">
        <v>5400</v>
      </c>
      <c r="AX108" s="52">
        <v>0</v>
      </c>
      <c r="AY108" s="52">
        <v>0</v>
      </c>
      <c r="AZ108" s="52">
        <v>12499.199999999977</v>
      </c>
      <c r="BA108" s="52">
        <v>4550.8799999999283</v>
      </c>
      <c r="BB108" s="52">
        <v>0</v>
      </c>
      <c r="BC108" s="52">
        <v>2992.8900000000149</v>
      </c>
      <c r="BD108" s="52">
        <v>0</v>
      </c>
      <c r="BE108" s="52">
        <v>0</v>
      </c>
      <c r="BF108" s="52">
        <v>13200.000000000002</v>
      </c>
      <c r="BG108" s="52">
        <v>7259.8680000000022</v>
      </c>
      <c r="BH108" s="52">
        <v>0</v>
      </c>
      <c r="BI108" s="52">
        <v>5371.6499999999924</v>
      </c>
      <c r="BJ108" s="52">
        <v>0</v>
      </c>
      <c r="BK108" s="52">
        <v>0</v>
      </c>
      <c r="BL108" s="52">
        <v>8400</v>
      </c>
      <c r="BM108" s="52">
        <v>52019.95199999999</v>
      </c>
      <c r="BN108" s="52">
        <v>0</v>
      </c>
      <c r="BO108" s="52">
        <v>5400</v>
      </c>
      <c r="BP108" s="52">
        <v>0</v>
      </c>
      <c r="BQ108" s="52">
        <v>0</v>
      </c>
      <c r="BR108" s="52">
        <v>13600.000000000002</v>
      </c>
      <c r="BS108" s="52">
        <v>47600</v>
      </c>
      <c r="BT108" s="52">
        <v>0</v>
      </c>
      <c r="BU108" s="52">
        <v>11200.000000000002</v>
      </c>
      <c r="BV108" s="52">
        <v>8014.5391999999929</v>
      </c>
      <c r="BW108" s="52">
        <v>0</v>
      </c>
    </row>
    <row r="109" spans="1:75" x14ac:dyDescent="0.3">
      <c r="A109" s="8" t="s">
        <v>102</v>
      </c>
      <c r="B109" s="8" t="s">
        <v>10</v>
      </c>
      <c r="C109" s="8" t="s">
        <v>145</v>
      </c>
      <c r="D109" s="52">
        <v>0</v>
      </c>
      <c r="E109" s="52">
        <v>0</v>
      </c>
      <c r="F109" s="52">
        <v>0</v>
      </c>
      <c r="G109" s="52">
        <v>0</v>
      </c>
      <c r="H109" s="52">
        <v>0</v>
      </c>
      <c r="I109" s="52">
        <v>0</v>
      </c>
      <c r="J109" s="52">
        <v>10356.780000000015</v>
      </c>
      <c r="K109" s="52">
        <v>0</v>
      </c>
      <c r="L109" s="52">
        <v>0</v>
      </c>
      <c r="M109" s="52">
        <v>4142.7120000000059</v>
      </c>
      <c r="N109" s="52">
        <v>0</v>
      </c>
      <c r="O109" s="52">
        <v>0</v>
      </c>
      <c r="P109" s="52">
        <v>4378.0800000000327</v>
      </c>
      <c r="Q109" s="52">
        <v>0</v>
      </c>
      <c r="R109" s="52">
        <v>0</v>
      </c>
      <c r="S109" s="52">
        <v>1563.6000000000117</v>
      </c>
      <c r="T109" s="52">
        <v>0</v>
      </c>
      <c r="U109" s="52">
        <v>0</v>
      </c>
      <c r="V109" s="52">
        <v>15200.000000000002</v>
      </c>
      <c r="W109" s="52">
        <v>0</v>
      </c>
      <c r="X109" s="52">
        <v>0</v>
      </c>
      <c r="Y109" s="52">
        <v>6600.0000000000009</v>
      </c>
      <c r="Z109" s="52">
        <v>0</v>
      </c>
      <c r="AA109" s="52">
        <v>0</v>
      </c>
      <c r="AB109" s="52">
        <v>17600</v>
      </c>
      <c r="AC109" s="52">
        <v>0</v>
      </c>
      <c r="AD109" s="52">
        <v>0</v>
      </c>
      <c r="AE109" s="52">
        <v>5400</v>
      </c>
      <c r="AF109" s="52">
        <v>0</v>
      </c>
      <c r="AG109" s="52">
        <v>0</v>
      </c>
      <c r="AH109" s="52">
        <v>16800</v>
      </c>
      <c r="AI109" s="52">
        <v>12331.060373834964</v>
      </c>
      <c r="AJ109" s="52">
        <v>0</v>
      </c>
      <c r="AK109" s="52">
        <v>5400</v>
      </c>
      <c r="AL109" s="52">
        <v>5284.7401602149839</v>
      </c>
      <c r="AM109" s="52">
        <v>0</v>
      </c>
      <c r="AN109" s="52">
        <v>4103.1424909084735</v>
      </c>
      <c r="AO109" s="52">
        <v>0</v>
      </c>
      <c r="AP109" s="52">
        <v>0</v>
      </c>
      <c r="AQ109" s="52">
        <v>1007.1349750411708</v>
      </c>
      <c r="AR109" s="52">
        <v>0</v>
      </c>
      <c r="AS109" s="52">
        <v>0</v>
      </c>
      <c r="AT109" s="52">
        <v>16586.32799999999</v>
      </c>
      <c r="AU109" s="52">
        <v>28607.150000000198</v>
      </c>
      <c r="AV109" s="52">
        <v>0</v>
      </c>
      <c r="AW109" s="52">
        <v>609.00600000002123</v>
      </c>
      <c r="AX109" s="52">
        <v>0</v>
      </c>
      <c r="AY109" s="52">
        <v>0</v>
      </c>
      <c r="AZ109" s="52">
        <v>20000</v>
      </c>
      <c r="BA109" s="52">
        <v>0</v>
      </c>
      <c r="BB109" s="52">
        <v>0</v>
      </c>
      <c r="BC109" s="52">
        <v>6000</v>
      </c>
      <c r="BD109" s="52">
        <v>0</v>
      </c>
      <c r="BE109" s="52">
        <v>0</v>
      </c>
      <c r="BF109" s="52">
        <v>10346.820000000063</v>
      </c>
      <c r="BG109" s="52">
        <v>0</v>
      </c>
      <c r="BH109" s="52">
        <v>0</v>
      </c>
      <c r="BI109" s="52">
        <v>4232.7900000000263</v>
      </c>
      <c r="BJ109" s="52">
        <v>0</v>
      </c>
      <c r="BK109" s="52">
        <v>0</v>
      </c>
      <c r="BL109" s="52">
        <v>8400</v>
      </c>
      <c r="BM109" s="52">
        <v>5537.1479999999974</v>
      </c>
      <c r="BN109" s="52">
        <v>0</v>
      </c>
      <c r="BO109" s="52">
        <v>3076.1640000000093</v>
      </c>
      <c r="BP109" s="52">
        <v>0</v>
      </c>
      <c r="BQ109" s="52">
        <v>0</v>
      </c>
      <c r="BR109" s="52">
        <v>0</v>
      </c>
      <c r="BS109" s="52">
        <v>0</v>
      </c>
      <c r="BT109" s="52">
        <v>0</v>
      </c>
      <c r="BU109" s="52">
        <v>0</v>
      </c>
      <c r="BV109" s="52">
        <v>0</v>
      </c>
      <c r="BW109" s="52">
        <v>0</v>
      </c>
    </row>
    <row r="110" spans="1:75" x14ac:dyDescent="0.3">
      <c r="A110" s="8" t="s">
        <v>102</v>
      </c>
      <c r="B110" s="8" t="s">
        <v>10</v>
      </c>
      <c r="C110" s="8" t="s">
        <v>146</v>
      </c>
      <c r="D110" s="52">
        <v>17600</v>
      </c>
      <c r="E110" s="52">
        <v>61600</v>
      </c>
      <c r="F110" s="52">
        <v>9783.4439999999558</v>
      </c>
      <c r="G110" s="52">
        <v>7200</v>
      </c>
      <c r="H110" s="52">
        <v>25200.000000000004</v>
      </c>
      <c r="I110" s="52">
        <v>1414.8360000000112</v>
      </c>
      <c r="J110" s="52">
        <v>12000</v>
      </c>
      <c r="K110" s="52">
        <v>60000</v>
      </c>
      <c r="L110" s="52">
        <v>13499.639999999967</v>
      </c>
      <c r="M110" s="52">
        <v>4800.0000000000009</v>
      </c>
      <c r="N110" s="52">
        <v>20800</v>
      </c>
      <c r="O110" s="52">
        <v>2965.8879999999781</v>
      </c>
      <c r="P110" s="52">
        <v>16800</v>
      </c>
      <c r="Q110" s="52">
        <v>58800.000000000007</v>
      </c>
      <c r="R110" s="52">
        <v>15967.728000000037</v>
      </c>
      <c r="S110" s="52">
        <v>6000</v>
      </c>
      <c r="T110" s="52">
        <v>26000</v>
      </c>
      <c r="U110" s="52">
        <v>0</v>
      </c>
      <c r="V110" s="52">
        <v>15200.000000000002</v>
      </c>
      <c r="W110" s="52">
        <v>53200</v>
      </c>
      <c r="X110" s="52">
        <v>1015.7626806283378</v>
      </c>
      <c r="Y110" s="52">
        <v>6600.0000000000009</v>
      </c>
      <c r="Z110" s="52">
        <v>30800</v>
      </c>
      <c r="AA110" s="52">
        <v>686.08531937177202</v>
      </c>
      <c r="AB110" s="52">
        <v>17600</v>
      </c>
      <c r="AC110" s="52">
        <v>61600</v>
      </c>
      <c r="AD110" s="52">
        <v>7899.7185882352633</v>
      </c>
      <c r="AE110" s="52">
        <v>5400</v>
      </c>
      <c r="AF110" s="52">
        <v>23400.000000000004</v>
      </c>
      <c r="AG110" s="52">
        <v>1320.1454117647158</v>
      </c>
      <c r="AH110" s="52">
        <v>16800</v>
      </c>
      <c r="AI110" s="52">
        <v>58800.000000000007</v>
      </c>
      <c r="AJ110" s="52">
        <v>19190.556000000041</v>
      </c>
      <c r="AK110" s="52">
        <v>5400</v>
      </c>
      <c r="AL110" s="52">
        <v>25200.000000000004</v>
      </c>
      <c r="AM110" s="52">
        <v>5384.2320000000482</v>
      </c>
      <c r="AN110" s="52">
        <v>22000</v>
      </c>
      <c r="AO110" s="52">
        <v>52800.000000000007</v>
      </c>
      <c r="AP110" s="52">
        <v>30800</v>
      </c>
      <c r="AQ110" s="52">
        <v>5400</v>
      </c>
      <c r="AR110" s="52">
        <v>25200.000000000004</v>
      </c>
      <c r="AS110" s="52">
        <v>5320.7280000000155</v>
      </c>
      <c r="AT110" s="52">
        <v>17600</v>
      </c>
      <c r="AU110" s="52">
        <v>57200</v>
      </c>
      <c r="AV110" s="52">
        <v>12583.564799999605</v>
      </c>
      <c r="AW110" s="52">
        <v>5400</v>
      </c>
      <c r="AX110" s="52">
        <v>25200.000000000004</v>
      </c>
      <c r="AY110" s="52">
        <v>5147.8219636362028</v>
      </c>
      <c r="AZ110" s="52">
        <v>20000</v>
      </c>
      <c r="BA110" s="52">
        <v>48000</v>
      </c>
      <c r="BB110" s="52">
        <v>0</v>
      </c>
      <c r="BC110" s="52">
        <v>6000</v>
      </c>
      <c r="BD110" s="52">
        <v>19421.220000000078</v>
      </c>
      <c r="BE110" s="52">
        <v>0</v>
      </c>
      <c r="BF110" s="52">
        <v>13200.000000000002</v>
      </c>
      <c r="BG110" s="52">
        <v>61600</v>
      </c>
      <c r="BH110" s="52">
        <v>0</v>
      </c>
      <c r="BI110" s="52">
        <v>5400</v>
      </c>
      <c r="BJ110" s="52">
        <v>23400.000000000004</v>
      </c>
      <c r="BK110" s="52">
        <v>0</v>
      </c>
      <c r="BL110" s="52">
        <v>8400</v>
      </c>
      <c r="BM110" s="52">
        <v>63000</v>
      </c>
      <c r="BN110" s="52">
        <v>28301.372454545381</v>
      </c>
      <c r="BO110" s="52">
        <v>5400</v>
      </c>
      <c r="BP110" s="52">
        <v>14386.437000000031</v>
      </c>
      <c r="BQ110" s="52">
        <v>0</v>
      </c>
      <c r="BR110" s="52">
        <v>13600.000000000002</v>
      </c>
      <c r="BS110" s="52">
        <v>47600</v>
      </c>
      <c r="BT110" s="52">
        <v>20400.000000000004</v>
      </c>
      <c r="BU110" s="52">
        <v>11200.000000000002</v>
      </c>
      <c r="BV110" s="52">
        <v>36400</v>
      </c>
      <c r="BW110" s="52">
        <v>19600</v>
      </c>
    </row>
    <row r="111" spans="1:75" x14ac:dyDescent="0.3">
      <c r="A111" s="8" t="s">
        <v>102</v>
      </c>
      <c r="B111" s="8" t="s">
        <v>10</v>
      </c>
      <c r="C111" s="8" t="s">
        <v>28</v>
      </c>
      <c r="D111" s="52">
        <v>17600</v>
      </c>
      <c r="E111" s="52">
        <v>61600</v>
      </c>
      <c r="F111" s="52">
        <v>26400.000000000004</v>
      </c>
      <c r="G111" s="52">
        <v>7200</v>
      </c>
      <c r="H111" s="52">
        <v>25200.000000000004</v>
      </c>
      <c r="I111" s="52">
        <v>10800</v>
      </c>
      <c r="J111" s="52">
        <v>12000</v>
      </c>
      <c r="K111" s="52">
        <v>60000</v>
      </c>
      <c r="L111" s="52">
        <v>24000</v>
      </c>
      <c r="M111" s="52">
        <v>4800.0000000000009</v>
      </c>
      <c r="N111" s="52">
        <v>20800</v>
      </c>
      <c r="O111" s="52">
        <v>12800</v>
      </c>
      <c r="P111" s="52">
        <v>16800</v>
      </c>
      <c r="Q111" s="52">
        <v>58800.000000000007</v>
      </c>
      <c r="R111" s="52">
        <v>25200.000000000004</v>
      </c>
      <c r="S111" s="52">
        <v>6000</v>
      </c>
      <c r="T111" s="52">
        <v>26000</v>
      </c>
      <c r="U111" s="52">
        <v>16000</v>
      </c>
      <c r="V111" s="52">
        <v>15200.000000000002</v>
      </c>
      <c r="W111" s="52">
        <v>53200</v>
      </c>
      <c r="X111" s="52">
        <v>22800</v>
      </c>
      <c r="Y111" s="52">
        <v>6600.0000000000009</v>
      </c>
      <c r="Z111" s="52">
        <v>30800</v>
      </c>
      <c r="AA111" s="52">
        <v>15400</v>
      </c>
      <c r="AB111" s="52">
        <v>17600</v>
      </c>
      <c r="AC111" s="52">
        <v>61600</v>
      </c>
      <c r="AD111" s="52">
        <v>26400.000000000004</v>
      </c>
      <c r="AE111" s="52">
        <v>5400</v>
      </c>
      <c r="AF111" s="52">
        <v>23400.000000000004</v>
      </c>
      <c r="AG111" s="52">
        <v>14400</v>
      </c>
      <c r="AH111" s="52">
        <v>16800</v>
      </c>
      <c r="AI111" s="52">
        <v>58800.000000000007</v>
      </c>
      <c r="AJ111" s="52">
        <v>25200.000000000004</v>
      </c>
      <c r="AK111" s="52">
        <v>5400</v>
      </c>
      <c r="AL111" s="52">
        <v>25200.000000000004</v>
      </c>
      <c r="AM111" s="52">
        <v>12600.000000000002</v>
      </c>
      <c r="AN111" s="52">
        <v>22000</v>
      </c>
      <c r="AO111" s="52">
        <v>52800.000000000007</v>
      </c>
      <c r="AP111" s="52">
        <v>30800</v>
      </c>
      <c r="AQ111" s="52">
        <v>5400</v>
      </c>
      <c r="AR111" s="52">
        <v>25200.000000000004</v>
      </c>
      <c r="AS111" s="52">
        <v>12600.000000000002</v>
      </c>
      <c r="AT111" s="52">
        <v>17600</v>
      </c>
      <c r="AU111" s="52">
        <v>57200</v>
      </c>
      <c r="AV111" s="52">
        <v>30800</v>
      </c>
      <c r="AW111" s="52">
        <v>5400</v>
      </c>
      <c r="AX111" s="52">
        <v>25200.000000000004</v>
      </c>
      <c r="AY111" s="52">
        <v>12600.000000000002</v>
      </c>
      <c r="AZ111" s="52">
        <v>20000</v>
      </c>
      <c r="BA111" s="52">
        <v>48000</v>
      </c>
      <c r="BB111" s="52">
        <v>28000</v>
      </c>
      <c r="BC111" s="52">
        <v>6000</v>
      </c>
      <c r="BD111" s="52">
        <v>26000</v>
      </c>
      <c r="BE111" s="52">
        <v>16000</v>
      </c>
      <c r="BF111" s="52">
        <v>13200.000000000002</v>
      </c>
      <c r="BG111" s="52">
        <v>61600</v>
      </c>
      <c r="BH111" s="52">
        <v>30800</v>
      </c>
      <c r="BI111" s="52">
        <v>5400</v>
      </c>
      <c r="BJ111" s="52">
        <v>23400.000000000004</v>
      </c>
      <c r="BK111" s="52">
        <v>14400</v>
      </c>
      <c r="BL111" s="52">
        <v>8400</v>
      </c>
      <c r="BM111" s="52">
        <v>63000</v>
      </c>
      <c r="BN111" s="52">
        <v>29400.000000000004</v>
      </c>
      <c r="BO111" s="52">
        <v>5400</v>
      </c>
      <c r="BP111" s="52">
        <v>23400.000000000004</v>
      </c>
      <c r="BQ111" s="52">
        <v>14400</v>
      </c>
      <c r="BR111" s="52">
        <v>13600.000000000002</v>
      </c>
      <c r="BS111" s="52">
        <v>47600</v>
      </c>
      <c r="BT111" s="52">
        <v>20400.000000000004</v>
      </c>
      <c r="BU111" s="52">
        <v>11200.000000000002</v>
      </c>
      <c r="BV111" s="52">
        <v>36400</v>
      </c>
      <c r="BW111" s="52">
        <v>19600</v>
      </c>
    </row>
    <row r="112" spans="1:75" x14ac:dyDescent="0.3">
      <c r="A112" s="8" t="s">
        <v>103</v>
      </c>
      <c r="B112" s="8" t="s">
        <v>8</v>
      </c>
      <c r="C112" s="8" t="s">
        <v>60</v>
      </c>
      <c r="D112" s="52">
        <v>67900.800000000003</v>
      </c>
      <c r="E112" s="52">
        <v>237652.80000000002</v>
      </c>
      <c r="F112" s="52">
        <v>101851.20000000001</v>
      </c>
      <c r="G112" s="52">
        <v>27777.600000000002</v>
      </c>
      <c r="H112" s="52">
        <v>97221.6</v>
      </c>
      <c r="I112" s="52">
        <v>41666.400000000001</v>
      </c>
      <c r="J112" s="52">
        <v>46296.000000000007</v>
      </c>
      <c r="K112" s="52">
        <v>231480.00000000003</v>
      </c>
      <c r="L112" s="52">
        <v>92592.000000000015</v>
      </c>
      <c r="M112" s="52">
        <v>18518.400000000001</v>
      </c>
      <c r="N112" s="52">
        <v>80246.400000000009</v>
      </c>
      <c r="O112" s="52">
        <v>49382.400000000001</v>
      </c>
      <c r="P112" s="52">
        <v>64814.400000000009</v>
      </c>
      <c r="Q112" s="52">
        <v>226850.4</v>
      </c>
      <c r="R112" s="52">
        <v>97221.6</v>
      </c>
      <c r="S112" s="52">
        <v>23148.000000000004</v>
      </c>
      <c r="T112" s="52">
        <v>100308</v>
      </c>
      <c r="U112" s="52">
        <v>61728.000000000007</v>
      </c>
      <c r="V112" s="52">
        <v>58641.600000000006</v>
      </c>
      <c r="W112" s="52">
        <v>205245.60000000003</v>
      </c>
      <c r="X112" s="52">
        <v>87962.400000000009</v>
      </c>
      <c r="Y112" s="52">
        <v>25462.800000000003</v>
      </c>
      <c r="Z112" s="52">
        <v>118826.40000000001</v>
      </c>
      <c r="AA112" s="52">
        <v>59413.200000000004</v>
      </c>
      <c r="AB112" s="52">
        <v>67900.800000000003</v>
      </c>
      <c r="AC112" s="52">
        <v>237652.80000000002</v>
      </c>
      <c r="AD112" s="52">
        <v>101851.20000000001</v>
      </c>
      <c r="AE112" s="52">
        <v>20833.2</v>
      </c>
      <c r="AF112" s="52">
        <v>90277.200000000012</v>
      </c>
      <c r="AG112" s="52">
        <v>55555.200000000004</v>
      </c>
      <c r="AH112" s="52">
        <v>64814.400000000009</v>
      </c>
      <c r="AI112" s="52">
        <v>226850.4</v>
      </c>
      <c r="AJ112" s="52">
        <v>97221.6</v>
      </c>
      <c r="AK112" s="52">
        <v>20833.2</v>
      </c>
      <c r="AL112" s="52">
        <v>97221.6</v>
      </c>
      <c r="AM112" s="52">
        <v>48610.8</v>
      </c>
      <c r="AN112" s="52">
        <v>84876</v>
      </c>
      <c r="AO112" s="52">
        <v>203702.40000000002</v>
      </c>
      <c r="AP112" s="52">
        <v>118826.40000000001</v>
      </c>
      <c r="AQ112" s="52">
        <v>20833.2</v>
      </c>
      <c r="AR112" s="52">
        <v>97221.6</v>
      </c>
      <c r="AS112" s="52">
        <v>48610.8</v>
      </c>
      <c r="AT112" s="52">
        <v>67900.800000000003</v>
      </c>
      <c r="AU112" s="52">
        <v>220677.6</v>
      </c>
      <c r="AV112" s="52">
        <v>118826.40000000001</v>
      </c>
      <c r="AW112" s="52">
        <v>20833.2</v>
      </c>
      <c r="AX112" s="52">
        <v>97221.6</v>
      </c>
      <c r="AY112" s="52">
        <v>48610.8</v>
      </c>
      <c r="AZ112" s="52">
        <v>77160.000000000015</v>
      </c>
      <c r="BA112" s="52">
        <v>185184.00000000003</v>
      </c>
      <c r="BB112" s="52">
        <v>108024.00000000001</v>
      </c>
      <c r="BC112" s="52">
        <v>23148.000000000004</v>
      </c>
      <c r="BD112" s="52">
        <v>100308</v>
      </c>
      <c r="BE112" s="52">
        <v>61728.000000000007</v>
      </c>
      <c r="BF112" s="52">
        <v>50925.600000000006</v>
      </c>
      <c r="BG112" s="52">
        <v>237652.80000000002</v>
      </c>
      <c r="BH112" s="52">
        <v>118826.40000000001</v>
      </c>
      <c r="BI112" s="52">
        <v>20833.2</v>
      </c>
      <c r="BJ112" s="52">
        <v>90277.200000000012</v>
      </c>
      <c r="BK112" s="52">
        <v>55555.200000000004</v>
      </c>
      <c r="BL112" s="52">
        <v>32407.200000000004</v>
      </c>
      <c r="BM112" s="52">
        <v>243054.00000000003</v>
      </c>
      <c r="BN112" s="52">
        <v>113425.2</v>
      </c>
      <c r="BO112" s="52">
        <v>20833.2</v>
      </c>
      <c r="BP112" s="52">
        <v>90277.200000000012</v>
      </c>
      <c r="BQ112" s="52">
        <v>55555.200000000004</v>
      </c>
      <c r="BR112" s="52">
        <v>52468.800000000003</v>
      </c>
      <c r="BS112" s="52">
        <v>183640.80000000002</v>
      </c>
      <c r="BT112" s="52">
        <v>78703.200000000012</v>
      </c>
      <c r="BU112" s="52">
        <v>43209.599999999999</v>
      </c>
      <c r="BV112" s="52">
        <v>140431.20000000001</v>
      </c>
      <c r="BW112" s="52">
        <v>75616.800000000017</v>
      </c>
    </row>
    <row r="113" spans="1:75" x14ac:dyDescent="0.3">
      <c r="A113" s="8" t="s">
        <v>103</v>
      </c>
      <c r="B113" s="8" t="s">
        <v>8</v>
      </c>
      <c r="C113" s="8" t="s">
        <v>150</v>
      </c>
      <c r="D113" s="52">
        <v>34154.184240000053</v>
      </c>
      <c r="E113" s="52">
        <v>72441.599999999991</v>
      </c>
      <c r="F113" s="52">
        <v>31046.399999999994</v>
      </c>
      <c r="G113" s="52">
        <v>13972.166280000025</v>
      </c>
      <c r="H113" s="52">
        <v>29635.199999999983</v>
      </c>
      <c r="I113" s="52">
        <v>12700.799999999992</v>
      </c>
      <c r="J113" s="52">
        <v>14111.999999999998</v>
      </c>
      <c r="K113" s="52">
        <v>70559.999999999985</v>
      </c>
      <c r="L113" s="52">
        <v>28223.999999999996</v>
      </c>
      <c r="M113" s="52">
        <v>5644.7999999999993</v>
      </c>
      <c r="N113" s="52">
        <v>24460.799999999996</v>
      </c>
      <c r="O113" s="52">
        <v>15052.799999999997</v>
      </c>
      <c r="P113" s="52">
        <v>21847.573513684874</v>
      </c>
      <c r="Q113" s="52">
        <v>69148.799999999988</v>
      </c>
      <c r="R113" s="52">
        <v>29635.199999999993</v>
      </c>
      <c r="S113" s="52">
        <v>7802.7048263160268</v>
      </c>
      <c r="T113" s="52">
        <v>30575.999999999996</v>
      </c>
      <c r="U113" s="52">
        <v>18815.999999999996</v>
      </c>
      <c r="V113" s="52">
        <v>20334.726440000013</v>
      </c>
      <c r="W113" s="52">
        <v>62563.19999999999</v>
      </c>
      <c r="X113" s="52">
        <v>26812.799999999996</v>
      </c>
      <c r="Y113" s="52">
        <v>8829.5522700000038</v>
      </c>
      <c r="Z113" s="52">
        <v>36220.799999999996</v>
      </c>
      <c r="AA113" s="52">
        <v>18110.399999999998</v>
      </c>
      <c r="AB113" s="52">
        <v>0</v>
      </c>
      <c r="AC113" s="52">
        <v>0</v>
      </c>
      <c r="AD113" s="52">
        <v>0</v>
      </c>
      <c r="AE113" s="52">
        <v>0</v>
      </c>
      <c r="AF113" s="52">
        <v>0</v>
      </c>
      <c r="AG113" s="52">
        <v>0</v>
      </c>
      <c r="AH113" s="52">
        <v>19756.8</v>
      </c>
      <c r="AI113" s="52">
        <v>69148.799999999988</v>
      </c>
      <c r="AJ113" s="52">
        <v>29635.199999999993</v>
      </c>
      <c r="AK113" s="52">
        <v>6350.3999999999987</v>
      </c>
      <c r="AL113" s="52">
        <v>29635.199999999993</v>
      </c>
      <c r="AM113" s="52">
        <v>14817.599999999997</v>
      </c>
      <c r="AN113" s="52">
        <v>25871.999999999996</v>
      </c>
      <c r="AO113" s="52">
        <v>62092.799999999988</v>
      </c>
      <c r="AP113" s="52">
        <v>36220.799999999996</v>
      </c>
      <c r="AQ113" s="52">
        <v>0</v>
      </c>
      <c r="AR113" s="52">
        <v>0</v>
      </c>
      <c r="AS113" s="52">
        <v>0</v>
      </c>
      <c r="AT113" s="52">
        <v>20697.599999999999</v>
      </c>
      <c r="AU113" s="52">
        <v>67267.199999999983</v>
      </c>
      <c r="AV113" s="52">
        <v>36220.799999999996</v>
      </c>
      <c r="AW113" s="52">
        <v>6350.3999999999987</v>
      </c>
      <c r="AX113" s="52">
        <v>29635.199999999993</v>
      </c>
      <c r="AY113" s="52">
        <v>14817.599999999997</v>
      </c>
      <c r="AZ113" s="52">
        <v>0</v>
      </c>
      <c r="BA113" s="52">
        <v>0</v>
      </c>
      <c r="BB113" s="52">
        <v>0</v>
      </c>
      <c r="BC113" s="52">
        <v>0</v>
      </c>
      <c r="BD113" s="52">
        <v>0</v>
      </c>
      <c r="BE113" s="52">
        <v>0</v>
      </c>
      <c r="BF113" s="52">
        <v>15523.199999999997</v>
      </c>
      <c r="BG113" s="52">
        <v>72441.599999999991</v>
      </c>
      <c r="BH113" s="52">
        <v>36220.799999999996</v>
      </c>
      <c r="BI113" s="52">
        <v>6350.3999999999987</v>
      </c>
      <c r="BJ113" s="52">
        <v>27518.399999999998</v>
      </c>
      <c r="BK113" s="52">
        <v>16934.399999999998</v>
      </c>
      <c r="BL113" s="52">
        <v>9878.4</v>
      </c>
      <c r="BM113" s="52">
        <v>74088</v>
      </c>
      <c r="BN113" s="52">
        <v>34574.399999999994</v>
      </c>
      <c r="BO113" s="52">
        <v>6350.3999999999987</v>
      </c>
      <c r="BP113" s="52">
        <v>27518.399999999998</v>
      </c>
      <c r="BQ113" s="52">
        <v>16934.399999999998</v>
      </c>
      <c r="BR113" s="52">
        <v>15993.599999999997</v>
      </c>
      <c r="BS113" s="52">
        <v>55977.599999999991</v>
      </c>
      <c r="BT113" s="52">
        <v>23990.399999999998</v>
      </c>
      <c r="BU113" s="52">
        <v>13171.199999999999</v>
      </c>
      <c r="BV113" s="52">
        <v>42806.399999999994</v>
      </c>
      <c r="BW113" s="52">
        <v>23049.599999999999</v>
      </c>
    </row>
    <row r="114" spans="1:75" x14ac:dyDescent="0.3">
      <c r="A114" s="8" t="s">
        <v>103</v>
      </c>
      <c r="B114" s="8" t="s">
        <v>8</v>
      </c>
      <c r="C114" s="8" t="s">
        <v>61</v>
      </c>
      <c r="D114" s="52">
        <v>15106.05712000001</v>
      </c>
      <c r="E114" s="52">
        <v>25995.91455999995</v>
      </c>
      <c r="F114" s="52">
        <v>10723.679999999977</v>
      </c>
      <c r="G114" s="52">
        <v>0</v>
      </c>
      <c r="H114" s="52">
        <v>0</v>
      </c>
      <c r="I114" s="52">
        <v>0</v>
      </c>
      <c r="J114" s="52">
        <v>0</v>
      </c>
      <c r="K114" s="52">
        <v>0</v>
      </c>
      <c r="L114" s="52">
        <v>0</v>
      </c>
      <c r="M114" s="52">
        <v>0</v>
      </c>
      <c r="N114" s="52">
        <v>0</v>
      </c>
      <c r="O114" s="52">
        <v>0</v>
      </c>
      <c r="P114" s="52">
        <v>17060.400000000001</v>
      </c>
      <c r="Q114" s="52">
        <v>39240.177499999911</v>
      </c>
      <c r="R114" s="52">
        <v>10236.239999999998</v>
      </c>
      <c r="S114" s="52">
        <v>0</v>
      </c>
      <c r="T114" s="52">
        <v>0</v>
      </c>
      <c r="U114" s="52">
        <v>0</v>
      </c>
      <c r="V114" s="52">
        <v>0</v>
      </c>
      <c r="W114" s="52">
        <v>0</v>
      </c>
      <c r="X114" s="52">
        <v>0</v>
      </c>
      <c r="Y114" s="52">
        <v>0</v>
      </c>
      <c r="Z114" s="52">
        <v>0</v>
      </c>
      <c r="AA114" s="52">
        <v>0</v>
      </c>
      <c r="AB114" s="52">
        <v>0</v>
      </c>
      <c r="AC114" s="52">
        <v>0</v>
      </c>
      <c r="AD114" s="52">
        <v>0</v>
      </c>
      <c r="AE114" s="52">
        <v>0</v>
      </c>
      <c r="AF114" s="52">
        <v>0</v>
      </c>
      <c r="AG114" s="52">
        <v>0</v>
      </c>
      <c r="AH114" s="52">
        <v>0</v>
      </c>
      <c r="AI114" s="52">
        <v>0</v>
      </c>
      <c r="AJ114" s="52">
        <v>0</v>
      </c>
      <c r="AK114" s="52">
        <v>0</v>
      </c>
      <c r="AL114" s="52">
        <v>0</v>
      </c>
      <c r="AM114" s="52">
        <v>0</v>
      </c>
      <c r="AN114" s="52">
        <v>22341</v>
      </c>
      <c r="AO114" s="52">
        <v>51615.791790000192</v>
      </c>
      <c r="AP114" s="52">
        <v>12510.96</v>
      </c>
      <c r="AQ114" s="52">
        <v>0</v>
      </c>
      <c r="AR114" s="52">
        <v>0</v>
      </c>
      <c r="AS114" s="52">
        <v>0</v>
      </c>
      <c r="AT114" s="52">
        <v>0</v>
      </c>
      <c r="AU114" s="52">
        <v>0</v>
      </c>
      <c r="AV114" s="52">
        <v>0</v>
      </c>
      <c r="AW114" s="52">
        <v>0</v>
      </c>
      <c r="AX114" s="52">
        <v>0</v>
      </c>
      <c r="AY114" s="52">
        <v>0</v>
      </c>
      <c r="AZ114" s="52">
        <v>0</v>
      </c>
      <c r="BA114" s="52">
        <v>0</v>
      </c>
      <c r="BB114" s="52">
        <v>0</v>
      </c>
      <c r="BC114" s="52">
        <v>0</v>
      </c>
      <c r="BD114" s="52">
        <v>0</v>
      </c>
      <c r="BE114" s="52">
        <v>0</v>
      </c>
      <c r="BF114" s="52">
        <v>10425.65699999999</v>
      </c>
      <c r="BG114" s="52">
        <v>62554.8</v>
      </c>
      <c r="BH114" s="52">
        <v>12510.959999999997</v>
      </c>
      <c r="BI114" s="52">
        <v>0</v>
      </c>
      <c r="BJ114" s="52">
        <v>0</v>
      </c>
      <c r="BK114" s="52">
        <v>0</v>
      </c>
      <c r="BL114" s="52">
        <v>0</v>
      </c>
      <c r="BM114" s="52">
        <v>0</v>
      </c>
      <c r="BN114" s="52">
        <v>0</v>
      </c>
      <c r="BO114" s="52">
        <v>0</v>
      </c>
      <c r="BP114" s="52">
        <v>0</v>
      </c>
      <c r="BQ114" s="52">
        <v>0</v>
      </c>
      <c r="BR114" s="52">
        <v>10815.355799999956</v>
      </c>
      <c r="BS114" s="52">
        <v>19335.11999999981</v>
      </c>
      <c r="BT114" s="52">
        <v>8286.4799999999195</v>
      </c>
      <c r="BU114" s="52">
        <v>0</v>
      </c>
      <c r="BV114" s="52">
        <v>0</v>
      </c>
      <c r="BW114" s="52">
        <v>0</v>
      </c>
    </row>
    <row r="115" spans="1:75" x14ac:dyDescent="0.3">
      <c r="A115" s="8" t="s">
        <v>103</v>
      </c>
      <c r="B115" s="8" t="s">
        <v>8</v>
      </c>
      <c r="C115" s="8" t="s">
        <v>152</v>
      </c>
      <c r="D115" s="52">
        <v>5294.0799999999754</v>
      </c>
      <c r="E115" s="52">
        <v>18529.279999999915</v>
      </c>
      <c r="F115" s="52">
        <v>7941.1199999999635</v>
      </c>
      <c r="G115" s="52">
        <v>0</v>
      </c>
      <c r="H115" s="52">
        <v>0</v>
      </c>
      <c r="I115" s="52">
        <v>0</v>
      </c>
      <c r="J115" s="52">
        <v>0</v>
      </c>
      <c r="K115" s="52">
        <v>0</v>
      </c>
      <c r="L115" s="52">
        <v>0</v>
      </c>
      <c r="M115" s="52">
        <v>0</v>
      </c>
      <c r="N115" s="52">
        <v>0</v>
      </c>
      <c r="O115" s="52">
        <v>0</v>
      </c>
      <c r="P115" s="52">
        <v>12633.600000000002</v>
      </c>
      <c r="Q115" s="52">
        <v>44217.600000000006</v>
      </c>
      <c r="R115" s="52">
        <v>7580.1599999999989</v>
      </c>
      <c r="S115" s="52">
        <v>0</v>
      </c>
      <c r="T115" s="52">
        <v>0</v>
      </c>
      <c r="U115" s="52">
        <v>0</v>
      </c>
      <c r="V115" s="52">
        <v>11430.400000000001</v>
      </c>
      <c r="W115" s="52">
        <v>21316.423855000194</v>
      </c>
      <c r="X115" s="52">
        <v>6858.2399999999989</v>
      </c>
      <c r="Y115" s="52">
        <v>4963.2000000000007</v>
      </c>
      <c r="Z115" s="52">
        <v>12341.087495000113</v>
      </c>
      <c r="AA115" s="52">
        <v>4632.3199999999988</v>
      </c>
      <c r="AB115" s="52">
        <v>5294.079999999999</v>
      </c>
      <c r="AC115" s="52">
        <v>18529.279999999995</v>
      </c>
      <c r="AD115" s="52">
        <v>7941.119999999999</v>
      </c>
      <c r="AE115" s="52">
        <v>0</v>
      </c>
      <c r="AF115" s="52">
        <v>0</v>
      </c>
      <c r="AG115" s="52">
        <v>0</v>
      </c>
      <c r="AH115" s="52">
        <v>12633.600000000002</v>
      </c>
      <c r="AI115" s="52">
        <v>32177.997899999958</v>
      </c>
      <c r="AJ115" s="52">
        <v>7580.1599999999762</v>
      </c>
      <c r="AK115" s="52">
        <v>0</v>
      </c>
      <c r="AL115" s="52">
        <v>0</v>
      </c>
      <c r="AM115" s="52">
        <v>0</v>
      </c>
      <c r="AN115" s="52">
        <v>0</v>
      </c>
      <c r="AO115" s="52">
        <v>0</v>
      </c>
      <c r="AP115" s="52">
        <v>0</v>
      </c>
      <c r="AQ115" s="52">
        <v>0</v>
      </c>
      <c r="AR115" s="52">
        <v>0</v>
      </c>
      <c r="AS115" s="52">
        <v>0</v>
      </c>
      <c r="AT115" s="52">
        <v>5294.079999999999</v>
      </c>
      <c r="AU115" s="52">
        <v>27176.958379999942</v>
      </c>
      <c r="AV115" s="52">
        <v>9264.6399999999976</v>
      </c>
      <c r="AW115" s="52">
        <v>0</v>
      </c>
      <c r="AX115" s="52">
        <v>0</v>
      </c>
      <c r="AY115" s="52">
        <v>0</v>
      </c>
      <c r="AZ115" s="52">
        <v>0</v>
      </c>
      <c r="BA115" s="52">
        <v>0</v>
      </c>
      <c r="BB115" s="52">
        <v>0</v>
      </c>
      <c r="BC115" s="52">
        <v>0</v>
      </c>
      <c r="BD115" s="52">
        <v>0</v>
      </c>
      <c r="BE115" s="52">
        <v>0</v>
      </c>
      <c r="BF115" s="52">
        <v>0</v>
      </c>
      <c r="BG115" s="52">
        <v>0</v>
      </c>
      <c r="BH115" s="52">
        <v>0</v>
      </c>
      <c r="BI115" s="52">
        <v>0</v>
      </c>
      <c r="BJ115" s="52">
        <v>0</v>
      </c>
      <c r="BK115" s="52">
        <v>0</v>
      </c>
      <c r="BL115" s="52">
        <v>3066.891659999988</v>
      </c>
      <c r="BM115" s="52">
        <v>18950.399999999998</v>
      </c>
      <c r="BN115" s="52">
        <v>8843.5199999999986</v>
      </c>
      <c r="BO115" s="52">
        <v>0</v>
      </c>
      <c r="BP115" s="52">
        <v>0</v>
      </c>
      <c r="BQ115" s="52">
        <v>0</v>
      </c>
      <c r="BR115" s="52">
        <v>10227.200000000001</v>
      </c>
      <c r="BS115" s="52">
        <v>14318.079999999998</v>
      </c>
      <c r="BT115" s="52">
        <v>6136.32</v>
      </c>
      <c r="BU115" s="52">
        <v>0</v>
      </c>
      <c r="BV115" s="52">
        <v>0</v>
      </c>
      <c r="BW115" s="52">
        <v>0</v>
      </c>
    </row>
    <row r="116" spans="1:75" x14ac:dyDescent="0.3">
      <c r="A116" s="8" t="s">
        <v>103</v>
      </c>
      <c r="B116" s="8" t="s">
        <v>8</v>
      </c>
      <c r="C116" s="8" t="s">
        <v>151</v>
      </c>
      <c r="D116" s="52">
        <v>17107.2</v>
      </c>
      <c r="E116" s="52">
        <v>59875.200000000004</v>
      </c>
      <c r="F116" s="52">
        <v>10264.319999999965</v>
      </c>
      <c r="G116" s="52">
        <v>6998.4000000000005</v>
      </c>
      <c r="H116" s="52">
        <v>9797.7599999999911</v>
      </c>
      <c r="I116" s="52">
        <v>4199.0399999999954</v>
      </c>
      <c r="J116" s="52">
        <v>11664.000000000002</v>
      </c>
      <c r="K116" s="52">
        <v>50795.907000000108</v>
      </c>
      <c r="L116" s="52">
        <v>9331.2000000000007</v>
      </c>
      <c r="M116" s="52">
        <v>4665.6000000000004</v>
      </c>
      <c r="N116" s="52">
        <v>8087.0400000000018</v>
      </c>
      <c r="O116" s="52">
        <v>4976.6400000000003</v>
      </c>
      <c r="P116" s="52">
        <v>16329.600000000002</v>
      </c>
      <c r="Q116" s="52">
        <v>57153.600000000006</v>
      </c>
      <c r="R116" s="52">
        <v>9797.760000000002</v>
      </c>
      <c r="S116" s="52">
        <v>0</v>
      </c>
      <c r="T116" s="52">
        <v>0</v>
      </c>
      <c r="U116" s="52">
        <v>0</v>
      </c>
      <c r="V116" s="52">
        <v>5909.76</v>
      </c>
      <c r="W116" s="52">
        <v>29021.054859999873</v>
      </c>
      <c r="X116" s="52">
        <v>8864.6400000000012</v>
      </c>
      <c r="Y116" s="52">
        <v>0</v>
      </c>
      <c r="Z116" s="52">
        <v>0</v>
      </c>
      <c r="AA116" s="52">
        <v>0</v>
      </c>
      <c r="AB116" s="52">
        <v>7924.553119999965</v>
      </c>
      <c r="AC116" s="52">
        <v>23950.079999999973</v>
      </c>
      <c r="AD116" s="52">
        <v>10264.319999999989</v>
      </c>
      <c r="AE116" s="52">
        <v>0</v>
      </c>
      <c r="AF116" s="52">
        <v>0</v>
      </c>
      <c r="AG116" s="52">
        <v>0</v>
      </c>
      <c r="AH116" s="52">
        <v>0</v>
      </c>
      <c r="AI116" s="52">
        <v>0</v>
      </c>
      <c r="AJ116" s="52">
        <v>0</v>
      </c>
      <c r="AK116" s="52">
        <v>0</v>
      </c>
      <c r="AL116" s="52">
        <v>0</v>
      </c>
      <c r="AM116" s="52">
        <v>0</v>
      </c>
      <c r="AN116" s="52">
        <v>0</v>
      </c>
      <c r="AO116" s="52">
        <v>0</v>
      </c>
      <c r="AP116" s="52">
        <v>0</v>
      </c>
      <c r="AQ116" s="52">
        <v>0</v>
      </c>
      <c r="AR116" s="52">
        <v>0</v>
      </c>
      <c r="AS116" s="52">
        <v>0</v>
      </c>
      <c r="AT116" s="52">
        <v>17107.2</v>
      </c>
      <c r="AU116" s="52">
        <v>55598.400000000009</v>
      </c>
      <c r="AV116" s="52">
        <v>11975.04</v>
      </c>
      <c r="AW116" s="52">
        <v>5248.8</v>
      </c>
      <c r="AX116" s="52">
        <v>24494.400000000001</v>
      </c>
      <c r="AY116" s="52">
        <v>4898.880000000001</v>
      </c>
      <c r="AZ116" s="52">
        <v>19440</v>
      </c>
      <c r="BA116" s="52">
        <v>46656.000000000007</v>
      </c>
      <c r="BB116" s="52">
        <v>10886.400000000001</v>
      </c>
      <c r="BC116" s="52">
        <v>5832.0000000000009</v>
      </c>
      <c r="BD116" s="52">
        <v>21759.126592728288</v>
      </c>
      <c r="BE116" s="52">
        <v>6220.8</v>
      </c>
      <c r="BF116" s="52">
        <v>12830.400000000001</v>
      </c>
      <c r="BG116" s="52">
        <v>59875.200000000004</v>
      </c>
      <c r="BH116" s="52">
        <v>11975.039999999995</v>
      </c>
      <c r="BI116" s="52">
        <v>5248.8</v>
      </c>
      <c r="BJ116" s="52">
        <v>20693.134799999978</v>
      </c>
      <c r="BK116" s="52">
        <v>5598.7199999999975</v>
      </c>
      <c r="BL116" s="52">
        <v>8164.8000000000011</v>
      </c>
      <c r="BM116" s="52">
        <v>24494.399999999943</v>
      </c>
      <c r="BN116" s="52">
        <v>11430.719999999972</v>
      </c>
      <c r="BO116" s="52">
        <v>0</v>
      </c>
      <c r="BP116" s="52">
        <v>0</v>
      </c>
      <c r="BQ116" s="52">
        <v>0</v>
      </c>
      <c r="BR116" s="52">
        <v>13219.2</v>
      </c>
      <c r="BS116" s="52">
        <v>42612.411195455366</v>
      </c>
      <c r="BT116" s="52">
        <v>7931.5199999999713</v>
      </c>
      <c r="BU116" s="52">
        <v>10886.400000000001</v>
      </c>
      <c r="BV116" s="52">
        <v>14152.320000000002</v>
      </c>
      <c r="BW116" s="52">
        <v>7620.4800000000005</v>
      </c>
    </row>
    <row r="117" spans="1:75" x14ac:dyDescent="0.3">
      <c r="A117" s="8" t="s">
        <v>103</v>
      </c>
      <c r="B117" s="8" t="s">
        <v>8</v>
      </c>
      <c r="C117" s="8" t="s">
        <v>62</v>
      </c>
      <c r="D117" s="52">
        <v>44000</v>
      </c>
      <c r="E117" s="52">
        <v>154000</v>
      </c>
      <c r="F117" s="52">
        <v>66000</v>
      </c>
      <c r="G117" s="52">
        <v>18000</v>
      </c>
      <c r="H117" s="52">
        <v>63000</v>
      </c>
      <c r="I117" s="52">
        <v>27000</v>
      </c>
      <c r="J117" s="52">
        <v>30000</v>
      </c>
      <c r="K117" s="52">
        <v>150000</v>
      </c>
      <c r="L117" s="52">
        <v>60000</v>
      </c>
      <c r="M117" s="52">
        <v>12000</v>
      </c>
      <c r="N117" s="52">
        <v>52000</v>
      </c>
      <c r="O117" s="52">
        <v>32000</v>
      </c>
      <c r="P117" s="52">
        <v>42000</v>
      </c>
      <c r="Q117" s="52">
        <v>147000</v>
      </c>
      <c r="R117" s="52">
        <v>63000</v>
      </c>
      <c r="S117" s="52">
        <v>15000</v>
      </c>
      <c r="T117" s="52">
        <v>65000</v>
      </c>
      <c r="U117" s="52">
        <v>40000</v>
      </c>
      <c r="V117" s="52">
        <v>38000</v>
      </c>
      <c r="W117" s="52">
        <v>133000</v>
      </c>
      <c r="X117" s="52">
        <v>57000</v>
      </c>
      <c r="Y117" s="52">
        <v>16500</v>
      </c>
      <c r="Z117" s="52">
        <v>77000</v>
      </c>
      <c r="AA117" s="52">
        <v>38160.925880000083</v>
      </c>
      <c r="AB117" s="52">
        <v>44000</v>
      </c>
      <c r="AC117" s="52">
        <v>154000</v>
      </c>
      <c r="AD117" s="52">
        <v>66000</v>
      </c>
      <c r="AE117" s="52">
        <v>13500</v>
      </c>
      <c r="AF117" s="52">
        <v>58500</v>
      </c>
      <c r="AG117" s="52">
        <v>36000</v>
      </c>
      <c r="AH117" s="52">
        <v>42000</v>
      </c>
      <c r="AI117" s="52">
        <v>147000</v>
      </c>
      <c r="AJ117" s="52">
        <v>63000</v>
      </c>
      <c r="AK117" s="52">
        <v>13500</v>
      </c>
      <c r="AL117" s="52">
        <v>63000</v>
      </c>
      <c r="AM117" s="52">
        <v>31500</v>
      </c>
      <c r="AN117" s="52">
        <v>55000</v>
      </c>
      <c r="AO117" s="52">
        <v>132000</v>
      </c>
      <c r="AP117" s="52">
        <v>77000</v>
      </c>
      <c r="AQ117" s="52">
        <v>13500</v>
      </c>
      <c r="AR117" s="52">
        <v>63000</v>
      </c>
      <c r="AS117" s="52">
        <v>31500</v>
      </c>
      <c r="AT117" s="52">
        <v>44000</v>
      </c>
      <c r="AU117" s="52">
        <v>143000</v>
      </c>
      <c r="AV117" s="52">
        <v>77000</v>
      </c>
      <c r="AW117" s="52">
        <v>13500</v>
      </c>
      <c r="AX117" s="52">
        <v>63000</v>
      </c>
      <c r="AY117" s="52">
        <v>31500</v>
      </c>
      <c r="AZ117" s="52">
        <v>50000</v>
      </c>
      <c r="BA117" s="52">
        <v>120000</v>
      </c>
      <c r="BB117" s="52">
        <v>70000</v>
      </c>
      <c r="BC117" s="52">
        <v>15000</v>
      </c>
      <c r="BD117" s="52">
        <v>65000</v>
      </c>
      <c r="BE117" s="52">
        <v>40000</v>
      </c>
      <c r="BF117" s="52">
        <v>33000</v>
      </c>
      <c r="BG117" s="52">
        <v>154000</v>
      </c>
      <c r="BH117" s="52">
        <v>74880.197195752262</v>
      </c>
      <c r="BI117" s="52">
        <v>13500</v>
      </c>
      <c r="BJ117" s="52">
        <v>58500</v>
      </c>
      <c r="BK117" s="52">
        <v>35008.923364247807</v>
      </c>
      <c r="BL117" s="52">
        <v>21000</v>
      </c>
      <c r="BM117" s="52">
        <v>157500</v>
      </c>
      <c r="BN117" s="52">
        <v>73500</v>
      </c>
      <c r="BO117" s="52">
        <v>13500</v>
      </c>
      <c r="BP117" s="52">
        <v>58500</v>
      </c>
      <c r="BQ117" s="52">
        <v>36000</v>
      </c>
      <c r="BR117" s="52">
        <v>34000</v>
      </c>
      <c r="BS117" s="52">
        <v>119000</v>
      </c>
      <c r="BT117" s="52">
        <v>51000</v>
      </c>
      <c r="BU117" s="52">
        <v>28000</v>
      </c>
      <c r="BV117" s="52">
        <v>91000</v>
      </c>
      <c r="BW117" s="52">
        <v>49000</v>
      </c>
    </row>
    <row r="118" spans="1:75" x14ac:dyDescent="0.3">
      <c r="A118" s="8" t="s">
        <v>103</v>
      </c>
      <c r="B118" s="8" t="s">
        <v>8</v>
      </c>
      <c r="C118" s="8" t="s">
        <v>63</v>
      </c>
      <c r="D118" s="52">
        <v>44000</v>
      </c>
      <c r="E118" s="52">
        <v>154000</v>
      </c>
      <c r="F118" s="52">
        <v>26966.645640000093</v>
      </c>
      <c r="G118" s="52">
        <v>18000</v>
      </c>
      <c r="H118" s="52">
        <v>63000</v>
      </c>
      <c r="I118" s="52">
        <v>8243.4567600000137</v>
      </c>
      <c r="J118" s="52">
        <v>30000</v>
      </c>
      <c r="K118" s="52">
        <v>150000</v>
      </c>
      <c r="L118" s="52">
        <v>28997.108400000001</v>
      </c>
      <c r="M118" s="52">
        <v>12000</v>
      </c>
      <c r="N118" s="52">
        <v>52000</v>
      </c>
      <c r="O118" s="52">
        <v>10130.458879999949</v>
      </c>
      <c r="P118" s="52">
        <v>42000</v>
      </c>
      <c r="Q118" s="52">
        <v>147000</v>
      </c>
      <c r="R118" s="52">
        <v>18081.391015922352</v>
      </c>
      <c r="S118" s="52">
        <v>15000</v>
      </c>
      <c r="T118" s="52">
        <v>65000</v>
      </c>
      <c r="U118" s="52">
        <v>11480.248264077683</v>
      </c>
      <c r="V118" s="52">
        <v>33637.068760000002</v>
      </c>
      <c r="W118" s="52">
        <v>133000</v>
      </c>
      <c r="X118" s="52">
        <v>11400</v>
      </c>
      <c r="Y118" s="52">
        <v>0</v>
      </c>
      <c r="Z118" s="52">
        <v>0</v>
      </c>
      <c r="AA118" s="52">
        <v>0</v>
      </c>
      <c r="AB118" s="52">
        <v>44000</v>
      </c>
      <c r="AC118" s="52">
        <v>154000</v>
      </c>
      <c r="AD118" s="52">
        <v>38827.077959999995</v>
      </c>
      <c r="AE118" s="52">
        <v>13500</v>
      </c>
      <c r="AF118" s="52">
        <v>58500</v>
      </c>
      <c r="AG118" s="52">
        <v>21178.406159999999</v>
      </c>
      <c r="AH118" s="52">
        <v>42000</v>
      </c>
      <c r="AI118" s="52">
        <v>147000</v>
      </c>
      <c r="AJ118" s="52">
        <v>37541.657160000155</v>
      </c>
      <c r="AK118" s="52">
        <v>13500</v>
      </c>
      <c r="AL118" s="52">
        <v>63000</v>
      </c>
      <c r="AM118" s="52">
        <v>11881.75211999997</v>
      </c>
      <c r="AN118" s="52">
        <v>55000</v>
      </c>
      <c r="AO118" s="52">
        <v>132000</v>
      </c>
      <c r="AP118" s="52">
        <v>63516.673220000041</v>
      </c>
      <c r="AQ118" s="52">
        <v>13500</v>
      </c>
      <c r="AR118" s="52">
        <v>63000</v>
      </c>
      <c r="AS118" s="52">
        <v>25984.093590000019</v>
      </c>
      <c r="AT118" s="52">
        <v>43208.00263999989</v>
      </c>
      <c r="AU118" s="52">
        <v>143000</v>
      </c>
      <c r="AV118" s="52">
        <v>25060.704900000015</v>
      </c>
      <c r="AW118" s="52">
        <v>0</v>
      </c>
      <c r="AX118" s="52">
        <v>0</v>
      </c>
      <c r="AY118" s="52">
        <v>0</v>
      </c>
      <c r="AZ118" s="52">
        <v>50000</v>
      </c>
      <c r="BA118" s="52">
        <v>120000</v>
      </c>
      <c r="BB118" s="52">
        <v>44143.807399999961</v>
      </c>
      <c r="BC118" s="52">
        <v>0</v>
      </c>
      <c r="BD118" s="52">
        <v>0</v>
      </c>
      <c r="BE118" s="52">
        <v>0</v>
      </c>
      <c r="BF118" s="52">
        <v>33000</v>
      </c>
      <c r="BG118" s="52">
        <v>154000</v>
      </c>
      <c r="BH118" s="52">
        <v>15400</v>
      </c>
      <c r="BI118" s="52">
        <v>0</v>
      </c>
      <c r="BJ118" s="52">
        <v>0</v>
      </c>
      <c r="BK118" s="52">
        <v>0</v>
      </c>
      <c r="BL118" s="52">
        <v>21000</v>
      </c>
      <c r="BM118" s="52">
        <v>157500</v>
      </c>
      <c r="BN118" s="52">
        <v>27112.806420000052</v>
      </c>
      <c r="BO118" s="52">
        <v>13500</v>
      </c>
      <c r="BP118" s="52">
        <v>58500</v>
      </c>
      <c r="BQ118" s="52">
        <v>12519.548639999983</v>
      </c>
      <c r="BR118" s="52">
        <v>34000</v>
      </c>
      <c r="BS118" s="52">
        <v>119000</v>
      </c>
      <c r="BT118" s="52">
        <v>23511.952680000195</v>
      </c>
      <c r="BU118" s="52">
        <v>28000</v>
      </c>
      <c r="BV118" s="52">
        <v>91000</v>
      </c>
      <c r="BW118" s="52">
        <v>11313.017140000022</v>
      </c>
    </row>
    <row r="119" spans="1:75" x14ac:dyDescent="0.3">
      <c r="A119" s="8" t="s">
        <v>103</v>
      </c>
      <c r="B119" s="8" t="s">
        <v>8</v>
      </c>
      <c r="C119" s="8" t="s">
        <v>64</v>
      </c>
      <c r="D119" s="52">
        <v>44000</v>
      </c>
      <c r="E119" s="52">
        <v>154000</v>
      </c>
      <c r="F119" s="52">
        <v>13200.000000000002</v>
      </c>
      <c r="G119" s="52">
        <v>0</v>
      </c>
      <c r="H119" s="52">
        <v>0</v>
      </c>
      <c r="I119" s="52">
        <v>0</v>
      </c>
      <c r="J119" s="52">
        <v>30000</v>
      </c>
      <c r="K119" s="52">
        <v>150000</v>
      </c>
      <c r="L119" s="52">
        <v>12000</v>
      </c>
      <c r="M119" s="52">
        <v>0</v>
      </c>
      <c r="N119" s="52">
        <v>0</v>
      </c>
      <c r="O119" s="52">
        <v>0</v>
      </c>
      <c r="P119" s="52">
        <v>0</v>
      </c>
      <c r="Q119" s="52">
        <v>0</v>
      </c>
      <c r="R119" s="52">
        <v>0</v>
      </c>
      <c r="S119" s="52">
        <v>0</v>
      </c>
      <c r="T119" s="52">
        <v>0</v>
      </c>
      <c r="U119" s="52">
        <v>0</v>
      </c>
      <c r="V119" s="52">
        <v>0</v>
      </c>
      <c r="W119" s="52">
        <v>0</v>
      </c>
      <c r="X119" s="52">
        <v>0</v>
      </c>
      <c r="Y119" s="52">
        <v>0</v>
      </c>
      <c r="Z119" s="52">
        <v>0</v>
      </c>
      <c r="AA119" s="52">
        <v>0</v>
      </c>
      <c r="AB119" s="52">
        <v>44000</v>
      </c>
      <c r="AC119" s="52">
        <v>154000</v>
      </c>
      <c r="AD119" s="52">
        <v>13200.000000000002</v>
      </c>
      <c r="AE119" s="52">
        <v>0</v>
      </c>
      <c r="AF119" s="52">
        <v>0</v>
      </c>
      <c r="AG119" s="52">
        <v>0</v>
      </c>
      <c r="AH119" s="52">
        <v>42000</v>
      </c>
      <c r="AI119" s="52">
        <v>147000</v>
      </c>
      <c r="AJ119" s="52">
        <v>12600.000000000002</v>
      </c>
      <c r="AK119" s="52">
        <v>0</v>
      </c>
      <c r="AL119" s="52">
        <v>0</v>
      </c>
      <c r="AM119" s="52">
        <v>0</v>
      </c>
      <c r="AN119" s="52">
        <v>55000</v>
      </c>
      <c r="AO119" s="52">
        <v>132000</v>
      </c>
      <c r="AP119" s="52">
        <v>15400</v>
      </c>
      <c r="AQ119" s="52">
        <v>13500</v>
      </c>
      <c r="AR119" s="52">
        <v>63000</v>
      </c>
      <c r="AS119" s="52">
        <v>6300.0000000000009</v>
      </c>
      <c r="AT119" s="52">
        <v>0</v>
      </c>
      <c r="AU119" s="52">
        <v>0</v>
      </c>
      <c r="AV119" s="52">
        <v>0</v>
      </c>
      <c r="AW119" s="52">
        <v>0</v>
      </c>
      <c r="AX119" s="52">
        <v>0</v>
      </c>
      <c r="AY119" s="52">
        <v>0</v>
      </c>
      <c r="AZ119" s="52">
        <v>50000</v>
      </c>
      <c r="BA119" s="52">
        <v>120000</v>
      </c>
      <c r="BB119" s="52">
        <v>43233.031163636413</v>
      </c>
      <c r="BC119" s="52">
        <v>15000</v>
      </c>
      <c r="BD119" s="52">
        <v>65000</v>
      </c>
      <c r="BE119" s="52">
        <v>24704.589236363663</v>
      </c>
      <c r="BF119" s="52">
        <v>0</v>
      </c>
      <c r="BG119" s="52">
        <v>0</v>
      </c>
      <c r="BH119" s="52">
        <v>0</v>
      </c>
      <c r="BI119" s="52">
        <v>0</v>
      </c>
      <c r="BJ119" s="52">
        <v>0</v>
      </c>
      <c r="BK119" s="52">
        <v>0</v>
      </c>
      <c r="BL119" s="52">
        <v>21000</v>
      </c>
      <c r="BM119" s="52">
        <v>157500</v>
      </c>
      <c r="BN119" s="52">
        <v>14700.000000000002</v>
      </c>
      <c r="BO119" s="52">
        <v>0</v>
      </c>
      <c r="BP119" s="52">
        <v>0</v>
      </c>
      <c r="BQ119" s="52">
        <v>0</v>
      </c>
      <c r="BR119" s="52">
        <v>34000</v>
      </c>
      <c r="BS119" s="52">
        <v>119000</v>
      </c>
      <c r="BT119" s="52">
        <v>10200.000000000002</v>
      </c>
      <c r="BU119" s="52">
        <v>0</v>
      </c>
      <c r="BV119" s="52">
        <v>0</v>
      </c>
      <c r="BW119" s="52">
        <v>0</v>
      </c>
    </row>
    <row r="120" spans="1:75" x14ac:dyDescent="0.3">
      <c r="A120" s="8" t="s">
        <v>103</v>
      </c>
      <c r="B120" s="8" t="s">
        <v>8</v>
      </c>
      <c r="C120" s="8" t="s">
        <v>65</v>
      </c>
      <c r="D120" s="52">
        <v>58739.999999999993</v>
      </c>
      <c r="E120" s="52">
        <v>205590</v>
      </c>
      <c r="F120" s="52">
        <v>88110</v>
      </c>
      <c r="G120" s="52">
        <v>24030</v>
      </c>
      <c r="H120" s="52">
        <v>84105</v>
      </c>
      <c r="I120" s="52">
        <v>36045</v>
      </c>
      <c r="J120" s="52">
        <v>40050</v>
      </c>
      <c r="K120" s="52">
        <v>200250</v>
      </c>
      <c r="L120" s="52">
        <v>80100</v>
      </c>
      <c r="M120" s="52">
        <v>16020</v>
      </c>
      <c r="N120" s="52">
        <v>69420</v>
      </c>
      <c r="O120" s="52">
        <v>42720</v>
      </c>
      <c r="P120" s="52">
        <v>56070</v>
      </c>
      <c r="Q120" s="52">
        <v>196245</v>
      </c>
      <c r="R120" s="52">
        <v>84105</v>
      </c>
      <c r="S120" s="52">
        <v>20025</v>
      </c>
      <c r="T120" s="52">
        <v>86774.999999999985</v>
      </c>
      <c r="U120" s="52">
        <v>53400</v>
      </c>
      <c r="V120" s="52">
        <v>50730</v>
      </c>
      <c r="W120" s="52">
        <v>177555</v>
      </c>
      <c r="X120" s="52">
        <v>76095</v>
      </c>
      <c r="Y120" s="52">
        <v>22027.5</v>
      </c>
      <c r="Z120" s="52">
        <v>102795</v>
      </c>
      <c r="AA120" s="52">
        <v>51397.5</v>
      </c>
      <c r="AB120" s="52">
        <v>58739.999999999993</v>
      </c>
      <c r="AC120" s="52">
        <v>205590</v>
      </c>
      <c r="AD120" s="52">
        <v>88110</v>
      </c>
      <c r="AE120" s="52">
        <v>18022.5</v>
      </c>
      <c r="AF120" s="52">
        <v>78097.5</v>
      </c>
      <c r="AG120" s="52">
        <v>48060</v>
      </c>
      <c r="AH120" s="52">
        <v>56070</v>
      </c>
      <c r="AI120" s="52">
        <v>196245</v>
      </c>
      <c r="AJ120" s="52">
        <v>84105</v>
      </c>
      <c r="AK120" s="52">
        <v>18022.5</v>
      </c>
      <c r="AL120" s="52">
        <v>84105</v>
      </c>
      <c r="AM120" s="52">
        <v>42052.5</v>
      </c>
      <c r="AN120" s="52">
        <v>73425</v>
      </c>
      <c r="AO120" s="52">
        <v>176220</v>
      </c>
      <c r="AP120" s="52">
        <v>102795</v>
      </c>
      <c r="AQ120" s="52">
        <v>18022.5</v>
      </c>
      <c r="AR120" s="52">
        <v>84105</v>
      </c>
      <c r="AS120" s="52">
        <v>42052.5</v>
      </c>
      <c r="AT120" s="52">
        <v>58739.999999999993</v>
      </c>
      <c r="AU120" s="52">
        <v>190905</v>
      </c>
      <c r="AV120" s="52">
        <v>102795</v>
      </c>
      <c r="AW120" s="52">
        <v>18022.5</v>
      </c>
      <c r="AX120" s="52">
        <v>84105</v>
      </c>
      <c r="AY120" s="52">
        <v>42052.5</v>
      </c>
      <c r="AZ120" s="52">
        <v>66750</v>
      </c>
      <c r="BA120" s="52">
        <v>160200</v>
      </c>
      <c r="BB120" s="52">
        <v>93450</v>
      </c>
      <c r="BC120" s="52">
        <v>20025</v>
      </c>
      <c r="BD120" s="52">
        <v>86774.999999999985</v>
      </c>
      <c r="BE120" s="52">
        <v>53400</v>
      </c>
      <c r="BF120" s="52">
        <v>44055</v>
      </c>
      <c r="BG120" s="52">
        <v>205590</v>
      </c>
      <c r="BH120" s="52">
        <v>102795</v>
      </c>
      <c r="BI120" s="52">
        <v>18022.5</v>
      </c>
      <c r="BJ120" s="52">
        <v>78097.5</v>
      </c>
      <c r="BK120" s="52">
        <v>48060</v>
      </c>
      <c r="BL120" s="52">
        <v>28035</v>
      </c>
      <c r="BM120" s="52">
        <v>210262.5</v>
      </c>
      <c r="BN120" s="52">
        <v>98122.5</v>
      </c>
      <c r="BO120" s="52">
        <v>18022.5</v>
      </c>
      <c r="BP120" s="52">
        <v>78097.5</v>
      </c>
      <c r="BQ120" s="52">
        <v>48060</v>
      </c>
      <c r="BR120" s="52">
        <v>45390</v>
      </c>
      <c r="BS120" s="52">
        <v>158865</v>
      </c>
      <c r="BT120" s="52">
        <v>68085</v>
      </c>
      <c r="BU120" s="52">
        <v>37379.999999999993</v>
      </c>
      <c r="BV120" s="52">
        <v>121485</v>
      </c>
      <c r="BW120" s="52">
        <v>65414.999999999993</v>
      </c>
    </row>
    <row r="121" spans="1:75" x14ac:dyDescent="0.3">
      <c r="A121" s="8" t="s">
        <v>103</v>
      </c>
      <c r="B121" s="8" t="s">
        <v>8</v>
      </c>
      <c r="C121" s="8" t="s">
        <v>66</v>
      </c>
      <c r="D121" s="52">
        <v>0</v>
      </c>
      <c r="E121" s="52">
        <v>0</v>
      </c>
      <c r="F121" s="52">
        <v>0</v>
      </c>
      <c r="G121" s="52">
        <v>0</v>
      </c>
      <c r="H121" s="52">
        <v>0</v>
      </c>
      <c r="I121" s="52">
        <v>0</v>
      </c>
      <c r="J121" s="52">
        <v>0</v>
      </c>
      <c r="K121" s="52">
        <v>0</v>
      </c>
      <c r="L121" s="52">
        <v>0</v>
      </c>
      <c r="M121" s="52">
        <v>0</v>
      </c>
      <c r="N121" s="52">
        <v>0</v>
      </c>
      <c r="O121" s="52">
        <v>0</v>
      </c>
      <c r="P121" s="52">
        <v>0</v>
      </c>
      <c r="Q121" s="52">
        <v>0</v>
      </c>
      <c r="R121" s="52">
        <v>0</v>
      </c>
      <c r="S121" s="52">
        <v>0</v>
      </c>
      <c r="T121" s="52">
        <v>0</v>
      </c>
      <c r="U121" s="52">
        <v>0</v>
      </c>
      <c r="V121" s="52">
        <v>0</v>
      </c>
      <c r="W121" s="52">
        <v>0</v>
      </c>
      <c r="X121" s="52">
        <v>0</v>
      </c>
      <c r="Y121" s="52">
        <v>0</v>
      </c>
      <c r="Z121" s="52">
        <v>0</v>
      </c>
      <c r="AA121" s="52">
        <v>0</v>
      </c>
      <c r="AB121" s="52">
        <v>0</v>
      </c>
      <c r="AC121" s="52">
        <v>0</v>
      </c>
      <c r="AD121" s="52">
        <v>0</v>
      </c>
      <c r="AE121" s="52">
        <v>0</v>
      </c>
      <c r="AF121" s="52">
        <v>0</v>
      </c>
      <c r="AG121" s="52">
        <v>0</v>
      </c>
      <c r="AH121" s="52">
        <v>0</v>
      </c>
      <c r="AI121" s="52">
        <v>0</v>
      </c>
      <c r="AJ121" s="52">
        <v>0</v>
      </c>
      <c r="AK121" s="52">
        <v>0</v>
      </c>
      <c r="AL121" s="52">
        <v>0</v>
      </c>
      <c r="AM121" s="52">
        <v>0</v>
      </c>
      <c r="AN121" s="52">
        <v>0</v>
      </c>
      <c r="AO121" s="52">
        <v>0</v>
      </c>
      <c r="AP121" s="52">
        <v>0</v>
      </c>
      <c r="AQ121" s="52">
        <v>0</v>
      </c>
      <c r="AR121" s="52">
        <v>0</v>
      </c>
      <c r="AS121" s="52">
        <v>0</v>
      </c>
      <c r="AT121" s="52">
        <v>0</v>
      </c>
      <c r="AU121" s="52">
        <v>0</v>
      </c>
      <c r="AV121" s="52">
        <v>0</v>
      </c>
      <c r="AW121" s="52">
        <v>0</v>
      </c>
      <c r="AX121" s="52">
        <v>0</v>
      </c>
      <c r="AY121" s="52">
        <v>0</v>
      </c>
      <c r="AZ121" s="52">
        <v>0</v>
      </c>
      <c r="BA121" s="52">
        <v>0</v>
      </c>
      <c r="BB121" s="52">
        <v>0</v>
      </c>
      <c r="BC121" s="52">
        <v>0</v>
      </c>
      <c r="BD121" s="52">
        <v>0</v>
      </c>
      <c r="BE121" s="52">
        <v>0</v>
      </c>
      <c r="BF121" s="52">
        <v>0</v>
      </c>
      <c r="BG121" s="52">
        <v>0</v>
      </c>
      <c r="BH121" s="52">
        <v>0</v>
      </c>
      <c r="BI121" s="52">
        <v>0</v>
      </c>
      <c r="BJ121" s="52">
        <v>0</v>
      </c>
      <c r="BK121" s="52">
        <v>0</v>
      </c>
      <c r="BL121" s="52">
        <v>0</v>
      </c>
      <c r="BM121" s="52">
        <v>0</v>
      </c>
      <c r="BN121" s="52">
        <v>0</v>
      </c>
      <c r="BO121" s="52">
        <v>0</v>
      </c>
      <c r="BP121" s="52">
        <v>0</v>
      </c>
      <c r="BQ121" s="52">
        <v>0</v>
      </c>
      <c r="BR121" s="52">
        <v>0</v>
      </c>
      <c r="BS121" s="52">
        <v>0</v>
      </c>
      <c r="BT121" s="52">
        <v>0</v>
      </c>
      <c r="BU121" s="52">
        <v>0</v>
      </c>
      <c r="BV121" s="52">
        <v>0</v>
      </c>
      <c r="BW121" s="52">
        <v>0</v>
      </c>
    </row>
    <row r="122" spans="1:75" x14ac:dyDescent="0.3">
      <c r="A122" s="8" t="s">
        <v>103</v>
      </c>
      <c r="B122" s="8" t="s">
        <v>8</v>
      </c>
      <c r="C122" s="8" t="s">
        <v>67</v>
      </c>
      <c r="D122" s="52">
        <v>0</v>
      </c>
      <c r="E122" s="52">
        <v>0</v>
      </c>
      <c r="F122" s="52">
        <v>0</v>
      </c>
      <c r="G122" s="52">
        <v>0</v>
      </c>
      <c r="H122" s="52">
        <v>0</v>
      </c>
      <c r="I122" s="52">
        <v>0</v>
      </c>
      <c r="J122" s="52">
        <v>0</v>
      </c>
      <c r="K122" s="52">
        <v>0</v>
      </c>
      <c r="L122" s="52">
        <v>0</v>
      </c>
      <c r="M122" s="52">
        <v>0</v>
      </c>
      <c r="N122" s="52">
        <v>0</v>
      </c>
      <c r="O122" s="52">
        <v>0</v>
      </c>
      <c r="P122" s="52">
        <v>0</v>
      </c>
      <c r="Q122" s="52">
        <v>0</v>
      </c>
      <c r="R122" s="52">
        <v>0</v>
      </c>
      <c r="S122" s="52">
        <v>0</v>
      </c>
      <c r="T122" s="52">
        <v>0</v>
      </c>
      <c r="U122" s="52">
        <v>0</v>
      </c>
      <c r="V122" s="52">
        <v>0</v>
      </c>
      <c r="W122" s="52">
        <v>0</v>
      </c>
      <c r="X122" s="52">
        <v>0</v>
      </c>
      <c r="Y122" s="52">
        <v>0</v>
      </c>
      <c r="Z122" s="52">
        <v>0</v>
      </c>
      <c r="AA122" s="52">
        <v>0</v>
      </c>
      <c r="AB122" s="52">
        <v>0</v>
      </c>
      <c r="AC122" s="52">
        <v>0</v>
      </c>
      <c r="AD122" s="52">
        <v>0</v>
      </c>
      <c r="AE122" s="52">
        <v>0</v>
      </c>
      <c r="AF122" s="52">
        <v>0</v>
      </c>
      <c r="AG122" s="52">
        <v>0</v>
      </c>
      <c r="AH122" s="52">
        <v>0</v>
      </c>
      <c r="AI122" s="52">
        <v>0</v>
      </c>
      <c r="AJ122" s="52">
        <v>0</v>
      </c>
      <c r="AK122" s="52">
        <v>0</v>
      </c>
      <c r="AL122" s="52">
        <v>0</v>
      </c>
      <c r="AM122" s="52">
        <v>0</v>
      </c>
      <c r="AN122" s="52">
        <v>0</v>
      </c>
      <c r="AO122" s="52">
        <v>0</v>
      </c>
      <c r="AP122" s="52">
        <v>0</v>
      </c>
      <c r="AQ122" s="52">
        <v>0</v>
      </c>
      <c r="AR122" s="52">
        <v>0</v>
      </c>
      <c r="AS122" s="52">
        <v>0</v>
      </c>
      <c r="AT122" s="52">
        <v>0</v>
      </c>
      <c r="AU122" s="52">
        <v>0</v>
      </c>
      <c r="AV122" s="52">
        <v>0</v>
      </c>
      <c r="AW122" s="52">
        <v>0</v>
      </c>
      <c r="AX122" s="52">
        <v>0</v>
      </c>
      <c r="AY122" s="52">
        <v>0</v>
      </c>
      <c r="AZ122" s="52">
        <v>628.49200000006931</v>
      </c>
      <c r="BA122" s="52">
        <v>0</v>
      </c>
      <c r="BB122" s="52">
        <v>0</v>
      </c>
      <c r="BC122" s="52">
        <v>0</v>
      </c>
      <c r="BD122" s="52">
        <v>0</v>
      </c>
      <c r="BE122" s="52">
        <v>0</v>
      </c>
      <c r="BF122" s="52">
        <v>0</v>
      </c>
      <c r="BG122" s="52">
        <v>0</v>
      </c>
      <c r="BH122" s="52">
        <v>0</v>
      </c>
      <c r="BI122" s="52">
        <v>0</v>
      </c>
      <c r="BJ122" s="52">
        <v>0</v>
      </c>
      <c r="BK122" s="52">
        <v>0</v>
      </c>
      <c r="BL122" s="52">
        <v>0</v>
      </c>
      <c r="BM122" s="52">
        <v>0</v>
      </c>
      <c r="BN122" s="52">
        <v>0</v>
      </c>
      <c r="BO122" s="52">
        <v>0</v>
      </c>
      <c r="BP122" s="52">
        <v>0</v>
      </c>
      <c r="BQ122" s="52">
        <v>0</v>
      </c>
      <c r="BR122" s="52">
        <v>0</v>
      </c>
      <c r="BS122" s="52">
        <v>0</v>
      </c>
      <c r="BT122" s="52">
        <v>0</v>
      </c>
      <c r="BU122" s="52">
        <v>0</v>
      </c>
      <c r="BV122" s="52">
        <v>0</v>
      </c>
      <c r="BW122" s="52">
        <v>0</v>
      </c>
    </row>
    <row r="123" spans="1:75" x14ac:dyDescent="0.3">
      <c r="A123" s="8" t="s">
        <v>103</v>
      </c>
      <c r="B123" s="8" t="s">
        <v>8</v>
      </c>
      <c r="C123" s="8" t="s">
        <v>68</v>
      </c>
      <c r="D123" s="52">
        <v>0</v>
      </c>
      <c r="E123" s="52">
        <v>0</v>
      </c>
      <c r="F123" s="52">
        <v>0</v>
      </c>
      <c r="G123" s="52">
        <v>0</v>
      </c>
      <c r="H123" s="52">
        <v>0</v>
      </c>
      <c r="I123" s="52">
        <v>0</v>
      </c>
      <c r="J123" s="52">
        <v>0</v>
      </c>
      <c r="K123" s="52">
        <v>0</v>
      </c>
      <c r="L123" s="52">
        <v>0</v>
      </c>
      <c r="M123" s="52">
        <v>0</v>
      </c>
      <c r="N123" s="52">
        <v>0</v>
      </c>
      <c r="O123" s="52">
        <v>0</v>
      </c>
      <c r="P123" s="52">
        <v>0</v>
      </c>
      <c r="Q123" s="52">
        <v>0</v>
      </c>
      <c r="R123" s="52">
        <v>0</v>
      </c>
      <c r="S123" s="52">
        <v>0</v>
      </c>
      <c r="T123" s="52">
        <v>0</v>
      </c>
      <c r="U123" s="52">
        <v>0</v>
      </c>
      <c r="V123" s="52">
        <v>0</v>
      </c>
      <c r="W123" s="52">
        <v>0</v>
      </c>
      <c r="X123" s="52">
        <v>0</v>
      </c>
      <c r="Y123" s="52">
        <v>0</v>
      </c>
      <c r="Z123" s="52">
        <v>0</v>
      </c>
      <c r="AA123" s="52">
        <v>0</v>
      </c>
      <c r="AB123" s="52">
        <v>0</v>
      </c>
      <c r="AC123" s="52">
        <v>0</v>
      </c>
      <c r="AD123" s="52">
        <v>0</v>
      </c>
      <c r="AE123" s="52">
        <v>0</v>
      </c>
      <c r="AF123" s="52">
        <v>0</v>
      </c>
      <c r="AG123" s="52">
        <v>0</v>
      </c>
      <c r="AH123" s="52">
        <v>0</v>
      </c>
      <c r="AI123" s="52">
        <v>0</v>
      </c>
      <c r="AJ123" s="52">
        <v>0</v>
      </c>
      <c r="AK123" s="52">
        <v>0</v>
      </c>
      <c r="AL123" s="52">
        <v>0</v>
      </c>
      <c r="AM123" s="52">
        <v>0</v>
      </c>
      <c r="AN123" s="52">
        <v>0</v>
      </c>
      <c r="AO123" s="52">
        <v>0</v>
      </c>
      <c r="AP123" s="52">
        <v>0</v>
      </c>
      <c r="AQ123" s="52">
        <v>0</v>
      </c>
      <c r="AR123" s="52">
        <v>0</v>
      </c>
      <c r="AS123" s="52">
        <v>0</v>
      </c>
      <c r="AT123" s="52">
        <v>0</v>
      </c>
      <c r="AU123" s="52">
        <v>0</v>
      </c>
      <c r="AV123" s="52">
        <v>0</v>
      </c>
      <c r="AW123" s="52">
        <v>0</v>
      </c>
      <c r="AX123" s="52">
        <v>0</v>
      </c>
      <c r="AY123" s="52">
        <v>0</v>
      </c>
      <c r="AZ123" s="52">
        <v>0</v>
      </c>
      <c r="BA123" s="52">
        <v>0</v>
      </c>
      <c r="BB123" s="52">
        <v>0</v>
      </c>
      <c r="BC123" s="52">
        <v>0</v>
      </c>
      <c r="BD123" s="52">
        <v>0</v>
      </c>
      <c r="BE123" s="52">
        <v>0</v>
      </c>
      <c r="BF123" s="52">
        <v>0</v>
      </c>
      <c r="BG123" s="52">
        <v>0</v>
      </c>
      <c r="BH123" s="52">
        <v>0</v>
      </c>
      <c r="BI123" s="52">
        <v>0</v>
      </c>
      <c r="BJ123" s="52">
        <v>0</v>
      </c>
      <c r="BK123" s="52">
        <v>0</v>
      </c>
      <c r="BL123" s="52">
        <v>0</v>
      </c>
      <c r="BM123" s="52">
        <v>0</v>
      </c>
      <c r="BN123" s="52">
        <v>0</v>
      </c>
      <c r="BO123" s="52">
        <v>0</v>
      </c>
      <c r="BP123" s="52">
        <v>0</v>
      </c>
      <c r="BQ123" s="52">
        <v>0</v>
      </c>
      <c r="BR123" s="52">
        <v>0</v>
      </c>
      <c r="BS123" s="52">
        <v>0</v>
      </c>
      <c r="BT123" s="52">
        <v>0</v>
      </c>
      <c r="BU123" s="52">
        <v>0</v>
      </c>
      <c r="BV123" s="52">
        <v>0</v>
      </c>
      <c r="BW123" s="52">
        <v>0</v>
      </c>
    </row>
    <row r="124" spans="1:75" x14ac:dyDescent="0.3">
      <c r="A124" s="8" t="s">
        <v>103</v>
      </c>
      <c r="B124" s="8" t="s">
        <v>8</v>
      </c>
      <c r="C124" s="8" t="s">
        <v>69</v>
      </c>
      <c r="D124" s="52">
        <v>0</v>
      </c>
      <c r="E124" s="52">
        <v>0</v>
      </c>
      <c r="F124" s="52">
        <v>0</v>
      </c>
      <c r="G124" s="52">
        <v>0</v>
      </c>
      <c r="H124" s="52">
        <v>0</v>
      </c>
      <c r="I124" s="52">
        <v>0</v>
      </c>
      <c r="J124" s="52">
        <v>0</v>
      </c>
      <c r="K124" s="52">
        <v>0</v>
      </c>
      <c r="L124" s="52">
        <v>0</v>
      </c>
      <c r="M124" s="52">
        <v>0</v>
      </c>
      <c r="N124" s="52">
        <v>0</v>
      </c>
      <c r="O124" s="52">
        <v>0</v>
      </c>
      <c r="P124" s="52">
        <v>0</v>
      </c>
      <c r="Q124" s="52">
        <v>0</v>
      </c>
      <c r="R124" s="52">
        <v>0</v>
      </c>
      <c r="S124" s="52">
        <v>0</v>
      </c>
      <c r="T124" s="52">
        <v>0</v>
      </c>
      <c r="U124" s="52">
        <v>0</v>
      </c>
      <c r="V124" s="52">
        <v>0</v>
      </c>
      <c r="W124" s="52">
        <v>0</v>
      </c>
      <c r="X124" s="52">
        <v>0</v>
      </c>
      <c r="Y124" s="52">
        <v>0</v>
      </c>
      <c r="Z124" s="52">
        <v>0</v>
      </c>
      <c r="AA124" s="52">
        <v>0</v>
      </c>
      <c r="AB124" s="52">
        <v>0</v>
      </c>
      <c r="AC124" s="52">
        <v>0</v>
      </c>
      <c r="AD124" s="52">
        <v>0</v>
      </c>
      <c r="AE124" s="52">
        <v>0</v>
      </c>
      <c r="AF124" s="52">
        <v>0</v>
      </c>
      <c r="AG124" s="52">
        <v>0</v>
      </c>
      <c r="AH124" s="52">
        <v>0</v>
      </c>
      <c r="AI124" s="52">
        <v>0</v>
      </c>
      <c r="AJ124" s="52">
        <v>0</v>
      </c>
      <c r="AK124" s="52">
        <v>0</v>
      </c>
      <c r="AL124" s="52">
        <v>0</v>
      </c>
      <c r="AM124" s="52">
        <v>0</v>
      </c>
      <c r="AN124" s="52">
        <v>0</v>
      </c>
      <c r="AO124" s="52">
        <v>0</v>
      </c>
      <c r="AP124" s="52">
        <v>0</v>
      </c>
      <c r="AQ124" s="52">
        <v>0</v>
      </c>
      <c r="AR124" s="52">
        <v>0</v>
      </c>
      <c r="AS124" s="52">
        <v>0</v>
      </c>
      <c r="AT124" s="52">
        <v>0</v>
      </c>
      <c r="AU124" s="52">
        <v>0</v>
      </c>
      <c r="AV124" s="52">
        <v>0</v>
      </c>
      <c r="AW124" s="52">
        <v>0</v>
      </c>
      <c r="AX124" s="52">
        <v>0</v>
      </c>
      <c r="AY124" s="52">
        <v>0</v>
      </c>
      <c r="AZ124" s="52">
        <v>0</v>
      </c>
      <c r="BA124" s="52">
        <v>0</v>
      </c>
      <c r="BB124" s="52">
        <v>0</v>
      </c>
      <c r="BC124" s="52">
        <v>0</v>
      </c>
      <c r="BD124" s="52">
        <v>0</v>
      </c>
      <c r="BE124" s="52">
        <v>0</v>
      </c>
      <c r="BF124" s="52">
        <v>0</v>
      </c>
      <c r="BG124" s="52">
        <v>0</v>
      </c>
      <c r="BH124" s="52">
        <v>0</v>
      </c>
      <c r="BI124" s="52">
        <v>0</v>
      </c>
      <c r="BJ124" s="52">
        <v>0</v>
      </c>
      <c r="BK124" s="52">
        <v>0</v>
      </c>
      <c r="BL124" s="52">
        <v>0</v>
      </c>
      <c r="BM124" s="52">
        <v>0</v>
      </c>
      <c r="BN124" s="52">
        <v>0</v>
      </c>
      <c r="BO124" s="52">
        <v>0</v>
      </c>
      <c r="BP124" s="52">
        <v>0</v>
      </c>
      <c r="BQ124" s="52">
        <v>0</v>
      </c>
      <c r="BR124" s="52">
        <v>0</v>
      </c>
      <c r="BS124" s="52">
        <v>0</v>
      </c>
      <c r="BT124" s="52">
        <v>0</v>
      </c>
      <c r="BU124" s="52">
        <v>0</v>
      </c>
      <c r="BV124" s="52">
        <v>0</v>
      </c>
      <c r="BW124" s="52">
        <v>0</v>
      </c>
    </row>
    <row r="125" spans="1:75" x14ac:dyDescent="0.3">
      <c r="A125" s="8" t="s">
        <v>103</v>
      </c>
      <c r="B125" s="8" t="s">
        <v>8</v>
      </c>
      <c r="C125" s="8" t="s">
        <v>27</v>
      </c>
      <c r="D125" s="52">
        <v>13200</v>
      </c>
      <c r="E125" s="52">
        <v>46199.999999999993</v>
      </c>
      <c r="F125" s="52">
        <v>19800</v>
      </c>
      <c r="G125" s="52">
        <v>5399.9999999999991</v>
      </c>
      <c r="H125" s="52">
        <v>18900</v>
      </c>
      <c r="I125" s="52">
        <v>3636.0000000000073</v>
      </c>
      <c r="J125" s="52">
        <v>9000</v>
      </c>
      <c r="K125" s="52">
        <v>45000</v>
      </c>
      <c r="L125" s="52">
        <v>18000</v>
      </c>
      <c r="M125" s="52">
        <v>3599.9999999999995</v>
      </c>
      <c r="N125" s="52">
        <v>15600</v>
      </c>
      <c r="O125" s="52">
        <v>5568.0000000000155</v>
      </c>
      <c r="P125" s="52">
        <v>12600</v>
      </c>
      <c r="Q125" s="52">
        <v>44100</v>
      </c>
      <c r="R125" s="52">
        <v>17964.472264077678</v>
      </c>
      <c r="S125" s="52">
        <v>4500</v>
      </c>
      <c r="T125" s="52">
        <v>19500</v>
      </c>
      <c r="U125" s="52">
        <v>8471.5277359223401</v>
      </c>
      <c r="V125" s="52">
        <v>11400</v>
      </c>
      <c r="W125" s="52">
        <v>39900</v>
      </c>
      <c r="X125" s="52">
        <v>7157.8582200000046</v>
      </c>
      <c r="Y125" s="52">
        <v>4950</v>
      </c>
      <c r="Z125" s="52">
        <v>23099.999999999996</v>
      </c>
      <c r="AA125" s="52">
        <v>4212.1417799999972</v>
      </c>
      <c r="AB125" s="52">
        <v>13200</v>
      </c>
      <c r="AC125" s="52">
        <v>46199.999999999993</v>
      </c>
      <c r="AD125" s="52">
        <v>0</v>
      </c>
      <c r="AE125" s="52">
        <v>4050</v>
      </c>
      <c r="AF125" s="52">
        <v>16901.999999999989</v>
      </c>
      <c r="AG125" s="52">
        <v>0</v>
      </c>
      <c r="AH125" s="52">
        <v>12600</v>
      </c>
      <c r="AI125" s="52">
        <v>35190.000000000015</v>
      </c>
      <c r="AJ125" s="52">
        <v>0</v>
      </c>
      <c r="AK125" s="52">
        <v>4050</v>
      </c>
      <c r="AL125" s="52">
        <v>0</v>
      </c>
      <c r="AM125" s="52">
        <v>0</v>
      </c>
      <c r="AN125" s="52">
        <v>16500</v>
      </c>
      <c r="AO125" s="52">
        <v>33223.219169999989</v>
      </c>
      <c r="AP125" s="52">
        <v>0</v>
      </c>
      <c r="AQ125" s="52">
        <v>3844.7808300000124</v>
      </c>
      <c r="AR125" s="52">
        <v>0</v>
      </c>
      <c r="AS125" s="52">
        <v>0</v>
      </c>
      <c r="AT125" s="52">
        <v>11807.820640000094</v>
      </c>
      <c r="AU125" s="52">
        <v>26473.968533495055</v>
      </c>
      <c r="AV125" s="52">
        <v>0</v>
      </c>
      <c r="AW125" s="52">
        <v>3622.8540600000292</v>
      </c>
      <c r="AX125" s="52">
        <v>11663.356766504816</v>
      </c>
      <c r="AY125" s="52">
        <v>0</v>
      </c>
      <c r="AZ125" s="52">
        <v>15000</v>
      </c>
      <c r="BA125" s="52">
        <v>36000</v>
      </c>
      <c r="BB125" s="52">
        <v>1756.3636363636358</v>
      </c>
      <c r="BC125" s="52">
        <v>4500</v>
      </c>
      <c r="BD125" s="52">
        <v>19500</v>
      </c>
      <c r="BE125" s="52">
        <v>1003.6363636363634</v>
      </c>
      <c r="BF125" s="52">
        <v>9900</v>
      </c>
      <c r="BG125" s="52">
        <v>46199.999999999993</v>
      </c>
      <c r="BH125" s="52">
        <v>12140.354884247785</v>
      </c>
      <c r="BI125" s="52">
        <v>4050</v>
      </c>
      <c r="BJ125" s="52">
        <v>17550</v>
      </c>
      <c r="BK125" s="52">
        <v>3903.6451157522069</v>
      </c>
      <c r="BL125" s="52">
        <v>6300</v>
      </c>
      <c r="BM125" s="52">
        <v>47250</v>
      </c>
      <c r="BN125" s="52">
        <v>22050</v>
      </c>
      <c r="BO125" s="52">
        <v>4050</v>
      </c>
      <c r="BP125" s="52">
        <v>17550</v>
      </c>
      <c r="BQ125" s="52">
        <v>6480.0000000000091</v>
      </c>
      <c r="BR125" s="52">
        <v>10200</v>
      </c>
      <c r="BS125" s="52">
        <v>35699.999999999993</v>
      </c>
      <c r="BT125" s="52">
        <v>15299.999999999998</v>
      </c>
      <c r="BU125" s="52">
        <v>8400</v>
      </c>
      <c r="BV125" s="52">
        <v>27300</v>
      </c>
      <c r="BW125" s="52">
        <v>10236.000000000009</v>
      </c>
    </row>
    <row r="126" spans="1:75" x14ac:dyDescent="0.3">
      <c r="A126" s="8" t="s">
        <v>103</v>
      </c>
      <c r="B126" s="8" t="s">
        <v>8</v>
      </c>
      <c r="C126" s="8" t="s">
        <v>144</v>
      </c>
      <c r="D126" s="52">
        <v>17600</v>
      </c>
      <c r="E126" s="52">
        <v>0</v>
      </c>
      <c r="F126" s="52">
        <v>0</v>
      </c>
      <c r="G126" s="52">
        <v>7200</v>
      </c>
      <c r="H126" s="52">
        <v>0</v>
      </c>
      <c r="I126" s="52">
        <v>0</v>
      </c>
      <c r="J126" s="52">
        <v>12000</v>
      </c>
      <c r="K126" s="52">
        <v>0</v>
      </c>
      <c r="L126" s="52">
        <v>0</v>
      </c>
      <c r="M126" s="52">
        <v>4800.0000000000009</v>
      </c>
      <c r="N126" s="52">
        <v>0</v>
      </c>
      <c r="O126" s="52">
        <v>0</v>
      </c>
      <c r="P126" s="52">
        <v>16800</v>
      </c>
      <c r="Q126" s="52">
        <v>21858.975999999959</v>
      </c>
      <c r="R126" s="52">
        <v>0</v>
      </c>
      <c r="S126" s="52">
        <v>6000</v>
      </c>
      <c r="T126" s="52">
        <v>0</v>
      </c>
      <c r="U126" s="52">
        <v>0</v>
      </c>
      <c r="V126" s="52">
        <v>15200.000000000002</v>
      </c>
      <c r="W126" s="52">
        <v>27493.259444999974</v>
      </c>
      <c r="X126" s="52">
        <v>0</v>
      </c>
      <c r="Y126" s="52">
        <v>6600.0000000000009</v>
      </c>
      <c r="Z126" s="52">
        <v>15917.150204999984</v>
      </c>
      <c r="AA126" s="52">
        <v>0</v>
      </c>
      <c r="AB126" s="52">
        <v>16041.422320000023</v>
      </c>
      <c r="AC126" s="52">
        <v>0</v>
      </c>
      <c r="AD126" s="52">
        <v>0</v>
      </c>
      <c r="AE126" s="52">
        <v>4921.8000300000067</v>
      </c>
      <c r="AF126" s="52">
        <v>0</v>
      </c>
      <c r="AG126" s="52">
        <v>0</v>
      </c>
      <c r="AH126" s="52">
        <v>16800</v>
      </c>
      <c r="AI126" s="52">
        <v>0</v>
      </c>
      <c r="AJ126" s="52">
        <v>0</v>
      </c>
      <c r="AK126" s="52">
        <v>3856.8441600000087</v>
      </c>
      <c r="AL126" s="52">
        <v>0</v>
      </c>
      <c r="AM126" s="52">
        <v>0</v>
      </c>
      <c r="AN126" s="52">
        <v>15532.929499999944</v>
      </c>
      <c r="AO126" s="52">
        <v>0</v>
      </c>
      <c r="AP126" s="52">
        <v>0</v>
      </c>
      <c r="AQ126" s="52">
        <v>0</v>
      </c>
      <c r="AR126" s="52">
        <v>0</v>
      </c>
      <c r="AS126" s="52">
        <v>0</v>
      </c>
      <c r="AT126" s="52">
        <v>17600</v>
      </c>
      <c r="AU126" s="52">
        <v>30432.858586505172</v>
      </c>
      <c r="AV126" s="52">
        <v>0</v>
      </c>
      <c r="AW126" s="52">
        <v>5400</v>
      </c>
      <c r="AX126" s="52">
        <v>13407.483153495285</v>
      </c>
      <c r="AY126" s="52">
        <v>0</v>
      </c>
      <c r="AZ126" s="52">
        <v>20000</v>
      </c>
      <c r="BA126" s="52">
        <v>23326.708799999942</v>
      </c>
      <c r="BB126" s="52">
        <v>0</v>
      </c>
      <c r="BC126" s="52">
        <v>3031.8465199994539</v>
      </c>
      <c r="BD126" s="52">
        <v>0</v>
      </c>
      <c r="BE126" s="52">
        <v>0</v>
      </c>
      <c r="BF126" s="52">
        <v>12438.637200000034</v>
      </c>
      <c r="BG126" s="52">
        <v>2093.6946800001024</v>
      </c>
      <c r="BH126" s="52">
        <v>0</v>
      </c>
      <c r="BI126" s="52">
        <v>5088.5334000000148</v>
      </c>
      <c r="BJ126" s="52">
        <v>0</v>
      </c>
      <c r="BK126" s="52">
        <v>0</v>
      </c>
      <c r="BL126" s="52">
        <v>8400</v>
      </c>
      <c r="BM126" s="52">
        <v>23129.267768607962</v>
      </c>
      <c r="BN126" s="52">
        <v>0</v>
      </c>
      <c r="BO126" s="52">
        <v>5400</v>
      </c>
      <c r="BP126" s="52">
        <v>8590.8708854829565</v>
      </c>
      <c r="BQ126" s="52">
        <v>0</v>
      </c>
      <c r="BR126" s="52">
        <v>13600.000000000002</v>
      </c>
      <c r="BS126" s="52">
        <v>9772.9429445450151</v>
      </c>
      <c r="BT126" s="52">
        <v>0</v>
      </c>
      <c r="BU126" s="52">
        <v>11200.000000000002</v>
      </c>
      <c r="BV126" s="52">
        <v>4895.4304013640713</v>
      </c>
      <c r="BW126" s="52">
        <v>0</v>
      </c>
    </row>
    <row r="127" spans="1:75" x14ac:dyDescent="0.3">
      <c r="A127" s="8" t="s">
        <v>103</v>
      </c>
      <c r="B127" s="8" t="s">
        <v>8</v>
      </c>
      <c r="C127" s="8" t="s">
        <v>145</v>
      </c>
      <c r="D127" s="52">
        <v>0</v>
      </c>
      <c r="E127" s="52">
        <v>0</v>
      </c>
      <c r="F127" s="52">
        <v>0</v>
      </c>
      <c r="G127" s="52">
        <v>0</v>
      </c>
      <c r="H127" s="52">
        <v>0</v>
      </c>
      <c r="I127" s="52">
        <v>0</v>
      </c>
      <c r="J127" s="52">
        <v>7103.2416000000694</v>
      </c>
      <c r="K127" s="52">
        <v>0</v>
      </c>
      <c r="L127" s="52">
        <v>0</v>
      </c>
      <c r="M127" s="52">
        <v>340.37112000001633</v>
      </c>
      <c r="N127" s="52">
        <v>0</v>
      </c>
      <c r="O127" s="52">
        <v>0</v>
      </c>
      <c r="P127" s="52">
        <v>9448.7147263151037</v>
      </c>
      <c r="Q127" s="52">
        <v>0</v>
      </c>
      <c r="R127" s="52">
        <v>0</v>
      </c>
      <c r="S127" s="52">
        <v>1859.8211736839746</v>
      </c>
      <c r="T127" s="52">
        <v>0</v>
      </c>
      <c r="U127" s="52">
        <v>0</v>
      </c>
      <c r="V127" s="52">
        <v>15200.000000000002</v>
      </c>
      <c r="W127" s="52">
        <v>0</v>
      </c>
      <c r="X127" s="52">
        <v>0</v>
      </c>
      <c r="Y127" s="52">
        <v>6600.0000000000009</v>
      </c>
      <c r="Z127" s="52">
        <v>0</v>
      </c>
      <c r="AA127" s="52">
        <v>0</v>
      </c>
      <c r="AB127" s="52">
        <v>0</v>
      </c>
      <c r="AC127" s="52">
        <v>0</v>
      </c>
      <c r="AD127" s="52">
        <v>0</v>
      </c>
      <c r="AE127" s="52">
        <v>0</v>
      </c>
      <c r="AF127" s="52">
        <v>0</v>
      </c>
      <c r="AG127" s="52">
        <v>0</v>
      </c>
      <c r="AH127" s="52">
        <v>9304.7051999999439</v>
      </c>
      <c r="AI127" s="52">
        <v>0</v>
      </c>
      <c r="AJ127" s="52">
        <v>0</v>
      </c>
      <c r="AK127" s="52">
        <v>0</v>
      </c>
      <c r="AL127" s="52">
        <v>0</v>
      </c>
      <c r="AM127" s="52">
        <v>0</v>
      </c>
      <c r="AN127" s="52">
        <v>22000</v>
      </c>
      <c r="AO127" s="52">
        <v>0</v>
      </c>
      <c r="AP127" s="52">
        <v>0</v>
      </c>
      <c r="AQ127" s="52">
        <v>0</v>
      </c>
      <c r="AR127" s="52">
        <v>0</v>
      </c>
      <c r="AS127" s="52">
        <v>0</v>
      </c>
      <c r="AT127" s="52">
        <v>17600</v>
      </c>
      <c r="AU127" s="52">
        <v>0</v>
      </c>
      <c r="AV127" s="52">
        <v>0</v>
      </c>
      <c r="AW127" s="52">
        <v>5400</v>
      </c>
      <c r="AX127" s="52">
        <v>0</v>
      </c>
      <c r="AY127" s="52">
        <v>0</v>
      </c>
      <c r="AZ127" s="52">
        <v>20000</v>
      </c>
      <c r="BA127" s="52">
        <v>0</v>
      </c>
      <c r="BB127" s="52">
        <v>0</v>
      </c>
      <c r="BC127" s="52">
        <v>1115.7023800005793</v>
      </c>
      <c r="BD127" s="52">
        <v>0</v>
      </c>
      <c r="BE127" s="52">
        <v>0</v>
      </c>
      <c r="BF127" s="52">
        <v>13200.000000000002</v>
      </c>
      <c r="BG127" s="52">
        <v>0</v>
      </c>
      <c r="BH127" s="52">
        <v>0</v>
      </c>
      <c r="BI127" s="52">
        <v>5400</v>
      </c>
      <c r="BJ127" s="52">
        <v>0</v>
      </c>
      <c r="BK127" s="52">
        <v>0</v>
      </c>
      <c r="BL127" s="52">
        <v>6271.2014400000407</v>
      </c>
      <c r="BM127" s="52">
        <v>0</v>
      </c>
      <c r="BN127" s="52">
        <v>0</v>
      </c>
      <c r="BO127" s="52">
        <v>4031.4866400000265</v>
      </c>
      <c r="BP127" s="52">
        <v>0</v>
      </c>
      <c r="BQ127" s="52">
        <v>0</v>
      </c>
      <c r="BR127" s="52">
        <v>7831.6980400001066</v>
      </c>
      <c r="BS127" s="52">
        <v>0</v>
      </c>
      <c r="BT127" s="52">
        <v>0</v>
      </c>
      <c r="BU127" s="52">
        <v>6449.6336800000881</v>
      </c>
      <c r="BV127" s="52">
        <v>0</v>
      </c>
      <c r="BW127" s="52">
        <v>0</v>
      </c>
    </row>
    <row r="128" spans="1:75" x14ac:dyDescent="0.3">
      <c r="A128" s="8" t="s">
        <v>103</v>
      </c>
      <c r="B128" s="8" t="s">
        <v>8</v>
      </c>
      <c r="C128" s="8" t="s">
        <v>146</v>
      </c>
      <c r="D128" s="52">
        <v>17600</v>
      </c>
      <c r="E128" s="52">
        <v>61600</v>
      </c>
      <c r="F128" s="52">
        <v>0</v>
      </c>
      <c r="G128" s="52">
        <v>7200</v>
      </c>
      <c r="H128" s="52">
        <v>19146.580740000045</v>
      </c>
      <c r="I128" s="52">
        <v>0</v>
      </c>
      <c r="J128" s="52">
        <v>12000</v>
      </c>
      <c r="K128" s="52">
        <v>60000</v>
      </c>
      <c r="L128" s="52">
        <v>0</v>
      </c>
      <c r="M128" s="52">
        <v>4800.0000000000009</v>
      </c>
      <c r="N128" s="52">
        <v>15601.955200000024</v>
      </c>
      <c r="O128" s="52">
        <v>0</v>
      </c>
      <c r="P128" s="52">
        <v>16800</v>
      </c>
      <c r="Q128" s="52">
        <v>58800.000000000007</v>
      </c>
      <c r="R128" s="52">
        <v>0</v>
      </c>
      <c r="S128" s="52">
        <v>6000</v>
      </c>
      <c r="T128" s="52">
        <v>10130.394300000107</v>
      </c>
      <c r="U128" s="52">
        <v>0</v>
      </c>
      <c r="V128" s="52">
        <v>15200.000000000002</v>
      </c>
      <c r="W128" s="52">
        <v>53200</v>
      </c>
      <c r="X128" s="52">
        <v>0</v>
      </c>
      <c r="Y128" s="52">
        <v>6600.0000000000009</v>
      </c>
      <c r="Z128" s="52">
        <v>30800</v>
      </c>
      <c r="AA128" s="52">
        <v>0</v>
      </c>
      <c r="AB128" s="52">
        <v>17600</v>
      </c>
      <c r="AC128" s="52">
        <v>26173.926240000179</v>
      </c>
      <c r="AD128" s="52">
        <v>0</v>
      </c>
      <c r="AE128" s="52">
        <v>5400</v>
      </c>
      <c r="AF128" s="52">
        <v>4688.8056000000242</v>
      </c>
      <c r="AG128" s="52">
        <v>0</v>
      </c>
      <c r="AH128" s="52">
        <v>16800</v>
      </c>
      <c r="AI128" s="52">
        <v>58800.000000000007</v>
      </c>
      <c r="AJ128" s="52">
        <v>0</v>
      </c>
      <c r="AK128" s="52">
        <v>5400</v>
      </c>
      <c r="AL128" s="52">
        <v>21418.038180000054</v>
      </c>
      <c r="AM128" s="52">
        <v>0</v>
      </c>
      <c r="AN128" s="52">
        <v>22000</v>
      </c>
      <c r="AO128" s="52">
        <v>52800.000000000007</v>
      </c>
      <c r="AP128" s="52">
        <v>0</v>
      </c>
      <c r="AQ128" s="52">
        <v>5400</v>
      </c>
      <c r="AR128" s="52">
        <v>2551.7154600000886</v>
      </c>
      <c r="AS128" s="52">
        <v>0</v>
      </c>
      <c r="AT128" s="52">
        <v>17600</v>
      </c>
      <c r="AU128" s="52">
        <v>57200</v>
      </c>
      <c r="AV128" s="52">
        <v>6952.2992000000149</v>
      </c>
      <c r="AW128" s="52">
        <v>5400</v>
      </c>
      <c r="AX128" s="52">
        <v>25200.000000000004</v>
      </c>
      <c r="AY128" s="52">
        <v>2844.1224000000061</v>
      </c>
      <c r="AZ128" s="52">
        <v>20000</v>
      </c>
      <c r="BA128" s="52">
        <v>48000</v>
      </c>
      <c r="BB128" s="52">
        <v>0</v>
      </c>
      <c r="BC128" s="52">
        <v>6000</v>
      </c>
      <c r="BD128" s="52">
        <v>1482.135607271764</v>
      </c>
      <c r="BE128" s="52">
        <v>0</v>
      </c>
      <c r="BF128" s="52">
        <v>13200.000000000002</v>
      </c>
      <c r="BG128" s="52">
        <v>61600</v>
      </c>
      <c r="BH128" s="52">
        <v>0</v>
      </c>
      <c r="BI128" s="52">
        <v>5400</v>
      </c>
      <c r="BJ128" s="52">
        <v>23400.000000000004</v>
      </c>
      <c r="BK128" s="52">
        <v>0</v>
      </c>
      <c r="BL128" s="52">
        <v>8400</v>
      </c>
      <c r="BM128" s="52">
        <v>58726.783431392221</v>
      </c>
      <c r="BN128" s="52">
        <v>0</v>
      </c>
      <c r="BO128" s="52">
        <v>5400</v>
      </c>
      <c r="BP128" s="52">
        <v>9477.8614845169668</v>
      </c>
      <c r="BQ128" s="52">
        <v>0</v>
      </c>
      <c r="BR128" s="52">
        <v>13600.000000000002</v>
      </c>
      <c r="BS128" s="52">
        <v>47600</v>
      </c>
      <c r="BT128" s="52">
        <v>0</v>
      </c>
      <c r="BU128" s="52">
        <v>11200.000000000002</v>
      </c>
      <c r="BV128" s="52">
        <v>26622.432338636263</v>
      </c>
      <c r="BW128" s="52">
        <v>0</v>
      </c>
    </row>
    <row r="129" spans="1:75" x14ac:dyDescent="0.3">
      <c r="A129" s="8" t="s">
        <v>103</v>
      </c>
      <c r="B129" s="8" t="s">
        <v>8</v>
      </c>
      <c r="C129" s="8" t="s">
        <v>28</v>
      </c>
      <c r="D129" s="52">
        <v>17600</v>
      </c>
      <c r="E129" s="52">
        <v>61600</v>
      </c>
      <c r="F129" s="52">
        <v>26400.000000000004</v>
      </c>
      <c r="G129" s="52">
        <v>7200</v>
      </c>
      <c r="H129" s="52">
        <v>25200.000000000004</v>
      </c>
      <c r="I129" s="52">
        <v>10800</v>
      </c>
      <c r="J129" s="52">
        <v>12000</v>
      </c>
      <c r="K129" s="52">
        <v>60000</v>
      </c>
      <c r="L129" s="52">
        <v>24000</v>
      </c>
      <c r="M129" s="52">
        <v>4800.0000000000009</v>
      </c>
      <c r="N129" s="52">
        <v>20800</v>
      </c>
      <c r="O129" s="52">
        <v>12800</v>
      </c>
      <c r="P129" s="52">
        <v>16800</v>
      </c>
      <c r="Q129" s="52">
        <v>58800.000000000007</v>
      </c>
      <c r="R129" s="52">
        <v>25200.000000000004</v>
      </c>
      <c r="S129" s="52">
        <v>6000</v>
      </c>
      <c r="T129" s="52">
        <v>26000</v>
      </c>
      <c r="U129" s="52">
        <v>16000</v>
      </c>
      <c r="V129" s="52">
        <v>15200.000000000002</v>
      </c>
      <c r="W129" s="52">
        <v>53200</v>
      </c>
      <c r="X129" s="52">
        <v>22800</v>
      </c>
      <c r="Y129" s="52">
        <v>6600.0000000000009</v>
      </c>
      <c r="Z129" s="52">
        <v>30800</v>
      </c>
      <c r="AA129" s="52">
        <v>15400</v>
      </c>
      <c r="AB129" s="52">
        <v>17600</v>
      </c>
      <c r="AC129" s="52">
        <v>61600</v>
      </c>
      <c r="AD129" s="52">
        <v>26400.000000000004</v>
      </c>
      <c r="AE129" s="52">
        <v>5400</v>
      </c>
      <c r="AF129" s="52">
        <v>23400.000000000004</v>
      </c>
      <c r="AG129" s="52">
        <v>14400</v>
      </c>
      <c r="AH129" s="52">
        <v>16800</v>
      </c>
      <c r="AI129" s="52">
        <v>58800.000000000007</v>
      </c>
      <c r="AJ129" s="52">
        <v>25200.000000000004</v>
      </c>
      <c r="AK129" s="52">
        <v>5400</v>
      </c>
      <c r="AL129" s="52">
        <v>25200.000000000004</v>
      </c>
      <c r="AM129" s="52">
        <v>12600.000000000002</v>
      </c>
      <c r="AN129" s="52">
        <v>22000</v>
      </c>
      <c r="AO129" s="52">
        <v>52800.000000000007</v>
      </c>
      <c r="AP129" s="52">
        <v>30800</v>
      </c>
      <c r="AQ129" s="52">
        <v>5400</v>
      </c>
      <c r="AR129" s="52">
        <v>25200.000000000004</v>
      </c>
      <c r="AS129" s="52">
        <v>12600.000000000002</v>
      </c>
      <c r="AT129" s="52">
        <v>17600</v>
      </c>
      <c r="AU129" s="52">
        <v>57200</v>
      </c>
      <c r="AV129" s="52">
        <v>30800</v>
      </c>
      <c r="AW129" s="52">
        <v>5400</v>
      </c>
      <c r="AX129" s="52">
        <v>25200.000000000004</v>
      </c>
      <c r="AY129" s="52">
        <v>12600.000000000002</v>
      </c>
      <c r="AZ129" s="52">
        <v>20000</v>
      </c>
      <c r="BA129" s="52">
        <v>48000</v>
      </c>
      <c r="BB129" s="52">
        <v>28000</v>
      </c>
      <c r="BC129" s="52">
        <v>6000</v>
      </c>
      <c r="BD129" s="52">
        <v>26000</v>
      </c>
      <c r="BE129" s="52">
        <v>16000</v>
      </c>
      <c r="BF129" s="52">
        <v>13200.000000000002</v>
      </c>
      <c r="BG129" s="52">
        <v>61600</v>
      </c>
      <c r="BH129" s="52">
        <v>30800</v>
      </c>
      <c r="BI129" s="52">
        <v>5400</v>
      </c>
      <c r="BJ129" s="52">
        <v>23400.000000000004</v>
      </c>
      <c r="BK129" s="52">
        <v>14400</v>
      </c>
      <c r="BL129" s="52">
        <v>8400</v>
      </c>
      <c r="BM129" s="52">
        <v>63000</v>
      </c>
      <c r="BN129" s="52">
        <v>29400.000000000004</v>
      </c>
      <c r="BO129" s="52">
        <v>5400</v>
      </c>
      <c r="BP129" s="52">
        <v>23400.000000000004</v>
      </c>
      <c r="BQ129" s="52">
        <v>14400</v>
      </c>
      <c r="BR129" s="52">
        <v>13600.000000000002</v>
      </c>
      <c r="BS129" s="52">
        <v>47600</v>
      </c>
      <c r="BT129" s="52">
        <v>20400.000000000004</v>
      </c>
      <c r="BU129" s="52">
        <v>11200.000000000002</v>
      </c>
      <c r="BV129" s="52">
        <v>36400</v>
      </c>
      <c r="BW129" s="52">
        <v>19600</v>
      </c>
    </row>
    <row r="130" spans="1:75" x14ac:dyDescent="0.3">
      <c r="A130" s="8" t="s">
        <v>103</v>
      </c>
      <c r="B130" s="8" t="s">
        <v>9</v>
      </c>
      <c r="C130" s="8" t="s">
        <v>60</v>
      </c>
      <c r="D130" s="52">
        <v>67900.800000000003</v>
      </c>
      <c r="E130" s="52">
        <v>237652.80000000002</v>
      </c>
      <c r="F130" s="52">
        <v>101851.20000000001</v>
      </c>
      <c r="G130" s="52">
        <v>27777.600000000002</v>
      </c>
      <c r="H130" s="52">
        <v>97221.6</v>
      </c>
      <c r="I130" s="52">
        <v>41666.400000000001</v>
      </c>
      <c r="J130" s="52">
        <v>46296.000000000007</v>
      </c>
      <c r="K130" s="52">
        <v>231480.00000000003</v>
      </c>
      <c r="L130" s="52">
        <v>92592.000000000015</v>
      </c>
      <c r="M130" s="52">
        <v>18518.400000000001</v>
      </c>
      <c r="N130" s="52">
        <v>80246.400000000009</v>
      </c>
      <c r="O130" s="52">
        <v>49382.400000000001</v>
      </c>
      <c r="P130" s="52">
        <v>64814.400000000009</v>
      </c>
      <c r="Q130" s="52">
        <v>226850.4</v>
      </c>
      <c r="R130" s="52">
        <v>97221.6</v>
      </c>
      <c r="S130" s="52">
        <v>23148.000000000004</v>
      </c>
      <c r="T130" s="52">
        <v>100308</v>
      </c>
      <c r="U130" s="52">
        <v>61728.000000000007</v>
      </c>
      <c r="V130" s="52">
        <v>58641.600000000006</v>
      </c>
      <c r="W130" s="52">
        <v>205245.60000000003</v>
      </c>
      <c r="X130" s="52">
        <v>87962.400000000009</v>
      </c>
      <c r="Y130" s="52">
        <v>25462.800000000003</v>
      </c>
      <c r="Z130" s="52">
        <v>118826.40000000001</v>
      </c>
      <c r="AA130" s="52">
        <v>59413.200000000004</v>
      </c>
      <c r="AB130" s="52">
        <v>67900.800000000003</v>
      </c>
      <c r="AC130" s="52">
        <v>237652.80000000002</v>
      </c>
      <c r="AD130" s="52">
        <v>101851.20000000001</v>
      </c>
      <c r="AE130" s="52">
        <v>20833.2</v>
      </c>
      <c r="AF130" s="52">
        <v>90277.200000000012</v>
      </c>
      <c r="AG130" s="52">
        <v>55555.200000000004</v>
      </c>
      <c r="AH130" s="52">
        <v>64814.400000000009</v>
      </c>
      <c r="AI130" s="52">
        <v>226850.4</v>
      </c>
      <c r="AJ130" s="52">
        <v>97221.6</v>
      </c>
      <c r="AK130" s="52">
        <v>20833.2</v>
      </c>
      <c r="AL130" s="52">
        <v>97221.6</v>
      </c>
      <c r="AM130" s="52">
        <v>48610.8</v>
      </c>
      <c r="AN130" s="52">
        <v>84876</v>
      </c>
      <c r="AO130" s="52">
        <v>203702.40000000002</v>
      </c>
      <c r="AP130" s="52">
        <v>118826.40000000001</v>
      </c>
      <c r="AQ130" s="52">
        <v>20833.2</v>
      </c>
      <c r="AR130" s="52">
        <v>97221.6</v>
      </c>
      <c r="AS130" s="52">
        <v>48610.8</v>
      </c>
      <c r="AT130" s="52">
        <v>67900.800000000003</v>
      </c>
      <c r="AU130" s="52">
        <v>220677.6</v>
      </c>
      <c r="AV130" s="52">
        <v>118826.40000000001</v>
      </c>
      <c r="AW130" s="52">
        <v>20833.2</v>
      </c>
      <c r="AX130" s="52">
        <v>97221.6</v>
      </c>
      <c r="AY130" s="52">
        <v>48610.8</v>
      </c>
      <c r="AZ130" s="52">
        <v>77160.000000000015</v>
      </c>
      <c r="BA130" s="52">
        <v>185184.00000000003</v>
      </c>
      <c r="BB130" s="52">
        <v>108024.00000000001</v>
      </c>
      <c r="BC130" s="52">
        <v>23148.000000000004</v>
      </c>
      <c r="BD130" s="52">
        <v>100308</v>
      </c>
      <c r="BE130" s="52">
        <v>61728.000000000007</v>
      </c>
      <c r="BF130" s="52">
        <v>50925.600000000006</v>
      </c>
      <c r="BG130" s="52">
        <v>237652.80000000002</v>
      </c>
      <c r="BH130" s="52">
        <v>118826.40000000001</v>
      </c>
      <c r="BI130" s="52">
        <v>20833.2</v>
      </c>
      <c r="BJ130" s="52">
        <v>90277.200000000012</v>
      </c>
      <c r="BK130" s="52">
        <v>55555.200000000004</v>
      </c>
      <c r="BL130" s="52">
        <v>32407.200000000004</v>
      </c>
      <c r="BM130" s="52">
        <v>243054.00000000003</v>
      </c>
      <c r="BN130" s="52">
        <v>113425.2</v>
      </c>
      <c r="BO130" s="52">
        <v>20833.2</v>
      </c>
      <c r="BP130" s="52">
        <v>90277.200000000012</v>
      </c>
      <c r="BQ130" s="52">
        <v>55555.200000000004</v>
      </c>
      <c r="BR130" s="52">
        <v>52468.800000000003</v>
      </c>
      <c r="BS130" s="52">
        <v>183640.80000000002</v>
      </c>
      <c r="BT130" s="52">
        <v>78703.200000000012</v>
      </c>
      <c r="BU130" s="52">
        <v>43209.599999999999</v>
      </c>
      <c r="BV130" s="52">
        <v>140431.20000000001</v>
      </c>
      <c r="BW130" s="52">
        <v>75616.800000000017</v>
      </c>
    </row>
    <row r="131" spans="1:75" x14ac:dyDescent="0.3">
      <c r="A131" s="8" t="s">
        <v>103</v>
      </c>
      <c r="B131" s="8" t="s">
        <v>9</v>
      </c>
      <c r="C131" s="8" t="s">
        <v>150</v>
      </c>
      <c r="D131" s="52">
        <v>27847.382551291434</v>
      </c>
      <c r="E131" s="52">
        <v>72441.599999999991</v>
      </c>
      <c r="F131" s="52">
        <v>31046.399999999994</v>
      </c>
      <c r="G131" s="52">
        <v>11392.111043710132</v>
      </c>
      <c r="H131" s="52">
        <v>29635.199999999993</v>
      </c>
      <c r="I131" s="52">
        <v>12700.799999999997</v>
      </c>
      <c r="J131" s="52">
        <v>20364.313800000025</v>
      </c>
      <c r="K131" s="52">
        <v>70559.999999999985</v>
      </c>
      <c r="L131" s="52">
        <v>28223.999999999996</v>
      </c>
      <c r="M131" s="52">
        <v>5644.7999999999993</v>
      </c>
      <c r="N131" s="52">
        <v>24460.799999999996</v>
      </c>
      <c r="O131" s="52">
        <v>15052.799999999997</v>
      </c>
      <c r="P131" s="52">
        <v>19756.8</v>
      </c>
      <c r="Q131" s="52">
        <v>69148.799999999988</v>
      </c>
      <c r="R131" s="52">
        <v>29635.199999999993</v>
      </c>
      <c r="S131" s="52">
        <v>7055.9999999999991</v>
      </c>
      <c r="T131" s="52">
        <v>30575.999999999996</v>
      </c>
      <c r="U131" s="52">
        <v>18815.999999999996</v>
      </c>
      <c r="V131" s="52">
        <v>0</v>
      </c>
      <c r="W131" s="52">
        <v>0</v>
      </c>
      <c r="X131" s="52">
        <v>0</v>
      </c>
      <c r="Y131" s="52">
        <v>0</v>
      </c>
      <c r="Z131" s="52">
        <v>0</v>
      </c>
      <c r="AA131" s="52">
        <v>0</v>
      </c>
      <c r="AB131" s="52">
        <v>0</v>
      </c>
      <c r="AC131" s="52">
        <v>0</v>
      </c>
      <c r="AD131" s="52">
        <v>0</v>
      </c>
      <c r="AE131" s="52">
        <v>0</v>
      </c>
      <c r="AF131" s="52">
        <v>0</v>
      </c>
      <c r="AG131" s="52">
        <v>0</v>
      </c>
      <c r="AH131" s="52">
        <v>19756.8</v>
      </c>
      <c r="AI131" s="52">
        <v>69148.799999999988</v>
      </c>
      <c r="AJ131" s="52">
        <v>29635.199999999993</v>
      </c>
      <c r="AK131" s="52">
        <v>0</v>
      </c>
      <c r="AL131" s="52">
        <v>0</v>
      </c>
      <c r="AM131" s="52">
        <v>0</v>
      </c>
      <c r="AN131" s="52">
        <v>25871.999999999996</v>
      </c>
      <c r="AO131" s="52">
        <v>62092.799999999988</v>
      </c>
      <c r="AP131" s="52">
        <v>36220.799999999996</v>
      </c>
      <c r="AQ131" s="52">
        <v>0</v>
      </c>
      <c r="AR131" s="52">
        <v>0</v>
      </c>
      <c r="AS131" s="52">
        <v>0</v>
      </c>
      <c r="AT131" s="52">
        <v>20697.599999999999</v>
      </c>
      <c r="AU131" s="52">
        <v>67267.199999999983</v>
      </c>
      <c r="AV131" s="52">
        <v>36220.799999999996</v>
      </c>
      <c r="AW131" s="52">
        <v>6350.3999999999987</v>
      </c>
      <c r="AX131" s="52">
        <v>29635.199999999993</v>
      </c>
      <c r="AY131" s="52">
        <v>14817.599999999997</v>
      </c>
      <c r="AZ131" s="52">
        <v>23519.999999999996</v>
      </c>
      <c r="BA131" s="52">
        <v>56447.999999999993</v>
      </c>
      <c r="BB131" s="52">
        <v>32928</v>
      </c>
      <c r="BC131" s="52">
        <v>0</v>
      </c>
      <c r="BD131" s="52">
        <v>0</v>
      </c>
      <c r="BE131" s="52">
        <v>0</v>
      </c>
      <c r="BF131" s="52">
        <v>15523.199999999997</v>
      </c>
      <c r="BG131" s="52">
        <v>72441.599999999991</v>
      </c>
      <c r="BH131" s="52">
        <v>36220.799999999996</v>
      </c>
      <c r="BI131" s="52">
        <v>6350.3999999999987</v>
      </c>
      <c r="BJ131" s="52">
        <v>27518.399999999998</v>
      </c>
      <c r="BK131" s="52">
        <v>16934.399999999998</v>
      </c>
      <c r="BL131" s="52">
        <v>9878.4</v>
      </c>
      <c r="BM131" s="52">
        <v>74088</v>
      </c>
      <c r="BN131" s="52">
        <v>34574.399999999994</v>
      </c>
      <c r="BO131" s="52">
        <v>6350.3999999999987</v>
      </c>
      <c r="BP131" s="52">
        <v>27518.399999999998</v>
      </c>
      <c r="BQ131" s="52">
        <v>16934.399999999998</v>
      </c>
      <c r="BR131" s="52">
        <v>15993.599999999997</v>
      </c>
      <c r="BS131" s="52">
        <v>55977.599999999991</v>
      </c>
      <c r="BT131" s="52">
        <v>23990.399999999998</v>
      </c>
      <c r="BU131" s="52">
        <v>13171.199999999993</v>
      </c>
      <c r="BV131" s="52">
        <v>42806.399999999972</v>
      </c>
      <c r="BW131" s="52">
        <v>23049.599999999988</v>
      </c>
    </row>
    <row r="132" spans="1:75" x14ac:dyDescent="0.3">
      <c r="A132" s="8" t="s">
        <v>103</v>
      </c>
      <c r="B132" s="8" t="s">
        <v>9</v>
      </c>
      <c r="C132" s="8" t="s">
        <v>61</v>
      </c>
      <c r="D132" s="52">
        <v>15106.057120000067</v>
      </c>
      <c r="E132" s="52">
        <v>25021.919999999998</v>
      </c>
      <c r="F132" s="52">
        <v>10723.68</v>
      </c>
      <c r="G132" s="52">
        <v>0</v>
      </c>
      <c r="H132" s="52">
        <v>0</v>
      </c>
      <c r="I132" s="52">
        <v>0</v>
      </c>
      <c r="J132" s="52">
        <v>0</v>
      </c>
      <c r="K132" s="52">
        <v>0</v>
      </c>
      <c r="L132" s="52">
        <v>0</v>
      </c>
      <c r="M132" s="52">
        <v>0</v>
      </c>
      <c r="N132" s="52">
        <v>0</v>
      </c>
      <c r="O132" s="52">
        <v>0</v>
      </c>
      <c r="P132" s="52">
        <v>0</v>
      </c>
      <c r="Q132" s="52">
        <v>0</v>
      </c>
      <c r="R132" s="52">
        <v>0</v>
      </c>
      <c r="S132" s="52">
        <v>0</v>
      </c>
      <c r="T132" s="52">
        <v>0</v>
      </c>
      <c r="U132" s="52">
        <v>0</v>
      </c>
      <c r="V132" s="52">
        <v>0</v>
      </c>
      <c r="W132" s="52">
        <v>0</v>
      </c>
      <c r="X132" s="52">
        <v>0</v>
      </c>
      <c r="Y132" s="52">
        <v>0</v>
      </c>
      <c r="Z132" s="52">
        <v>0</v>
      </c>
      <c r="AA132" s="52">
        <v>0</v>
      </c>
      <c r="AB132" s="52">
        <v>0</v>
      </c>
      <c r="AC132" s="52">
        <v>0</v>
      </c>
      <c r="AD132" s="52">
        <v>0</v>
      </c>
      <c r="AE132" s="52">
        <v>0</v>
      </c>
      <c r="AF132" s="52">
        <v>0</v>
      </c>
      <c r="AG132" s="52">
        <v>0</v>
      </c>
      <c r="AH132" s="52">
        <v>0</v>
      </c>
      <c r="AI132" s="52">
        <v>0</v>
      </c>
      <c r="AJ132" s="52">
        <v>0</v>
      </c>
      <c r="AK132" s="52">
        <v>0</v>
      </c>
      <c r="AL132" s="52">
        <v>0</v>
      </c>
      <c r="AM132" s="52">
        <v>0</v>
      </c>
      <c r="AN132" s="52">
        <v>22341</v>
      </c>
      <c r="AO132" s="52">
        <v>53618.400000000001</v>
      </c>
      <c r="AP132" s="52">
        <v>12510.96</v>
      </c>
      <c r="AQ132" s="52">
        <v>0</v>
      </c>
      <c r="AR132" s="52">
        <v>0</v>
      </c>
      <c r="AS132" s="52">
        <v>0</v>
      </c>
      <c r="AT132" s="52">
        <v>0</v>
      </c>
      <c r="AU132" s="52">
        <v>0</v>
      </c>
      <c r="AV132" s="52">
        <v>0</v>
      </c>
      <c r="AW132" s="52">
        <v>0</v>
      </c>
      <c r="AX132" s="52">
        <v>0</v>
      </c>
      <c r="AY132" s="52">
        <v>0</v>
      </c>
      <c r="AZ132" s="52">
        <v>0</v>
      </c>
      <c r="BA132" s="52">
        <v>0</v>
      </c>
      <c r="BB132" s="52">
        <v>0</v>
      </c>
      <c r="BC132" s="52">
        <v>0</v>
      </c>
      <c r="BD132" s="52">
        <v>0</v>
      </c>
      <c r="BE132" s="52">
        <v>0</v>
      </c>
      <c r="BF132" s="52">
        <v>10425.656999999957</v>
      </c>
      <c r="BG132" s="52">
        <v>62554.8</v>
      </c>
      <c r="BH132" s="52">
        <v>12510.96</v>
      </c>
      <c r="BI132" s="52">
        <v>0</v>
      </c>
      <c r="BJ132" s="52">
        <v>0</v>
      </c>
      <c r="BK132" s="52">
        <v>0</v>
      </c>
      <c r="BL132" s="52">
        <v>0</v>
      </c>
      <c r="BM132" s="52">
        <v>0</v>
      </c>
      <c r="BN132" s="52">
        <v>0</v>
      </c>
      <c r="BO132" s="52">
        <v>0</v>
      </c>
      <c r="BP132" s="52">
        <v>0</v>
      </c>
      <c r="BQ132" s="52">
        <v>0</v>
      </c>
      <c r="BR132" s="52">
        <v>13810.800000000001</v>
      </c>
      <c r="BS132" s="52">
        <v>48337.8</v>
      </c>
      <c r="BT132" s="52">
        <v>8286.48</v>
      </c>
      <c r="BU132" s="52">
        <v>0</v>
      </c>
      <c r="BV132" s="52">
        <v>0</v>
      </c>
      <c r="BW132" s="52">
        <v>0</v>
      </c>
    </row>
    <row r="133" spans="1:75" x14ac:dyDescent="0.3">
      <c r="A133" s="8" t="s">
        <v>103</v>
      </c>
      <c r="B133" s="8" t="s">
        <v>9</v>
      </c>
      <c r="C133" s="8" t="s">
        <v>152</v>
      </c>
      <c r="D133" s="52">
        <v>5294.079999999999</v>
      </c>
      <c r="E133" s="52">
        <v>18529.279999999995</v>
      </c>
      <c r="F133" s="52">
        <v>7941.119999999999</v>
      </c>
      <c r="G133" s="52">
        <v>0</v>
      </c>
      <c r="H133" s="52">
        <v>0</v>
      </c>
      <c r="I133" s="52">
        <v>0</v>
      </c>
      <c r="J133" s="52">
        <v>0</v>
      </c>
      <c r="K133" s="52">
        <v>0</v>
      </c>
      <c r="L133" s="52">
        <v>0</v>
      </c>
      <c r="M133" s="52">
        <v>0</v>
      </c>
      <c r="N133" s="52">
        <v>0</v>
      </c>
      <c r="O133" s="52">
        <v>0</v>
      </c>
      <c r="P133" s="52">
        <v>0</v>
      </c>
      <c r="Q133" s="52">
        <v>0</v>
      </c>
      <c r="R133" s="52">
        <v>0</v>
      </c>
      <c r="S133" s="52">
        <v>0</v>
      </c>
      <c r="T133" s="52">
        <v>0</v>
      </c>
      <c r="U133" s="52">
        <v>0</v>
      </c>
      <c r="V133" s="52">
        <v>4572.1599999999871</v>
      </c>
      <c r="W133" s="52">
        <v>16002.559999999952</v>
      </c>
      <c r="X133" s="52">
        <v>6858.2399999999989</v>
      </c>
      <c r="Y133" s="52">
        <v>1985.2799999999997</v>
      </c>
      <c r="Z133" s="52">
        <v>9264.6399999999976</v>
      </c>
      <c r="AA133" s="52">
        <v>4632.3199999999988</v>
      </c>
      <c r="AB133" s="52">
        <v>5294.0799999999135</v>
      </c>
      <c r="AC133" s="52">
        <v>18529.279999999697</v>
      </c>
      <c r="AD133" s="52">
        <v>7941.1199999998707</v>
      </c>
      <c r="AE133" s="52">
        <v>0</v>
      </c>
      <c r="AF133" s="52">
        <v>0</v>
      </c>
      <c r="AG133" s="52">
        <v>0</v>
      </c>
      <c r="AH133" s="52">
        <v>0</v>
      </c>
      <c r="AI133" s="52">
        <v>0</v>
      </c>
      <c r="AJ133" s="52">
        <v>0</v>
      </c>
      <c r="AK133" s="52">
        <v>0</v>
      </c>
      <c r="AL133" s="52">
        <v>0</v>
      </c>
      <c r="AM133" s="52">
        <v>0</v>
      </c>
      <c r="AN133" s="52">
        <v>0</v>
      </c>
      <c r="AO133" s="52">
        <v>0</v>
      </c>
      <c r="AP133" s="52">
        <v>0</v>
      </c>
      <c r="AQ133" s="52">
        <v>0</v>
      </c>
      <c r="AR133" s="52">
        <v>0</v>
      </c>
      <c r="AS133" s="52">
        <v>0</v>
      </c>
      <c r="AT133" s="52">
        <v>5294.079999999999</v>
      </c>
      <c r="AU133" s="52">
        <v>27176.958379999967</v>
      </c>
      <c r="AV133" s="52">
        <v>9264.6399999999976</v>
      </c>
      <c r="AW133" s="52">
        <v>0</v>
      </c>
      <c r="AX133" s="52">
        <v>0</v>
      </c>
      <c r="AY133" s="52">
        <v>0</v>
      </c>
      <c r="AZ133" s="52">
        <v>0</v>
      </c>
      <c r="BA133" s="52">
        <v>0</v>
      </c>
      <c r="BB133" s="52">
        <v>0</v>
      </c>
      <c r="BC133" s="52">
        <v>0</v>
      </c>
      <c r="BD133" s="52">
        <v>0</v>
      </c>
      <c r="BE133" s="52">
        <v>0</v>
      </c>
      <c r="BF133" s="52">
        <v>0</v>
      </c>
      <c r="BG133" s="52">
        <v>0</v>
      </c>
      <c r="BH133" s="52">
        <v>0</v>
      </c>
      <c r="BI133" s="52">
        <v>0</v>
      </c>
      <c r="BJ133" s="52">
        <v>0</v>
      </c>
      <c r="BK133" s="52">
        <v>0</v>
      </c>
      <c r="BL133" s="52">
        <v>3066.8916599999975</v>
      </c>
      <c r="BM133" s="52">
        <v>18950.399999999998</v>
      </c>
      <c r="BN133" s="52">
        <v>8843.5199999999986</v>
      </c>
      <c r="BO133" s="52">
        <v>0</v>
      </c>
      <c r="BP133" s="52">
        <v>0</v>
      </c>
      <c r="BQ133" s="52">
        <v>0</v>
      </c>
      <c r="BR133" s="52">
        <v>7231.7557999999426</v>
      </c>
      <c r="BS133" s="52">
        <v>14318.079999999562</v>
      </c>
      <c r="BT133" s="52">
        <v>6136.3199999998124</v>
      </c>
      <c r="BU133" s="52">
        <v>0</v>
      </c>
      <c r="BV133" s="52">
        <v>0</v>
      </c>
      <c r="BW133" s="52">
        <v>0</v>
      </c>
    </row>
    <row r="134" spans="1:75" x14ac:dyDescent="0.3">
      <c r="A134" s="8" t="s">
        <v>103</v>
      </c>
      <c r="B134" s="8" t="s">
        <v>9</v>
      </c>
      <c r="C134" s="8" t="s">
        <v>151</v>
      </c>
      <c r="D134" s="52">
        <v>17107.2</v>
      </c>
      <c r="E134" s="52">
        <v>59875.200000000004</v>
      </c>
      <c r="F134" s="52">
        <v>10264.319999999923</v>
      </c>
      <c r="G134" s="52">
        <v>6998.4000000000005</v>
      </c>
      <c r="H134" s="52">
        <v>24494.400000000001</v>
      </c>
      <c r="I134" s="52">
        <v>4199.0399999999681</v>
      </c>
      <c r="J134" s="52">
        <v>11664.000000000002</v>
      </c>
      <c r="K134" s="52">
        <v>58320.000000000007</v>
      </c>
      <c r="L134" s="52">
        <v>9331.2000000000007</v>
      </c>
      <c r="M134" s="52">
        <v>4665.6000000000004</v>
      </c>
      <c r="N134" s="52">
        <v>20172.97309136542</v>
      </c>
      <c r="O134" s="52">
        <v>4976.6400000000003</v>
      </c>
      <c r="P134" s="52">
        <v>8264.815439999973</v>
      </c>
      <c r="Q134" s="52">
        <v>51360.077160000081</v>
      </c>
      <c r="R134" s="52">
        <v>9797.760000000002</v>
      </c>
      <c r="S134" s="52">
        <v>0</v>
      </c>
      <c r="T134" s="52">
        <v>0</v>
      </c>
      <c r="U134" s="52">
        <v>0</v>
      </c>
      <c r="V134" s="52">
        <v>7456.5887600000597</v>
      </c>
      <c r="W134" s="52">
        <v>44591.378160000015</v>
      </c>
      <c r="X134" s="52">
        <v>8864.6400000000012</v>
      </c>
      <c r="Y134" s="52">
        <v>2566.0800000000004</v>
      </c>
      <c r="Z134" s="52">
        <v>11975.04</v>
      </c>
      <c r="AA134" s="52">
        <v>5987.52</v>
      </c>
      <c r="AB134" s="52">
        <v>17107.2</v>
      </c>
      <c r="AC134" s="52">
        <v>50124.006240000497</v>
      </c>
      <c r="AD134" s="52">
        <v>10264.319999999838</v>
      </c>
      <c r="AE134" s="52">
        <v>2817.4030199999784</v>
      </c>
      <c r="AF134" s="52">
        <v>9097.92</v>
      </c>
      <c r="AG134" s="52">
        <v>5598.72</v>
      </c>
      <c r="AH134" s="52">
        <v>16329.600000000002</v>
      </c>
      <c r="AI134" s="52">
        <v>57153.600000000006</v>
      </c>
      <c r="AJ134" s="52">
        <v>9797.760000000002</v>
      </c>
      <c r="AK134" s="52">
        <v>5248.8</v>
      </c>
      <c r="AL134" s="52">
        <v>24494.400000000001</v>
      </c>
      <c r="AM134" s="52">
        <v>4898.880000000001</v>
      </c>
      <c r="AN134" s="52">
        <v>0</v>
      </c>
      <c r="AO134" s="52">
        <v>0</v>
      </c>
      <c r="AP134" s="52">
        <v>0</v>
      </c>
      <c r="AQ134" s="52">
        <v>0</v>
      </c>
      <c r="AR134" s="52">
        <v>0</v>
      </c>
      <c r="AS134" s="52">
        <v>0</v>
      </c>
      <c r="AT134" s="52">
        <v>17107.2</v>
      </c>
      <c r="AU134" s="52">
        <v>55598.400000000009</v>
      </c>
      <c r="AV134" s="52">
        <v>18927.339200000042</v>
      </c>
      <c r="AW134" s="52">
        <v>5248.8</v>
      </c>
      <c r="AX134" s="52">
        <v>24494.400000000001</v>
      </c>
      <c r="AY134" s="52">
        <v>7743.0024000000158</v>
      </c>
      <c r="AZ134" s="52">
        <v>19440</v>
      </c>
      <c r="BA134" s="52">
        <v>46656.000000000007</v>
      </c>
      <c r="BB134" s="52">
        <v>10886.400000000001</v>
      </c>
      <c r="BC134" s="52">
        <v>5832.0000000000009</v>
      </c>
      <c r="BD134" s="52">
        <v>24369.262200000074</v>
      </c>
      <c r="BE134" s="52">
        <v>6220.8</v>
      </c>
      <c r="BF134" s="52">
        <v>12830.400000000001</v>
      </c>
      <c r="BG134" s="52">
        <v>59875.200000000004</v>
      </c>
      <c r="BH134" s="52">
        <v>11975.039999999972</v>
      </c>
      <c r="BI134" s="52">
        <v>5248.8</v>
      </c>
      <c r="BJ134" s="52">
        <v>22744.800000000003</v>
      </c>
      <c r="BK134" s="52">
        <v>5598.7200000000012</v>
      </c>
      <c r="BL134" s="52">
        <v>8164.8000000000011</v>
      </c>
      <c r="BM134" s="52">
        <v>57703.864050000106</v>
      </c>
      <c r="BN134" s="52">
        <v>11430.720000000001</v>
      </c>
      <c r="BO134" s="52">
        <v>0</v>
      </c>
      <c r="BP134" s="52">
        <v>0</v>
      </c>
      <c r="BQ134" s="52">
        <v>0</v>
      </c>
      <c r="BR134" s="52">
        <v>13219.2</v>
      </c>
      <c r="BS134" s="52">
        <v>46267.200000000004</v>
      </c>
      <c r="BT134" s="52">
        <v>7931.52</v>
      </c>
      <c r="BU134" s="52">
        <v>10886.400000000001</v>
      </c>
      <c r="BV134" s="52">
        <v>35380.800000000003</v>
      </c>
      <c r="BW134" s="52">
        <v>7620.4800000000005</v>
      </c>
    </row>
    <row r="135" spans="1:75" x14ac:dyDescent="0.3">
      <c r="A135" s="8" t="s">
        <v>103</v>
      </c>
      <c r="B135" s="8" t="s">
        <v>9</v>
      </c>
      <c r="C135" s="8" t="s">
        <v>62</v>
      </c>
      <c r="D135" s="52">
        <v>44000</v>
      </c>
      <c r="E135" s="52">
        <v>154000</v>
      </c>
      <c r="F135" s="52">
        <v>66000</v>
      </c>
      <c r="G135" s="52">
        <v>18000</v>
      </c>
      <c r="H135" s="52">
        <v>63000</v>
      </c>
      <c r="I135" s="52">
        <v>27000</v>
      </c>
      <c r="J135" s="52">
        <v>30000</v>
      </c>
      <c r="K135" s="52">
        <v>150000</v>
      </c>
      <c r="L135" s="52">
        <v>60000</v>
      </c>
      <c r="M135" s="52">
        <v>12000</v>
      </c>
      <c r="N135" s="52">
        <v>52000</v>
      </c>
      <c r="O135" s="52">
        <v>32000</v>
      </c>
      <c r="P135" s="52">
        <v>42000</v>
      </c>
      <c r="Q135" s="52">
        <v>147000</v>
      </c>
      <c r="R135" s="52">
        <v>63000</v>
      </c>
      <c r="S135" s="52">
        <v>15000</v>
      </c>
      <c r="T135" s="52">
        <v>65000</v>
      </c>
      <c r="U135" s="52">
        <v>40000</v>
      </c>
      <c r="V135" s="52">
        <v>38000</v>
      </c>
      <c r="W135" s="52">
        <v>133000</v>
      </c>
      <c r="X135" s="52">
        <v>57000</v>
      </c>
      <c r="Y135" s="52">
        <v>16500</v>
      </c>
      <c r="Z135" s="52">
        <v>77000</v>
      </c>
      <c r="AA135" s="52">
        <v>38500</v>
      </c>
      <c r="AB135" s="52">
        <v>44000</v>
      </c>
      <c r="AC135" s="52">
        <v>154000</v>
      </c>
      <c r="AD135" s="52">
        <v>66000</v>
      </c>
      <c r="AE135" s="52">
        <v>13500</v>
      </c>
      <c r="AF135" s="52">
        <v>58500</v>
      </c>
      <c r="AG135" s="52">
        <v>36000</v>
      </c>
      <c r="AH135" s="52">
        <v>42000</v>
      </c>
      <c r="AI135" s="52">
        <v>147000</v>
      </c>
      <c r="AJ135" s="52">
        <v>63000</v>
      </c>
      <c r="AK135" s="52">
        <v>13500</v>
      </c>
      <c r="AL135" s="52">
        <v>63000</v>
      </c>
      <c r="AM135" s="52">
        <v>31500</v>
      </c>
      <c r="AN135" s="52">
        <v>55000</v>
      </c>
      <c r="AO135" s="52">
        <v>132000</v>
      </c>
      <c r="AP135" s="52">
        <v>77000</v>
      </c>
      <c r="AQ135" s="52">
        <v>13500</v>
      </c>
      <c r="AR135" s="52">
        <v>63000</v>
      </c>
      <c r="AS135" s="52">
        <v>31500</v>
      </c>
      <c r="AT135" s="52">
        <v>44000</v>
      </c>
      <c r="AU135" s="52">
        <v>143000</v>
      </c>
      <c r="AV135" s="52">
        <v>77000</v>
      </c>
      <c r="AW135" s="52">
        <v>13500</v>
      </c>
      <c r="AX135" s="52">
        <v>63000</v>
      </c>
      <c r="AY135" s="52">
        <v>31500</v>
      </c>
      <c r="AZ135" s="52">
        <v>50000</v>
      </c>
      <c r="BA135" s="52">
        <v>120000</v>
      </c>
      <c r="BB135" s="52">
        <v>70000</v>
      </c>
      <c r="BC135" s="52">
        <v>15000</v>
      </c>
      <c r="BD135" s="52">
        <v>65000</v>
      </c>
      <c r="BE135" s="52">
        <v>40000</v>
      </c>
      <c r="BF135" s="52">
        <v>33000</v>
      </c>
      <c r="BG135" s="52">
        <v>154000</v>
      </c>
      <c r="BH135" s="52">
        <v>77000</v>
      </c>
      <c r="BI135" s="52">
        <v>13500</v>
      </c>
      <c r="BJ135" s="52">
        <v>58500</v>
      </c>
      <c r="BK135" s="52">
        <v>36000</v>
      </c>
      <c r="BL135" s="52">
        <v>21000</v>
      </c>
      <c r="BM135" s="52">
        <v>157500</v>
      </c>
      <c r="BN135" s="52">
        <v>73500</v>
      </c>
      <c r="BO135" s="52">
        <v>13500</v>
      </c>
      <c r="BP135" s="52">
        <v>58500</v>
      </c>
      <c r="BQ135" s="52">
        <v>36000</v>
      </c>
      <c r="BR135" s="52">
        <v>34000</v>
      </c>
      <c r="BS135" s="52">
        <v>119000</v>
      </c>
      <c r="BT135" s="52">
        <v>51000</v>
      </c>
      <c r="BU135" s="52">
        <v>28000</v>
      </c>
      <c r="BV135" s="52">
        <v>91000</v>
      </c>
      <c r="BW135" s="52">
        <v>49000</v>
      </c>
    </row>
    <row r="136" spans="1:75" x14ac:dyDescent="0.3">
      <c r="A136" s="8" t="s">
        <v>103</v>
      </c>
      <c r="B136" s="8" t="s">
        <v>9</v>
      </c>
      <c r="C136" s="8" t="s">
        <v>63</v>
      </c>
      <c r="D136" s="52">
        <v>44000</v>
      </c>
      <c r="E136" s="52">
        <v>154000</v>
      </c>
      <c r="F136" s="52">
        <v>29810.102400000062</v>
      </c>
      <c r="G136" s="52">
        <v>18000</v>
      </c>
      <c r="H136" s="52">
        <v>63000</v>
      </c>
      <c r="I136" s="52">
        <v>5400</v>
      </c>
      <c r="J136" s="52">
        <v>30000</v>
      </c>
      <c r="K136" s="52">
        <v>150000</v>
      </c>
      <c r="L136" s="52">
        <v>28997.108399999954</v>
      </c>
      <c r="M136" s="52">
        <v>12000</v>
      </c>
      <c r="N136" s="52">
        <v>52000</v>
      </c>
      <c r="O136" s="52">
        <v>14968.858879999962</v>
      </c>
      <c r="P136" s="52">
        <v>42000</v>
      </c>
      <c r="Q136" s="52">
        <v>147000</v>
      </c>
      <c r="R136" s="52">
        <v>24548.493928543714</v>
      </c>
      <c r="S136" s="52">
        <v>15000</v>
      </c>
      <c r="T136" s="52">
        <v>65000</v>
      </c>
      <c r="U136" s="52">
        <v>15586.345351456324</v>
      </c>
      <c r="V136" s="52">
        <v>38000</v>
      </c>
      <c r="W136" s="52">
        <v>133000</v>
      </c>
      <c r="X136" s="52">
        <v>24176.015920000005</v>
      </c>
      <c r="Y136" s="52">
        <v>16500</v>
      </c>
      <c r="Z136" s="52">
        <v>77000</v>
      </c>
      <c r="AA136" s="52">
        <v>15995.947660000054</v>
      </c>
      <c r="AB136" s="52">
        <v>44000</v>
      </c>
      <c r="AC136" s="52">
        <v>154000</v>
      </c>
      <c r="AD136" s="52">
        <v>36654.847680000334</v>
      </c>
      <c r="AE136" s="52">
        <v>13500</v>
      </c>
      <c r="AF136" s="52">
        <v>58108.485600000044</v>
      </c>
      <c r="AG136" s="52">
        <v>15579.686160000061</v>
      </c>
      <c r="AH136" s="52">
        <v>42000</v>
      </c>
      <c r="AI136" s="52">
        <v>147000</v>
      </c>
      <c r="AJ136" s="52">
        <v>12600.000000000002</v>
      </c>
      <c r="AK136" s="52">
        <v>0</v>
      </c>
      <c r="AL136" s="52">
        <v>0</v>
      </c>
      <c r="AM136" s="52">
        <v>0</v>
      </c>
      <c r="AN136" s="52">
        <v>55000</v>
      </c>
      <c r="AO136" s="52">
        <v>132000</v>
      </c>
      <c r="AP136" s="52">
        <v>63516.673220000041</v>
      </c>
      <c r="AQ136" s="52">
        <v>13500</v>
      </c>
      <c r="AR136" s="52">
        <v>63000</v>
      </c>
      <c r="AS136" s="52">
        <v>25984.093590000019</v>
      </c>
      <c r="AT136" s="52">
        <v>43208.00263999989</v>
      </c>
      <c r="AU136" s="52">
        <v>143000</v>
      </c>
      <c r="AV136" s="52">
        <v>25060.704899999946</v>
      </c>
      <c r="AW136" s="52">
        <v>0</v>
      </c>
      <c r="AX136" s="52">
        <v>0</v>
      </c>
      <c r="AY136" s="52">
        <v>0</v>
      </c>
      <c r="AZ136" s="52">
        <v>50000</v>
      </c>
      <c r="BA136" s="52">
        <v>120000</v>
      </c>
      <c r="BB136" s="52">
        <v>44989.394800000053</v>
      </c>
      <c r="BC136" s="52">
        <v>15000</v>
      </c>
      <c r="BD136" s="52">
        <v>65000</v>
      </c>
      <c r="BE136" s="52">
        <v>25708.225600000034</v>
      </c>
      <c r="BF136" s="52">
        <v>33000</v>
      </c>
      <c r="BG136" s="52">
        <v>154000</v>
      </c>
      <c r="BH136" s="52">
        <v>16976.320560000073</v>
      </c>
      <c r="BI136" s="52">
        <v>0</v>
      </c>
      <c r="BJ136" s="52">
        <v>0</v>
      </c>
      <c r="BK136" s="52">
        <v>0</v>
      </c>
      <c r="BL136" s="52">
        <v>21000</v>
      </c>
      <c r="BM136" s="52">
        <v>157500</v>
      </c>
      <c r="BN136" s="52">
        <v>30082.210930684967</v>
      </c>
      <c r="BO136" s="52">
        <v>13500</v>
      </c>
      <c r="BP136" s="52">
        <v>58500</v>
      </c>
      <c r="BQ136" s="52">
        <v>14734.144129315086</v>
      </c>
      <c r="BR136" s="52">
        <v>34000</v>
      </c>
      <c r="BS136" s="52">
        <v>119000</v>
      </c>
      <c r="BT136" s="52">
        <v>28520.560680000202</v>
      </c>
      <c r="BU136" s="52">
        <v>28000</v>
      </c>
      <c r="BV136" s="52">
        <v>91000</v>
      </c>
      <c r="BW136" s="52">
        <v>11661.209140000052</v>
      </c>
    </row>
    <row r="137" spans="1:75" x14ac:dyDescent="0.3">
      <c r="A137" s="8" t="s">
        <v>103</v>
      </c>
      <c r="B137" s="8" t="s">
        <v>9</v>
      </c>
      <c r="C137" s="8" t="s">
        <v>64</v>
      </c>
      <c r="D137" s="52">
        <v>44000</v>
      </c>
      <c r="E137" s="52">
        <v>154000</v>
      </c>
      <c r="F137" s="52">
        <v>13200.000000000002</v>
      </c>
      <c r="G137" s="52">
        <v>0</v>
      </c>
      <c r="H137" s="52">
        <v>0</v>
      </c>
      <c r="I137" s="52">
        <v>0</v>
      </c>
      <c r="J137" s="52">
        <v>30000</v>
      </c>
      <c r="K137" s="52">
        <v>150000</v>
      </c>
      <c r="L137" s="52">
        <v>11999.999999999989</v>
      </c>
      <c r="M137" s="52">
        <v>0</v>
      </c>
      <c r="N137" s="52">
        <v>0</v>
      </c>
      <c r="O137" s="52">
        <v>0</v>
      </c>
      <c r="P137" s="52">
        <v>42000</v>
      </c>
      <c r="Q137" s="52">
        <v>147000</v>
      </c>
      <c r="R137" s="52">
        <v>12600.000000000002</v>
      </c>
      <c r="S137" s="52">
        <v>0</v>
      </c>
      <c r="T137" s="52">
        <v>0</v>
      </c>
      <c r="U137" s="52">
        <v>0</v>
      </c>
      <c r="V137" s="52">
        <v>38000</v>
      </c>
      <c r="W137" s="52">
        <v>133000</v>
      </c>
      <c r="X137" s="52">
        <v>11400</v>
      </c>
      <c r="Y137" s="52">
        <v>0</v>
      </c>
      <c r="Z137" s="52">
        <v>0</v>
      </c>
      <c r="AA137" s="52">
        <v>0</v>
      </c>
      <c r="AB137" s="52">
        <v>44000</v>
      </c>
      <c r="AC137" s="52">
        <v>154000</v>
      </c>
      <c r="AD137" s="52">
        <v>13200.000000000002</v>
      </c>
      <c r="AE137" s="52">
        <v>0</v>
      </c>
      <c r="AF137" s="52">
        <v>0</v>
      </c>
      <c r="AG137" s="52">
        <v>0</v>
      </c>
      <c r="AH137" s="52">
        <v>42000</v>
      </c>
      <c r="AI137" s="52">
        <v>147000</v>
      </c>
      <c r="AJ137" s="52">
        <v>43600.944239999953</v>
      </c>
      <c r="AK137" s="52">
        <v>13500</v>
      </c>
      <c r="AL137" s="52">
        <v>63000</v>
      </c>
      <c r="AM137" s="52">
        <v>21800.472119999977</v>
      </c>
      <c r="AN137" s="52">
        <v>55000</v>
      </c>
      <c r="AO137" s="52">
        <v>132000</v>
      </c>
      <c r="AP137" s="52">
        <v>15400</v>
      </c>
      <c r="AQ137" s="52">
        <v>13500</v>
      </c>
      <c r="AR137" s="52">
        <v>63000</v>
      </c>
      <c r="AS137" s="52">
        <v>6300.0000000000009</v>
      </c>
      <c r="AT137" s="52">
        <v>0</v>
      </c>
      <c r="AU137" s="52">
        <v>0</v>
      </c>
      <c r="AV137" s="52">
        <v>0</v>
      </c>
      <c r="AW137" s="52">
        <v>0</v>
      </c>
      <c r="AX137" s="52">
        <v>0</v>
      </c>
      <c r="AY137" s="52">
        <v>0</v>
      </c>
      <c r="AZ137" s="52">
        <v>50000</v>
      </c>
      <c r="BA137" s="52">
        <v>120000</v>
      </c>
      <c r="BB137" s="52">
        <v>14000</v>
      </c>
      <c r="BC137" s="52">
        <v>0</v>
      </c>
      <c r="BD137" s="52">
        <v>0</v>
      </c>
      <c r="BE137" s="52">
        <v>0</v>
      </c>
      <c r="BF137" s="52">
        <v>0</v>
      </c>
      <c r="BG137" s="52">
        <v>0</v>
      </c>
      <c r="BH137" s="52">
        <v>0</v>
      </c>
      <c r="BI137" s="52">
        <v>0</v>
      </c>
      <c r="BJ137" s="52">
        <v>0</v>
      </c>
      <c r="BK137" s="52">
        <v>0</v>
      </c>
      <c r="BL137" s="52">
        <v>21000</v>
      </c>
      <c r="BM137" s="52">
        <v>157500</v>
      </c>
      <c r="BN137" s="52">
        <v>14700.000000000002</v>
      </c>
      <c r="BO137" s="52">
        <v>0</v>
      </c>
      <c r="BP137" s="52">
        <v>0</v>
      </c>
      <c r="BQ137" s="52">
        <v>0</v>
      </c>
      <c r="BR137" s="52">
        <v>34000</v>
      </c>
      <c r="BS137" s="52">
        <v>119000</v>
      </c>
      <c r="BT137" s="52">
        <v>10200.000000000002</v>
      </c>
      <c r="BU137" s="52">
        <v>0</v>
      </c>
      <c r="BV137" s="52">
        <v>0</v>
      </c>
      <c r="BW137" s="52">
        <v>0</v>
      </c>
    </row>
    <row r="138" spans="1:75" x14ac:dyDescent="0.3">
      <c r="A138" s="8" t="s">
        <v>103</v>
      </c>
      <c r="B138" s="8" t="s">
        <v>9</v>
      </c>
      <c r="C138" s="8" t="s">
        <v>65</v>
      </c>
      <c r="D138" s="52">
        <v>58739.999999999993</v>
      </c>
      <c r="E138" s="52">
        <v>205590</v>
      </c>
      <c r="F138" s="52">
        <v>88110</v>
      </c>
      <c r="G138" s="52">
        <v>24030</v>
      </c>
      <c r="H138" s="52">
        <v>84105</v>
      </c>
      <c r="I138" s="52">
        <v>36045</v>
      </c>
      <c r="J138" s="52">
        <v>40050</v>
      </c>
      <c r="K138" s="52">
        <v>200250</v>
      </c>
      <c r="L138" s="52">
        <v>80100</v>
      </c>
      <c r="M138" s="52">
        <v>16020</v>
      </c>
      <c r="N138" s="52">
        <v>69420</v>
      </c>
      <c r="O138" s="52">
        <v>42720</v>
      </c>
      <c r="P138" s="52">
        <v>56070</v>
      </c>
      <c r="Q138" s="52">
        <v>196245</v>
      </c>
      <c r="R138" s="52">
        <v>84105</v>
      </c>
      <c r="S138" s="52">
        <v>20025</v>
      </c>
      <c r="T138" s="52">
        <v>86774.999999999985</v>
      </c>
      <c r="U138" s="52">
        <v>53400</v>
      </c>
      <c r="V138" s="52">
        <v>50730</v>
      </c>
      <c r="W138" s="52">
        <v>177555</v>
      </c>
      <c r="X138" s="52">
        <v>76095</v>
      </c>
      <c r="Y138" s="52">
        <v>22027.5</v>
      </c>
      <c r="Z138" s="52">
        <v>102795</v>
      </c>
      <c r="AA138" s="52">
        <v>51397.5</v>
      </c>
      <c r="AB138" s="52">
        <v>58739.999999999993</v>
      </c>
      <c r="AC138" s="52">
        <v>205590</v>
      </c>
      <c r="AD138" s="52">
        <v>88110</v>
      </c>
      <c r="AE138" s="52">
        <v>18022.5</v>
      </c>
      <c r="AF138" s="52">
        <v>78097.5</v>
      </c>
      <c r="AG138" s="52">
        <v>48060</v>
      </c>
      <c r="AH138" s="52">
        <v>56070</v>
      </c>
      <c r="AI138" s="52">
        <v>196245</v>
      </c>
      <c r="AJ138" s="52">
        <v>84105</v>
      </c>
      <c r="AK138" s="52">
        <v>18022.5</v>
      </c>
      <c r="AL138" s="52">
        <v>84105</v>
      </c>
      <c r="AM138" s="52">
        <v>42052.5</v>
      </c>
      <c r="AN138" s="52">
        <v>73425</v>
      </c>
      <c r="AO138" s="52">
        <v>176220</v>
      </c>
      <c r="AP138" s="52">
        <v>102795</v>
      </c>
      <c r="AQ138" s="52">
        <v>18022.5</v>
      </c>
      <c r="AR138" s="52">
        <v>84105</v>
      </c>
      <c r="AS138" s="52">
        <v>42052.5</v>
      </c>
      <c r="AT138" s="52">
        <v>58739.999999999993</v>
      </c>
      <c r="AU138" s="52">
        <v>190905</v>
      </c>
      <c r="AV138" s="52">
        <v>102795</v>
      </c>
      <c r="AW138" s="52">
        <v>18022.5</v>
      </c>
      <c r="AX138" s="52">
        <v>84105</v>
      </c>
      <c r="AY138" s="52">
        <v>42052.5</v>
      </c>
      <c r="AZ138" s="52">
        <v>66750</v>
      </c>
      <c r="BA138" s="52">
        <v>160200</v>
      </c>
      <c r="BB138" s="52">
        <v>93450</v>
      </c>
      <c r="BC138" s="52">
        <v>20025</v>
      </c>
      <c r="BD138" s="52">
        <v>86774.999999999985</v>
      </c>
      <c r="BE138" s="52">
        <v>53400</v>
      </c>
      <c r="BF138" s="52">
        <v>44055</v>
      </c>
      <c r="BG138" s="52">
        <v>205590</v>
      </c>
      <c r="BH138" s="52">
        <v>102795</v>
      </c>
      <c r="BI138" s="52">
        <v>18022.5</v>
      </c>
      <c r="BJ138" s="52">
        <v>78097.5</v>
      </c>
      <c r="BK138" s="52">
        <v>48060</v>
      </c>
      <c r="BL138" s="52">
        <v>28035</v>
      </c>
      <c r="BM138" s="52">
        <v>210262.5</v>
      </c>
      <c r="BN138" s="52">
        <v>98122.5</v>
      </c>
      <c r="BO138" s="52">
        <v>18022.5</v>
      </c>
      <c r="BP138" s="52">
        <v>78097.5</v>
      </c>
      <c r="BQ138" s="52">
        <v>48060</v>
      </c>
      <c r="BR138" s="52">
        <v>45390</v>
      </c>
      <c r="BS138" s="52">
        <v>158865</v>
      </c>
      <c r="BT138" s="52">
        <v>68085</v>
      </c>
      <c r="BU138" s="52">
        <v>37379.999999999993</v>
      </c>
      <c r="BV138" s="52">
        <v>121485</v>
      </c>
      <c r="BW138" s="52">
        <v>65414.999999999993</v>
      </c>
    </row>
    <row r="139" spans="1:75" x14ac:dyDescent="0.3">
      <c r="A139" s="8" t="s">
        <v>103</v>
      </c>
      <c r="B139" s="8" t="s">
        <v>9</v>
      </c>
      <c r="C139" s="8" t="s">
        <v>66</v>
      </c>
      <c r="D139" s="52">
        <v>0</v>
      </c>
      <c r="E139" s="52">
        <v>0</v>
      </c>
      <c r="F139" s="52">
        <v>0</v>
      </c>
      <c r="G139" s="52">
        <v>0</v>
      </c>
      <c r="H139" s="52">
        <v>0</v>
      </c>
      <c r="I139" s="52">
        <v>0</v>
      </c>
      <c r="J139" s="52">
        <v>0</v>
      </c>
      <c r="K139" s="52">
        <v>0</v>
      </c>
      <c r="L139" s="52">
        <v>0</v>
      </c>
      <c r="M139" s="52">
        <v>0</v>
      </c>
      <c r="N139" s="52">
        <v>0</v>
      </c>
      <c r="O139" s="52">
        <v>0</v>
      </c>
      <c r="P139" s="52">
        <v>0</v>
      </c>
      <c r="Q139" s="52">
        <v>0</v>
      </c>
      <c r="R139" s="52">
        <v>0</v>
      </c>
      <c r="S139" s="52">
        <v>0</v>
      </c>
      <c r="T139" s="52">
        <v>0</v>
      </c>
      <c r="U139" s="52">
        <v>0</v>
      </c>
      <c r="V139" s="52">
        <v>0</v>
      </c>
      <c r="W139" s="52">
        <v>0</v>
      </c>
      <c r="X139" s="52">
        <v>0</v>
      </c>
      <c r="Y139" s="52">
        <v>0</v>
      </c>
      <c r="Z139" s="52">
        <v>0</v>
      </c>
      <c r="AA139" s="52">
        <v>0</v>
      </c>
      <c r="AB139" s="52">
        <v>0</v>
      </c>
      <c r="AC139" s="52">
        <v>0</v>
      </c>
      <c r="AD139" s="52">
        <v>0</v>
      </c>
      <c r="AE139" s="52">
        <v>0</v>
      </c>
      <c r="AF139" s="52">
        <v>0</v>
      </c>
      <c r="AG139" s="52">
        <v>0</v>
      </c>
      <c r="AH139" s="52">
        <v>0</v>
      </c>
      <c r="AI139" s="52">
        <v>0</v>
      </c>
      <c r="AJ139" s="52">
        <v>0</v>
      </c>
      <c r="AK139" s="52">
        <v>0</v>
      </c>
      <c r="AL139" s="52">
        <v>0</v>
      </c>
      <c r="AM139" s="52">
        <v>0</v>
      </c>
      <c r="AN139" s="52">
        <v>0</v>
      </c>
      <c r="AO139" s="52">
        <v>0</v>
      </c>
      <c r="AP139" s="52">
        <v>0</v>
      </c>
      <c r="AQ139" s="52">
        <v>0</v>
      </c>
      <c r="AR139" s="52">
        <v>0</v>
      </c>
      <c r="AS139" s="52">
        <v>0</v>
      </c>
      <c r="AT139" s="52">
        <v>0</v>
      </c>
      <c r="AU139" s="52">
        <v>0</v>
      </c>
      <c r="AV139" s="52">
        <v>0</v>
      </c>
      <c r="AW139" s="52">
        <v>0</v>
      </c>
      <c r="AX139" s="52">
        <v>0</v>
      </c>
      <c r="AY139" s="52">
        <v>0</v>
      </c>
      <c r="AZ139" s="52">
        <v>0</v>
      </c>
      <c r="BA139" s="52">
        <v>0</v>
      </c>
      <c r="BB139" s="52">
        <v>0</v>
      </c>
      <c r="BC139" s="52">
        <v>0</v>
      </c>
      <c r="BD139" s="52">
        <v>0</v>
      </c>
      <c r="BE139" s="52">
        <v>0</v>
      </c>
      <c r="BF139" s="52">
        <v>0</v>
      </c>
      <c r="BG139" s="52">
        <v>0</v>
      </c>
      <c r="BH139" s="52">
        <v>0</v>
      </c>
      <c r="BI139" s="52">
        <v>0</v>
      </c>
      <c r="BJ139" s="52">
        <v>0</v>
      </c>
      <c r="BK139" s="52">
        <v>0</v>
      </c>
      <c r="BL139" s="52">
        <v>0</v>
      </c>
      <c r="BM139" s="52">
        <v>0</v>
      </c>
      <c r="BN139" s="52">
        <v>0</v>
      </c>
      <c r="BO139" s="52">
        <v>0</v>
      </c>
      <c r="BP139" s="52">
        <v>0</v>
      </c>
      <c r="BQ139" s="52">
        <v>0</v>
      </c>
      <c r="BR139" s="52">
        <v>0</v>
      </c>
      <c r="BS139" s="52">
        <v>0</v>
      </c>
      <c r="BT139" s="52">
        <v>0</v>
      </c>
      <c r="BU139" s="52">
        <v>0</v>
      </c>
      <c r="BV139" s="52">
        <v>0</v>
      </c>
      <c r="BW139" s="52">
        <v>0</v>
      </c>
    </row>
    <row r="140" spans="1:75" x14ac:dyDescent="0.3">
      <c r="A140" s="8" t="s">
        <v>103</v>
      </c>
      <c r="B140" s="8" t="s">
        <v>9</v>
      </c>
      <c r="C140" s="8" t="s">
        <v>67</v>
      </c>
      <c r="D140" s="52">
        <v>0</v>
      </c>
      <c r="E140" s="52">
        <v>0</v>
      </c>
      <c r="F140" s="52">
        <v>0</v>
      </c>
      <c r="G140" s="52">
        <v>0</v>
      </c>
      <c r="H140" s="52">
        <v>0</v>
      </c>
      <c r="I140" s="52">
        <v>0</v>
      </c>
      <c r="J140" s="52">
        <v>0</v>
      </c>
      <c r="K140" s="52">
        <v>0</v>
      </c>
      <c r="L140" s="52">
        <v>0</v>
      </c>
      <c r="M140" s="52">
        <v>0</v>
      </c>
      <c r="N140" s="52">
        <v>0</v>
      </c>
      <c r="O140" s="52">
        <v>0</v>
      </c>
      <c r="P140" s="52">
        <v>0</v>
      </c>
      <c r="Q140" s="52">
        <v>0</v>
      </c>
      <c r="R140" s="52">
        <v>0</v>
      </c>
      <c r="S140" s="52">
        <v>0</v>
      </c>
      <c r="T140" s="52">
        <v>0</v>
      </c>
      <c r="U140" s="52">
        <v>0</v>
      </c>
      <c r="V140" s="52">
        <v>0</v>
      </c>
      <c r="W140" s="52">
        <v>0</v>
      </c>
      <c r="X140" s="52">
        <v>0</v>
      </c>
      <c r="Y140" s="52">
        <v>0</v>
      </c>
      <c r="Z140" s="52">
        <v>0</v>
      </c>
      <c r="AA140" s="52">
        <v>0</v>
      </c>
      <c r="AB140" s="52">
        <v>0</v>
      </c>
      <c r="AC140" s="52">
        <v>0</v>
      </c>
      <c r="AD140" s="52">
        <v>0</v>
      </c>
      <c r="AE140" s="52">
        <v>0</v>
      </c>
      <c r="AF140" s="52">
        <v>0</v>
      </c>
      <c r="AG140" s="52">
        <v>0</v>
      </c>
      <c r="AH140" s="52">
        <v>0</v>
      </c>
      <c r="AI140" s="52">
        <v>0</v>
      </c>
      <c r="AJ140" s="52">
        <v>0</v>
      </c>
      <c r="AK140" s="52">
        <v>0</v>
      </c>
      <c r="AL140" s="52">
        <v>0</v>
      </c>
      <c r="AM140" s="52">
        <v>0</v>
      </c>
      <c r="AN140" s="52">
        <v>0</v>
      </c>
      <c r="AO140" s="52">
        <v>0</v>
      </c>
      <c r="AP140" s="52">
        <v>0</v>
      </c>
      <c r="AQ140" s="52">
        <v>0</v>
      </c>
      <c r="AR140" s="52">
        <v>0</v>
      </c>
      <c r="AS140" s="52">
        <v>0</v>
      </c>
      <c r="AT140" s="52">
        <v>0</v>
      </c>
      <c r="AU140" s="52">
        <v>0</v>
      </c>
      <c r="AV140" s="52">
        <v>0</v>
      </c>
      <c r="AW140" s="52">
        <v>0</v>
      </c>
      <c r="AX140" s="52">
        <v>0</v>
      </c>
      <c r="AY140" s="52">
        <v>0</v>
      </c>
      <c r="AZ140" s="52">
        <v>0</v>
      </c>
      <c r="BA140" s="52">
        <v>0</v>
      </c>
      <c r="BB140" s="52">
        <v>0</v>
      </c>
      <c r="BC140" s="52">
        <v>0</v>
      </c>
      <c r="BD140" s="52">
        <v>0</v>
      </c>
      <c r="BE140" s="52">
        <v>0</v>
      </c>
      <c r="BF140" s="52">
        <v>0</v>
      </c>
      <c r="BG140" s="52">
        <v>0</v>
      </c>
      <c r="BH140" s="52">
        <v>0</v>
      </c>
      <c r="BI140" s="52">
        <v>0</v>
      </c>
      <c r="BJ140" s="52">
        <v>0</v>
      </c>
      <c r="BK140" s="52">
        <v>0</v>
      </c>
      <c r="BL140" s="52">
        <v>0</v>
      </c>
      <c r="BM140" s="52">
        <v>0</v>
      </c>
      <c r="BN140" s="52">
        <v>0</v>
      </c>
      <c r="BO140" s="52">
        <v>0</v>
      </c>
      <c r="BP140" s="52">
        <v>0</v>
      </c>
      <c r="BQ140" s="52">
        <v>0</v>
      </c>
      <c r="BR140" s="52">
        <v>0</v>
      </c>
      <c r="BS140" s="52">
        <v>0</v>
      </c>
      <c r="BT140" s="52">
        <v>0</v>
      </c>
      <c r="BU140" s="52">
        <v>0</v>
      </c>
      <c r="BV140" s="52">
        <v>0</v>
      </c>
      <c r="BW140" s="52">
        <v>0</v>
      </c>
    </row>
    <row r="141" spans="1:75" x14ac:dyDescent="0.3">
      <c r="A141" s="8" t="s">
        <v>103</v>
      </c>
      <c r="B141" s="8" t="s">
        <v>9</v>
      </c>
      <c r="C141" s="8" t="s">
        <v>68</v>
      </c>
      <c r="D141" s="52">
        <v>0</v>
      </c>
      <c r="E141" s="52">
        <v>0</v>
      </c>
      <c r="F141" s="52">
        <v>0</v>
      </c>
      <c r="G141" s="52">
        <v>0</v>
      </c>
      <c r="H141" s="52">
        <v>0</v>
      </c>
      <c r="I141" s="52">
        <v>0</v>
      </c>
      <c r="J141" s="52">
        <v>0</v>
      </c>
      <c r="K141" s="52">
        <v>0</v>
      </c>
      <c r="L141" s="52">
        <v>0</v>
      </c>
      <c r="M141" s="52">
        <v>0</v>
      </c>
      <c r="N141" s="52">
        <v>0</v>
      </c>
      <c r="O141" s="52">
        <v>0</v>
      </c>
      <c r="P141" s="52">
        <v>0</v>
      </c>
      <c r="Q141" s="52">
        <v>0</v>
      </c>
      <c r="R141" s="52">
        <v>0</v>
      </c>
      <c r="S141" s="52">
        <v>0</v>
      </c>
      <c r="T141" s="52">
        <v>0</v>
      </c>
      <c r="U141" s="52">
        <v>0</v>
      </c>
      <c r="V141" s="52">
        <v>0</v>
      </c>
      <c r="W141" s="52">
        <v>0</v>
      </c>
      <c r="X141" s="52">
        <v>0</v>
      </c>
      <c r="Y141" s="52">
        <v>0</v>
      </c>
      <c r="Z141" s="52">
        <v>0</v>
      </c>
      <c r="AA141" s="52">
        <v>0</v>
      </c>
      <c r="AB141" s="52">
        <v>0</v>
      </c>
      <c r="AC141" s="52">
        <v>0</v>
      </c>
      <c r="AD141" s="52">
        <v>0</v>
      </c>
      <c r="AE141" s="52">
        <v>0</v>
      </c>
      <c r="AF141" s="52">
        <v>0</v>
      </c>
      <c r="AG141" s="52">
        <v>0</v>
      </c>
      <c r="AH141" s="52">
        <v>0</v>
      </c>
      <c r="AI141" s="52">
        <v>0</v>
      </c>
      <c r="AJ141" s="52">
        <v>0</v>
      </c>
      <c r="AK141" s="52">
        <v>0</v>
      </c>
      <c r="AL141" s="52">
        <v>0</v>
      </c>
      <c r="AM141" s="52">
        <v>0</v>
      </c>
      <c r="AN141" s="52">
        <v>0</v>
      </c>
      <c r="AO141" s="52">
        <v>0</v>
      </c>
      <c r="AP141" s="52">
        <v>0</v>
      </c>
      <c r="AQ141" s="52">
        <v>0</v>
      </c>
      <c r="AR141" s="52">
        <v>0</v>
      </c>
      <c r="AS141" s="52">
        <v>0</v>
      </c>
      <c r="AT141" s="52">
        <v>0</v>
      </c>
      <c r="AU141" s="52">
        <v>0</v>
      </c>
      <c r="AV141" s="52">
        <v>0</v>
      </c>
      <c r="AW141" s="52">
        <v>0</v>
      </c>
      <c r="AX141" s="52">
        <v>0</v>
      </c>
      <c r="AY141" s="52">
        <v>0</v>
      </c>
      <c r="AZ141" s="52">
        <v>0</v>
      </c>
      <c r="BA141" s="52">
        <v>0</v>
      </c>
      <c r="BB141" s="52">
        <v>0</v>
      </c>
      <c r="BC141" s="52">
        <v>0</v>
      </c>
      <c r="BD141" s="52">
        <v>0</v>
      </c>
      <c r="BE141" s="52">
        <v>0</v>
      </c>
      <c r="BF141" s="52">
        <v>0</v>
      </c>
      <c r="BG141" s="52">
        <v>0</v>
      </c>
      <c r="BH141" s="52">
        <v>0</v>
      </c>
      <c r="BI141" s="52">
        <v>0</v>
      </c>
      <c r="BJ141" s="52">
        <v>0</v>
      </c>
      <c r="BK141" s="52">
        <v>0</v>
      </c>
      <c r="BL141" s="52">
        <v>0</v>
      </c>
      <c r="BM141" s="52">
        <v>0</v>
      </c>
      <c r="BN141" s="52">
        <v>0</v>
      </c>
      <c r="BO141" s="52">
        <v>0</v>
      </c>
      <c r="BP141" s="52">
        <v>0</v>
      </c>
      <c r="BQ141" s="52">
        <v>0</v>
      </c>
      <c r="BR141" s="52">
        <v>0</v>
      </c>
      <c r="BS141" s="52">
        <v>0</v>
      </c>
      <c r="BT141" s="52">
        <v>0</v>
      </c>
      <c r="BU141" s="52">
        <v>0</v>
      </c>
      <c r="BV141" s="52">
        <v>0</v>
      </c>
      <c r="BW141" s="52">
        <v>0</v>
      </c>
    </row>
    <row r="142" spans="1:75" x14ac:dyDescent="0.3">
      <c r="A142" s="8" t="s">
        <v>103</v>
      </c>
      <c r="B142" s="8" t="s">
        <v>9</v>
      </c>
      <c r="C142" s="8" t="s">
        <v>69</v>
      </c>
      <c r="D142" s="52">
        <v>0</v>
      </c>
      <c r="E142" s="52">
        <v>0</v>
      </c>
      <c r="F142" s="52">
        <v>0</v>
      </c>
      <c r="G142" s="52">
        <v>0</v>
      </c>
      <c r="H142" s="52">
        <v>0</v>
      </c>
      <c r="I142" s="52">
        <v>0</v>
      </c>
      <c r="J142" s="52">
        <v>0</v>
      </c>
      <c r="K142" s="52">
        <v>0</v>
      </c>
      <c r="L142" s="52">
        <v>0</v>
      </c>
      <c r="M142" s="52">
        <v>0</v>
      </c>
      <c r="N142" s="52">
        <v>0</v>
      </c>
      <c r="O142" s="52">
        <v>0</v>
      </c>
      <c r="P142" s="52">
        <v>0</v>
      </c>
      <c r="Q142" s="52">
        <v>0</v>
      </c>
      <c r="R142" s="52">
        <v>0</v>
      </c>
      <c r="S142" s="52">
        <v>0</v>
      </c>
      <c r="T142" s="52">
        <v>0</v>
      </c>
      <c r="U142" s="52">
        <v>0</v>
      </c>
      <c r="V142" s="52">
        <v>0</v>
      </c>
      <c r="W142" s="52">
        <v>0</v>
      </c>
      <c r="X142" s="52">
        <v>0</v>
      </c>
      <c r="Y142" s="52">
        <v>0</v>
      </c>
      <c r="Z142" s="52">
        <v>0</v>
      </c>
      <c r="AA142" s="52">
        <v>0</v>
      </c>
      <c r="AB142" s="52">
        <v>0</v>
      </c>
      <c r="AC142" s="52">
        <v>0</v>
      </c>
      <c r="AD142" s="52">
        <v>0</v>
      </c>
      <c r="AE142" s="52">
        <v>0</v>
      </c>
      <c r="AF142" s="52">
        <v>0</v>
      </c>
      <c r="AG142" s="52">
        <v>0</v>
      </c>
      <c r="AH142" s="52">
        <v>0</v>
      </c>
      <c r="AI142" s="52">
        <v>0</v>
      </c>
      <c r="AJ142" s="52">
        <v>0</v>
      </c>
      <c r="AK142" s="52">
        <v>0</v>
      </c>
      <c r="AL142" s="52">
        <v>0</v>
      </c>
      <c r="AM142" s="52">
        <v>0</v>
      </c>
      <c r="AN142" s="52">
        <v>0</v>
      </c>
      <c r="AO142" s="52">
        <v>0</v>
      </c>
      <c r="AP142" s="52">
        <v>0</v>
      </c>
      <c r="AQ142" s="52">
        <v>0</v>
      </c>
      <c r="AR142" s="52">
        <v>0</v>
      </c>
      <c r="AS142" s="52">
        <v>0</v>
      </c>
      <c r="AT142" s="52">
        <v>0</v>
      </c>
      <c r="AU142" s="52">
        <v>0</v>
      </c>
      <c r="AV142" s="52">
        <v>0</v>
      </c>
      <c r="AW142" s="52">
        <v>0</v>
      </c>
      <c r="AX142" s="52">
        <v>0</v>
      </c>
      <c r="AY142" s="52">
        <v>0</v>
      </c>
      <c r="AZ142" s="52">
        <v>0</v>
      </c>
      <c r="BA142" s="52">
        <v>0</v>
      </c>
      <c r="BB142" s="52">
        <v>0</v>
      </c>
      <c r="BC142" s="52">
        <v>0</v>
      </c>
      <c r="BD142" s="52">
        <v>0</v>
      </c>
      <c r="BE142" s="52">
        <v>0</v>
      </c>
      <c r="BF142" s="52">
        <v>0</v>
      </c>
      <c r="BG142" s="52">
        <v>0</v>
      </c>
      <c r="BH142" s="52">
        <v>0</v>
      </c>
      <c r="BI142" s="52">
        <v>0</v>
      </c>
      <c r="BJ142" s="52">
        <v>0</v>
      </c>
      <c r="BK142" s="52">
        <v>0</v>
      </c>
      <c r="BL142" s="52">
        <v>0</v>
      </c>
      <c r="BM142" s="52">
        <v>0</v>
      </c>
      <c r="BN142" s="52">
        <v>0</v>
      </c>
      <c r="BO142" s="52">
        <v>0</v>
      </c>
      <c r="BP142" s="52">
        <v>0</v>
      </c>
      <c r="BQ142" s="52">
        <v>0</v>
      </c>
      <c r="BR142" s="52">
        <v>0</v>
      </c>
      <c r="BS142" s="52">
        <v>0</v>
      </c>
      <c r="BT142" s="52">
        <v>0</v>
      </c>
      <c r="BU142" s="52">
        <v>0</v>
      </c>
      <c r="BV142" s="52">
        <v>0</v>
      </c>
      <c r="BW142" s="52">
        <v>0</v>
      </c>
    </row>
    <row r="143" spans="1:75" x14ac:dyDescent="0.3">
      <c r="A143" s="8" t="s">
        <v>103</v>
      </c>
      <c r="B143" s="8" t="s">
        <v>9</v>
      </c>
      <c r="C143" s="8" t="s">
        <v>27</v>
      </c>
      <c r="D143" s="52">
        <v>13200</v>
      </c>
      <c r="E143" s="52">
        <v>46199.999999999993</v>
      </c>
      <c r="F143" s="52">
        <v>16956.543239999955</v>
      </c>
      <c r="G143" s="52">
        <v>5399.9999999999991</v>
      </c>
      <c r="H143" s="52">
        <v>18900</v>
      </c>
      <c r="I143" s="52">
        <v>6479.4567600000473</v>
      </c>
      <c r="J143" s="52">
        <v>9000</v>
      </c>
      <c r="K143" s="52">
        <v>45000</v>
      </c>
      <c r="L143" s="52">
        <v>18000</v>
      </c>
      <c r="M143" s="52">
        <v>3599.9999999999995</v>
      </c>
      <c r="N143" s="52">
        <v>15600</v>
      </c>
      <c r="O143" s="52">
        <v>729.600000000009</v>
      </c>
      <c r="P143" s="52">
        <v>12600</v>
      </c>
      <c r="Q143" s="52">
        <v>44100</v>
      </c>
      <c r="R143" s="52">
        <v>16713.7693514563</v>
      </c>
      <c r="S143" s="52">
        <v>4500</v>
      </c>
      <c r="T143" s="52">
        <v>19500</v>
      </c>
      <c r="U143" s="52">
        <v>4365.4306485437119</v>
      </c>
      <c r="V143" s="52">
        <v>11400</v>
      </c>
      <c r="W143" s="52">
        <v>39900</v>
      </c>
      <c r="X143" s="52">
        <v>9794.6422999999904</v>
      </c>
      <c r="Y143" s="52">
        <v>4950</v>
      </c>
      <c r="Z143" s="52">
        <v>20139.357700000026</v>
      </c>
      <c r="AA143" s="52">
        <v>0</v>
      </c>
      <c r="AB143" s="52">
        <v>13200</v>
      </c>
      <c r="AC143" s="52">
        <v>46199.999999999993</v>
      </c>
      <c r="AD143" s="52">
        <v>0</v>
      </c>
      <c r="AE143" s="52">
        <v>4050</v>
      </c>
      <c r="AF143" s="52">
        <v>12884.399999999994</v>
      </c>
      <c r="AG143" s="52">
        <v>0</v>
      </c>
      <c r="AH143" s="52">
        <v>12600</v>
      </c>
      <c r="AI143" s="52">
        <v>22818.6</v>
      </c>
      <c r="AJ143" s="52">
        <v>0</v>
      </c>
      <c r="AK143" s="52">
        <v>4050</v>
      </c>
      <c r="AL143" s="52">
        <v>9779.4000000000015</v>
      </c>
      <c r="AM143" s="52">
        <v>0</v>
      </c>
      <c r="AN143" s="52">
        <v>16500</v>
      </c>
      <c r="AO143" s="52">
        <v>31220.610960000187</v>
      </c>
      <c r="AP143" s="52">
        <v>0</v>
      </c>
      <c r="AQ143" s="52">
        <v>617.27357999969684</v>
      </c>
      <c r="AR143" s="52">
        <v>2551.7154600000886</v>
      </c>
      <c r="AS143" s="52">
        <v>0</v>
      </c>
      <c r="AT143" s="52">
        <v>11807.820640000094</v>
      </c>
      <c r="AU143" s="52">
        <v>24614.690863592146</v>
      </c>
      <c r="AV143" s="52">
        <v>0</v>
      </c>
      <c r="AW143" s="52">
        <v>3622.8540600000292</v>
      </c>
      <c r="AX143" s="52">
        <v>10844.234436407727</v>
      </c>
      <c r="AY143" s="52">
        <v>0</v>
      </c>
      <c r="AZ143" s="52">
        <v>15000</v>
      </c>
      <c r="BA143" s="52">
        <v>36000</v>
      </c>
      <c r="BB143" s="52">
        <v>0</v>
      </c>
      <c r="BC143" s="52">
        <v>4500</v>
      </c>
      <c r="BD143" s="52">
        <v>18371.999999999996</v>
      </c>
      <c r="BE143" s="52">
        <v>0</v>
      </c>
      <c r="BF143" s="52">
        <v>9900</v>
      </c>
      <c r="BG143" s="52">
        <v>46199.999999999993</v>
      </c>
      <c r="BH143" s="52">
        <v>8444.231519999983</v>
      </c>
      <c r="BI143" s="52">
        <v>4050</v>
      </c>
      <c r="BJ143" s="52">
        <v>17550</v>
      </c>
      <c r="BK143" s="52">
        <v>2912.5684800000213</v>
      </c>
      <c r="BL143" s="52">
        <v>6300</v>
      </c>
      <c r="BM143" s="52">
        <v>47250</v>
      </c>
      <c r="BN143" s="52">
        <v>19080.595489315056</v>
      </c>
      <c r="BO143" s="52">
        <v>4050</v>
      </c>
      <c r="BP143" s="52">
        <v>17550</v>
      </c>
      <c r="BQ143" s="52">
        <v>4265.4045106849489</v>
      </c>
      <c r="BR143" s="52">
        <v>10200</v>
      </c>
      <c r="BS143" s="52">
        <v>35699.999999999993</v>
      </c>
      <c r="BT143" s="52">
        <v>10291.392000000002</v>
      </c>
      <c r="BU143" s="52">
        <v>8400</v>
      </c>
      <c r="BV143" s="52">
        <v>27300</v>
      </c>
      <c r="BW143" s="52">
        <v>9887.8079999999991</v>
      </c>
    </row>
    <row r="144" spans="1:75" x14ac:dyDescent="0.3">
      <c r="A144" s="8" t="s">
        <v>103</v>
      </c>
      <c r="B144" s="8" t="s">
        <v>9</v>
      </c>
      <c r="C144" s="8" t="s">
        <v>144</v>
      </c>
      <c r="D144" s="52">
        <v>17600</v>
      </c>
      <c r="E144" s="52">
        <v>973.99455999998179</v>
      </c>
      <c r="F144" s="52">
        <v>0</v>
      </c>
      <c r="G144" s="52">
        <v>7200</v>
      </c>
      <c r="H144" s="52">
        <v>0</v>
      </c>
      <c r="I144" s="52">
        <v>0</v>
      </c>
      <c r="J144" s="52">
        <v>12000</v>
      </c>
      <c r="K144" s="52">
        <v>0</v>
      </c>
      <c r="L144" s="52">
        <v>0</v>
      </c>
      <c r="M144" s="52">
        <v>4800.0000000000009</v>
      </c>
      <c r="N144" s="52">
        <v>0</v>
      </c>
      <c r="O144" s="52">
        <v>0</v>
      </c>
      <c r="P144" s="52">
        <v>16800</v>
      </c>
      <c r="Q144" s="52">
        <v>11178.846545801875</v>
      </c>
      <c r="R144" s="52">
        <v>0</v>
      </c>
      <c r="S144" s="52">
        <v>6000</v>
      </c>
      <c r="T144" s="52">
        <v>4943.0273841981079</v>
      </c>
      <c r="U144" s="52">
        <v>0</v>
      </c>
      <c r="V144" s="52">
        <v>13683.206440000016</v>
      </c>
      <c r="W144" s="52">
        <v>0</v>
      </c>
      <c r="X144" s="52">
        <v>0</v>
      </c>
      <c r="Y144" s="52">
        <v>5941.3922700000066</v>
      </c>
      <c r="Z144" s="52">
        <v>0</v>
      </c>
      <c r="AA144" s="52">
        <v>0</v>
      </c>
      <c r="AB144" s="52">
        <v>14461.68308869564</v>
      </c>
      <c r="AC144" s="52">
        <v>0</v>
      </c>
      <c r="AD144" s="52">
        <v>0</v>
      </c>
      <c r="AE144" s="52">
        <v>4437.1073113043449</v>
      </c>
      <c r="AF144" s="52">
        <v>0</v>
      </c>
      <c r="AG144" s="52">
        <v>0</v>
      </c>
      <c r="AH144" s="52">
        <v>16800</v>
      </c>
      <c r="AI144" s="52">
        <v>0</v>
      </c>
      <c r="AJ144" s="52">
        <v>0</v>
      </c>
      <c r="AK144" s="52">
        <v>3155.6460599999868</v>
      </c>
      <c r="AL144" s="52">
        <v>0</v>
      </c>
      <c r="AM144" s="52">
        <v>0</v>
      </c>
      <c r="AN144" s="52">
        <v>22000</v>
      </c>
      <c r="AO144" s="52">
        <v>0</v>
      </c>
      <c r="AP144" s="52">
        <v>0</v>
      </c>
      <c r="AQ144" s="52">
        <v>5400</v>
      </c>
      <c r="AR144" s="52">
        <v>0</v>
      </c>
      <c r="AS144" s="52">
        <v>0</v>
      </c>
      <c r="AT144" s="52">
        <v>17600</v>
      </c>
      <c r="AU144" s="52">
        <v>32292.136256408106</v>
      </c>
      <c r="AV144" s="52">
        <v>0</v>
      </c>
      <c r="AW144" s="52">
        <v>5400</v>
      </c>
      <c r="AX144" s="52">
        <v>14226.605483592381</v>
      </c>
      <c r="AY144" s="52">
        <v>0</v>
      </c>
      <c r="AZ144" s="52">
        <v>9184.2240884608</v>
      </c>
      <c r="BA144" s="52">
        <v>2188.3717250003365</v>
      </c>
      <c r="BB144" s="52">
        <v>0</v>
      </c>
      <c r="BC144" s="52">
        <v>2755.2672265382403</v>
      </c>
      <c r="BD144" s="52">
        <v>0</v>
      </c>
      <c r="BE144" s="52">
        <v>0</v>
      </c>
      <c r="BF144" s="52">
        <v>13200.000000000002</v>
      </c>
      <c r="BG144" s="52">
        <v>2093.6946800001024</v>
      </c>
      <c r="BH144" s="52">
        <v>0</v>
      </c>
      <c r="BI144" s="52">
        <v>5400</v>
      </c>
      <c r="BJ144" s="52">
        <v>0</v>
      </c>
      <c r="BK144" s="52">
        <v>0</v>
      </c>
      <c r="BL144" s="52">
        <v>6271.2014400000116</v>
      </c>
      <c r="BM144" s="52">
        <v>0</v>
      </c>
      <c r="BN144" s="52">
        <v>0</v>
      </c>
      <c r="BO144" s="52">
        <v>4031.4866400000078</v>
      </c>
      <c r="BP144" s="52">
        <v>0</v>
      </c>
      <c r="BQ144" s="52">
        <v>0</v>
      </c>
      <c r="BR144" s="52">
        <v>13600.000000000002</v>
      </c>
      <c r="BS144" s="52">
        <v>0</v>
      </c>
      <c r="BT144" s="52">
        <v>0</v>
      </c>
      <c r="BU144" s="52">
        <v>11200.000000000002</v>
      </c>
      <c r="BV144" s="52">
        <v>0</v>
      </c>
      <c r="BW144" s="52">
        <v>0</v>
      </c>
    </row>
    <row r="145" spans="1:75" x14ac:dyDescent="0.3">
      <c r="A145" s="8" t="s">
        <v>103</v>
      </c>
      <c r="B145" s="8" t="s">
        <v>9</v>
      </c>
      <c r="C145" s="8" t="s">
        <v>145</v>
      </c>
      <c r="D145" s="52">
        <v>6306.8016887086287</v>
      </c>
      <c r="E145" s="52">
        <v>0</v>
      </c>
      <c r="F145" s="52">
        <v>0</v>
      </c>
      <c r="G145" s="52">
        <v>2580.0552362898939</v>
      </c>
      <c r="H145" s="52">
        <v>0</v>
      </c>
      <c r="I145" s="52">
        <v>0</v>
      </c>
      <c r="J145" s="52">
        <v>850.92780000004086</v>
      </c>
      <c r="K145" s="52">
        <v>0</v>
      </c>
      <c r="L145" s="52">
        <v>0</v>
      </c>
      <c r="M145" s="52">
        <v>340.37112000001633</v>
      </c>
      <c r="N145" s="52">
        <v>0</v>
      </c>
      <c r="O145" s="52">
        <v>0</v>
      </c>
      <c r="P145" s="52">
        <v>7298.2728000000652</v>
      </c>
      <c r="Q145" s="52">
        <v>0</v>
      </c>
      <c r="R145" s="52">
        <v>0</v>
      </c>
      <c r="S145" s="52">
        <v>2606.526000000023</v>
      </c>
      <c r="T145" s="52">
        <v>0</v>
      </c>
      <c r="U145" s="52">
        <v>0</v>
      </c>
      <c r="V145" s="52">
        <v>0</v>
      </c>
      <c r="W145" s="52">
        <v>0</v>
      </c>
      <c r="X145" s="52">
        <v>0</v>
      </c>
      <c r="Y145" s="52">
        <v>0</v>
      </c>
      <c r="Z145" s="52">
        <v>0</v>
      </c>
      <c r="AA145" s="52">
        <v>0</v>
      </c>
      <c r="AB145" s="52">
        <v>0</v>
      </c>
      <c r="AC145" s="52">
        <v>0</v>
      </c>
      <c r="AD145" s="52">
        <v>0</v>
      </c>
      <c r="AE145" s="52">
        <v>0</v>
      </c>
      <c r="AF145" s="52">
        <v>0</v>
      </c>
      <c r="AG145" s="52">
        <v>0</v>
      </c>
      <c r="AH145" s="52">
        <v>5608.7052000000049</v>
      </c>
      <c r="AI145" s="52">
        <v>0</v>
      </c>
      <c r="AJ145" s="52">
        <v>0</v>
      </c>
      <c r="AK145" s="52">
        <v>1802.7981000000018</v>
      </c>
      <c r="AL145" s="52">
        <v>0</v>
      </c>
      <c r="AM145" s="52">
        <v>0</v>
      </c>
      <c r="AN145" s="52">
        <v>15532.929499999967</v>
      </c>
      <c r="AO145" s="52">
        <v>0</v>
      </c>
      <c r="AP145" s="52">
        <v>0</v>
      </c>
      <c r="AQ145" s="52">
        <v>3227.5072500002352</v>
      </c>
      <c r="AR145" s="52">
        <v>0</v>
      </c>
      <c r="AS145" s="52">
        <v>0</v>
      </c>
      <c r="AT145" s="52">
        <v>17600</v>
      </c>
      <c r="AU145" s="52">
        <v>0</v>
      </c>
      <c r="AV145" s="52">
        <v>0</v>
      </c>
      <c r="AW145" s="52">
        <v>5400</v>
      </c>
      <c r="AX145" s="52">
        <v>0</v>
      </c>
      <c r="AY145" s="52">
        <v>0</v>
      </c>
      <c r="AZ145" s="52">
        <v>7924.2679115392193</v>
      </c>
      <c r="BA145" s="52">
        <v>0</v>
      </c>
      <c r="BB145" s="52">
        <v>0</v>
      </c>
      <c r="BC145" s="52">
        <v>1392.281673461792</v>
      </c>
      <c r="BD145" s="52">
        <v>0</v>
      </c>
      <c r="BE145" s="52">
        <v>0</v>
      </c>
      <c r="BF145" s="52">
        <v>13200.000000000002</v>
      </c>
      <c r="BG145" s="52">
        <v>0</v>
      </c>
      <c r="BH145" s="52">
        <v>0</v>
      </c>
      <c r="BI145" s="52">
        <v>5400</v>
      </c>
      <c r="BJ145" s="52">
        <v>0</v>
      </c>
      <c r="BK145" s="52">
        <v>0</v>
      </c>
      <c r="BL145" s="52">
        <v>8400</v>
      </c>
      <c r="BM145" s="52">
        <v>0</v>
      </c>
      <c r="BN145" s="52">
        <v>0</v>
      </c>
      <c r="BO145" s="52">
        <v>5400</v>
      </c>
      <c r="BP145" s="52">
        <v>0</v>
      </c>
      <c r="BQ145" s="52">
        <v>0</v>
      </c>
      <c r="BR145" s="52">
        <v>7831.6980400000393</v>
      </c>
      <c r="BS145" s="52">
        <v>0</v>
      </c>
      <c r="BT145" s="52">
        <v>0</v>
      </c>
      <c r="BU145" s="52">
        <v>6449.6336800000327</v>
      </c>
      <c r="BV145" s="52">
        <v>0</v>
      </c>
      <c r="BW145" s="52">
        <v>0</v>
      </c>
    </row>
    <row r="146" spans="1:75" x14ac:dyDescent="0.3">
      <c r="A146" s="8" t="s">
        <v>103</v>
      </c>
      <c r="B146" s="8" t="s">
        <v>9</v>
      </c>
      <c r="C146" s="8" t="s">
        <v>146</v>
      </c>
      <c r="D146" s="52">
        <v>17600</v>
      </c>
      <c r="E146" s="52">
        <v>61600</v>
      </c>
      <c r="F146" s="52">
        <v>0</v>
      </c>
      <c r="G146" s="52">
        <v>7200</v>
      </c>
      <c r="H146" s="52">
        <v>4449.9407400000127</v>
      </c>
      <c r="I146" s="52">
        <v>0</v>
      </c>
      <c r="J146" s="52">
        <v>12000</v>
      </c>
      <c r="K146" s="52">
        <v>52475.907000000057</v>
      </c>
      <c r="L146" s="52">
        <v>0</v>
      </c>
      <c r="M146" s="52">
        <v>4800.0000000000009</v>
      </c>
      <c r="N146" s="52">
        <v>3516.0221086345855</v>
      </c>
      <c r="O146" s="52">
        <v>0</v>
      </c>
      <c r="P146" s="52">
        <v>16800</v>
      </c>
      <c r="Q146" s="52">
        <v>11731.429794198228</v>
      </c>
      <c r="R146" s="52">
        <v>0</v>
      </c>
      <c r="S146" s="52">
        <v>6000</v>
      </c>
      <c r="T146" s="52">
        <v>5187.3669158019375</v>
      </c>
      <c r="U146" s="52">
        <v>0</v>
      </c>
      <c r="V146" s="52">
        <v>15200.000000000002</v>
      </c>
      <c r="W146" s="52">
        <v>0</v>
      </c>
      <c r="X146" s="52">
        <v>0</v>
      </c>
      <c r="Y146" s="52">
        <v>6600.0000000000009</v>
      </c>
      <c r="Z146" s="52">
        <v>0</v>
      </c>
      <c r="AA146" s="52">
        <v>0</v>
      </c>
      <c r="AB146" s="52">
        <v>9997.0923513044418</v>
      </c>
      <c r="AC146" s="52">
        <v>0</v>
      </c>
      <c r="AD146" s="52">
        <v>0</v>
      </c>
      <c r="AE146" s="52">
        <v>3067.2896986956812</v>
      </c>
      <c r="AF146" s="52">
        <v>0</v>
      </c>
      <c r="AG146" s="52">
        <v>0</v>
      </c>
      <c r="AH146" s="52">
        <v>16800</v>
      </c>
      <c r="AI146" s="52">
        <v>46195.797899999976</v>
      </c>
      <c r="AJ146" s="52">
        <v>0</v>
      </c>
      <c r="AK146" s="52">
        <v>5400</v>
      </c>
      <c r="AL146" s="52">
        <v>16779.438180000096</v>
      </c>
      <c r="AM146" s="52">
        <v>0</v>
      </c>
      <c r="AN146" s="52">
        <v>22000</v>
      </c>
      <c r="AO146" s="52">
        <v>52800.000000000007</v>
      </c>
      <c r="AP146" s="52">
        <v>0</v>
      </c>
      <c r="AQ146" s="52">
        <v>0</v>
      </c>
      <c r="AR146" s="52">
        <v>0</v>
      </c>
      <c r="AS146" s="52">
        <v>0</v>
      </c>
      <c r="AT146" s="52">
        <v>17600</v>
      </c>
      <c r="AU146" s="52">
        <v>57200</v>
      </c>
      <c r="AV146" s="52">
        <v>0</v>
      </c>
      <c r="AW146" s="52">
        <v>5400</v>
      </c>
      <c r="AX146" s="52">
        <v>25200.000000000004</v>
      </c>
      <c r="AY146" s="52">
        <v>0</v>
      </c>
      <c r="AZ146" s="52">
        <v>20000</v>
      </c>
      <c r="BA146" s="52">
        <v>12690.337074999754</v>
      </c>
      <c r="BB146" s="52">
        <v>0</v>
      </c>
      <c r="BC146" s="52">
        <v>6000</v>
      </c>
      <c r="BD146" s="52">
        <v>0</v>
      </c>
      <c r="BE146" s="52">
        <v>0</v>
      </c>
      <c r="BF146" s="52">
        <v>12438.637200000099</v>
      </c>
      <c r="BG146" s="52">
        <v>61600</v>
      </c>
      <c r="BH146" s="52">
        <v>0</v>
      </c>
      <c r="BI146" s="52">
        <v>5088.5334000000412</v>
      </c>
      <c r="BJ146" s="52">
        <v>21348.334799999982</v>
      </c>
      <c r="BK146" s="52">
        <v>0</v>
      </c>
      <c r="BL146" s="52">
        <v>8400</v>
      </c>
      <c r="BM146" s="52">
        <v>48646.587150000094</v>
      </c>
      <c r="BN146" s="52">
        <v>0</v>
      </c>
      <c r="BO146" s="52">
        <v>5400</v>
      </c>
      <c r="BP146" s="52">
        <v>18068.732370000034</v>
      </c>
      <c r="BQ146" s="52">
        <v>0</v>
      </c>
      <c r="BR146" s="52">
        <v>13600.000000000002</v>
      </c>
      <c r="BS146" s="52">
        <v>24715.474140000581</v>
      </c>
      <c r="BT146" s="52">
        <v>0</v>
      </c>
      <c r="BU146" s="52">
        <v>11200.000000000002</v>
      </c>
      <c r="BV146" s="52">
        <v>10289.382740000025</v>
      </c>
      <c r="BW146" s="52">
        <v>0</v>
      </c>
    </row>
    <row r="147" spans="1:75" x14ac:dyDescent="0.3">
      <c r="A147" s="8" t="s">
        <v>103</v>
      </c>
      <c r="B147" s="8" t="s">
        <v>9</v>
      </c>
      <c r="C147" s="8" t="s">
        <v>28</v>
      </c>
      <c r="D147" s="52">
        <v>17600</v>
      </c>
      <c r="E147" s="52">
        <v>61600</v>
      </c>
      <c r="F147" s="52">
        <v>26400.000000000004</v>
      </c>
      <c r="G147" s="52">
        <v>7200</v>
      </c>
      <c r="H147" s="52">
        <v>25200.000000000004</v>
      </c>
      <c r="I147" s="52">
        <v>10800</v>
      </c>
      <c r="J147" s="52">
        <v>12000</v>
      </c>
      <c r="K147" s="52">
        <v>60000</v>
      </c>
      <c r="L147" s="52">
        <v>24000</v>
      </c>
      <c r="M147" s="52">
        <v>4800.0000000000009</v>
      </c>
      <c r="N147" s="52">
        <v>20800</v>
      </c>
      <c r="O147" s="52">
        <v>12800</v>
      </c>
      <c r="P147" s="52">
        <v>16800</v>
      </c>
      <c r="Q147" s="52">
        <v>58800.000000000007</v>
      </c>
      <c r="R147" s="52">
        <v>25200.000000000004</v>
      </c>
      <c r="S147" s="52">
        <v>6000</v>
      </c>
      <c r="T147" s="52">
        <v>26000</v>
      </c>
      <c r="U147" s="52">
        <v>16000</v>
      </c>
      <c r="V147" s="52">
        <v>15200.000000000002</v>
      </c>
      <c r="W147" s="52">
        <v>53200</v>
      </c>
      <c r="X147" s="52">
        <v>22800</v>
      </c>
      <c r="Y147" s="52">
        <v>6600.0000000000009</v>
      </c>
      <c r="Z147" s="52">
        <v>30800</v>
      </c>
      <c r="AA147" s="52">
        <v>15400</v>
      </c>
      <c r="AB147" s="52">
        <v>17600</v>
      </c>
      <c r="AC147" s="52">
        <v>61600</v>
      </c>
      <c r="AD147" s="52">
        <v>26400.000000000004</v>
      </c>
      <c r="AE147" s="52">
        <v>5400</v>
      </c>
      <c r="AF147" s="52">
        <v>23400.000000000004</v>
      </c>
      <c r="AG147" s="52">
        <v>14400</v>
      </c>
      <c r="AH147" s="52">
        <v>16800</v>
      </c>
      <c r="AI147" s="52">
        <v>58800.000000000007</v>
      </c>
      <c r="AJ147" s="52">
        <v>25200.000000000004</v>
      </c>
      <c r="AK147" s="52">
        <v>5400</v>
      </c>
      <c r="AL147" s="52">
        <v>25200.000000000004</v>
      </c>
      <c r="AM147" s="52">
        <v>12600.000000000002</v>
      </c>
      <c r="AN147" s="52">
        <v>22000</v>
      </c>
      <c r="AO147" s="52">
        <v>52800.000000000007</v>
      </c>
      <c r="AP147" s="52">
        <v>30800</v>
      </c>
      <c r="AQ147" s="52">
        <v>5400</v>
      </c>
      <c r="AR147" s="52">
        <v>25200.000000000004</v>
      </c>
      <c r="AS147" s="52">
        <v>12600.000000000002</v>
      </c>
      <c r="AT147" s="52">
        <v>17600</v>
      </c>
      <c r="AU147" s="52">
        <v>57200</v>
      </c>
      <c r="AV147" s="52">
        <v>30800</v>
      </c>
      <c r="AW147" s="52">
        <v>5400</v>
      </c>
      <c r="AX147" s="52">
        <v>25200.000000000004</v>
      </c>
      <c r="AY147" s="52">
        <v>12600.000000000002</v>
      </c>
      <c r="AZ147" s="52">
        <v>20000</v>
      </c>
      <c r="BA147" s="52">
        <v>48000</v>
      </c>
      <c r="BB147" s="52">
        <v>28000</v>
      </c>
      <c r="BC147" s="52">
        <v>6000</v>
      </c>
      <c r="BD147" s="52">
        <v>26000</v>
      </c>
      <c r="BE147" s="52">
        <v>16000</v>
      </c>
      <c r="BF147" s="52">
        <v>13200.000000000002</v>
      </c>
      <c r="BG147" s="52">
        <v>61600</v>
      </c>
      <c r="BH147" s="52">
        <v>30800</v>
      </c>
      <c r="BI147" s="52">
        <v>5400</v>
      </c>
      <c r="BJ147" s="52">
        <v>23400.000000000004</v>
      </c>
      <c r="BK147" s="52">
        <v>14400</v>
      </c>
      <c r="BL147" s="52">
        <v>8400</v>
      </c>
      <c r="BM147" s="52">
        <v>63000</v>
      </c>
      <c r="BN147" s="52">
        <v>29400.000000000004</v>
      </c>
      <c r="BO147" s="52">
        <v>5400</v>
      </c>
      <c r="BP147" s="52">
        <v>23400.000000000004</v>
      </c>
      <c r="BQ147" s="52">
        <v>14400</v>
      </c>
      <c r="BR147" s="52">
        <v>13600.000000000002</v>
      </c>
      <c r="BS147" s="52">
        <v>47600</v>
      </c>
      <c r="BT147" s="52">
        <v>20400.000000000004</v>
      </c>
      <c r="BU147" s="52">
        <v>11200.000000000002</v>
      </c>
      <c r="BV147" s="52">
        <v>36400</v>
      </c>
      <c r="BW147" s="52">
        <v>19600</v>
      </c>
    </row>
    <row r="148" spans="1:75" x14ac:dyDescent="0.3">
      <c r="A148" s="8" t="s">
        <v>103</v>
      </c>
      <c r="B148" s="8" t="s">
        <v>10</v>
      </c>
      <c r="C148" s="8" t="s">
        <v>60</v>
      </c>
      <c r="D148" s="52">
        <v>67900.800000000003</v>
      </c>
      <c r="E148" s="52">
        <v>237652.80000000002</v>
      </c>
      <c r="F148" s="52">
        <v>101851.20000000001</v>
      </c>
      <c r="G148" s="52">
        <v>27777.600000000002</v>
      </c>
      <c r="H148" s="52">
        <v>97221.6</v>
      </c>
      <c r="I148" s="52">
        <v>41666.400000000001</v>
      </c>
      <c r="J148" s="52">
        <v>46296.000000000007</v>
      </c>
      <c r="K148" s="52">
        <v>231480.00000000003</v>
      </c>
      <c r="L148" s="52">
        <v>92592.000000000015</v>
      </c>
      <c r="M148" s="52">
        <v>18518.400000000001</v>
      </c>
      <c r="N148" s="52">
        <v>80246.400000000009</v>
      </c>
      <c r="O148" s="52">
        <v>49382.400000000001</v>
      </c>
      <c r="P148" s="52">
        <v>64814.400000000009</v>
      </c>
      <c r="Q148" s="52">
        <v>226850.4</v>
      </c>
      <c r="R148" s="52">
        <v>97221.6</v>
      </c>
      <c r="S148" s="52">
        <v>23148.000000000004</v>
      </c>
      <c r="T148" s="52">
        <v>100308</v>
      </c>
      <c r="U148" s="52">
        <v>61728.000000000007</v>
      </c>
      <c r="V148" s="52">
        <v>58641.600000000006</v>
      </c>
      <c r="W148" s="52">
        <v>205245.60000000003</v>
      </c>
      <c r="X148" s="52">
        <v>87962.400000000009</v>
      </c>
      <c r="Y148" s="52">
        <v>25462.800000000003</v>
      </c>
      <c r="Z148" s="52">
        <v>118826.40000000001</v>
      </c>
      <c r="AA148" s="52">
        <v>59413.200000000004</v>
      </c>
      <c r="AB148" s="52">
        <v>67900.800000000003</v>
      </c>
      <c r="AC148" s="52">
        <v>237652.80000000002</v>
      </c>
      <c r="AD148" s="52">
        <v>101851.20000000001</v>
      </c>
      <c r="AE148" s="52">
        <v>20833.2</v>
      </c>
      <c r="AF148" s="52">
        <v>90277.200000000012</v>
      </c>
      <c r="AG148" s="52">
        <v>55555.200000000004</v>
      </c>
      <c r="AH148" s="52">
        <v>64814.400000000009</v>
      </c>
      <c r="AI148" s="52">
        <v>226850.4</v>
      </c>
      <c r="AJ148" s="52">
        <v>97221.6</v>
      </c>
      <c r="AK148" s="52">
        <v>20833.2</v>
      </c>
      <c r="AL148" s="52">
        <v>97221.6</v>
      </c>
      <c r="AM148" s="52">
        <v>48610.8</v>
      </c>
      <c r="AN148" s="52">
        <v>84876</v>
      </c>
      <c r="AO148" s="52">
        <v>203702.40000000002</v>
      </c>
      <c r="AP148" s="52">
        <v>118826.40000000001</v>
      </c>
      <c r="AQ148" s="52">
        <v>20833.2</v>
      </c>
      <c r="AR148" s="52">
        <v>97221.6</v>
      </c>
      <c r="AS148" s="52">
        <v>48610.8</v>
      </c>
      <c r="AT148" s="52">
        <v>67900.800000000003</v>
      </c>
      <c r="AU148" s="52">
        <v>220677.6</v>
      </c>
      <c r="AV148" s="52">
        <v>118826.40000000001</v>
      </c>
      <c r="AW148" s="52">
        <v>20833.2</v>
      </c>
      <c r="AX148" s="52">
        <v>97221.6</v>
      </c>
      <c r="AY148" s="52">
        <v>48610.8</v>
      </c>
      <c r="AZ148" s="52">
        <v>77160.000000000015</v>
      </c>
      <c r="BA148" s="52">
        <v>185184.00000000003</v>
      </c>
      <c r="BB148" s="52">
        <v>108024.00000000001</v>
      </c>
      <c r="BC148" s="52">
        <v>23148.000000000004</v>
      </c>
      <c r="BD148" s="52">
        <v>100308</v>
      </c>
      <c r="BE148" s="52">
        <v>61728.000000000007</v>
      </c>
      <c r="BF148" s="52">
        <v>50925.600000000006</v>
      </c>
      <c r="BG148" s="52">
        <v>237652.80000000002</v>
      </c>
      <c r="BH148" s="52">
        <v>118826.40000000001</v>
      </c>
      <c r="BI148" s="52">
        <v>20833.2</v>
      </c>
      <c r="BJ148" s="52">
        <v>90277.200000000012</v>
      </c>
      <c r="BK148" s="52">
        <v>55555.200000000004</v>
      </c>
      <c r="BL148" s="52">
        <v>32407.200000000004</v>
      </c>
      <c r="BM148" s="52">
        <v>243054.00000000003</v>
      </c>
      <c r="BN148" s="52">
        <v>113425.2</v>
      </c>
      <c r="BO148" s="52">
        <v>20833.2</v>
      </c>
      <c r="BP148" s="52">
        <v>90277.200000000012</v>
      </c>
      <c r="BQ148" s="52">
        <v>55555.200000000004</v>
      </c>
      <c r="BR148" s="52">
        <v>52468.800000000003</v>
      </c>
      <c r="BS148" s="52">
        <v>183640.80000000002</v>
      </c>
      <c r="BT148" s="52">
        <v>78703.200000000012</v>
      </c>
      <c r="BU148" s="52">
        <v>43209.599999999999</v>
      </c>
      <c r="BV148" s="52">
        <v>140431.20000000001</v>
      </c>
      <c r="BW148" s="52">
        <v>75616.800000000017</v>
      </c>
    </row>
    <row r="149" spans="1:75" x14ac:dyDescent="0.3">
      <c r="A149" s="8" t="s">
        <v>103</v>
      </c>
      <c r="B149" s="8" t="s">
        <v>10</v>
      </c>
      <c r="C149" s="8" t="s">
        <v>150</v>
      </c>
      <c r="D149" s="52">
        <v>20697.599999999999</v>
      </c>
      <c r="E149" s="52">
        <v>72441.599999999991</v>
      </c>
      <c r="F149" s="52">
        <v>31046.399999999994</v>
      </c>
      <c r="G149" s="52">
        <v>8467.1999999999989</v>
      </c>
      <c r="H149" s="52">
        <v>29635.199999999993</v>
      </c>
      <c r="I149" s="52">
        <v>12700.799999999997</v>
      </c>
      <c r="J149" s="52">
        <v>14111.999999999998</v>
      </c>
      <c r="K149" s="52">
        <v>70559.999999999985</v>
      </c>
      <c r="L149" s="52">
        <v>28223.999999999996</v>
      </c>
      <c r="M149" s="52">
        <v>5644.7999999999993</v>
      </c>
      <c r="N149" s="52">
        <v>24460.799999999996</v>
      </c>
      <c r="O149" s="52">
        <v>15052.799999999997</v>
      </c>
      <c r="P149" s="52">
        <v>19756.8</v>
      </c>
      <c r="Q149" s="52">
        <v>69148.799999999988</v>
      </c>
      <c r="R149" s="52">
        <v>29635.199999999993</v>
      </c>
      <c r="S149" s="52">
        <v>7055.9999999999991</v>
      </c>
      <c r="T149" s="52">
        <v>30575.999999999996</v>
      </c>
      <c r="U149" s="52">
        <v>18815.999999999996</v>
      </c>
      <c r="V149" s="52">
        <v>17875.199999999997</v>
      </c>
      <c r="W149" s="52">
        <v>62563.19999999999</v>
      </c>
      <c r="X149" s="52">
        <v>26812.799999999996</v>
      </c>
      <c r="Y149" s="52">
        <v>7761.5999999999985</v>
      </c>
      <c r="Z149" s="52">
        <v>36220.799999999996</v>
      </c>
      <c r="AA149" s="52">
        <v>18110.399999999998</v>
      </c>
      <c r="AB149" s="52">
        <v>0</v>
      </c>
      <c r="AC149" s="52">
        <v>0</v>
      </c>
      <c r="AD149" s="52">
        <v>0</v>
      </c>
      <c r="AE149" s="52">
        <v>0</v>
      </c>
      <c r="AF149" s="52">
        <v>0</v>
      </c>
      <c r="AG149" s="52">
        <v>0</v>
      </c>
      <c r="AH149" s="52">
        <v>19756.8</v>
      </c>
      <c r="AI149" s="52">
        <v>69148.799999999988</v>
      </c>
      <c r="AJ149" s="52">
        <v>29635.199999999993</v>
      </c>
      <c r="AK149" s="52">
        <v>0</v>
      </c>
      <c r="AL149" s="52">
        <v>0</v>
      </c>
      <c r="AM149" s="52">
        <v>0</v>
      </c>
      <c r="AN149" s="52">
        <v>25871.999999999996</v>
      </c>
      <c r="AO149" s="52">
        <v>62092.799999999988</v>
      </c>
      <c r="AP149" s="52">
        <v>36220.799999999996</v>
      </c>
      <c r="AQ149" s="52">
        <v>6350.3999999999987</v>
      </c>
      <c r="AR149" s="52">
        <v>29635.199999999993</v>
      </c>
      <c r="AS149" s="52">
        <v>14817.599999999997</v>
      </c>
      <c r="AT149" s="52">
        <v>20697.599999999999</v>
      </c>
      <c r="AU149" s="52">
        <v>67267.199999999983</v>
      </c>
      <c r="AV149" s="52">
        <v>36220.799999999996</v>
      </c>
      <c r="AW149" s="52">
        <v>6350.3999999999987</v>
      </c>
      <c r="AX149" s="52">
        <v>29635.19999999999</v>
      </c>
      <c r="AY149" s="52">
        <v>14817.599999999995</v>
      </c>
      <c r="AZ149" s="52">
        <v>23825.16300000007</v>
      </c>
      <c r="BA149" s="52">
        <v>56447.999999999993</v>
      </c>
      <c r="BB149" s="52">
        <v>32928</v>
      </c>
      <c r="BC149" s="52">
        <v>7147.5489000000216</v>
      </c>
      <c r="BD149" s="52">
        <v>30575.999999999985</v>
      </c>
      <c r="BE149" s="52">
        <v>18815.999999999993</v>
      </c>
      <c r="BF149" s="52">
        <v>15523.199999999997</v>
      </c>
      <c r="BG149" s="52">
        <v>72441.599999999991</v>
      </c>
      <c r="BH149" s="52">
        <v>36220.799999999996</v>
      </c>
      <c r="BI149" s="52">
        <v>6350.3999999999987</v>
      </c>
      <c r="BJ149" s="52">
        <v>27518.399999999998</v>
      </c>
      <c r="BK149" s="52">
        <v>16934.399999999998</v>
      </c>
      <c r="BL149" s="52">
        <v>18981.293100000046</v>
      </c>
      <c r="BM149" s="52">
        <v>74088</v>
      </c>
      <c r="BN149" s="52">
        <v>34574.399999999994</v>
      </c>
      <c r="BO149" s="52">
        <v>6350.3999999999987</v>
      </c>
      <c r="BP149" s="52">
        <v>27518.399999999998</v>
      </c>
      <c r="BQ149" s="52">
        <v>16934.399999999998</v>
      </c>
      <c r="BR149" s="52">
        <v>23825.298040000016</v>
      </c>
      <c r="BS149" s="52">
        <v>55977.599999999991</v>
      </c>
      <c r="BT149" s="52">
        <v>23990.399999999998</v>
      </c>
      <c r="BU149" s="52">
        <v>19620.833680000014</v>
      </c>
      <c r="BV149" s="52">
        <v>42806.399999999994</v>
      </c>
      <c r="BW149" s="52">
        <v>23049.599999999999</v>
      </c>
    </row>
    <row r="150" spans="1:75" x14ac:dyDescent="0.3">
      <c r="A150" s="8" t="s">
        <v>103</v>
      </c>
      <c r="B150" s="8" t="s">
        <v>10</v>
      </c>
      <c r="C150" s="8" t="s">
        <v>61</v>
      </c>
      <c r="D150" s="52">
        <v>7164.9371199999332</v>
      </c>
      <c r="E150" s="52">
        <v>25021.919999999995</v>
      </c>
      <c r="F150" s="52">
        <v>10723.679999999998</v>
      </c>
      <c r="G150" s="52">
        <v>0</v>
      </c>
      <c r="H150" s="52">
        <v>0</v>
      </c>
      <c r="I150" s="52">
        <v>0</v>
      </c>
      <c r="J150" s="52">
        <v>0</v>
      </c>
      <c r="K150" s="52">
        <v>0</v>
      </c>
      <c r="L150" s="52">
        <v>0</v>
      </c>
      <c r="M150" s="52">
        <v>0</v>
      </c>
      <c r="N150" s="52">
        <v>0</v>
      </c>
      <c r="O150" s="52">
        <v>0</v>
      </c>
      <c r="P150" s="52">
        <v>17060.400000000001</v>
      </c>
      <c r="Q150" s="52">
        <v>28829.713500000071</v>
      </c>
      <c r="R150" s="52">
        <v>10236.239999999998</v>
      </c>
      <c r="S150" s="52">
        <v>0</v>
      </c>
      <c r="T150" s="52">
        <v>0</v>
      </c>
      <c r="U150" s="52">
        <v>0</v>
      </c>
      <c r="V150" s="52">
        <v>0</v>
      </c>
      <c r="W150" s="52">
        <v>0</v>
      </c>
      <c r="X150" s="52">
        <v>0</v>
      </c>
      <c r="Y150" s="52">
        <v>0</v>
      </c>
      <c r="Z150" s="52">
        <v>0</v>
      </c>
      <c r="AA150" s="52">
        <v>0</v>
      </c>
      <c r="AB150" s="52">
        <v>0</v>
      </c>
      <c r="AC150" s="52">
        <v>0</v>
      </c>
      <c r="AD150" s="52">
        <v>0</v>
      </c>
      <c r="AE150" s="52">
        <v>0</v>
      </c>
      <c r="AF150" s="52">
        <v>0</v>
      </c>
      <c r="AG150" s="52">
        <v>0</v>
      </c>
      <c r="AH150" s="52">
        <v>0</v>
      </c>
      <c r="AI150" s="52">
        <v>0</v>
      </c>
      <c r="AJ150" s="52">
        <v>0</v>
      </c>
      <c r="AK150" s="52">
        <v>0</v>
      </c>
      <c r="AL150" s="52">
        <v>0</v>
      </c>
      <c r="AM150" s="52">
        <v>0</v>
      </c>
      <c r="AN150" s="52">
        <v>22341</v>
      </c>
      <c r="AO150" s="52">
        <v>53618.400000000001</v>
      </c>
      <c r="AP150" s="52">
        <v>12510.96</v>
      </c>
      <c r="AQ150" s="52">
        <v>0</v>
      </c>
      <c r="AR150" s="52">
        <v>0</v>
      </c>
      <c r="AS150" s="52">
        <v>0</v>
      </c>
      <c r="AT150" s="52">
        <v>0</v>
      </c>
      <c r="AU150" s="52">
        <v>0</v>
      </c>
      <c r="AV150" s="52">
        <v>0</v>
      </c>
      <c r="AW150" s="52">
        <v>0</v>
      </c>
      <c r="AX150" s="52">
        <v>0</v>
      </c>
      <c r="AY150" s="52">
        <v>0</v>
      </c>
      <c r="AZ150" s="52">
        <v>11763.329000000034</v>
      </c>
      <c r="BA150" s="52">
        <v>38979.763199999899</v>
      </c>
      <c r="BB150" s="52">
        <v>11373.599999999984</v>
      </c>
      <c r="BC150" s="52">
        <v>0</v>
      </c>
      <c r="BD150" s="52">
        <v>0</v>
      </c>
      <c r="BE150" s="52">
        <v>0</v>
      </c>
      <c r="BF150" s="52">
        <v>10425.656999999967</v>
      </c>
      <c r="BG150" s="52">
        <v>31948.568800001511</v>
      </c>
      <c r="BH150" s="52">
        <v>12510.959999999995</v>
      </c>
      <c r="BI150" s="52">
        <v>0</v>
      </c>
      <c r="BJ150" s="52">
        <v>0</v>
      </c>
      <c r="BK150" s="52">
        <v>0</v>
      </c>
      <c r="BL150" s="52">
        <v>0</v>
      </c>
      <c r="BM150" s="52">
        <v>0</v>
      </c>
      <c r="BN150" s="52">
        <v>0</v>
      </c>
      <c r="BO150" s="52">
        <v>0</v>
      </c>
      <c r="BP150" s="52">
        <v>0</v>
      </c>
      <c r="BQ150" s="52">
        <v>0</v>
      </c>
      <c r="BR150" s="52">
        <v>13810.800000000001</v>
      </c>
      <c r="BS150" s="52">
        <v>19335.12</v>
      </c>
      <c r="BT150" s="52">
        <v>8286.48</v>
      </c>
      <c r="BU150" s="52">
        <v>0</v>
      </c>
      <c r="BV150" s="52">
        <v>0</v>
      </c>
      <c r="BW150" s="52">
        <v>0</v>
      </c>
    </row>
    <row r="151" spans="1:75" x14ac:dyDescent="0.3">
      <c r="A151" s="8" t="s">
        <v>103</v>
      </c>
      <c r="B151" s="8" t="s">
        <v>10</v>
      </c>
      <c r="C151" s="8" t="s">
        <v>152</v>
      </c>
      <c r="D151" s="52">
        <v>13235.2</v>
      </c>
      <c r="E151" s="52">
        <v>18529.279999999977</v>
      </c>
      <c r="F151" s="52">
        <v>7941.1199999999917</v>
      </c>
      <c r="G151" s="52">
        <v>0</v>
      </c>
      <c r="H151" s="52">
        <v>0</v>
      </c>
      <c r="I151" s="52">
        <v>0</v>
      </c>
      <c r="J151" s="52">
        <v>0</v>
      </c>
      <c r="K151" s="52">
        <v>0</v>
      </c>
      <c r="L151" s="52">
        <v>0</v>
      </c>
      <c r="M151" s="52">
        <v>0</v>
      </c>
      <c r="N151" s="52">
        <v>0</v>
      </c>
      <c r="O151" s="52">
        <v>0</v>
      </c>
      <c r="P151" s="52">
        <v>12633.600000000002</v>
      </c>
      <c r="Q151" s="52">
        <v>17687.039999999997</v>
      </c>
      <c r="R151" s="52">
        <v>7580.1599999999989</v>
      </c>
      <c r="S151" s="52">
        <v>0</v>
      </c>
      <c r="T151" s="52">
        <v>0</v>
      </c>
      <c r="U151" s="52">
        <v>0</v>
      </c>
      <c r="V151" s="52">
        <v>4572.1599999999953</v>
      </c>
      <c r="W151" s="52">
        <v>16002.559999999981</v>
      </c>
      <c r="X151" s="52">
        <v>6858.2399999999916</v>
      </c>
      <c r="Y151" s="52">
        <v>0</v>
      </c>
      <c r="Z151" s="52">
        <v>0</v>
      </c>
      <c r="AA151" s="52">
        <v>0</v>
      </c>
      <c r="AB151" s="52">
        <v>0</v>
      </c>
      <c r="AC151" s="52">
        <v>0</v>
      </c>
      <c r="AD151" s="52">
        <v>0</v>
      </c>
      <c r="AE151" s="52">
        <v>0</v>
      </c>
      <c r="AF151" s="52">
        <v>0</v>
      </c>
      <c r="AG151" s="52">
        <v>0</v>
      </c>
      <c r="AH151" s="52">
        <v>0</v>
      </c>
      <c r="AI151" s="52">
        <v>0</v>
      </c>
      <c r="AJ151" s="52">
        <v>0</v>
      </c>
      <c r="AK151" s="52">
        <v>0</v>
      </c>
      <c r="AL151" s="52">
        <v>0</v>
      </c>
      <c r="AM151" s="52">
        <v>0</v>
      </c>
      <c r="AN151" s="52">
        <v>0</v>
      </c>
      <c r="AO151" s="52">
        <v>0</v>
      </c>
      <c r="AP151" s="52">
        <v>0</v>
      </c>
      <c r="AQ151" s="52">
        <v>0</v>
      </c>
      <c r="AR151" s="52">
        <v>0</v>
      </c>
      <c r="AS151" s="52">
        <v>0</v>
      </c>
      <c r="AT151" s="52">
        <v>5294.079999999989</v>
      </c>
      <c r="AU151" s="52">
        <v>27176.958380000036</v>
      </c>
      <c r="AV151" s="52">
        <v>9264.639999999983</v>
      </c>
      <c r="AW151" s="52">
        <v>0</v>
      </c>
      <c r="AX151" s="52">
        <v>0</v>
      </c>
      <c r="AY151" s="52">
        <v>0</v>
      </c>
      <c r="AZ151" s="52">
        <v>15040.000000000002</v>
      </c>
      <c r="BA151" s="52">
        <v>36096</v>
      </c>
      <c r="BB151" s="52">
        <v>8422.4</v>
      </c>
      <c r="BC151" s="52">
        <v>0</v>
      </c>
      <c r="BD151" s="52">
        <v>0</v>
      </c>
      <c r="BE151" s="52">
        <v>0</v>
      </c>
      <c r="BF151" s="52">
        <v>0</v>
      </c>
      <c r="BG151" s="52">
        <v>0</v>
      </c>
      <c r="BH151" s="52">
        <v>0</v>
      </c>
      <c r="BI151" s="52">
        <v>0</v>
      </c>
      <c r="BJ151" s="52">
        <v>0</v>
      </c>
      <c r="BK151" s="52">
        <v>0</v>
      </c>
      <c r="BL151" s="52">
        <v>0</v>
      </c>
      <c r="BM151" s="52">
        <v>0</v>
      </c>
      <c r="BN151" s="52">
        <v>0</v>
      </c>
      <c r="BO151" s="52">
        <v>0</v>
      </c>
      <c r="BP151" s="52">
        <v>0</v>
      </c>
      <c r="BQ151" s="52">
        <v>0</v>
      </c>
      <c r="BR151" s="52">
        <v>7231.7557999999926</v>
      </c>
      <c r="BS151" s="52">
        <v>14318.079999999998</v>
      </c>
      <c r="BT151" s="52">
        <v>6136.32</v>
      </c>
      <c r="BU151" s="52">
        <v>0</v>
      </c>
      <c r="BV151" s="52">
        <v>0</v>
      </c>
      <c r="BW151" s="52">
        <v>0</v>
      </c>
    </row>
    <row r="152" spans="1:75" x14ac:dyDescent="0.3">
      <c r="A152" s="8" t="s">
        <v>103</v>
      </c>
      <c r="B152" s="8" t="s">
        <v>10</v>
      </c>
      <c r="C152" s="8" t="s">
        <v>151</v>
      </c>
      <c r="D152" s="52">
        <v>17107.2</v>
      </c>
      <c r="E152" s="52">
        <v>57012.663360000064</v>
      </c>
      <c r="F152" s="52">
        <v>10264.319999999974</v>
      </c>
      <c r="G152" s="52">
        <v>6998.4000000000005</v>
      </c>
      <c r="H152" s="52">
        <v>9797.760000000002</v>
      </c>
      <c r="I152" s="52">
        <v>4199.04</v>
      </c>
      <c r="J152" s="52">
        <v>11664.000000000002</v>
      </c>
      <c r="K152" s="52">
        <v>50795.907000000108</v>
      </c>
      <c r="L152" s="52">
        <v>9331.2000000000007</v>
      </c>
      <c r="M152" s="52">
        <v>4665.6000000000004</v>
      </c>
      <c r="N152" s="52">
        <v>8087.0400000000018</v>
      </c>
      <c r="O152" s="52">
        <v>4976.6400000000003</v>
      </c>
      <c r="P152" s="52">
        <v>16329.600000000002</v>
      </c>
      <c r="Q152" s="52">
        <v>57153.600000000006</v>
      </c>
      <c r="R152" s="52">
        <v>9797.760000000002</v>
      </c>
      <c r="S152" s="52">
        <v>0</v>
      </c>
      <c r="T152" s="52">
        <v>0</v>
      </c>
      <c r="U152" s="52">
        <v>0</v>
      </c>
      <c r="V152" s="52">
        <v>14774.400000000001</v>
      </c>
      <c r="W152" s="52">
        <v>22941.476530000262</v>
      </c>
      <c r="X152" s="52">
        <v>8864.6400000000012</v>
      </c>
      <c r="Y152" s="52">
        <v>6415.2000000000007</v>
      </c>
      <c r="Z152" s="52">
        <v>11975.04</v>
      </c>
      <c r="AA152" s="52">
        <v>5987.52</v>
      </c>
      <c r="AB152" s="52">
        <v>0</v>
      </c>
      <c r="AC152" s="52">
        <v>0</v>
      </c>
      <c r="AD152" s="52">
        <v>0</v>
      </c>
      <c r="AE152" s="52">
        <v>0</v>
      </c>
      <c r="AF152" s="52">
        <v>0</v>
      </c>
      <c r="AG152" s="52">
        <v>0</v>
      </c>
      <c r="AH152" s="52">
        <v>16329.600000000002</v>
      </c>
      <c r="AI152" s="52">
        <v>38807.465256000047</v>
      </c>
      <c r="AJ152" s="52">
        <v>9797.760000000002</v>
      </c>
      <c r="AK152" s="52">
        <v>5248.8</v>
      </c>
      <c r="AL152" s="52">
        <v>16631.770824000021</v>
      </c>
      <c r="AM152" s="52">
        <v>4898.880000000001</v>
      </c>
      <c r="AN152" s="52">
        <v>0</v>
      </c>
      <c r="AO152" s="52">
        <v>0</v>
      </c>
      <c r="AP152" s="52">
        <v>0</v>
      </c>
      <c r="AQ152" s="52">
        <v>0</v>
      </c>
      <c r="AR152" s="52">
        <v>0</v>
      </c>
      <c r="AS152" s="52">
        <v>0</v>
      </c>
      <c r="AT152" s="52">
        <v>17107.2</v>
      </c>
      <c r="AU152" s="52">
        <v>55598.400000000009</v>
      </c>
      <c r="AV152" s="52">
        <v>11975.04</v>
      </c>
      <c r="AW152" s="52">
        <v>5248.8</v>
      </c>
      <c r="AX152" s="52">
        <v>24494.400000000001</v>
      </c>
      <c r="AY152" s="52">
        <v>4898.880000000001</v>
      </c>
      <c r="AZ152" s="52">
        <v>19440</v>
      </c>
      <c r="BA152" s="52">
        <v>46656.000000000007</v>
      </c>
      <c r="BB152" s="52">
        <v>10886.400000000001</v>
      </c>
      <c r="BC152" s="52">
        <v>5832.0000000000009</v>
      </c>
      <c r="BD152" s="52">
        <v>25272.000000000004</v>
      </c>
      <c r="BE152" s="52">
        <v>6220.8</v>
      </c>
      <c r="BF152" s="52">
        <v>12830.400000000001</v>
      </c>
      <c r="BG152" s="52">
        <v>59875.200000000004</v>
      </c>
      <c r="BH152" s="52">
        <v>11975.04</v>
      </c>
      <c r="BI152" s="52">
        <v>5248.8</v>
      </c>
      <c r="BJ152" s="52">
        <v>20693.134799999978</v>
      </c>
      <c r="BK152" s="52">
        <v>5598.7200000000012</v>
      </c>
      <c r="BL152" s="52">
        <v>0</v>
      </c>
      <c r="BM152" s="52">
        <v>0</v>
      </c>
      <c r="BN152" s="52">
        <v>0</v>
      </c>
      <c r="BO152" s="52">
        <v>0</v>
      </c>
      <c r="BP152" s="52">
        <v>0</v>
      </c>
      <c r="BQ152" s="52">
        <v>0</v>
      </c>
      <c r="BR152" s="52">
        <v>13219.2</v>
      </c>
      <c r="BS152" s="52">
        <v>18506.88</v>
      </c>
      <c r="BT152" s="52">
        <v>7931.52</v>
      </c>
      <c r="BU152" s="52">
        <v>10886.400000000001</v>
      </c>
      <c r="BV152" s="52">
        <v>14152.320000000002</v>
      </c>
      <c r="BW152" s="52">
        <v>7620.4800000000005</v>
      </c>
    </row>
    <row r="153" spans="1:75" x14ac:dyDescent="0.3">
      <c r="A153" s="8" t="s">
        <v>103</v>
      </c>
      <c r="B153" s="8" t="s">
        <v>10</v>
      </c>
      <c r="C153" s="8" t="s">
        <v>62</v>
      </c>
      <c r="D153" s="52">
        <v>44000</v>
      </c>
      <c r="E153" s="52">
        <v>154000</v>
      </c>
      <c r="F153" s="52">
        <v>66000</v>
      </c>
      <c r="G153" s="52">
        <v>18000</v>
      </c>
      <c r="H153" s="52">
        <v>63000</v>
      </c>
      <c r="I153" s="52">
        <v>27000</v>
      </c>
      <c r="J153" s="52">
        <v>30000</v>
      </c>
      <c r="K153" s="52">
        <v>150000</v>
      </c>
      <c r="L153" s="52">
        <v>60000</v>
      </c>
      <c r="M153" s="52">
        <v>12000</v>
      </c>
      <c r="N153" s="52">
        <v>52000</v>
      </c>
      <c r="O153" s="52">
        <v>31698.458880000027</v>
      </c>
      <c r="P153" s="52">
        <v>42000</v>
      </c>
      <c r="Q153" s="52">
        <v>147000</v>
      </c>
      <c r="R153" s="52">
        <v>63000</v>
      </c>
      <c r="S153" s="52">
        <v>15000</v>
      </c>
      <c r="T153" s="52">
        <v>65000</v>
      </c>
      <c r="U153" s="52">
        <v>39951.776000000056</v>
      </c>
      <c r="V153" s="52">
        <v>38000</v>
      </c>
      <c r="W153" s="52">
        <v>133000</v>
      </c>
      <c r="X153" s="52">
        <v>54664.224712146664</v>
      </c>
      <c r="Y153" s="52">
        <v>16500</v>
      </c>
      <c r="Z153" s="52">
        <v>77000</v>
      </c>
      <c r="AA153" s="52">
        <v>34605.501167853508</v>
      </c>
      <c r="AB153" s="52">
        <v>44000</v>
      </c>
      <c r="AC153" s="52">
        <v>154000</v>
      </c>
      <c r="AD153" s="52">
        <v>66000</v>
      </c>
      <c r="AE153" s="52">
        <v>13500</v>
      </c>
      <c r="AF153" s="52">
        <v>58500</v>
      </c>
      <c r="AG153" s="52">
        <v>36000</v>
      </c>
      <c r="AH153" s="52">
        <v>42000</v>
      </c>
      <c r="AI153" s="52">
        <v>147000</v>
      </c>
      <c r="AJ153" s="52">
        <v>63000</v>
      </c>
      <c r="AK153" s="52">
        <v>13500</v>
      </c>
      <c r="AL153" s="52">
        <v>63000</v>
      </c>
      <c r="AM153" s="52">
        <v>31500</v>
      </c>
      <c r="AN153" s="52">
        <v>55000</v>
      </c>
      <c r="AO153" s="52">
        <v>132000</v>
      </c>
      <c r="AP153" s="52">
        <v>77000</v>
      </c>
      <c r="AQ153" s="52">
        <v>13500</v>
      </c>
      <c r="AR153" s="52">
        <v>63000</v>
      </c>
      <c r="AS153" s="52">
        <v>31500</v>
      </c>
      <c r="AT153" s="52">
        <v>44000</v>
      </c>
      <c r="AU153" s="52">
        <v>143000</v>
      </c>
      <c r="AV153" s="52">
        <v>77000</v>
      </c>
      <c r="AW153" s="52">
        <v>13500</v>
      </c>
      <c r="AX153" s="52">
        <v>63000</v>
      </c>
      <c r="AY153" s="52">
        <v>31500</v>
      </c>
      <c r="AZ153" s="52">
        <v>50000</v>
      </c>
      <c r="BA153" s="52">
        <v>120000</v>
      </c>
      <c r="BB153" s="52">
        <v>70000</v>
      </c>
      <c r="BC153" s="52">
        <v>15000</v>
      </c>
      <c r="BD153" s="52">
        <v>65000</v>
      </c>
      <c r="BE153" s="52">
        <v>40000</v>
      </c>
      <c r="BF153" s="52">
        <v>33000</v>
      </c>
      <c r="BG153" s="52">
        <v>154000</v>
      </c>
      <c r="BH153" s="52">
        <v>72893.982168495728</v>
      </c>
      <c r="BI153" s="52">
        <v>13500</v>
      </c>
      <c r="BJ153" s="52">
        <v>58500</v>
      </c>
      <c r="BK153" s="52">
        <v>32307.938391504416</v>
      </c>
      <c r="BL153" s="52">
        <v>21000</v>
      </c>
      <c r="BM153" s="52">
        <v>157500</v>
      </c>
      <c r="BN153" s="52">
        <v>73500</v>
      </c>
      <c r="BO153" s="52">
        <v>13500</v>
      </c>
      <c r="BP153" s="52">
        <v>58500</v>
      </c>
      <c r="BQ153" s="52">
        <v>36000</v>
      </c>
      <c r="BR153" s="52">
        <v>34000</v>
      </c>
      <c r="BS153" s="52">
        <v>119000</v>
      </c>
      <c r="BT153" s="52">
        <v>43911.952680000169</v>
      </c>
      <c r="BU153" s="52">
        <v>28000</v>
      </c>
      <c r="BV153" s="52">
        <v>91000</v>
      </c>
      <c r="BW153" s="52">
        <v>26449.017140000149</v>
      </c>
    </row>
    <row r="154" spans="1:75" x14ac:dyDescent="0.3">
      <c r="A154" s="8" t="s">
        <v>103</v>
      </c>
      <c r="B154" s="8" t="s">
        <v>10</v>
      </c>
      <c r="C154" s="8" t="s">
        <v>63</v>
      </c>
      <c r="D154" s="52">
        <v>44000</v>
      </c>
      <c r="E154" s="52">
        <v>154000</v>
      </c>
      <c r="F154" s="52">
        <v>13200.000000000002</v>
      </c>
      <c r="G154" s="52">
        <v>18000</v>
      </c>
      <c r="H154" s="52">
        <v>56946.580740000041</v>
      </c>
      <c r="I154" s="52">
        <v>5400</v>
      </c>
      <c r="J154" s="52">
        <v>30000</v>
      </c>
      <c r="K154" s="52">
        <v>150000</v>
      </c>
      <c r="L154" s="52">
        <v>12000</v>
      </c>
      <c r="M154" s="52">
        <v>12000</v>
      </c>
      <c r="N154" s="52">
        <v>46801.95520000004</v>
      </c>
      <c r="O154" s="52">
        <v>6400</v>
      </c>
      <c r="P154" s="52">
        <v>42000</v>
      </c>
      <c r="Q154" s="52">
        <v>147000</v>
      </c>
      <c r="R154" s="52">
        <v>12600.000000000002</v>
      </c>
      <c r="S154" s="52">
        <v>15000</v>
      </c>
      <c r="T154" s="52">
        <v>49130.394299999978</v>
      </c>
      <c r="U154" s="52">
        <v>8000</v>
      </c>
      <c r="V154" s="52">
        <v>34974.668760000037</v>
      </c>
      <c r="W154" s="52">
        <v>133000</v>
      </c>
      <c r="X154" s="52">
        <v>11400</v>
      </c>
      <c r="Y154" s="52">
        <v>0</v>
      </c>
      <c r="Z154" s="52">
        <v>0</v>
      </c>
      <c r="AA154" s="52">
        <v>0</v>
      </c>
      <c r="AB154" s="52">
        <v>44000</v>
      </c>
      <c r="AC154" s="52">
        <v>154000</v>
      </c>
      <c r="AD154" s="52">
        <v>13200.000000000002</v>
      </c>
      <c r="AE154" s="52">
        <v>13500</v>
      </c>
      <c r="AF154" s="52">
        <v>56690.805600000029</v>
      </c>
      <c r="AG154" s="52">
        <v>7200</v>
      </c>
      <c r="AH154" s="52">
        <v>42000</v>
      </c>
      <c r="AI154" s="52">
        <v>147000</v>
      </c>
      <c r="AJ154" s="52">
        <v>26448.886237576258</v>
      </c>
      <c r="AK154" s="52">
        <v>13500</v>
      </c>
      <c r="AL154" s="52">
        <v>63000</v>
      </c>
      <c r="AM154" s="52">
        <v>13224.443118788129</v>
      </c>
      <c r="AN154" s="52">
        <v>55000</v>
      </c>
      <c r="AO154" s="52">
        <v>132000</v>
      </c>
      <c r="AP154" s="52">
        <v>60405.417380000086</v>
      </c>
      <c r="AQ154" s="52">
        <v>13500</v>
      </c>
      <c r="AR154" s="52">
        <v>63000</v>
      </c>
      <c r="AS154" s="52">
        <v>17466.493590000024</v>
      </c>
      <c r="AT154" s="52">
        <v>43208.002639999919</v>
      </c>
      <c r="AU154" s="52">
        <v>143000</v>
      </c>
      <c r="AV154" s="52">
        <v>25060.704900000055</v>
      </c>
      <c r="AW154" s="52">
        <v>0</v>
      </c>
      <c r="AX154" s="52">
        <v>0</v>
      </c>
      <c r="AY154" s="52">
        <v>0</v>
      </c>
      <c r="AZ154" s="52">
        <v>50000</v>
      </c>
      <c r="BA154" s="52">
        <v>120000</v>
      </c>
      <c r="BB154" s="52">
        <v>24347.807400000038</v>
      </c>
      <c r="BC154" s="52">
        <v>0</v>
      </c>
      <c r="BD154" s="52">
        <v>0</v>
      </c>
      <c r="BE154" s="52">
        <v>0</v>
      </c>
      <c r="BF154" s="52">
        <v>33000</v>
      </c>
      <c r="BG154" s="52">
        <v>154000</v>
      </c>
      <c r="BH154" s="52">
        <v>15400</v>
      </c>
      <c r="BI154" s="52">
        <v>0</v>
      </c>
      <c r="BJ154" s="52">
        <v>0</v>
      </c>
      <c r="BK154" s="52">
        <v>0</v>
      </c>
      <c r="BL154" s="52">
        <v>21000</v>
      </c>
      <c r="BM154" s="52">
        <v>157500</v>
      </c>
      <c r="BN154" s="52">
        <v>17987.046419999951</v>
      </c>
      <c r="BO154" s="52">
        <v>13500</v>
      </c>
      <c r="BP154" s="52">
        <v>57581.849075454484</v>
      </c>
      <c r="BQ154" s="52">
        <v>8199.5486400000027</v>
      </c>
      <c r="BR154" s="52">
        <v>34000</v>
      </c>
      <c r="BS154" s="52">
        <v>119000</v>
      </c>
      <c r="BT154" s="52">
        <v>10200.000000000002</v>
      </c>
      <c r="BU154" s="52">
        <v>28000</v>
      </c>
      <c r="BV154" s="52">
        <v>78103.323539999881</v>
      </c>
      <c r="BW154" s="52">
        <v>9800</v>
      </c>
    </row>
    <row r="155" spans="1:75" x14ac:dyDescent="0.3">
      <c r="A155" s="8" t="s">
        <v>103</v>
      </c>
      <c r="B155" s="8" t="s">
        <v>10</v>
      </c>
      <c r="C155" s="8" t="s">
        <v>64</v>
      </c>
      <c r="D155" s="52">
        <v>44000</v>
      </c>
      <c r="E155" s="52">
        <v>154000</v>
      </c>
      <c r="F155" s="52">
        <v>13200.000000000002</v>
      </c>
      <c r="G155" s="52">
        <v>0</v>
      </c>
      <c r="H155" s="52">
        <v>0</v>
      </c>
      <c r="I155" s="52">
        <v>0</v>
      </c>
      <c r="J155" s="52">
        <v>30000</v>
      </c>
      <c r="K155" s="52">
        <v>150000</v>
      </c>
      <c r="L155" s="52">
        <v>12000</v>
      </c>
      <c r="M155" s="52">
        <v>0</v>
      </c>
      <c r="N155" s="52">
        <v>0</v>
      </c>
      <c r="O155" s="52">
        <v>0</v>
      </c>
      <c r="P155" s="52">
        <v>0</v>
      </c>
      <c r="Q155" s="52">
        <v>0</v>
      </c>
      <c r="R155" s="52">
        <v>0</v>
      </c>
      <c r="S155" s="52">
        <v>0</v>
      </c>
      <c r="T155" s="52">
        <v>0</v>
      </c>
      <c r="U155" s="52">
        <v>0</v>
      </c>
      <c r="V155" s="52">
        <v>0</v>
      </c>
      <c r="W155" s="52">
        <v>0</v>
      </c>
      <c r="X155" s="52">
        <v>0</v>
      </c>
      <c r="Y155" s="52">
        <v>0</v>
      </c>
      <c r="Z155" s="52">
        <v>0</v>
      </c>
      <c r="AA155" s="52">
        <v>0</v>
      </c>
      <c r="AB155" s="52">
        <v>44000</v>
      </c>
      <c r="AC155" s="52">
        <v>154000</v>
      </c>
      <c r="AD155" s="52">
        <v>13200.000000000002</v>
      </c>
      <c r="AE155" s="52">
        <v>0</v>
      </c>
      <c r="AF155" s="52">
        <v>0</v>
      </c>
      <c r="AG155" s="52">
        <v>0</v>
      </c>
      <c r="AH155" s="52">
        <v>42000</v>
      </c>
      <c r="AI155" s="52">
        <v>147000</v>
      </c>
      <c r="AJ155" s="52">
        <v>12600.000000000002</v>
      </c>
      <c r="AK155" s="52">
        <v>0</v>
      </c>
      <c r="AL155" s="52">
        <v>0</v>
      </c>
      <c r="AM155" s="52">
        <v>0</v>
      </c>
      <c r="AN155" s="52">
        <v>55000</v>
      </c>
      <c r="AO155" s="52">
        <v>132000</v>
      </c>
      <c r="AP155" s="52">
        <v>15400</v>
      </c>
      <c r="AQ155" s="52">
        <v>0</v>
      </c>
      <c r="AR155" s="52">
        <v>0</v>
      </c>
      <c r="AS155" s="52">
        <v>0</v>
      </c>
      <c r="AT155" s="52">
        <v>0</v>
      </c>
      <c r="AU155" s="52">
        <v>0</v>
      </c>
      <c r="AV155" s="52">
        <v>0</v>
      </c>
      <c r="AW155" s="52">
        <v>0</v>
      </c>
      <c r="AX155" s="52">
        <v>0</v>
      </c>
      <c r="AY155" s="52">
        <v>0</v>
      </c>
      <c r="AZ155" s="52">
        <v>0</v>
      </c>
      <c r="BA155" s="52">
        <v>0</v>
      </c>
      <c r="BB155" s="52">
        <v>0</v>
      </c>
      <c r="BC155" s="52">
        <v>0</v>
      </c>
      <c r="BD155" s="52">
        <v>0</v>
      </c>
      <c r="BE155" s="52">
        <v>0</v>
      </c>
      <c r="BF155" s="52">
        <v>0</v>
      </c>
      <c r="BG155" s="52">
        <v>0</v>
      </c>
      <c r="BH155" s="52">
        <v>0</v>
      </c>
      <c r="BI155" s="52">
        <v>0</v>
      </c>
      <c r="BJ155" s="52">
        <v>0</v>
      </c>
      <c r="BK155" s="52">
        <v>0</v>
      </c>
      <c r="BL155" s="52">
        <v>21000</v>
      </c>
      <c r="BM155" s="52">
        <v>157500</v>
      </c>
      <c r="BN155" s="52">
        <v>14700.000000000002</v>
      </c>
      <c r="BO155" s="52">
        <v>0</v>
      </c>
      <c r="BP155" s="52">
        <v>0</v>
      </c>
      <c r="BQ155" s="52">
        <v>0</v>
      </c>
      <c r="BR155" s="52">
        <v>34000</v>
      </c>
      <c r="BS155" s="52">
        <v>105278.47414000008</v>
      </c>
      <c r="BT155" s="52">
        <v>10200.000000000002</v>
      </c>
      <c r="BU155" s="52">
        <v>0</v>
      </c>
      <c r="BV155" s="52">
        <v>0</v>
      </c>
      <c r="BW155" s="52">
        <v>0</v>
      </c>
    </row>
    <row r="156" spans="1:75" x14ac:dyDescent="0.3">
      <c r="A156" s="8" t="s">
        <v>103</v>
      </c>
      <c r="B156" s="8" t="s">
        <v>10</v>
      </c>
      <c r="C156" s="8" t="s">
        <v>65</v>
      </c>
      <c r="D156" s="52">
        <v>58739.999999999993</v>
      </c>
      <c r="E156" s="52">
        <v>205590</v>
      </c>
      <c r="F156" s="52">
        <v>88110</v>
      </c>
      <c r="G156" s="52">
        <v>24030</v>
      </c>
      <c r="H156" s="52">
        <v>84105</v>
      </c>
      <c r="I156" s="52">
        <v>36045</v>
      </c>
      <c r="J156" s="52">
        <v>40050</v>
      </c>
      <c r="K156" s="52">
        <v>200250</v>
      </c>
      <c r="L156" s="52">
        <v>80100</v>
      </c>
      <c r="M156" s="52">
        <v>16020</v>
      </c>
      <c r="N156" s="52">
        <v>69420</v>
      </c>
      <c r="O156" s="52">
        <v>42720</v>
      </c>
      <c r="P156" s="52">
        <v>56070</v>
      </c>
      <c r="Q156" s="52">
        <v>196245</v>
      </c>
      <c r="R156" s="52">
        <v>84105</v>
      </c>
      <c r="S156" s="52">
        <v>20025</v>
      </c>
      <c r="T156" s="52">
        <v>86774.999999999985</v>
      </c>
      <c r="U156" s="52">
        <v>53400</v>
      </c>
      <c r="V156" s="52">
        <v>50730</v>
      </c>
      <c r="W156" s="52">
        <v>177555</v>
      </c>
      <c r="X156" s="52">
        <v>76095</v>
      </c>
      <c r="Y156" s="52">
        <v>22027.5</v>
      </c>
      <c r="Z156" s="52">
        <v>102795</v>
      </c>
      <c r="AA156" s="52">
        <v>51397.5</v>
      </c>
      <c r="AB156" s="52">
        <v>58739.999999999993</v>
      </c>
      <c r="AC156" s="52">
        <v>205590</v>
      </c>
      <c r="AD156" s="52">
        <v>88110</v>
      </c>
      <c r="AE156" s="52">
        <v>18022.5</v>
      </c>
      <c r="AF156" s="52">
        <v>78097.5</v>
      </c>
      <c r="AG156" s="52">
        <v>48060</v>
      </c>
      <c r="AH156" s="52">
        <v>56070</v>
      </c>
      <c r="AI156" s="52">
        <v>196245</v>
      </c>
      <c r="AJ156" s="52">
        <v>84105</v>
      </c>
      <c r="AK156" s="52">
        <v>18022.5</v>
      </c>
      <c r="AL156" s="52">
        <v>84105</v>
      </c>
      <c r="AM156" s="52">
        <v>42052.5</v>
      </c>
      <c r="AN156" s="52">
        <v>73425</v>
      </c>
      <c r="AO156" s="52">
        <v>176220</v>
      </c>
      <c r="AP156" s="52">
        <v>102795</v>
      </c>
      <c r="AQ156" s="52">
        <v>18022.5</v>
      </c>
      <c r="AR156" s="52">
        <v>84105</v>
      </c>
      <c r="AS156" s="52">
        <v>42052.5</v>
      </c>
      <c r="AT156" s="52">
        <v>58739.999999999993</v>
      </c>
      <c r="AU156" s="52">
        <v>190905</v>
      </c>
      <c r="AV156" s="52">
        <v>102795</v>
      </c>
      <c r="AW156" s="52">
        <v>18022.5</v>
      </c>
      <c r="AX156" s="52">
        <v>84105</v>
      </c>
      <c r="AY156" s="52">
        <v>42052.5</v>
      </c>
      <c r="AZ156" s="52">
        <v>66750</v>
      </c>
      <c r="BA156" s="52">
        <v>160200</v>
      </c>
      <c r="BB156" s="52">
        <v>93450</v>
      </c>
      <c r="BC156" s="52">
        <v>20025</v>
      </c>
      <c r="BD156" s="52">
        <v>86774.999999999985</v>
      </c>
      <c r="BE156" s="52">
        <v>53400</v>
      </c>
      <c r="BF156" s="52">
        <v>44055</v>
      </c>
      <c r="BG156" s="52">
        <v>205590</v>
      </c>
      <c r="BH156" s="52">
        <v>102795</v>
      </c>
      <c r="BI156" s="52">
        <v>18022.5</v>
      </c>
      <c r="BJ156" s="52">
        <v>78097.5</v>
      </c>
      <c r="BK156" s="52">
        <v>48060</v>
      </c>
      <c r="BL156" s="52">
        <v>28035</v>
      </c>
      <c r="BM156" s="52">
        <v>210262.5</v>
      </c>
      <c r="BN156" s="52">
        <v>98122.5</v>
      </c>
      <c r="BO156" s="52">
        <v>18022.5</v>
      </c>
      <c r="BP156" s="52">
        <v>78097.5</v>
      </c>
      <c r="BQ156" s="52">
        <v>48060</v>
      </c>
      <c r="BR156" s="52">
        <v>45390</v>
      </c>
      <c r="BS156" s="52">
        <v>158865</v>
      </c>
      <c r="BT156" s="52">
        <v>68085</v>
      </c>
      <c r="BU156" s="52">
        <v>37379.999999999993</v>
      </c>
      <c r="BV156" s="52">
        <v>121485</v>
      </c>
      <c r="BW156" s="52">
        <v>65414.999999999993</v>
      </c>
    </row>
    <row r="157" spans="1:75" x14ac:dyDescent="0.3">
      <c r="A157" s="8" t="s">
        <v>103</v>
      </c>
      <c r="B157" s="8" t="s">
        <v>10</v>
      </c>
      <c r="C157" s="8" t="s">
        <v>66</v>
      </c>
      <c r="D157" s="52">
        <v>0</v>
      </c>
      <c r="E157" s="52">
        <v>0</v>
      </c>
      <c r="F157" s="52">
        <v>0</v>
      </c>
      <c r="G157" s="52">
        <v>0</v>
      </c>
      <c r="H157" s="52">
        <v>0</v>
      </c>
      <c r="I157" s="52">
        <v>0</v>
      </c>
      <c r="J157" s="52">
        <v>0</v>
      </c>
      <c r="K157" s="52">
        <v>0</v>
      </c>
      <c r="L157" s="52">
        <v>0</v>
      </c>
      <c r="M157" s="52">
        <v>0</v>
      </c>
      <c r="N157" s="52">
        <v>0</v>
      </c>
      <c r="O157" s="52">
        <v>0</v>
      </c>
      <c r="P157" s="52">
        <v>0</v>
      </c>
      <c r="Q157" s="52">
        <v>0</v>
      </c>
      <c r="R157" s="52">
        <v>0</v>
      </c>
      <c r="S157" s="52">
        <v>0</v>
      </c>
      <c r="T157" s="52">
        <v>0</v>
      </c>
      <c r="U157" s="52">
        <v>0</v>
      </c>
      <c r="V157" s="52">
        <v>0</v>
      </c>
      <c r="W157" s="52">
        <v>0</v>
      </c>
      <c r="X157" s="52">
        <v>0</v>
      </c>
      <c r="Y157" s="52">
        <v>0</v>
      </c>
      <c r="Z157" s="52">
        <v>0</v>
      </c>
      <c r="AA157" s="52">
        <v>0</v>
      </c>
      <c r="AB157" s="52">
        <v>0</v>
      </c>
      <c r="AC157" s="52">
        <v>0</v>
      </c>
      <c r="AD157" s="52">
        <v>0</v>
      </c>
      <c r="AE157" s="52">
        <v>0</v>
      </c>
      <c r="AF157" s="52">
        <v>0</v>
      </c>
      <c r="AG157" s="52">
        <v>0</v>
      </c>
      <c r="AH157" s="52">
        <v>0</v>
      </c>
      <c r="AI157" s="52">
        <v>0</v>
      </c>
      <c r="AJ157" s="52">
        <v>0</v>
      </c>
      <c r="AK157" s="52">
        <v>0</v>
      </c>
      <c r="AL157" s="52">
        <v>0</v>
      </c>
      <c r="AM157" s="52">
        <v>0</v>
      </c>
      <c r="AN157" s="52">
        <v>0</v>
      </c>
      <c r="AO157" s="52">
        <v>0</v>
      </c>
      <c r="AP157" s="52">
        <v>0</v>
      </c>
      <c r="AQ157" s="52">
        <v>0</v>
      </c>
      <c r="AR157" s="52">
        <v>0</v>
      </c>
      <c r="AS157" s="52">
        <v>0</v>
      </c>
      <c r="AT157" s="52">
        <v>0</v>
      </c>
      <c r="AU157" s="52">
        <v>0</v>
      </c>
      <c r="AV157" s="52">
        <v>0</v>
      </c>
      <c r="AW157" s="52">
        <v>0</v>
      </c>
      <c r="AX157" s="52">
        <v>0</v>
      </c>
      <c r="AY157" s="52">
        <v>0</v>
      </c>
      <c r="AZ157" s="52">
        <v>0</v>
      </c>
      <c r="BA157" s="52">
        <v>0</v>
      </c>
      <c r="BB157" s="52">
        <v>0</v>
      </c>
      <c r="BC157" s="52">
        <v>0</v>
      </c>
      <c r="BD157" s="52">
        <v>0</v>
      </c>
      <c r="BE157" s="52">
        <v>0</v>
      </c>
      <c r="BF157" s="52">
        <v>0</v>
      </c>
      <c r="BG157" s="52">
        <v>0</v>
      </c>
      <c r="BH157" s="52">
        <v>0</v>
      </c>
      <c r="BI157" s="52">
        <v>0</v>
      </c>
      <c r="BJ157" s="52">
        <v>0</v>
      </c>
      <c r="BK157" s="52">
        <v>0</v>
      </c>
      <c r="BL157" s="52">
        <v>0</v>
      </c>
      <c r="BM157" s="52">
        <v>0</v>
      </c>
      <c r="BN157" s="52">
        <v>0</v>
      </c>
      <c r="BO157" s="52">
        <v>0</v>
      </c>
      <c r="BP157" s="52">
        <v>0</v>
      </c>
      <c r="BQ157" s="52">
        <v>0</v>
      </c>
      <c r="BR157" s="52">
        <v>0</v>
      </c>
      <c r="BS157" s="52">
        <v>0</v>
      </c>
      <c r="BT157" s="52">
        <v>0</v>
      </c>
      <c r="BU157" s="52">
        <v>0</v>
      </c>
      <c r="BV157" s="52">
        <v>0</v>
      </c>
      <c r="BW157" s="52">
        <v>0</v>
      </c>
    </row>
    <row r="158" spans="1:75" x14ac:dyDescent="0.3">
      <c r="A158" s="8" t="s">
        <v>103</v>
      </c>
      <c r="B158" s="8" t="s">
        <v>10</v>
      </c>
      <c r="C158" s="8" t="s">
        <v>67</v>
      </c>
      <c r="D158" s="52">
        <v>0</v>
      </c>
      <c r="E158" s="52">
        <v>0</v>
      </c>
      <c r="F158" s="52">
        <v>0</v>
      </c>
      <c r="G158" s="52">
        <v>0</v>
      </c>
      <c r="H158" s="52">
        <v>0</v>
      </c>
      <c r="I158" s="52">
        <v>0</v>
      </c>
      <c r="J158" s="52">
        <v>0</v>
      </c>
      <c r="K158" s="52">
        <v>0</v>
      </c>
      <c r="L158" s="52">
        <v>0</v>
      </c>
      <c r="M158" s="52">
        <v>0</v>
      </c>
      <c r="N158" s="52">
        <v>0</v>
      </c>
      <c r="O158" s="52">
        <v>0</v>
      </c>
      <c r="P158" s="52">
        <v>0</v>
      </c>
      <c r="Q158" s="52">
        <v>0</v>
      </c>
      <c r="R158" s="52">
        <v>0</v>
      </c>
      <c r="S158" s="52">
        <v>0</v>
      </c>
      <c r="T158" s="52">
        <v>0</v>
      </c>
      <c r="U158" s="52">
        <v>0</v>
      </c>
      <c r="V158" s="52">
        <v>0</v>
      </c>
      <c r="W158" s="52">
        <v>0</v>
      </c>
      <c r="X158" s="52">
        <v>0</v>
      </c>
      <c r="Y158" s="52">
        <v>0</v>
      </c>
      <c r="Z158" s="52">
        <v>0</v>
      </c>
      <c r="AA158" s="52">
        <v>0</v>
      </c>
      <c r="AB158" s="52">
        <v>0</v>
      </c>
      <c r="AC158" s="52">
        <v>0</v>
      </c>
      <c r="AD158" s="52">
        <v>0</v>
      </c>
      <c r="AE158" s="52">
        <v>0</v>
      </c>
      <c r="AF158" s="52">
        <v>0</v>
      </c>
      <c r="AG158" s="52">
        <v>0</v>
      </c>
      <c r="AH158" s="52">
        <v>0</v>
      </c>
      <c r="AI158" s="52">
        <v>0</v>
      </c>
      <c r="AJ158" s="52">
        <v>0</v>
      </c>
      <c r="AK158" s="52">
        <v>0</v>
      </c>
      <c r="AL158" s="52">
        <v>0</v>
      </c>
      <c r="AM158" s="52">
        <v>0</v>
      </c>
      <c r="AN158" s="52">
        <v>0</v>
      </c>
      <c r="AO158" s="52">
        <v>0</v>
      </c>
      <c r="AP158" s="52">
        <v>0</v>
      </c>
      <c r="AQ158" s="52">
        <v>0</v>
      </c>
      <c r="AR158" s="52">
        <v>0</v>
      </c>
      <c r="AS158" s="52">
        <v>0</v>
      </c>
      <c r="AT158" s="52">
        <v>0</v>
      </c>
      <c r="AU158" s="52">
        <v>0</v>
      </c>
      <c r="AV158" s="52">
        <v>0</v>
      </c>
      <c r="AW158" s="52">
        <v>0</v>
      </c>
      <c r="AX158" s="52">
        <v>0</v>
      </c>
      <c r="AY158" s="52">
        <v>0</v>
      </c>
      <c r="AZ158" s="52">
        <v>0</v>
      </c>
      <c r="BA158" s="52">
        <v>0</v>
      </c>
      <c r="BB158" s="52">
        <v>0</v>
      </c>
      <c r="BC158" s="52">
        <v>0</v>
      </c>
      <c r="BD158" s="52">
        <v>0</v>
      </c>
      <c r="BE158" s="52">
        <v>0</v>
      </c>
      <c r="BF158" s="52">
        <v>0</v>
      </c>
      <c r="BG158" s="52">
        <v>0</v>
      </c>
      <c r="BH158" s="52">
        <v>0</v>
      </c>
      <c r="BI158" s="52">
        <v>0</v>
      </c>
      <c r="BJ158" s="52">
        <v>0</v>
      </c>
      <c r="BK158" s="52">
        <v>0</v>
      </c>
      <c r="BL158" s="52">
        <v>0</v>
      </c>
      <c r="BM158" s="52">
        <v>0</v>
      </c>
      <c r="BN158" s="52">
        <v>0</v>
      </c>
      <c r="BO158" s="52">
        <v>0</v>
      </c>
      <c r="BP158" s="52">
        <v>0</v>
      </c>
      <c r="BQ158" s="52">
        <v>0</v>
      </c>
      <c r="BR158" s="52">
        <v>0</v>
      </c>
      <c r="BS158" s="52">
        <v>0</v>
      </c>
      <c r="BT158" s="52">
        <v>0</v>
      </c>
      <c r="BU158" s="52">
        <v>0</v>
      </c>
      <c r="BV158" s="52">
        <v>0</v>
      </c>
      <c r="BW158" s="52">
        <v>0</v>
      </c>
    </row>
    <row r="159" spans="1:75" x14ac:dyDescent="0.3">
      <c r="A159" s="8" t="s">
        <v>103</v>
      </c>
      <c r="B159" s="8" t="s">
        <v>10</v>
      </c>
      <c r="C159" s="8" t="s">
        <v>68</v>
      </c>
      <c r="D159" s="52">
        <v>0</v>
      </c>
      <c r="E159" s="52">
        <v>0</v>
      </c>
      <c r="F159" s="52">
        <v>0</v>
      </c>
      <c r="G159" s="52">
        <v>0</v>
      </c>
      <c r="H159" s="52">
        <v>0</v>
      </c>
      <c r="I159" s="52">
        <v>0</v>
      </c>
      <c r="J159" s="52">
        <v>0</v>
      </c>
      <c r="K159" s="52">
        <v>0</v>
      </c>
      <c r="L159" s="52">
        <v>0</v>
      </c>
      <c r="M159" s="52">
        <v>0</v>
      </c>
      <c r="N159" s="52">
        <v>0</v>
      </c>
      <c r="O159" s="52">
        <v>0</v>
      </c>
      <c r="P159" s="52">
        <v>0</v>
      </c>
      <c r="Q159" s="52">
        <v>0</v>
      </c>
      <c r="R159" s="52">
        <v>0</v>
      </c>
      <c r="S159" s="52">
        <v>0</v>
      </c>
      <c r="T159" s="52">
        <v>0</v>
      </c>
      <c r="U159" s="52">
        <v>0</v>
      </c>
      <c r="V159" s="52">
        <v>0</v>
      </c>
      <c r="W159" s="52">
        <v>0</v>
      </c>
      <c r="X159" s="52">
        <v>0</v>
      </c>
      <c r="Y159" s="52">
        <v>0</v>
      </c>
      <c r="Z159" s="52">
        <v>0</v>
      </c>
      <c r="AA159" s="52">
        <v>0</v>
      </c>
      <c r="AB159" s="52">
        <v>0</v>
      </c>
      <c r="AC159" s="52">
        <v>0</v>
      </c>
      <c r="AD159" s="52">
        <v>0</v>
      </c>
      <c r="AE159" s="52">
        <v>0</v>
      </c>
      <c r="AF159" s="52">
        <v>0</v>
      </c>
      <c r="AG159" s="52">
        <v>0</v>
      </c>
      <c r="AH159" s="52">
        <v>0</v>
      </c>
      <c r="AI159" s="52">
        <v>0</v>
      </c>
      <c r="AJ159" s="52">
        <v>0</v>
      </c>
      <c r="AK159" s="52">
        <v>0</v>
      </c>
      <c r="AL159" s="52">
        <v>0</v>
      </c>
      <c r="AM159" s="52">
        <v>0</v>
      </c>
      <c r="AN159" s="52">
        <v>0</v>
      </c>
      <c r="AO159" s="52">
        <v>0</v>
      </c>
      <c r="AP159" s="52">
        <v>0</v>
      </c>
      <c r="AQ159" s="52">
        <v>0</v>
      </c>
      <c r="AR159" s="52">
        <v>0</v>
      </c>
      <c r="AS159" s="52">
        <v>0</v>
      </c>
      <c r="AT159" s="52">
        <v>0</v>
      </c>
      <c r="AU159" s="52">
        <v>0</v>
      </c>
      <c r="AV159" s="52">
        <v>0</v>
      </c>
      <c r="AW159" s="52">
        <v>0</v>
      </c>
      <c r="AX159" s="52">
        <v>0</v>
      </c>
      <c r="AY159" s="52">
        <v>0</v>
      </c>
      <c r="AZ159" s="52">
        <v>0</v>
      </c>
      <c r="BA159" s="52">
        <v>0</v>
      </c>
      <c r="BB159" s="52">
        <v>0</v>
      </c>
      <c r="BC159" s="52">
        <v>0</v>
      </c>
      <c r="BD159" s="52">
        <v>0</v>
      </c>
      <c r="BE159" s="52">
        <v>0</v>
      </c>
      <c r="BF159" s="52">
        <v>0</v>
      </c>
      <c r="BG159" s="52">
        <v>0</v>
      </c>
      <c r="BH159" s="52">
        <v>0</v>
      </c>
      <c r="BI159" s="52">
        <v>0</v>
      </c>
      <c r="BJ159" s="52">
        <v>0</v>
      </c>
      <c r="BK159" s="52">
        <v>0</v>
      </c>
      <c r="BL159" s="52">
        <v>0</v>
      </c>
      <c r="BM159" s="52">
        <v>0</v>
      </c>
      <c r="BN159" s="52">
        <v>0</v>
      </c>
      <c r="BO159" s="52">
        <v>0</v>
      </c>
      <c r="BP159" s="52">
        <v>0</v>
      </c>
      <c r="BQ159" s="52">
        <v>0</v>
      </c>
      <c r="BR159" s="52">
        <v>0</v>
      </c>
      <c r="BS159" s="52">
        <v>0</v>
      </c>
      <c r="BT159" s="52">
        <v>0</v>
      </c>
      <c r="BU159" s="52">
        <v>0</v>
      </c>
      <c r="BV159" s="52">
        <v>0</v>
      </c>
      <c r="BW159" s="52">
        <v>0</v>
      </c>
    </row>
    <row r="160" spans="1:75" x14ac:dyDescent="0.3">
      <c r="A160" s="8" t="s">
        <v>103</v>
      </c>
      <c r="B160" s="8" t="s">
        <v>10</v>
      </c>
      <c r="C160" s="8" t="s">
        <v>69</v>
      </c>
      <c r="D160" s="52">
        <v>0</v>
      </c>
      <c r="E160" s="52">
        <v>0</v>
      </c>
      <c r="F160" s="52">
        <v>0</v>
      </c>
      <c r="G160" s="52">
        <v>0</v>
      </c>
      <c r="H160" s="52">
        <v>0</v>
      </c>
      <c r="I160" s="52">
        <v>0</v>
      </c>
      <c r="J160" s="52">
        <v>0</v>
      </c>
      <c r="K160" s="52">
        <v>0</v>
      </c>
      <c r="L160" s="52">
        <v>0</v>
      </c>
      <c r="M160" s="52">
        <v>0</v>
      </c>
      <c r="N160" s="52">
        <v>0</v>
      </c>
      <c r="O160" s="52">
        <v>0</v>
      </c>
      <c r="P160" s="52">
        <v>0</v>
      </c>
      <c r="Q160" s="52">
        <v>0</v>
      </c>
      <c r="R160" s="52">
        <v>0</v>
      </c>
      <c r="S160" s="52">
        <v>0</v>
      </c>
      <c r="T160" s="52">
        <v>0</v>
      </c>
      <c r="U160" s="52">
        <v>0</v>
      </c>
      <c r="V160" s="52">
        <v>0</v>
      </c>
      <c r="W160" s="52">
        <v>0</v>
      </c>
      <c r="X160" s="52">
        <v>0</v>
      </c>
      <c r="Y160" s="52">
        <v>0</v>
      </c>
      <c r="Z160" s="52">
        <v>0</v>
      </c>
      <c r="AA160" s="52">
        <v>0</v>
      </c>
      <c r="AB160" s="52">
        <v>0</v>
      </c>
      <c r="AC160" s="52">
        <v>0</v>
      </c>
      <c r="AD160" s="52">
        <v>0</v>
      </c>
      <c r="AE160" s="52">
        <v>0</v>
      </c>
      <c r="AF160" s="52">
        <v>0</v>
      </c>
      <c r="AG160" s="52">
        <v>0</v>
      </c>
      <c r="AH160" s="52">
        <v>0</v>
      </c>
      <c r="AI160" s="52">
        <v>0</v>
      </c>
      <c r="AJ160" s="52">
        <v>0</v>
      </c>
      <c r="AK160" s="52">
        <v>0</v>
      </c>
      <c r="AL160" s="52">
        <v>0</v>
      </c>
      <c r="AM160" s="52">
        <v>0</v>
      </c>
      <c r="AN160" s="52">
        <v>0</v>
      </c>
      <c r="AO160" s="52">
        <v>0</v>
      </c>
      <c r="AP160" s="52">
        <v>0</v>
      </c>
      <c r="AQ160" s="52">
        <v>0</v>
      </c>
      <c r="AR160" s="52">
        <v>0</v>
      </c>
      <c r="AS160" s="52">
        <v>0</v>
      </c>
      <c r="AT160" s="52">
        <v>0</v>
      </c>
      <c r="AU160" s="52">
        <v>0</v>
      </c>
      <c r="AV160" s="52">
        <v>0</v>
      </c>
      <c r="AW160" s="52">
        <v>0</v>
      </c>
      <c r="AX160" s="52">
        <v>0</v>
      </c>
      <c r="AY160" s="52">
        <v>0</v>
      </c>
      <c r="AZ160" s="52">
        <v>0</v>
      </c>
      <c r="BA160" s="52">
        <v>0</v>
      </c>
      <c r="BB160" s="52">
        <v>0</v>
      </c>
      <c r="BC160" s="52">
        <v>0</v>
      </c>
      <c r="BD160" s="52">
        <v>0</v>
      </c>
      <c r="BE160" s="52">
        <v>0</v>
      </c>
      <c r="BF160" s="52">
        <v>0</v>
      </c>
      <c r="BG160" s="52">
        <v>0</v>
      </c>
      <c r="BH160" s="52">
        <v>0</v>
      </c>
      <c r="BI160" s="52">
        <v>0</v>
      </c>
      <c r="BJ160" s="52">
        <v>0</v>
      </c>
      <c r="BK160" s="52">
        <v>0</v>
      </c>
      <c r="BL160" s="52">
        <v>0</v>
      </c>
      <c r="BM160" s="52">
        <v>0</v>
      </c>
      <c r="BN160" s="52">
        <v>0</v>
      </c>
      <c r="BO160" s="52">
        <v>0</v>
      </c>
      <c r="BP160" s="52">
        <v>0</v>
      </c>
      <c r="BQ160" s="52">
        <v>0</v>
      </c>
      <c r="BR160" s="52">
        <v>0</v>
      </c>
      <c r="BS160" s="52">
        <v>0</v>
      </c>
      <c r="BT160" s="52">
        <v>0</v>
      </c>
      <c r="BU160" s="52">
        <v>0</v>
      </c>
      <c r="BV160" s="52">
        <v>0</v>
      </c>
      <c r="BW160" s="52">
        <v>0</v>
      </c>
    </row>
    <row r="161" spans="1:75" x14ac:dyDescent="0.3">
      <c r="A161" s="8" t="s">
        <v>103</v>
      </c>
      <c r="B161" s="8" t="s">
        <v>10</v>
      </c>
      <c r="C161" s="8" t="s">
        <v>27</v>
      </c>
      <c r="D161" s="52">
        <v>13200</v>
      </c>
      <c r="E161" s="52">
        <v>46199.999999999993</v>
      </c>
      <c r="F161" s="52">
        <v>19800</v>
      </c>
      <c r="G161" s="52">
        <v>5399.9999999999991</v>
      </c>
      <c r="H161" s="52">
        <v>18900</v>
      </c>
      <c r="I161" s="52">
        <v>3636.0000000000073</v>
      </c>
      <c r="J161" s="52">
        <v>9000</v>
      </c>
      <c r="K161" s="52">
        <v>45000</v>
      </c>
      <c r="L161" s="52">
        <v>18000</v>
      </c>
      <c r="M161" s="52">
        <v>3599.9999999999995</v>
      </c>
      <c r="N161" s="52">
        <v>15600</v>
      </c>
      <c r="O161" s="52">
        <v>9600</v>
      </c>
      <c r="P161" s="52">
        <v>12600</v>
      </c>
      <c r="Q161" s="52">
        <v>44100</v>
      </c>
      <c r="R161" s="52">
        <v>18900</v>
      </c>
      <c r="S161" s="52">
        <v>4500</v>
      </c>
      <c r="T161" s="52">
        <v>19500</v>
      </c>
      <c r="U161" s="52">
        <v>12000</v>
      </c>
      <c r="V161" s="52">
        <v>11400</v>
      </c>
      <c r="W161" s="52">
        <v>39900</v>
      </c>
      <c r="X161" s="52">
        <v>9493.633507853403</v>
      </c>
      <c r="Y161" s="52">
        <v>4950</v>
      </c>
      <c r="Z161" s="52">
        <v>23099.999999999996</v>
      </c>
      <c r="AA161" s="52">
        <v>6412.366492146597</v>
      </c>
      <c r="AB161" s="52">
        <v>13200</v>
      </c>
      <c r="AC161" s="52">
        <v>46199.999999999993</v>
      </c>
      <c r="AD161" s="52">
        <v>15260.287680000041</v>
      </c>
      <c r="AE161" s="52">
        <v>4050</v>
      </c>
      <c r="AF161" s="52">
        <v>0</v>
      </c>
      <c r="AG161" s="52">
        <v>5659.3123199999591</v>
      </c>
      <c r="AH161" s="52">
        <v>12600</v>
      </c>
      <c r="AI161" s="52">
        <v>28560.532643999959</v>
      </c>
      <c r="AJ161" s="52">
        <v>0</v>
      </c>
      <c r="AK161" s="52">
        <v>4050</v>
      </c>
      <c r="AL161" s="52">
        <v>9221.4673560000392</v>
      </c>
      <c r="AM161" s="52">
        <v>0</v>
      </c>
      <c r="AN161" s="52">
        <v>13310.418240875681</v>
      </c>
      <c r="AO161" s="52">
        <v>31220.610960000187</v>
      </c>
      <c r="AP161" s="52">
        <v>0</v>
      </c>
      <c r="AQ161" s="52">
        <v>998.85533912403423</v>
      </c>
      <c r="AR161" s="52">
        <v>10716.515460000091</v>
      </c>
      <c r="AS161" s="52">
        <v>0</v>
      </c>
      <c r="AT161" s="52">
        <v>11807.820640000094</v>
      </c>
      <c r="AU161" s="52">
        <v>28333.246203397965</v>
      </c>
      <c r="AV161" s="52">
        <v>0</v>
      </c>
      <c r="AW161" s="52">
        <v>3622.8540600000292</v>
      </c>
      <c r="AX161" s="52">
        <v>12482.479096601901</v>
      </c>
      <c r="AY161" s="52">
        <v>0</v>
      </c>
      <c r="AZ161" s="52">
        <v>15000</v>
      </c>
      <c r="BA161" s="52">
        <v>36000</v>
      </c>
      <c r="BB161" s="52">
        <v>4230.545454545455</v>
      </c>
      <c r="BC161" s="52">
        <v>4500</v>
      </c>
      <c r="BD161" s="52">
        <v>19500</v>
      </c>
      <c r="BE161" s="52">
        <v>2417.454545454546</v>
      </c>
      <c r="BF161" s="52">
        <v>9900</v>
      </c>
      <c r="BG161" s="52">
        <v>46199.999999999993</v>
      </c>
      <c r="BH161" s="52">
        <v>14126.569911504423</v>
      </c>
      <c r="BI161" s="52">
        <v>4050</v>
      </c>
      <c r="BJ161" s="52">
        <v>17550</v>
      </c>
      <c r="BK161" s="52">
        <v>6604.6300884955726</v>
      </c>
      <c r="BL161" s="52">
        <v>6300</v>
      </c>
      <c r="BM161" s="52">
        <v>47250</v>
      </c>
      <c r="BN161" s="52">
        <v>22050</v>
      </c>
      <c r="BO161" s="52">
        <v>4050</v>
      </c>
      <c r="BP161" s="52">
        <v>17550</v>
      </c>
      <c r="BQ161" s="52">
        <v>10799.999999999998</v>
      </c>
      <c r="BR161" s="52">
        <v>10200</v>
      </c>
      <c r="BS161" s="52">
        <v>35699.999999999993</v>
      </c>
      <c r="BT161" s="52">
        <v>15299.999999999998</v>
      </c>
      <c r="BU161" s="52">
        <v>8400</v>
      </c>
      <c r="BV161" s="52">
        <v>27300</v>
      </c>
      <c r="BW161" s="52">
        <v>14700</v>
      </c>
    </row>
    <row r="162" spans="1:75" x14ac:dyDescent="0.3">
      <c r="A162" s="8" t="s">
        <v>103</v>
      </c>
      <c r="B162" s="8" t="s">
        <v>10</v>
      </c>
      <c r="C162" s="8" t="s">
        <v>144</v>
      </c>
      <c r="D162" s="52">
        <v>17600</v>
      </c>
      <c r="E162" s="52">
        <v>3836.5311999999867</v>
      </c>
      <c r="F162" s="52">
        <v>0</v>
      </c>
      <c r="G162" s="52">
        <v>7200</v>
      </c>
      <c r="H162" s="52">
        <v>0</v>
      </c>
      <c r="I162" s="52">
        <v>0</v>
      </c>
      <c r="J162" s="52">
        <v>12000</v>
      </c>
      <c r="K162" s="52">
        <v>0</v>
      </c>
      <c r="L162" s="52">
        <v>0</v>
      </c>
      <c r="M162" s="52">
        <v>4800.0000000000009</v>
      </c>
      <c r="N162" s="52">
        <v>0</v>
      </c>
      <c r="O162" s="52">
        <v>0</v>
      </c>
      <c r="P162" s="52">
        <v>16800</v>
      </c>
      <c r="Q162" s="52">
        <v>58800.000000000007</v>
      </c>
      <c r="R162" s="52">
        <v>0</v>
      </c>
      <c r="S162" s="52">
        <v>6000</v>
      </c>
      <c r="T162" s="52">
        <v>0</v>
      </c>
      <c r="U162" s="52">
        <v>0</v>
      </c>
      <c r="V162" s="52">
        <v>15200.000000000002</v>
      </c>
      <c r="W162" s="52">
        <v>38886.701629999741</v>
      </c>
      <c r="X162" s="52">
        <v>0</v>
      </c>
      <c r="Y162" s="52">
        <v>6600.0000000000009</v>
      </c>
      <c r="Z162" s="52">
        <v>16283.197700000077</v>
      </c>
      <c r="AA162" s="52">
        <v>0</v>
      </c>
      <c r="AB162" s="52">
        <v>17600</v>
      </c>
      <c r="AC162" s="52">
        <v>7053.286240000135</v>
      </c>
      <c r="AD162" s="52">
        <v>0</v>
      </c>
      <c r="AE162" s="52">
        <v>4921.8000300000112</v>
      </c>
      <c r="AF162" s="52">
        <v>0</v>
      </c>
      <c r="AG162" s="52">
        <v>0</v>
      </c>
      <c r="AH162" s="52">
        <v>16800</v>
      </c>
      <c r="AI162" s="52">
        <v>0</v>
      </c>
      <c r="AJ162" s="52">
        <v>0</v>
      </c>
      <c r="AK162" s="52">
        <v>3155.6460599999909</v>
      </c>
      <c r="AL162" s="52">
        <v>0</v>
      </c>
      <c r="AM162" s="52">
        <v>0</v>
      </c>
      <c r="AN162" s="52">
        <v>22000</v>
      </c>
      <c r="AO162" s="52">
        <v>0</v>
      </c>
      <c r="AP162" s="52">
        <v>0</v>
      </c>
      <c r="AQ162" s="52">
        <v>5400</v>
      </c>
      <c r="AR162" s="52">
        <v>0</v>
      </c>
      <c r="AS162" s="52">
        <v>0</v>
      </c>
      <c r="AT162" s="52">
        <v>17600</v>
      </c>
      <c r="AU162" s="52">
        <v>14099.448650389131</v>
      </c>
      <c r="AV162" s="52">
        <v>0</v>
      </c>
      <c r="AW162" s="52">
        <v>5400</v>
      </c>
      <c r="AX162" s="52">
        <v>6211.6452096119956</v>
      </c>
      <c r="AY162" s="52">
        <v>0</v>
      </c>
      <c r="AZ162" s="52">
        <v>20000</v>
      </c>
      <c r="BA162" s="52">
        <v>11802.945600000081</v>
      </c>
      <c r="BB162" s="52">
        <v>0</v>
      </c>
      <c r="BC162" s="52">
        <v>6000</v>
      </c>
      <c r="BD162" s="52">
        <v>6393.2622000000438</v>
      </c>
      <c r="BE162" s="52">
        <v>0</v>
      </c>
      <c r="BF162" s="52">
        <v>13200.000000000002</v>
      </c>
      <c r="BG162" s="52">
        <v>32699.925879998751</v>
      </c>
      <c r="BH162" s="52">
        <v>0</v>
      </c>
      <c r="BI162" s="52">
        <v>5400</v>
      </c>
      <c r="BJ162" s="52">
        <v>0</v>
      </c>
      <c r="BK162" s="52">
        <v>0</v>
      </c>
      <c r="BL162" s="52">
        <v>8400</v>
      </c>
      <c r="BM162" s="52">
        <v>53388.465359999973</v>
      </c>
      <c r="BN162" s="52">
        <v>0</v>
      </c>
      <c r="BO162" s="52">
        <v>4031.4866400000087</v>
      </c>
      <c r="BP162" s="52">
        <v>0</v>
      </c>
      <c r="BQ162" s="52">
        <v>0</v>
      </c>
      <c r="BR162" s="52">
        <v>13600.000000000002</v>
      </c>
      <c r="BS162" s="52">
        <v>47600</v>
      </c>
      <c r="BT162" s="52">
        <v>0</v>
      </c>
      <c r="BU162" s="52">
        <v>11200.000000000002</v>
      </c>
      <c r="BV162" s="52">
        <v>8014.5391999999929</v>
      </c>
      <c r="BW162" s="52">
        <v>0</v>
      </c>
    </row>
    <row r="163" spans="1:75" x14ac:dyDescent="0.3">
      <c r="A163" s="8" t="s">
        <v>103</v>
      </c>
      <c r="B163" s="8" t="s">
        <v>10</v>
      </c>
      <c r="C163" s="8" t="s">
        <v>145</v>
      </c>
      <c r="D163" s="52">
        <v>13456.58424000008</v>
      </c>
      <c r="E163" s="52">
        <v>0</v>
      </c>
      <c r="F163" s="52">
        <v>0</v>
      </c>
      <c r="G163" s="52">
        <v>5504.9662800000333</v>
      </c>
      <c r="H163" s="52">
        <v>0</v>
      </c>
      <c r="I163" s="52">
        <v>0</v>
      </c>
      <c r="J163" s="52">
        <v>7103.2416000000831</v>
      </c>
      <c r="K163" s="52">
        <v>0</v>
      </c>
      <c r="L163" s="52">
        <v>0</v>
      </c>
      <c r="M163" s="52">
        <v>340.37112000002037</v>
      </c>
      <c r="N163" s="52">
        <v>0</v>
      </c>
      <c r="O163" s="52">
        <v>0</v>
      </c>
      <c r="P163" s="52">
        <v>11539.488239999993</v>
      </c>
      <c r="Q163" s="52">
        <v>0</v>
      </c>
      <c r="R163" s="52">
        <v>0</v>
      </c>
      <c r="S163" s="52">
        <v>2606.5260000000239</v>
      </c>
      <c r="T163" s="52">
        <v>0</v>
      </c>
      <c r="U163" s="52">
        <v>0</v>
      </c>
      <c r="V163" s="52">
        <v>14315.526440000032</v>
      </c>
      <c r="W163" s="52">
        <v>0</v>
      </c>
      <c r="X163" s="52">
        <v>0</v>
      </c>
      <c r="Y163" s="52">
        <v>6215.9522700000143</v>
      </c>
      <c r="Z163" s="52">
        <v>0</v>
      </c>
      <c r="AA163" s="52">
        <v>0</v>
      </c>
      <c r="AB163" s="52">
        <v>11660.055439999969</v>
      </c>
      <c r="AC163" s="52">
        <v>0</v>
      </c>
      <c r="AD163" s="52">
        <v>0</v>
      </c>
      <c r="AE163" s="52">
        <v>0</v>
      </c>
      <c r="AF163" s="52">
        <v>0</v>
      </c>
      <c r="AG163" s="52">
        <v>0</v>
      </c>
      <c r="AH163" s="52">
        <v>5608.7052000000049</v>
      </c>
      <c r="AI163" s="52">
        <v>0</v>
      </c>
      <c r="AJ163" s="52">
        <v>0</v>
      </c>
      <c r="AK163" s="52">
        <v>1802.7981000000018</v>
      </c>
      <c r="AL163" s="52">
        <v>0</v>
      </c>
      <c r="AM163" s="52">
        <v>0</v>
      </c>
      <c r="AN163" s="52">
        <v>18722.511259124312</v>
      </c>
      <c r="AO163" s="52">
        <v>0</v>
      </c>
      <c r="AP163" s="52">
        <v>0</v>
      </c>
      <c r="AQ163" s="52">
        <v>4595.525490875968</v>
      </c>
      <c r="AR163" s="52">
        <v>0</v>
      </c>
      <c r="AS163" s="52">
        <v>0</v>
      </c>
      <c r="AT163" s="52">
        <v>17600</v>
      </c>
      <c r="AU163" s="52">
        <v>14474.132266213042</v>
      </c>
      <c r="AV163" s="52">
        <v>0</v>
      </c>
      <c r="AW163" s="52">
        <v>5400</v>
      </c>
      <c r="AX163" s="52">
        <v>6376.7156137861648</v>
      </c>
      <c r="AY163" s="52">
        <v>0</v>
      </c>
      <c r="AZ163" s="52">
        <v>20000</v>
      </c>
      <c r="BA163" s="52">
        <v>0</v>
      </c>
      <c r="BB163" s="52">
        <v>0</v>
      </c>
      <c r="BC163" s="52">
        <v>6000</v>
      </c>
      <c r="BD163" s="52">
        <v>0</v>
      </c>
      <c r="BE163" s="52">
        <v>0</v>
      </c>
      <c r="BF163" s="52">
        <v>12438.637200000056</v>
      </c>
      <c r="BG163" s="52">
        <v>0</v>
      </c>
      <c r="BH163" s="52">
        <v>0</v>
      </c>
      <c r="BI163" s="52">
        <v>5088.5334000000221</v>
      </c>
      <c r="BJ163" s="52">
        <v>0</v>
      </c>
      <c r="BK163" s="52">
        <v>0</v>
      </c>
      <c r="BL163" s="52">
        <v>8400</v>
      </c>
      <c r="BM163" s="52">
        <v>8912.3858400000918</v>
      </c>
      <c r="BN163" s="52">
        <v>0</v>
      </c>
      <c r="BO163" s="52">
        <v>5400</v>
      </c>
      <c r="BP163" s="52">
        <v>0</v>
      </c>
      <c r="BQ163" s="52">
        <v>0</v>
      </c>
      <c r="BR163" s="52">
        <v>0</v>
      </c>
      <c r="BS163" s="52">
        <v>0</v>
      </c>
      <c r="BT163" s="52">
        <v>0</v>
      </c>
      <c r="BU163" s="52">
        <v>0</v>
      </c>
      <c r="BV163" s="52">
        <v>0</v>
      </c>
      <c r="BW163" s="52">
        <v>0</v>
      </c>
    </row>
    <row r="164" spans="1:75" x14ac:dyDescent="0.3">
      <c r="A164" s="8" t="s">
        <v>103</v>
      </c>
      <c r="B164" s="8" t="s">
        <v>10</v>
      </c>
      <c r="C164" s="8" t="s">
        <v>146</v>
      </c>
      <c r="D164" s="52">
        <v>17600</v>
      </c>
      <c r="E164" s="52">
        <v>61600</v>
      </c>
      <c r="F164" s="52">
        <v>13766.645639999917</v>
      </c>
      <c r="G164" s="52">
        <v>7200</v>
      </c>
      <c r="H164" s="52">
        <v>25200.000000000004</v>
      </c>
      <c r="I164" s="52">
        <v>2843.4567599999846</v>
      </c>
      <c r="J164" s="52">
        <v>12000</v>
      </c>
      <c r="K164" s="52">
        <v>60000</v>
      </c>
      <c r="L164" s="52">
        <v>16997.108399999939</v>
      </c>
      <c r="M164" s="52">
        <v>4800.0000000000009</v>
      </c>
      <c r="N164" s="52">
        <v>20800</v>
      </c>
      <c r="O164" s="52">
        <v>0</v>
      </c>
      <c r="P164" s="52">
        <v>16800</v>
      </c>
      <c r="Q164" s="52">
        <v>58800.000000000007</v>
      </c>
      <c r="R164" s="52">
        <v>4545.8632800000587</v>
      </c>
      <c r="S164" s="52">
        <v>6000</v>
      </c>
      <c r="T164" s="52">
        <v>26000</v>
      </c>
      <c r="U164" s="52">
        <v>0</v>
      </c>
      <c r="V164" s="52">
        <v>15200.000000000002</v>
      </c>
      <c r="W164" s="52">
        <v>53200</v>
      </c>
      <c r="X164" s="52">
        <v>0</v>
      </c>
      <c r="Y164" s="52">
        <v>6600.0000000000009</v>
      </c>
      <c r="Z164" s="52">
        <v>30800</v>
      </c>
      <c r="AA164" s="52">
        <v>0</v>
      </c>
      <c r="AB164" s="52">
        <v>17600</v>
      </c>
      <c r="AC164" s="52">
        <v>61600</v>
      </c>
      <c r="AD164" s="52">
        <v>26400.000000000004</v>
      </c>
      <c r="AE164" s="52">
        <v>5400</v>
      </c>
      <c r="AF164" s="52">
        <v>23400.000000000004</v>
      </c>
      <c r="AG164" s="52">
        <v>8319.0938400000832</v>
      </c>
      <c r="AH164" s="52">
        <v>16800</v>
      </c>
      <c r="AI164" s="52">
        <v>58800.000000000007</v>
      </c>
      <c r="AJ164" s="52">
        <v>17152.058002423702</v>
      </c>
      <c r="AK164" s="52">
        <v>5400</v>
      </c>
      <c r="AL164" s="52">
        <v>25200.000000000004</v>
      </c>
      <c r="AM164" s="52">
        <v>8576.0290012118512</v>
      </c>
      <c r="AN164" s="52">
        <v>22000</v>
      </c>
      <c r="AO164" s="52">
        <v>52800.000000000007</v>
      </c>
      <c r="AP164" s="52">
        <v>0</v>
      </c>
      <c r="AQ164" s="52">
        <v>5400</v>
      </c>
      <c r="AR164" s="52">
        <v>25200.000000000004</v>
      </c>
      <c r="AS164" s="52">
        <v>0</v>
      </c>
      <c r="AT164" s="52">
        <v>17600</v>
      </c>
      <c r="AU164" s="52">
        <v>57200</v>
      </c>
      <c r="AV164" s="52">
        <v>6952.2992000000149</v>
      </c>
      <c r="AW164" s="52">
        <v>5400</v>
      </c>
      <c r="AX164" s="52">
        <v>25200.000000000004</v>
      </c>
      <c r="AY164" s="52">
        <v>2844.1224000000061</v>
      </c>
      <c r="AZ164" s="52">
        <v>20000</v>
      </c>
      <c r="BA164" s="52">
        <v>48000</v>
      </c>
      <c r="BB164" s="52">
        <v>7830.8493454546115</v>
      </c>
      <c r="BC164" s="52">
        <v>6000</v>
      </c>
      <c r="BD164" s="52">
        <v>26000</v>
      </c>
      <c r="BE164" s="52">
        <v>4474.771054545492</v>
      </c>
      <c r="BF164" s="52">
        <v>13200.000000000002</v>
      </c>
      <c r="BG164" s="52">
        <v>61600</v>
      </c>
      <c r="BH164" s="52">
        <v>0</v>
      </c>
      <c r="BI164" s="52">
        <v>5400</v>
      </c>
      <c r="BJ164" s="52">
        <v>23400.000000000004</v>
      </c>
      <c r="BK164" s="52">
        <v>0</v>
      </c>
      <c r="BL164" s="52">
        <v>8400</v>
      </c>
      <c r="BM164" s="52">
        <v>63000</v>
      </c>
      <c r="BN164" s="52">
        <v>29400.000000000004</v>
      </c>
      <c r="BO164" s="52">
        <v>5400</v>
      </c>
      <c r="BP164" s="52">
        <v>18986.883294545478</v>
      </c>
      <c r="BQ164" s="52">
        <v>0</v>
      </c>
      <c r="BR164" s="52">
        <v>13600.000000000002</v>
      </c>
      <c r="BS164" s="52">
        <v>47600</v>
      </c>
      <c r="BT164" s="52">
        <v>20400.000000000004</v>
      </c>
      <c r="BU164" s="52">
        <v>11200.000000000002</v>
      </c>
      <c r="BV164" s="52">
        <v>36400</v>
      </c>
      <c r="BW164" s="52">
        <v>19600</v>
      </c>
    </row>
    <row r="165" spans="1:75" x14ac:dyDescent="0.3">
      <c r="A165" s="8" t="s">
        <v>103</v>
      </c>
      <c r="B165" s="8" t="s">
        <v>10</v>
      </c>
      <c r="C165" s="8" t="s">
        <v>28</v>
      </c>
      <c r="D165" s="52">
        <v>17600</v>
      </c>
      <c r="E165" s="52">
        <v>61600</v>
      </c>
      <c r="F165" s="52">
        <v>26400.000000000004</v>
      </c>
      <c r="G165" s="52">
        <v>7200</v>
      </c>
      <c r="H165" s="52">
        <v>25200.000000000004</v>
      </c>
      <c r="I165" s="52">
        <v>10800</v>
      </c>
      <c r="J165" s="52">
        <v>12000</v>
      </c>
      <c r="K165" s="52">
        <v>60000</v>
      </c>
      <c r="L165" s="52">
        <v>24000</v>
      </c>
      <c r="M165" s="52">
        <v>4800.0000000000009</v>
      </c>
      <c r="N165" s="52">
        <v>20800</v>
      </c>
      <c r="O165" s="52">
        <v>12800</v>
      </c>
      <c r="P165" s="52">
        <v>16800</v>
      </c>
      <c r="Q165" s="52">
        <v>58800.000000000007</v>
      </c>
      <c r="R165" s="52">
        <v>25200.000000000004</v>
      </c>
      <c r="S165" s="52">
        <v>6000</v>
      </c>
      <c r="T165" s="52">
        <v>26000</v>
      </c>
      <c r="U165" s="52">
        <v>16000</v>
      </c>
      <c r="V165" s="52">
        <v>15200.000000000002</v>
      </c>
      <c r="W165" s="52">
        <v>53200</v>
      </c>
      <c r="X165" s="52">
        <v>22800</v>
      </c>
      <c r="Y165" s="52">
        <v>6600.0000000000009</v>
      </c>
      <c r="Z165" s="52">
        <v>30800</v>
      </c>
      <c r="AA165" s="52">
        <v>15400</v>
      </c>
      <c r="AB165" s="52">
        <v>17600</v>
      </c>
      <c r="AC165" s="52">
        <v>61600</v>
      </c>
      <c r="AD165" s="52">
        <v>26400.000000000004</v>
      </c>
      <c r="AE165" s="52">
        <v>5400</v>
      </c>
      <c r="AF165" s="52">
        <v>23400.000000000004</v>
      </c>
      <c r="AG165" s="52">
        <v>14400</v>
      </c>
      <c r="AH165" s="52">
        <v>16800</v>
      </c>
      <c r="AI165" s="52">
        <v>58800.000000000007</v>
      </c>
      <c r="AJ165" s="52">
        <v>25200.000000000004</v>
      </c>
      <c r="AK165" s="52">
        <v>5400</v>
      </c>
      <c r="AL165" s="52">
        <v>25200.000000000004</v>
      </c>
      <c r="AM165" s="52">
        <v>12600.000000000002</v>
      </c>
      <c r="AN165" s="52">
        <v>22000</v>
      </c>
      <c r="AO165" s="52">
        <v>52800.000000000007</v>
      </c>
      <c r="AP165" s="52">
        <v>30800</v>
      </c>
      <c r="AQ165" s="52">
        <v>5400</v>
      </c>
      <c r="AR165" s="52">
        <v>25200.000000000004</v>
      </c>
      <c r="AS165" s="52">
        <v>12600.000000000002</v>
      </c>
      <c r="AT165" s="52">
        <v>17600</v>
      </c>
      <c r="AU165" s="52">
        <v>57200</v>
      </c>
      <c r="AV165" s="52">
        <v>30800</v>
      </c>
      <c r="AW165" s="52">
        <v>5400</v>
      </c>
      <c r="AX165" s="52">
        <v>25200.000000000004</v>
      </c>
      <c r="AY165" s="52">
        <v>12600.000000000002</v>
      </c>
      <c r="AZ165" s="52">
        <v>20000</v>
      </c>
      <c r="BA165" s="52">
        <v>48000</v>
      </c>
      <c r="BB165" s="52">
        <v>28000</v>
      </c>
      <c r="BC165" s="52">
        <v>6000</v>
      </c>
      <c r="BD165" s="52">
        <v>26000</v>
      </c>
      <c r="BE165" s="52">
        <v>16000</v>
      </c>
      <c r="BF165" s="52">
        <v>13200.000000000002</v>
      </c>
      <c r="BG165" s="52">
        <v>61600</v>
      </c>
      <c r="BH165" s="52">
        <v>30800</v>
      </c>
      <c r="BI165" s="52">
        <v>5400</v>
      </c>
      <c r="BJ165" s="52">
        <v>23400.000000000004</v>
      </c>
      <c r="BK165" s="52">
        <v>14400</v>
      </c>
      <c r="BL165" s="52">
        <v>8400</v>
      </c>
      <c r="BM165" s="52">
        <v>63000</v>
      </c>
      <c r="BN165" s="52">
        <v>29400.000000000004</v>
      </c>
      <c r="BO165" s="52">
        <v>5400</v>
      </c>
      <c r="BP165" s="52">
        <v>23400.000000000004</v>
      </c>
      <c r="BQ165" s="52">
        <v>14400</v>
      </c>
      <c r="BR165" s="52">
        <v>13600.000000000002</v>
      </c>
      <c r="BS165" s="52">
        <v>47600</v>
      </c>
      <c r="BT165" s="52">
        <v>20400.000000000004</v>
      </c>
      <c r="BU165" s="52">
        <v>11200.000000000002</v>
      </c>
      <c r="BV165" s="52">
        <v>36400</v>
      </c>
      <c r="BW165" s="52">
        <v>19600</v>
      </c>
    </row>
    <row r="166" spans="1:75" x14ac:dyDescent="0.3">
      <c r="A166" s="8" t="s">
        <v>104</v>
      </c>
      <c r="B166" s="8" t="s">
        <v>8</v>
      </c>
      <c r="C166" s="8" t="s">
        <v>60</v>
      </c>
      <c r="D166" s="52">
        <v>67900.800000000003</v>
      </c>
      <c r="E166" s="52">
        <v>237652.80000000002</v>
      </c>
      <c r="F166" s="52">
        <v>101851.20000000001</v>
      </c>
      <c r="G166" s="52">
        <v>27777.600000000002</v>
      </c>
      <c r="H166" s="52">
        <v>97221.6</v>
      </c>
      <c r="I166" s="52">
        <v>41666.400000000001</v>
      </c>
      <c r="J166" s="52">
        <v>46296.000000000007</v>
      </c>
      <c r="K166" s="52">
        <v>231480.00000000003</v>
      </c>
      <c r="L166" s="52">
        <v>92592.000000000015</v>
      </c>
      <c r="M166" s="52">
        <v>18518.400000000001</v>
      </c>
      <c r="N166" s="52">
        <v>80246.400000000009</v>
      </c>
      <c r="O166" s="52">
        <v>49382.400000000001</v>
      </c>
      <c r="P166" s="52">
        <v>64814.400000000009</v>
      </c>
      <c r="Q166" s="52">
        <v>226850.4</v>
      </c>
      <c r="R166" s="52">
        <v>97221.6</v>
      </c>
      <c r="S166" s="52">
        <v>23148.000000000004</v>
      </c>
      <c r="T166" s="52">
        <v>100308</v>
      </c>
      <c r="U166" s="52">
        <v>61728.000000000007</v>
      </c>
      <c r="V166" s="52">
        <v>58641.600000000006</v>
      </c>
      <c r="W166" s="52">
        <v>205245.60000000003</v>
      </c>
      <c r="X166" s="52">
        <v>87962.400000000009</v>
      </c>
      <c r="Y166" s="52">
        <v>25462.800000000003</v>
      </c>
      <c r="Z166" s="52">
        <v>118826.40000000001</v>
      </c>
      <c r="AA166" s="52">
        <v>59413.200000000004</v>
      </c>
      <c r="AB166" s="52">
        <v>67900.800000000003</v>
      </c>
      <c r="AC166" s="52">
        <v>237652.80000000002</v>
      </c>
      <c r="AD166" s="52">
        <v>101851.20000000001</v>
      </c>
      <c r="AE166" s="52">
        <v>20833.2</v>
      </c>
      <c r="AF166" s="52">
        <v>90277.200000000012</v>
      </c>
      <c r="AG166" s="52">
        <v>55555.200000000004</v>
      </c>
      <c r="AH166" s="52">
        <v>64814.400000000009</v>
      </c>
      <c r="AI166" s="52">
        <v>226850.4</v>
      </c>
      <c r="AJ166" s="52">
        <v>97221.6</v>
      </c>
      <c r="AK166" s="52">
        <v>20833.2</v>
      </c>
      <c r="AL166" s="52">
        <v>97221.6</v>
      </c>
      <c r="AM166" s="52">
        <v>48610.8</v>
      </c>
      <c r="AN166" s="52">
        <v>84876</v>
      </c>
      <c r="AO166" s="52">
        <v>203702.40000000002</v>
      </c>
      <c r="AP166" s="52">
        <v>118826.40000000001</v>
      </c>
      <c r="AQ166" s="52">
        <v>20833.2</v>
      </c>
      <c r="AR166" s="52">
        <v>97221.6</v>
      </c>
      <c r="AS166" s="52">
        <v>48610.8</v>
      </c>
      <c r="AT166" s="52">
        <v>67900.800000000003</v>
      </c>
      <c r="AU166" s="52">
        <v>220677.6</v>
      </c>
      <c r="AV166" s="52">
        <v>118826.40000000001</v>
      </c>
      <c r="AW166" s="52">
        <v>20833.2</v>
      </c>
      <c r="AX166" s="52">
        <v>97221.6</v>
      </c>
      <c r="AY166" s="52">
        <v>48610.8</v>
      </c>
      <c r="AZ166" s="52">
        <v>77160.000000000015</v>
      </c>
      <c r="BA166" s="52">
        <v>185184.00000000003</v>
      </c>
      <c r="BB166" s="52">
        <v>108024.00000000001</v>
      </c>
      <c r="BC166" s="52">
        <v>23148.000000000004</v>
      </c>
      <c r="BD166" s="52">
        <v>100308</v>
      </c>
      <c r="BE166" s="52">
        <v>61728.000000000007</v>
      </c>
      <c r="BF166" s="52">
        <v>50925.600000000006</v>
      </c>
      <c r="BG166" s="52">
        <v>237652.80000000002</v>
      </c>
      <c r="BH166" s="52">
        <v>118826.40000000001</v>
      </c>
      <c r="BI166" s="52">
        <v>20833.2</v>
      </c>
      <c r="BJ166" s="52">
        <v>90277.200000000012</v>
      </c>
      <c r="BK166" s="52">
        <v>55555.200000000004</v>
      </c>
      <c r="BL166" s="52">
        <v>32407.200000000004</v>
      </c>
      <c r="BM166" s="52">
        <v>243054.00000000003</v>
      </c>
      <c r="BN166" s="52">
        <v>113425.2</v>
      </c>
      <c r="BO166" s="52">
        <v>20833.2</v>
      </c>
      <c r="BP166" s="52">
        <v>90277.200000000012</v>
      </c>
      <c r="BQ166" s="52">
        <v>55555.200000000004</v>
      </c>
      <c r="BR166" s="52">
        <v>52468.800000000003</v>
      </c>
      <c r="BS166" s="52">
        <v>183640.80000000002</v>
      </c>
      <c r="BT166" s="52">
        <v>78703.200000000012</v>
      </c>
      <c r="BU166" s="52">
        <v>43209.599999999999</v>
      </c>
      <c r="BV166" s="52">
        <v>140431.20000000001</v>
      </c>
      <c r="BW166" s="52">
        <v>75616.800000000017</v>
      </c>
    </row>
    <row r="167" spans="1:75" x14ac:dyDescent="0.3">
      <c r="A167" s="8" t="s">
        <v>104</v>
      </c>
      <c r="B167" s="8" t="s">
        <v>8</v>
      </c>
      <c r="C167" s="8" t="s">
        <v>150</v>
      </c>
      <c r="D167" s="52">
        <v>47171.338491200018</v>
      </c>
      <c r="E167" s="52">
        <v>81555.160167163762</v>
      </c>
      <c r="F167" s="52">
        <v>31046.399999999994</v>
      </c>
      <c r="G167" s="52">
        <v>0</v>
      </c>
      <c r="H167" s="52">
        <v>0</v>
      </c>
      <c r="I167" s="52">
        <v>0</v>
      </c>
      <c r="J167" s="52">
        <v>14111.999999999998</v>
      </c>
      <c r="K167" s="52">
        <v>70559.999999999985</v>
      </c>
      <c r="L167" s="52">
        <v>28223.999999999996</v>
      </c>
      <c r="M167" s="52">
        <v>5644.7999999999993</v>
      </c>
      <c r="N167" s="52">
        <v>24460.799999999996</v>
      </c>
      <c r="O167" s="52">
        <v>15052.799999999997</v>
      </c>
      <c r="P167" s="52">
        <v>19756.8</v>
      </c>
      <c r="Q167" s="52">
        <v>69148.799999999988</v>
      </c>
      <c r="R167" s="52">
        <v>29635.199999999993</v>
      </c>
      <c r="S167" s="52">
        <v>7055.9999999999991</v>
      </c>
      <c r="T167" s="52">
        <v>30575.999999999996</v>
      </c>
      <c r="U167" s="52">
        <v>18815.999999999996</v>
      </c>
      <c r="V167" s="52">
        <v>19504.093704400006</v>
      </c>
      <c r="W167" s="52">
        <v>62563.19999999999</v>
      </c>
      <c r="X167" s="52">
        <v>26812.799999999996</v>
      </c>
      <c r="Y167" s="52">
        <v>8468.882792700002</v>
      </c>
      <c r="Z167" s="52">
        <v>36220.799999999996</v>
      </c>
      <c r="AA167" s="52">
        <v>18110.399999999998</v>
      </c>
      <c r="AB167" s="52">
        <v>20697.599999999951</v>
      </c>
      <c r="AC167" s="52">
        <v>72441.599999999817</v>
      </c>
      <c r="AD167" s="52">
        <v>31046.399999999929</v>
      </c>
      <c r="AE167" s="52">
        <v>0</v>
      </c>
      <c r="AF167" s="52">
        <v>0</v>
      </c>
      <c r="AG167" s="52">
        <v>0</v>
      </c>
      <c r="AH167" s="52">
        <v>19756.8</v>
      </c>
      <c r="AI167" s="52">
        <v>69148.799999999988</v>
      </c>
      <c r="AJ167" s="52">
        <v>29635.199999999993</v>
      </c>
      <c r="AK167" s="52">
        <v>6350.3999999999987</v>
      </c>
      <c r="AL167" s="52">
        <v>29635.199999999993</v>
      </c>
      <c r="AM167" s="52">
        <v>14817.599999999997</v>
      </c>
      <c r="AN167" s="52">
        <v>25871.999999999996</v>
      </c>
      <c r="AO167" s="52">
        <v>62092.799999999988</v>
      </c>
      <c r="AP167" s="52">
        <v>36220.799999999996</v>
      </c>
      <c r="AQ167" s="52">
        <v>6350.3999999999987</v>
      </c>
      <c r="AR167" s="52">
        <v>29635.199999999993</v>
      </c>
      <c r="AS167" s="52">
        <v>14817.599999999997</v>
      </c>
      <c r="AT167" s="52">
        <v>22211.954846400018</v>
      </c>
      <c r="AU167" s="52">
        <v>67267.199999999983</v>
      </c>
      <c r="AV167" s="52">
        <v>36220.799999999996</v>
      </c>
      <c r="AW167" s="52">
        <v>6815.0316006000057</v>
      </c>
      <c r="AX167" s="52">
        <v>29635.19999999999</v>
      </c>
      <c r="AY167" s="52">
        <v>14817.599999999997</v>
      </c>
      <c r="AZ167" s="52">
        <v>23519.999999999996</v>
      </c>
      <c r="BA167" s="52">
        <v>56447.999999999993</v>
      </c>
      <c r="BB167" s="52">
        <v>32928</v>
      </c>
      <c r="BC167" s="52">
        <v>0</v>
      </c>
      <c r="BD167" s="52">
        <v>0</v>
      </c>
      <c r="BE167" s="52">
        <v>0</v>
      </c>
      <c r="BF167" s="52">
        <v>15523.199999999992</v>
      </c>
      <c r="BG167" s="52">
        <v>72441.599999999962</v>
      </c>
      <c r="BH167" s="52">
        <v>36220.799999999981</v>
      </c>
      <c r="BI167" s="52">
        <v>6350.3999999999987</v>
      </c>
      <c r="BJ167" s="52">
        <v>27518.399999999998</v>
      </c>
      <c r="BK167" s="52">
        <v>16934.399999999998</v>
      </c>
      <c r="BL167" s="52">
        <v>9878.4</v>
      </c>
      <c r="BM167" s="52">
        <v>74088</v>
      </c>
      <c r="BN167" s="52">
        <v>34574.399999999994</v>
      </c>
      <c r="BO167" s="52">
        <v>6350.3999999999987</v>
      </c>
      <c r="BP167" s="52">
        <v>27518.399999999998</v>
      </c>
      <c r="BQ167" s="52">
        <v>16934.399999999998</v>
      </c>
      <c r="BR167" s="52">
        <v>39983.999999999993</v>
      </c>
      <c r="BS167" s="52">
        <v>74719.213332527332</v>
      </c>
      <c r="BT167" s="52">
        <v>23990.399999999998</v>
      </c>
      <c r="BU167" s="52">
        <v>21711.802016800008</v>
      </c>
      <c r="BV167" s="52">
        <v>42806.39999999998</v>
      </c>
      <c r="BW167" s="52">
        <v>23049.599999999991</v>
      </c>
    </row>
    <row r="168" spans="1:75" x14ac:dyDescent="0.3">
      <c r="A168" s="8" t="s">
        <v>104</v>
      </c>
      <c r="B168" s="8" t="s">
        <v>8</v>
      </c>
      <c r="C168" s="8" t="s">
        <v>61</v>
      </c>
      <c r="D168" s="52">
        <v>17872.800000000003</v>
      </c>
      <c r="E168" s="52">
        <v>62554.8</v>
      </c>
      <c r="F168" s="52">
        <v>10723.68</v>
      </c>
      <c r="G168" s="52">
        <v>0</v>
      </c>
      <c r="H168" s="52">
        <v>0</v>
      </c>
      <c r="I168" s="52">
        <v>0</v>
      </c>
      <c r="J168" s="52">
        <v>0</v>
      </c>
      <c r="K168" s="52">
        <v>0</v>
      </c>
      <c r="L168" s="52">
        <v>0</v>
      </c>
      <c r="M168" s="52">
        <v>0</v>
      </c>
      <c r="N168" s="52">
        <v>0</v>
      </c>
      <c r="O168" s="52">
        <v>0</v>
      </c>
      <c r="P168" s="52">
        <v>0</v>
      </c>
      <c r="Q168" s="52">
        <v>0</v>
      </c>
      <c r="R168" s="52">
        <v>0</v>
      </c>
      <c r="S168" s="52">
        <v>0</v>
      </c>
      <c r="T168" s="52">
        <v>0</v>
      </c>
      <c r="U168" s="52">
        <v>0</v>
      </c>
      <c r="V168" s="52">
        <v>6174.2399999999989</v>
      </c>
      <c r="W168" s="52">
        <v>24286.471957036138</v>
      </c>
      <c r="X168" s="52">
        <v>9261.36</v>
      </c>
      <c r="Y168" s="52">
        <v>0</v>
      </c>
      <c r="Z168" s="52">
        <v>0</v>
      </c>
      <c r="AA168" s="52">
        <v>0</v>
      </c>
      <c r="AB168" s="52">
        <v>0</v>
      </c>
      <c r="AC168" s="52">
        <v>0</v>
      </c>
      <c r="AD168" s="52">
        <v>0</v>
      </c>
      <c r="AE168" s="52">
        <v>0</v>
      </c>
      <c r="AF168" s="52">
        <v>0</v>
      </c>
      <c r="AG168" s="52">
        <v>0</v>
      </c>
      <c r="AH168" s="52">
        <v>0</v>
      </c>
      <c r="AI168" s="52">
        <v>0</v>
      </c>
      <c r="AJ168" s="52">
        <v>0</v>
      </c>
      <c r="AK168" s="52">
        <v>0</v>
      </c>
      <c r="AL168" s="52">
        <v>0</v>
      </c>
      <c r="AM168" s="52">
        <v>0</v>
      </c>
      <c r="AN168" s="52">
        <v>0</v>
      </c>
      <c r="AO168" s="52">
        <v>0</v>
      </c>
      <c r="AP168" s="52">
        <v>0</v>
      </c>
      <c r="AQ168" s="52">
        <v>0</v>
      </c>
      <c r="AR168" s="52">
        <v>0</v>
      </c>
      <c r="AS168" s="52">
        <v>0</v>
      </c>
      <c r="AT168" s="52">
        <v>0</v>
      </c>
      <c r="AU168" s="52">
        <v>0</v>
      </c>
      <c r="AV168" s="52">
        <v>0</v>
      </c>
      <c r="AW168" s="52">
        <v>0</v>
      </c>
      <c r="AX168" s="52">
        <v>0</v>
      </c>
      <c r="AY168" s="52">
        <v>0</v>
      </c>
      <c r="AZ168" s="52">
        <v>0</v>
      </c>
      <c r="BA168" s="52">
        <v>0</v>
      </c>
      <c r="BB168" s="52">
        <v>0</v>
      </c>
      <c r="BC168" s="52">
        <v>0</v>
      </c>
      <c r="BD168" s="52">
        <v>0</v>
      </c>
      <c r="BE168" s="52">
        <v>0</v>
      </c>
      <c r="BF168" s="52">
        <v>0</v>
      </c>
      <c r="BG168" s="52">
        <v>0</v>
      </c>
      <c r="BH168" s="52">
        <v>0</v>
      </c>
      <c r="BI168" s="52">
        <v>0</v>
      </c>
      <c r="BJ168" s="52">
        <v>0</v>
      </c>
      <c r="BK168" s="52">
        <v>0</v>
      </c>
      <c r="BL168" s="52">
        <v>0</v>
      </c>
      <c r="BM168" s="52">
        <v>0</v>
      </c>
      <c r="BN168" s="52">
        <v>0</v>
      </c>
      <c r="BO168" s="52">
        <v>0</v>
      </c>
      <c r="BP168" s="52">
        <v>0</v>
      </c>
      <c r="BQ168" s="52">
        <v>0</v>
      </c>
      <c r="BR168" s="52">
        <v>0</v>
      </c>
      <c r="BS168" s="52">
        <v>0</v>
      </c>
      <c r="BT168" s="52">
        <v>0</v>
      </c>
      <c r="BU168" s="52">
        <v>0</v>
      </c>
      <c r="BV168" s="52">
        <v>0</v>
      </c>
      <c r="BW168" s="52">
        <v>0</v>
      </c>
    </row>
    <row r="169" spans="1:75" x14ac:dyDescent="0.3">
      <c r="A169" s="8" t="s">
        <v>104</v>
      </c>
      <c r="B169" s="8" t="s">
        <v>8</v>
      </c>
      <c r="C169" s="8" t="s">
        <v>152</v>
      </c>
      <c r="D169" s="52">
        <v>0</v>
      </c>
      <c r="E169" s="52">
        <v>0</v>
      </c>
      <c r="F169" s="52">
        <v>0</v>
      </c>
      <c r="G169" s="52">
        <v>0</v>
      </c>
      <c r="H169" s="52">
        <v>0</v>
      </c>
      <c r="I169" s="52">
        <v>0</v>
      </c>
      <c r="J169" s="52">
        <v>6614.8369380000267</v>
      </c>
      <c r="K169" s="52">
        <v>18047.999999999931</v>
      </c>
      <c r="L169" s="52">
        <v>7219.1999999999725</v>
      </c>
      <c r="M169" s="52">
        <v>0</v>
      </c>
      <c r="N169" s="52">
        <v>0</v>
      </c>
      <c r="O169" s="52">
        <v>0</v>
      </c>
      <c r="P169" s="52">
        <v>0</v>
      </c>
      <c r="Q169" s="52">
        <v>0</v>
      </c>
      <c r="R169" s="52">
        <v>0</v>
      </c>
      <c r="S169" s="52">
        <v>0</v>
      </c>
      <c r="T169" s="52">
        <v>0</v>
      </c>
      <c r="U169" s="52">
        <v>0</v>
      </c>
      <c r="V169" s="52">
        <v>0</v>
      </c>
      <c r="W169" s="52">
        <v>0</v>
      </c>
      <c r="X169" s="52">
        <v>0</v>
      </c>
      <c r="Y169" s="52">
        <v>0</v>
      </c>
      <c r="Z169" s="52">
        <v>0</v>
      </c>
      <c r="AA169" s="52">
        <v>0</v>
      </c>
      <c r="AB169" s="52">
        <v>13235.2</v>
      </c>
      <c r="AC169" s="52">
        <v>23817.413923300257</v>
      </c>
      <c r="AD169" s="52">
        <v>7941.119999999999</v>
      </c>
      <c r="AE169" s="52">
        <v>0</v>
      </c>
      <c r="AF169" s="52">
        <v>0</v>
      </c>
      <c r="AG169" s="52">
        <v>0</v>
      </c>
      <c r="AH169" s="52">
        <v>0</v>
      </c>
      <c r="AI169" s="52">
        <v>0</v>
      </c>
      <c r="AJ169" s="52">
        <v>0</v>
      </c>
      <c r="AK169" s="52">
        <v>0</v>
      </c>
      <c r="AL169" s="52">
        <v>0</v>
      </c>
      <c r="AM169" s="52">
        <v>0</v>
      </c>
      <c r="AN169" s="52">
        <v>16544</v>
      </c>
      <c r="AO169" s="52">
        <v>15882.239999999998</v>
      </c>
      <c r="AP169" s="52">
        <v>9264.6399999999976</v>
      </c>
      <c r="AQ169" s="52">
        <v>0</v>
      </c>
      <c r="AR169" s="52">
        <v>0</v>
      </c>
      <c r="AS169" s="52">
        <v>0</v>
      </c>
      <c r="AT169" s="52">
        <v>5294.079999999999</v>
      </c>
      <c r="AU169" s="52">
        <v>27979.855545100116</v>
      </c>
      <c r="AV169" s="52">
        <v>9264.6399999999976</v>
      </c>
      <c r="AW169" s="52">
        <v>0</v>
      </c>
      <c r="AX169" s="52">
        <v>0</v>
      </c>
      <c r="AY169" s="52">
        <v>0</v>
      </c>
      <c r="AZ169" s="52">
        <v>0</v>
      </c>
      <c r="BA169" s="52">
        <v>0</v>
      </c>
      <c r="BB169" s="52">
        <v>0</v>
      </c>
      <c r="BC169" s="52">
        <v>0</v>
      </c>
      <c r="BD169" s="52">
        <v>0</v>
      </c>
      <c r="BE169" s="52">
        <v>0</v>
      </c>
      <c r="BF169" s="52">
        <v>0</v>
      </c>
      <c r="BG169" s="52">
        <v>0</v>
      </c>
      <c r="BH169" s="52">
        <v>0</v>
      </c>
      <c r="BI169" s="52">
        <v>0</v>
      </c>
      <c r="BJ169" s="52">
        <v>0</v>
      </c>
      <c r="BK169" s="52">
        <v>0</v>
      </c>
      <c r="BL169" s="52">
        <v>2761.3280310000273</v>
      </c>
      <c r="BM169" s="52">
        <v>18950.399999999991</v>
      </c>
      <c r="BN169" s="52">
        <v>8843.5199999999968</v>
      </c>
      <c r="BO169" s="52">
        <v>0</v>
      </c>
      <c r="BP169" s="52">
        <v>0</v>
      </c>
      <c r="BQ169" s="52">
        <v>0</v>
      </c>
      <c r="BR169" s="52">
        <v>0</v>
      </c>
      <c r="BS169" s="52">
        <v>0</v>
      </c>
      <c r="BT169" s="52">
        <v>0</v>
      </c>
      <c r="BU169" s="52">
        <v>0</v>
      </c>
      <c r="BV169" s="52">
        <v>0</v>
      </c>
      <c r="BW169" s="52">
        <v>0</v>
      </c>
    </row>
    <row r="170" spans="1:75" x14ac:dyDescent="0.3">
      <c r="A170" s="8" t="s">
        <v>104</v>
      </c>
      <c r="B170" s="8" t="s">
        <v>8</v>
      </c>
      <c r="C170" s="8" t="s">
        <v>151</v>
      </c>
      <c r="D170" s="52">
        <v>0</v>
      </c>
      <c r="E170" s="52">
        <v>0</v>
      </c>
      <c r="F170" s="52">
        <v>0</v>
      </c>
      <c r="G170" s="52">
        <v>0</v>
      </c>
      <c r="H170" s="52">
        <v>0</v>
      </c>
      <c r="I170" s="52">
        <v>0</v>
      </c>
      <c r="J170" s="52">
        <v>11664.000000000002</v>
      </c>
      <c r="K170" s="52">
        <v>53874.695929199428</v>
      </c>
      <c r="L170" s="52">
        <v>9331.1999999999771</v>
      </c>
      <c r="M170" s="52">
        <v>4665.6000000000004</v>
      </c>
      <c r="N170" s="52">
        <v>9545.7461698557472</v>
      </c>
      <c r="O170" s="52">
        <v>4976.6399999995747</v>
      </c>
      <c r="P170" s="52">
        <v>8767.4635943999292</v>
      </c>
      <c r="Q170" s="52">
        <v>26574.499034999943</v>
      </c>
      <c r="R170" s="52">
        <v>9797.7599999999347</v>
      </c>
      <c r="S170" s="52">
        <v>0</v>
      </c>
      <c r="T170" s="52">
        <v>0</v>
      </c>
      <c r="U170" s="52">
        <v>0</v>
      </c>
      <c r="V170" s="52">
        <v>14774.400000000001</v>
      </c>
      <c r="W170" s="52">
        <v>51710.400000000009</v>
      </c>
      <c r="X170" s="52">
        <v>8864.6400000000012</v>
      </c>
      <c r="Y170" s="52">
        <v>6415.2000000000007</v>
      </c>
      <c r="Z170" s="52">
        <v>29937.600000000002</v>
      </c>
      <c r="AA170" s="52">
        <v>5987.5199999999968</v>
      </c>
      <c r="AB170" s="52">
        <v>17107.2</v>
      </c>
      <c r="AC170" s="52">
        <v>59875.200000000004</v>
      </c>
      <c r="AD170" s="52">
        <v>10264.320000000002</v>
      </c>
      <c r="AE170" s="52">
        <v>5248.8</v>
      </c>
      <c r="AF170" s="52">
        <v>9097.9199999999983</v>
      </c>
      <c r="AG170" s="52">
        <v>5598.7200000000012</v>
      </c>
      <c r="AH170" s="52">
        <v>16329.600000000002</v>
      </c>
      <c r="AI170" s="52">
        <v>57153.600000000006</v>
      </c>
      <c r="AJ170" s="52">
        <v>9797.76</v>
      </c>
      <c r="AK170" s="52">
        <v>0</v>
      </c>
      <c r="AL170" s="52">
        <v>0</v>
      </c>
      <c r="AM170" s="52">
        <v>0</v>
      </c>
      <c r="AN170" s="52">
        <v>21384</v>
      </c>
      <c r="AO170" s="52">
        <v>51321.600000000006</v>
      </c>
      <c r="AP170" s="52">
        <v>11975.04</v>
      </c>
      <c r="AQ170" s="52">
        <v>5248.8</v>
      </c>
      <c r="AR170" s="52">
        <v>9797.760000000002</v>
      </c>
      <c r="AS170" s="52">
        <v>4898.880000000001</v>
      </c>
      <c r="AT170" s="52">
        <v>17107.2</v>
      </c>
      <c r="AU170" s="52">
        <v>55598.400000000009</v>
      </c>
      <c r="AV170" s="52">
        <v>22773.034592000033</v>
      </c>
      <c r="AW170" s="52">
        <v>5248.8</v>
      </c>
      <c r="AX170" s="52">
        <v>24494.400000000001</v>
      </c>
      <c r="AY170" s="52">
        <v>9316.2414240000144</v>
      </c>
      <c r="AZ170" s="52">
        <v>7776.0000000000009</v>
      </c>
      <c r="BA170" s="52">
        <v>20578.52083200002</v>
      </c>
      <c r="BB170" s="52">
        <v>10886.400000000001</v>
      </c>
      <c r="BC170" s="52">
        <v>0</v>
      </c>
      <c r="BD170" s="52">
        <v>0</v>
      </c>
      <c r="BE170" s="52">
        <v>0</v>
      </c>
      <c r="BF170" s="52">
        <v>0</v>
      </c>
      <c r="BG170" s="52">
        <v>0</v>
      </c>
      <c r="BH170" s="52">
        <v>0</v>
      </c>
      <c r="BI170" s="52">
        <v>0</v>
      </c>
      <c r="BJ170" s="52">
        <v>0</v>
      </c>
      <c r="BK170" s="52">
        <v>0</v>
      </c>
      <c r="BL170" s="52">
        <v>8164.8000000000011</v>
      </c>
      <c r="BM170" s="52">
        <v>60045.40669050016</v>
      </c>
      <c r="BN170" s="52">
        <v>11430.72</v>
      </c>
      <c r="BO170" s="52">
        <v>0</v>
      </c>
      <c r="BP170" s="52">
        <v>0</v>
      </c>
      <c r="BQ170" s="52">
        <v>0</v>
      </c>
      <c r="BR170" s="52">
        <v>13219.2</v>
      </c>
      <c r="BS170" s="52">
        <v>46267.200000000004</v>
      </c>
      <c r="BT170" s="52">
        <v>7931.52</v>
      </c>
      <c r="BU170" s="52">
        <v>10886.400000000001</v>
      </c>
      <c r="BV170" s="52">
        <v>15231.110567399892</v>
      </c>
      <c r="BW170" s="52">
        <v>7620.4800000000005</v>
      </c>
    </row>
    <row r="171" spans="1:75" x14ac:dyDescent="0.3">
      <c r="A171" s="8" t="s">
        <v>104</v>
      </c>
      <c r="B171" s="8" t="s">
        <v>8</v>
      </c>
      <c r="C171" s="8" t="s">
        <v>62</v>
      </c>
      <c r="D171" s="52">
        <v>44000</v>
      </c>
      <c r="E171" s="52">
        <v>154000</v>
      </c>
      <c r="F171" s="52">
        <v>66000</v>
      </c>
      <c r="G171" s="52">
        <v>18000</v>
      </c>
      <c r="H171" s="52">
        <v>63000</v>
      </c>
      <c r="I171" s="52">
        <v>27000</v>
      </c>
      <c r="J171" s="52">
        <v>30000</v>
      </c>
      <c r="K171" s="52">
        <v>150000</v>
      </c>
      <c r="L171" s="52">
        <v>60000</v>
      </c>
      <c r="M171" s="52">
        <v>12000</v>
      </c>
      <c r="N171" s="52">
        <v>52000</v>
      </c>
      <c r="O171" s="52">
        <v>32000</v>
      </c>
      <c r="P171" s="52">
        <v>42000</v>
      </c>
      <c r="Q171" s="52">
        <v>147000</v>
      </c>
      <c r="R171" s="52">
        <v>63000</v>
      </c>
      <c r="S171" s="52">
        <v>15000</v>
      </c>
      <c r="T171" s="52">
        <v>65000</v>
      </c>
      <c r="U171" s="52">
        <v>40000</v>
      </c>
      <c r="V171" s="52">
        <v>38000</v>
      </c>
      <c r="W171" s="52">
        <v>133000</v>
      </c>
      <c r="X171" s="52">
        <v>57000</v>
      </c>
      <c r="Y171" s="52">
        <v>16500</v>
      </c>
      <c r="Z171" s="52">
        <v>77000</v>
      </c>
      <c r="AA171" s="52">
        <v>38500</v>
      </c>
      <c r="AB171" s="52">
        <v>44000</v>
      </c>
      <c r="AC171" s="52">
        <v>154000</v>
      </c>
      <c r="AD171" s="52">
        <v>66000</v>
      </c>
      <c r="AE171" s="52">
        <v>13500</v>
      </c>
      <c r="AF171" s="52">
        <v>58500</v>
      </c>
      <c r="AG171" s="52">
        <v>36000</v>
      </c>
      <c r="AH171" s="52">
        <v>42000</v>
      </c>
      <c r="AI171" s="52">
        <v>147000</v>
      </c>
      <c r="AJ171" s="52">
        <v>63000</v>
      </c>
      <c r="AK171" s="52">
        <v>13500</v>
      </c>
      <c r="AL171" s="52">
        <v>63000</v>
      </c>
      <c r="AM171" s="52">
        <v>31500</v>
      </c>
      <c r="AN171" s="52">
        <v>55000</v>
      </c>
      <c r="AO171" s="52">
        <v>132000</v>
      </c>
      <c r="AP171" s="52">
        <v>77000</v>
      </c>
      <c r="AQ171" s="52">
        <v>13500</v>
      </c>
      <c r="AR171" s="52">
        <v>63000</v>
      </c>
      <c r="AS171" s="52">
        <v>31500</v>
      </c>
      <c r="AT171" s="52">
        <v>44000</v>
      </c>
      <c r="AU171" s="52">
        <v>143000</v>
      </c>
      <c r="AV171" s="52">
        <v>77000</v>
      </c>
      <c r="AW171" s="52">
        <v>13500</v>
      </c>
      <c r="AX171" s="52">
        <v>63000</v>
      </c>
      <c r="AY171" s="52">
        <v>31500</v>
      </c>
      <c r="AZ171" s="52">
        <v>50000</v>
      </c>
      <c r="BA171" s="52">
        <v>120000</v>
      </c>
      <c r="BB171" s="52">
        <v>70000</v>
      </c>
      <c r="BC171" s="52">
        <v>15000</v>
      </c>
      <c r="BD171" s="52">
        <v>65000</v>
      </c>
      <c r="BE171" s="52">
        <v>40000</v>
      </c>
      <c r="BF171" s="52">
        <v>33000</v>
      </c>
      <c r="BG171" s="52">
        <v>154000</v>
      </c>
      <c r="BH171" s="52">
        <v>77000</v>
      </c>
      <c r="BI171" s="52">
        <v>13500</v>
      </c>
      <c r="BJ171" s="52">
        <v>58500</v>
      </c>
      <c r="BK171" s="52">
        <v>36000</v>
      </c>
      <c r="BL171" s="52">
        <v>21000</v>
      </c>
      <c r="BM171" s="52">
        <v>157500</v>
      </c>
      <c r="BN171" s="52">
        <v>73500</v>
      </c>
      <c r="BO171" s="52">
        <v>13500</v>
      </c>
      <c r="BP171" s="52">
        <v>58500</v>
      </c>
      <c r="BQ171" s="52">
        <v>36000</v>
      </c>
      <c r="BR171" s="52">
        <v>34000</v>
      </c>
      <c r="BS171" s="52">
        <v>119000</v>
      </c>
      <c r="BT171" s="52">
        <v>51000</v>
      </c>
      <c r="BU171" s="52">
        <v>28000</v>
      </c>
      <c r="BV171" s="52">
        <v>91000</v>
      </c>
      <c r="BW171" s="52">
        <v>49000</v>
      </c>
    </row>
    <row r="172" spans="1:75" x14ac:dyDescent="0.3">
      <c r="A172" s="8" t="s">
        <v>104</v>
      </c>
      <c r="B172" s="8" t="s">
        <v>8</v>
      </c>
      <c r="C172" s="8" t="s">
        <v>63</v>
      </c>
      <c r="D172" s="52">
        <v>44000</v>
      </c>
      <c r="E172" s="52">
        <v>154000</v>
      </c>
      <c r="F172" s="52">
        <v>52363.119296399971</v>
      </c>
      <c r="G172" s="52">
        <v>18000</v>
      </c>
      <c r="H172" s="52">
        <v>63000</v>
      </c>
      <c r="I172" s="52">
        <v>18018.203727599997</v>
      </c>
      <c r="J172" s="52">
        <v>30000</v>
      </c>
      <c r="K172" s="52">
        <v>150000</v>
      </c>
      <c r="L172" s="52">
        <v>25310.35148399993</v>
      </c>
      <c r="M172" s="52">
        <v>12000</v>
      </c>
      <c r="N172" s="52">
        <v>52000</v>
      </c>
      <c r="O172" s="52">
        <v>11856.761868800369</v>
      </c>
      <c r="P172" s="52">
        <v>42000</v>
      </c>
      <c r="Q172" s="52">
        <v>147000</v>
      </c>
      <c r="R172" s="52">
        <v>28720.889279790354</v>
      </c>
      <c r="S172" s="52">
        <v>15000</v>
      </c>
      <c r="T172" s="52">
        <v>65000</v>
      </c>
      <c r="U172" s="52">
        <v>11784.325993009666</v>
      </c>
      <c r="V172" s="52">
        <v>33768.057047600101</v>
      </c>
      <c r="W172" s="52">
        <v>133000</v>
      </c>
      <c r="X172" s="52">
        <v>12265.38013880001</v>
      </c>
      <c r="Y172" s="52">
        <v>0</v>
      </c>
      <c r="Z172" s="52">
        <v>0</v>
      </c>
      <c r="AA172" s="52">
        <v>0</v>
      </c>
      <c r="AB172" s="52">
        <v>44000</v>
      </c>
      <c r="AC172" s="52">
        <v>154000</v>
      </c>
      <c r="AD172" s="52">
        <v>31774.640739600072</v>
      </c>
      <c r="AE172" s="52">
        <v>13500</v>
      </c>
      <c r="AF172" s="52">
        <v>57394.54065600007</v>
      </c>
      <c r="AG172" s="52">
        <v>17331.622221600039</v>
      </c>
      <c r="AH172" s="52">
        <v>42000</v>
      </c>
      <c r="AI172" s="52">
        <v>147000</v>
      </c>
      <c r="AJ172" s="52">
        <v>38892.893331599967</v>
      </c>
      <c r="AK172" s="52">
        <v>13500</v>
      </c>
      <c r="AL172" s="52">
        <v>63000</v>
      </c>
      <c r="AM172" s="52">
        <v>13496.378641200037</v>
      </c>
      <c r="AN172" s="52">
        <v>55000</v>
      </c>
      <c r="AO172" s="52">
        <v>132000</v>
      </c>
      <c r="AP172" s="52">
        <v>56216.283153800003</v>
      </c>
      <c r="AQ172" s="52">
        <v>13500</v>
      </c>
      <c r="AR172" s="52">
        <v>63000</v>
      </c>
      <c r="AS172" s="52">
        <v>14238.087525899995</v>
      </c>
      <c r="AT172" s="52">
        <v>43693.023466399849</v>
      </c>
      <c r="AU172" s="52">
        <v>143000</v>
      </c>
      <c r="AV172" s="52">
        <v>25403.958348999917</v>
      </c>
      <c r="AW172" s="52">
        <v>0</v>
      </c>
      <c r="AX172" s="52">
        <v>0</v>
      </c>
      <c r="AY172" s="52">
        <v>0</v>
      </c>
      <c r="AZ172" s="52">
        <v>50000</v>
      </c>
      <c r="BA172" s="52">
        <v>120000</v>
      </c>
      <c r="BB172" s="52">
        <v>57672.929111636324</v>
      </c>
      <c r="BC172" s="52">
        <v>15000</v>
      </c>
      <c r="BD172" s="52">
        <v>65000</v>
      </c>
      <c r="BE172" s="52">
        <v>32955.95949236361</v>
      </c>
      <c r="BF172" s="52">
        <v>33000</v>
      </c>
      <c r="BG172" s="52">
        <v>154000</v>
      </c>
      <c r="BH172" s="52">
        <v>25723.936965599998</v>
      </c>
      <c r="BI172" s="52">
        <v>13500</v>
      </c>
      <c r="BJ172" s="52">
        <v>47487.497147999915</v>
      </c>
      <c r="BK172" s="52">
        <v>7200</v>
      </c>
      <c r="BL172" s="52">
        <v>21000</v>
      </c>
      <c r="BM172" s="52">
        <v>157500</v>
      </c>
      <c r="BN172" s="52">
        <v>31444.397884199941</v>
      </c>
      <c r="BO172" s="52">
        <v>13500</v>
      </c>
      <c r="BP172" s="52">
        <v>58500</v>
      </c>
      <c r="BQ172" s="52">
        <v>14419.040126399992</v>
      </c>
      <c r="BR172" s="52">
        <v>34000</v>
      </c>
      <c r="BS172" s="52">
        <v>119000</v>
      </c>
      <c r="BT172" s="52">
        <v>41070.201406800035</v>
      </c>
      <c r="BU172" s="52">
        <v>28000</v>
      </c>
      <c r="BV172" s="52">
        <v>91000</v>
      </c>
      <c r="BW172" s="52">
        <v>13931.526111400013</v>
      </c>
    </row>
    <row r="173" spans="1:75" x14ac:dyDescent="0.3">
      <c r="A173" s="8" t="s">
        <v>104</v>
      </c>
      <c r="B173" s="8" t="s">
        <v>8</v>
      </c>
      <c r="C173" s="8" t="s">
        <v>64</v>
      </c>
      <c r="D173" s="52">
        <v>44000</v>
      </c>
      <c r="E173" s="52">
        <v>154000</v>
      </c>
      <c r="F173" s="52">
        <v>13200.000000000002</v>
      </c>
      <c r="G173" s="52">
        <v>18000</v>
      </c>
      <c r="H173" s="52">
        <v>62679.602147400001</v>
      </c>
      <c r="I173" s="52">
        <v>5400</v>
      </c>
      <c r="J173" s="52">
        <v>30000</v>
      </c>
      <c r="K173" s="52">
        <v>150000</v>
      </c>
      <c r="L173" s="52">
        <v>12000</v>
      </c>
      <c r="M173" s="52">
        <v>0</v>
      </c>
      <c r="N173" s="52">
        <v>0</v>
      </c>
      <c r="O173" s="52">
        <v>0</v>
      </c>
      <c r="P173" s="52">
        <v>42000</v>
      </c>
      <c r="Q173" s="52">
        <v>147000</v>
      </c>
      <c r="R173" s="52">
        <v>12600.000000000002</v>
      </c>
      <c r="S173" s="52">
        <v>0</v>
      </c>
      <c r="T173" s="52">
        <v>0</v>
      </c>
      <c r="U173" s="52">
        <v>0</v>
      </c>
      <c r="V173" s="52">
        <v>0</v>
      </c>
      <c r="W173" s="52">
        <v>0</v>
      </c>
      <c r="X173" s="52">
        <v>0</v>
      </c>
      <c r="Y173" s="52">
        <v>0</v>
      </c>
      <c r="Z173" s="52">
        <v>0</v>
      </c>
      <c r="AA173" s="52">
        <v>0</v>
      </c>
      <c r="AB173" s="52">
        <v>0</v>
      </c>
      <c r="AC173" s="52">
        <v>0</v>
      </c>
      <c r="AD173" s="52">
        <v>0</v>
      </c>
      <c r="AE173" s="52">
        <v>0</v>
      </c>
      <c r="AF173" s="52">
        <v>0</v>
      </c>
      <c r="AG173" s="52">
        <v>0</v>
      </c>
      <c r="AH173" s="52">
        <v>42000</v>
      </c>
      <c r="AI173" s="52">
        <v>147000</v>
      </c>
      <c r="AJ173" s="52">
        <v>12599.999999999993</v>
      </c>
      <c r="AK173" s="52">
        <v>0</v>
      </c>
      <c r="AL173" s="52">
        <v>0</v>
      </c>
      <c r="AM173" s="52">
        <v>0</v>
      </c>
      <c r="AN173" s="52">
        <v>55000</v>
      </c>
      <c r="AO173" s="52">
        <v>132000</v>
      </c>
      <c r="AP173" s="52">
        <v>15400</v>
      </c>
      <c r="AQ173" s="52">
        <v>0</v>
      </c>
      <c r="AR173" s="52">
        <v>0</v>
      </c>
      <c r="AS173" s="52">
        <v>0</v>
      </c>
      <c r="AT173" s="52">
        <v>0</v>
      </c>
      <c r="AU173" s="52">
        <v>0</v>
      </c>
      <c r="AV173" s="52">
        <v>0</v>
      </c>
      <c r="AW173" s="52">
        <v>0</v>
      </c>
      <c r="AX173" s="52">
        <v>0</v>
      </c>
      <c r="AY173" s="52">
        <v>0</v>
      </c>
      <c r="AZ173" s="52">
        <v>46275.362289999728</v>
      </c>
      <c r="BA173" s="52">
        <v>120000</v>
      </c>
      <c r="BB173" s="52">
        <v>14000</v>
      </c>
      <c r="BC173" s="52">
        <v>0</v>
      </c>
      <c r="BD173" s="52">
        <v>0</v>
      </c>
      <c r="BE173" s="52">
        <v>0</v>
      </c>
      <c r="BF173" s="52">
        <v>33000</v>
      </c>
      <c r="BG173" s="52">
        <v>154000</v>
      </c>
      <c r="BH173" s="52">
        <v>15400</v>
      </c>
      <c r="BI173" s="52">
        <v>0</v>
      </c>
      <c r="BJ173" s="52">
        <v>0</v>
      </c>
      <c r="BK173" s="52">
        <v>0</v>
      </c>
      <c r="BL173" s="52">
        <v>21000</v>
      </c>
      <c r="BM173" s="52">
        <v>157500</v>
      </c>
      <c r="BN173" s="52">
        <v>14700.000000000002</v>
      </c>
      <c r="BO173" s="52">
        <v>0</v>
      </c>
      <c r="BP173" s="52">
        <v>0</v>
      </c>
      <c r="BQ173" s="52">
        <v>0</v>
      </c>
      <c r="BR173" s="52">
        <v>34000</v>
      </c>
      <c r="BS173" s="52">
        <v>119000</v>
      </c>
      <c r="BT173" s="52">
        <v>10200.000000000002</v>
      </c>
      <c r="BU173" s="52">
        <v>0</v>
      </c>
      <c r="BV173" s="52">
        <v>0</v>
      </c>
      <c r="BW173" s="52">
        <v>0</v>
      </c>
    </row>
    <row r="174" spans="1:75" x14ac:dyDescent="0.3">
      <c r="A174" s="8" t="s">
        <v>104</v>
      </c>
      <c r="B174" s="8" t="s">
        <v>8</v>
      </c>
      <c r="C174" s="8" t="s">
        <v>65</v>
      </c>
      <c r="D174" s="52">
        <v>58739.999999999993</v>
      </c>
      <c r="E174" s="52">
        <v>205590</v>
      </c>
      <c r="F174" s="52">
        <v>88110</v>
      </c>
      <c r="G174" s="52">
        <v>24030</v>
      </c>
      <c r="H174" s="52">
        <v>84105</v>
      </c>
      <c r="I174" s="52">
        <v>36045</v>
      </c>
      <c r="J174" s="52">
        <v>40050</v>
      </c>
      <c r="K174" s="52">
        <v>200250</v>
      </c>
      <c r="L174" s="52">
        <v>80100</v>
      </c>
      <c r="M174" s="52">
        <v>16020</v>
      </c>
      <c r="N174" s="52">
        <v>69420</v>
      </c>
      <c r="O174" s="52">
        <v>42720</v>
      </c>
      <c r="P174" s="52">
        <v>56070</v>
      </c>
      <c r="Q174" s="52">
        <v>196245</v>
      </c>
      <c r="R174" s="52">
        <v>84105</v>
      </c>
      <c r="S174" s="52">
        <v>20025</v>
      </c>
      <c r="T174" s="52">
        <v>86774.999999999985</v>
      </c>
      <c r="U174" s="52">
        <v>53400</v>
      </c>
      <c r="V174" s="52">
        <v>50730</v>
      </c>
      <c r="W174" s="52">
        <v>177555</v>
      </c>
      <c r="X174" s="52">
        <v>76095</v>
      </c>
      <c r="Y174" s="52">
        <v>22027.5</v>
      </c>
      <c r="Z174" s="52">
        <v>102795</v>
      </c>
      <c r="AA174" s="52">
        <v>51397.5</v>
      </c>
      <c r="AB174" s="52">
        <v>58739.999999999993</v>
      </c>
      <c r="AC174" s="52">
        <v>205590</v>
      </c>
      <c r="AD174" s="52">
        <v>88110</v>
      </c>
      <c r="AE174" s="52">
        <v>18022.5</v>
      </c>
      <c r="AF174" s="52">
        <v>78097.5</v>
      </c>
      <c r="AG174" s="52">
        <v>48060</v>
      </c>
      <c r="AH174" s="52">
        <v>56070</v>
      </c>
      <c r="AI174" s="52">
        <v>196245</v>
      </c>
      <c r="AJ174" s="52">
        <v>84105</v>
      </c>
      <c r="AK174" s="52">
        <v>18022.5</v>
      </c>
      <c r="AL174" s="52">
        <v>84105</v>
      </c>
      <c r="AM174" s="52">
        <v>42052.5</v>
      </c>
      <c r="AN174" s="52">
        <v>73425</v>
      </c>
      <c r="AO174" s="52">
        <v>176220</v>
      </c>
      <c r="AP174" s="52">
        <v>102795</v>
      </c>
      <c r="AQ174" s="52">
        <v>18022.5</v>
      </c>
      <c r="AR174" s="52">
        <v>84105</v>
      </c>
      <c r="AS174" s="52">
        <v>42052.5</v>
      </c>
      <c r="AT174" s="52">
        <v>58739.999999999993</v>
      </c>
      <c r="AU174" s="52">
        <v>190905</v>
      </c>
      <c r="AV174" s="52">
        <v>102795</v>
      </c>
      <c r="AW174" s="52">
        <v>18022.5</v>
      </c>
      <c r="AX174" s="52">
        <v>84105</v>
      </c>
      <c r="AY174" s="52">
        <v>42052.5</v>
      </c>
      <c r="AZ174" s="52">
        <v>66750</v>
      </c>
      <c r="BA174" s="52">
        <v>160200</v>
      </c>
      <c r="BB174" s="52">
        <v>93450</v>
      </c>
      <c r="BC174" s="52">
        <v>20025</v>
      </c>
      <c r="BD174" s="52">
        <v>86774.999999999985</v>
      </c>
      <c r="BE174" s="52">
        <v>53400</v>
      </c>
      <c r="BF174" s="52">
        <v>44055</v>
      </c>
      <c r="BG174" s="52">
        <v>205590</v>
      </c>
      <c r="BH174" s="52">
        <v>102795</v>
      </c>
      <c r="BI174" s="52">
        <v>18022.5</v>
      </c>
      <c r="BJ174" s="52">
        <v>78097.5</v>
      </c>
      <c r="BK174" s="52">
        <v>48060</v>
      </c>
      <c r="BL174" s="52">
        <v>28035</v>
      </c>
      <c r="BM174" s="52">
        <v>210262.5</v>
      </c>
      <c r="BN174" s="52">
        <v>98122.5</v>
      </c>
      <c r="BO174" s="52">
        <v>18022.5</v>
      </c>
      <c r="BP174" s="52">
        <v>78097.5</v>
      </c>
      <c r="BQ174" s="52">
        <v>48060</v>
      </c>
      <c r="BR174" s="52">
        <v>45390</v>
      </c>
      <c r="BS174" s="52">
        <v>158865</v>
      </c>
      <c r="BT174" s="52">
        <v>68085</v>
      </c>
      <c r="BU174" s="52">
        <v>37379.999999999993</v>
      </c>
      <c r="BV174" s="52">
        <v>121485</v>
      </c>
      <c r="BW174" s="52">
        <v>65414.999999999993</v>
      </c>
    </row>
    <row r="175" spans="1:75" x14ac:dyDescent="0.3">
      <c r="A175" s="8" t="s">
        <v>104</v>
      </c>
      <c r="B175" s="8" t="s">
        <v>8</v>
      </c>
      <c r="C175" s="8" t="s">
        <v>66</v>
      </c>
      <c r="D175" s="52">
        <v>0</v>
      </c>
      <c r="E175" s="52">
        <v>0</v>
      </c>
      <c r="F175" s="52">
        <v>0</v>
      </c>
      <c r="G175" s="52">
        <v>0</v>
      </c>
      <c r="H175" s="52">
        <v>0</v>
      </c>
      <c r="I175" s="52">
        <v>0</v>
      </c>
      <c r="J175" s="52">
        <v>0</v>
      </c>
      <c r="K175" s="52">
        <v>0</v>
      </c>
      <c r="L175" s="52">
        <v>0</v>
      </c>
      <c r="M175" s="52">
        <v>0</v>
      </c>
      <c r="N175" s="52">
        <v>0</v>
      </c>
      <c r="O175" s="52">
        <v>0</v>
      </c>
      <c r="P175" s="52">
        <v>0</v>
      </c>
      <c r="Q175" s="52">
        <v>0</v>
      </c>
      <c r="R175" s="52">
        <v>0</v>
      </c>
      <c r="S175" s="52">
        <v>0</v>
      </c>
      <c r="T175" s="52">
        <v>0</v>
      </c>
      <c r="U175" s="52">
        <v>0</v>
      </c>
      <c r="V175" s="52">
        <v>0</v>
      </c>
      <c r="W175" s="52">
        <v>0</v>
      </c>
      <c r="X175" s="52">
        <v>0</v>
      </c>
      <c r="Y175" s="52">
        <v>0</v>
      </c>
      <c r="Z175" s="52">
        <v>0</v>
      </c>
      <c r="AA175" s="52">
        <v>0</v>
      </c>
      <c r="AB175" s="52">
        <v>0</v>
      </c>
      <c r="AC175" s="52">
        <v>0</v>
      </c>
      <c r="AD175" s="52">
        <v>0</v>
      </c>
      <c r="AE175" s="52">
        <v>0</v>
      </c>
      <c r="AF175" s="52">
        <v>0</v>
      </c>
      <c r="AG175" s="52">
        <v>0</v>
      </c>
      <c r="AH175" s="52">
        <v>0</v>
      </c>
      <c r="AI175" s="52">
        <v>0</v>
      </c>
      <c r="AJ175" s="52">
        <v>0</v>
      </c>
      <c r="AK175" s="52">
        <v>0</v>
      </c>
      <c r="AL175" s="52">
        <v>0</v>
      </c>
      <c r="AM175" s="52">
        <v>0</v>
      </c>
      <c r="AN175" s="52">
        <v>0</v>
      </c>
      <c r="AO175" s="52">
        <v>0</v>
      </c>
      <c r="AP175" s="52">
        <v>0</v>
      </c>
      <c r="AQ175" s="52">
        <v>0</v>
      </c>
      <c r="AR175" s="52">
        <v>0</v>
      </c>
      <c r="AS175" s="52">
        <v>0</v>
      </c>
      <c r="AT175" s="52">
        <v>0</v>
      </c>
      <c r="AU175" s="52">
        <v>0</v>
      </c>
      <c r="AV175" s="52">
        <v>0</v>
      </c>
      <c r="AW175" s="52">
        <v>0</v>
      </c>
      <c r="AX175" s="52">
        <v>0</v>
      </c>
      <c r="AY175" s="52">
        <v>0</v>
      </c>
      <c r="AZ175" s="52">
        <v>0</v>
      </c>
      <c r="BA175" s="52">
        <v>0</v>
      </c>
      <c r="BB175" s="52">
        <v>0</v>
      </c>
      <c r="BC175" s="52">
        <v>0</v>
      </c>
      <c r="BD175" s="52">
        <v>0</v>
      </c>
      <c r="BE175" s="52">
        <v>0</v>
      </c>
      <c r="BF175" s="52">
        <v>0</v>
      </c>
      <c r="BG175" s="52">
        <v>0</v>
      </c>
      <c r="BH175" s="52">
        <v>0</v>
      </c>
      <c r="BI175" s="52">
        <v>0</v>
      </c>
      <c r="BJ175" s="52">
        <v>0</v>
      </c>
      <c r="BK175" s="52">
        <v>0</v>
      </c>
      <c r="BL175" s="52">
        <v>0</v>
      </c>
      <c r="BM175" s="52">
        <v>0</v>
      </c>
      <c r="BN175" s="52">
        <v>0</v>
      </c>
      <c r="BO175" s="52">
        <v>0</v>
      </c>
      <c r="BP175" s="52">
        <v>0</v>
      </c>
      <c r="BQ175" s="52">
        <v>0</v>
      </c>
      <c r="BR175" s="52">
        <v>0</v>
      </c>
      <c r="BS175" s="52">
        <v>0</v>
      </c>
      <c r="BT175" s="52">
        <v>0</v>
      </c>
      <c r="BU175" s="52">
        <v>0</v>
      </c>
      <c r="BV175" s="52">
        <v>0</v>
      </c>
      <c r="BW175" s="52">
        <v>0</v>
      </c>
    </row>
    <row r="176" spans="1:75" x14ac:dyDescent="0.3">
      <c r="A176" s="8" t="s">
        <v>104</v>
      </c>
      <c r="B176" s="8" t="s">
        <v>8</v>
      </c>
      <c r="C176" s="8" t="s">
        <v>67</v>
      </c>
      <c r="D176" s="52">
        <v>0</v>
      </c>
      <c r="E176" s="52">
        <v>0</v>
      </c>
      <c r="F176" s="52">
        <v>0</v>
      </c>
      <c r="G176" s="52">
        <v>0</v>
      </c>
      <c r="H176" s="52">
        <v>0</v>
      </c>
      <c r="I176" s="52">
        <v>0</v>
      </c>
      <c r="J176" s="52">
        <v>0</v>
      </c>
      <c r="K176" s="52">
        <v>0</v>
      </c>
      <c r="L176" s="52">
        <v>0</v>
      </c>
      <c r="M176" s="52">
        <v>0</v>
      </c>
      <c r="N176" s="52">
        <v>0</v>
      </c>
      <c r="O176" s="52">
        <v>0</v>
      </c>
      <c r="P176" s="52">
        <v>0</v>
      </c>
      <c r="Q176" s="52">
        <v>0</v>
      </c>
      <c r="R176" s="52">
        <v>0</v>
      </c>
      <c r="S176" s="52">
        <v>0</v>
      </c>
      <c r="T176" s="52">
        <v>0</v>
      </c>
      <c r="U176" s="52">
        <v>0</v>
      </c>
      <c r="V176" s="52">
        <v>0</v>
      </c>
      <c r="W176" s="52">
        <v>0</v>
      </c>
      <c r="X176" s="52">
        <v>0</v>
      </c>
      <c r="Y176" s="52">
        <v>0</v>
      </c>
      <c r="Z176" s="52">
        <v>0</v>
      </c>
      <c r="AA176" s="52">
        <v>0</v>
      </c>
      <c r="AB176" s="52">
        <v>0</v>
      </c>
      <c r="AC176" s="52">
        <v>0</v>
      </c>
      <c r="AD176" s="52">
        <v>0</v>
      </c>
      <c r="AE176" s="52">
        <v>0</v>
      </c>
      <c r="AF176" s="52">
        <v>0</v>
      </c>
      <c r="AG176" s="52">
        <v>0</v>
      </c>
      <c r="AH176" s="52">
        <v>0</v>
      </c>
      <c r="AI176" s="52">
        <v>0</v>
      </c>
      <c r="AJ176" s="52">
        <v>0</v>
      </c>
      <c r="AK176" s="52">
        <v>0</v>
      </c>
      <c r="AL176" s="52">
        <v>0</v>
      </c>
      <c r="AM176" s="52">
        <v>0</v>
      </c>
      <c r="AN176" s="52">
        <v>0</v>
      </c>
      <c r="AO176" s="52">
        <v>0</v>
      </c>
      <c r="AP176" s="52">
        <v>0</v>
      </c>
      <c r="AQ176" s="52">
        <v>0</v>
      </c>
      <c r="AR176" s="52">
        <v>0</v>
      </c>
      <c r="AS176" s="52">
        <v>0</v>
      </c>
      <c r="AT176" s="52">
        <v>0</v>
      </c>
      <c r="AU176" s="52">
        <v>0</v>
      </c>
      <c r="AV176" s="52">
        <v>0</v>
      </c>
      <c r="AW176" s="52">
        <v>0</v>
      </c>
      <c r="AX176" s="52">
        <v>0</v>
      </c>
      <c r="AY176" s="52">
        <v>0</v>
      </c>
      <c r="AZ176" s="52">
        <v>0</v>
      </c>
      <c r="BA176" s="52">
        <v>0</v>
      </c>
      <c r="BB176" s="52">
        <v>0</v>
      </c>
      <c r="BC176" s="52">
        <v>0</v>
      </c>
      <c r="BD176" s="52">
        <v>0</v>
      </c>
      <c r="BE176" s="52">
        <v>0</v>
      </c>
      <c r="BF176" s="52">
        <v>0</v>
      </c>
      <c r="BG176" s="52">
        <v>0</v>
      </c>
      <c r="BH176" s="52">
        <v>0</v>
      </c>
      <c r="BI176" s="52">
        <v>0</v>
      </c>
      <c r="BJ176" s="52">
        <v>0</v>
      </c>
      <c r="BK176" s="52">
        <v>0</v>
      </c>
      <c r="BL176" s="52">
        <v>0</v>
      </c>
      <c r="BM176" s="52">
        <v>0</v>
      </c>
      <c r="BN176" s="52">
        <v>0</v>
      </c>
      <c r="BO176" s="52">
        <v>0</v>
      </c>
      <c r="BP176" s="52">
        <v>0</v>
      </c>
      <c r="BQ176" s="52">
        <v>0</v>
      </c>
      <c r="BR176" s="52">
        <v>0</v>
      </c>
      <c r="BS176" s="52">
        <v>0</v>
      </c>
      <c r="BT176" s="52">
        <v>0</v>
      </c>
      <c r="BU176" s="52">
        <v>0</v>
      </c>
      <c r="BV176" s="52">
        <v>0</v>
      </c>
      <c r="BW176" s="52">
        <v>0</v>
      </c>
    </row>
    <row r="177" spans="1:75" x14ac:dyDescent="0.3">
      <c r="A177" s="8" t="s">
        <v>104</v>
      </c>
      <c r="B177" s="8" t="s">
        <v>8</v>
      </c>
      <c r="C177" s="8" t="s">
        <v>68</v>
      </c>
      <c r="D177" s="52">
        <v>0</v>
      </c>
      <c r="E177" s="52">
        <v>0</v>
      </c>
      <c r="F177" s="52">
        <v>0</v>
      </c>
      <c r="G177" s="52">
        <v>0</v>
      </c>
      <c r="H177" s="52">
        <v>0</v>
      </c>
      <c r="I177" s="52">
        <v>0</v>
      </c>
      <c r="J177" s="52">
        <v>0</v>
      </c>
      <c r="K177" s="52">
        <v>0</v>
      </c>
      <c r="L177" s="52">
        <v>0</v>
      </c>
      <c r="M177" s="52">
        <v>0</v>
      </c>
      <c r="N177" s="52">
        <v>0</v>
      </c>
      <c r="O177" s="52">
        <v>0</v>
      </c>
      <c r="P177" s="52">
        <v>0</v>
      </c>
      <c r="Q177" s="52">
        <v>0</v>
      </c>
      <c r="R177" s="52">
        <v>0</v>
      </c>
      <c r="S177" s="52">
        <v>0</v>
      </c>
      <c r="T177" s="52">
        <v>0</v>
      </c>
      <c r="U177" s="52">
        <v>0</v>
      </c>
      <c r="V177" s="52">
        <v>0</v>
      </c>
      <c r="W177" s="52">
        <v>0</v>
      </c>
      <c r="X177" s="52">
        <v>0</v>
      </c>
      <c r="Y177" s="52">
        <v>0</v>
      </c>
      <c r="Z177" s="52">
        <v>0</v>
      </c>
      <c r="AA177" s="52">
        <v>0</v>
      </c>
      <c r="AB177" s="52">
        <v>0</v>
      </c>
      <c r="AC177" s="52">
        <v>0</v>
      </c>
      <c r="AD177" s="52">
        <v>0</v>
      </c>
      <c r="AE177" s="52">
        <v>0</v>
      </c>
      <c r="AF177" s="52">
        <v>0</v>
      </c>
      <c r="AG177" s="52">
        <v>0</v>
      </c>
      <c r="AH177" s="52">
        <v>0</v>
      </c>
      <c r="AI177" s="52">
        <v>0</v>
      </c>
      <c r="AJ177" s="52">
        <v>0</v>
      </c>
      <c r="AK177" s="52">
        <v>0</v>
      </c>
      <c r="AL177" s="52">
        <v>0</v>
      </c>
      <c r="AM177" s="52">
        <v>0</v>
      </c>
      <c r="AN177" s="52">
        <v>0</v>
      </c>
      <c r="AO177" s="52">
        <v>0</v>
      </c>
      <c r="AP177" s="52">
        <v>0</v>
      </c>
      <c r="AQ177" s="52">
        <v>0</v>
      </c>
      <c r="AR177" s="52">
        <v>0</v>
      </c>
      <c r="AS177" s="52">
        <v>0</v>
      </c>
      <c r="AT177" s="52">
        <v>0</v>
      </c>
      <c r="AU177" s="52">
        <v>0</v>
      </c>
      <c r="AV177" s="52">
        <v>0</v>
      </c>
      <c r="AW177" s="52">
        <v>0</v>
      </c>
      <c r="AX177" s="52">
        <v>0</v>
      </c>
      <c r="AY177" s="52">
        <v>0</v>
      </c>
      <c r="AZ177" s="52">
        <v>0</v>
      </c>
      <c r="BA177" s="52">
        <v>0</v>
      </c>
      <c r="BB177" s="52">
        <v>0</v>
      </c>
      <c r="BC177" s="52">
        <v>0</v>
      </c>
      <c r="BD177" s="52">
        <v>0</v>
      </c>
      <c r="BE177" s="52">
        <v>0</v>
      </c>
      <c r="BF177" s="52">
        <v>0</v>
      </c>
      <c r="BG177" s="52">
        <v>0</v>
      </c>
      <c r="BH177" s="52">
        <v>0</v>
      </c>
      <c r="BI177" s="52">
        <v>0</v>
      </c>
      <c r="BJ177" s="52">
        <v>0</v>
      </c>
      <c r="BK177" s="52">
        <v>0</v>
      </c>
      <c r="BL177" s="52">
        <v>0</v>
      </c>
      <c r="BM177" s="52">
        <v>0</v>
      </c>
      <c r="BN177" s="52">
        <v>0</v>
      </c>
      <c r="BO177" s="52">
        <v>0</v>
      </c>
      <c r="BP177" s="52">
        <v>0</v>
      </c>
      <c r="BQ177" s="52">
        <v>0</v>
      </c>
      <c r="BR177" s="52">
        <v>0</v>
      </c>
      <c r="BS177" s="52">
        <v>0</v>
      </c>
      <c r="BT177" s="52">
        <v>0</v>
      </c>
      <c r="BU177" s="52">
        <v>0</v>
      </c>
      <c r="BV177" s="52">
        <v>0</v>
      </c>
      <c r="BW177" s="52">
        <v>0</v>
      </c>
    </row>
    <row r="178" spans="1:75" x14ac:dyDescent="0.3">
      <c r="A178" s="8" t="s">
        <v>104</v>
      </c>
      <c r="B178" s="8" t="s">
        <v>8</v>
      </c>
      <c r="C178" s="8" t="s">
        <v>69</v>
      </c>
      <c r="D178" s="52">
        <v>0</v>
      </c>
      <c r="E178" s="52">
        <v>0</v>
      </c>
      <c r="F178" s="52">
        <v>0</v>
      </c>
      <c r="G178" s="52">
        <v>0</v>
      </c>
      <c r="H178" s="52">
        <v>0</v>
      </c>
      <c r="I178" s="52">
        <v>0</v>
      </c>
      <c r="J178" s="52">
        <v>0</v>
      </c>
      <c r="K178" s="52">
        <v>0</v>
      </c>
      <c r="L178" s="52">
        <v>0</v>
      </c>
      <c r="M178" s="52">
        <v>0</v>
      </c>
      <c r="N178" s="52">
        <v>0</v>
      </c>
      <c r="O178" s="52">
        <v>0</v>
      </c>
      <c r="P178" s="52">
        <v>0</v>
      </c>
      <c r="Q178" s="52">
        <v>0</v>
      </c>
      <c r="R178" s="52">
        <v>0</v>
      </c>
      <c r="S178" s="52">
        <v>0</v>
      </c>
      <c r="T178" s="52">
        <v>0</v>
      </c>
      <c r="U178" s="52">
        <v>0</v>
      </c>
      <c r="V178" s="52">
        <v>0</v>
      </c>
      <c r="W178" s="52">
        <v>0</v>
      </c>
      <c r="X178" s="52">
        <v>0</v>
      </c>
      <c r="Y178" s="52">
        <v>0</v>
      </c>
      <c r="Z178" s="52">
        <v>0</v>
      </c>
      <c r="AA178" s="52">
        <v>0</v>
      </c>
      <c r="AB178" s="52">
        <v>0</v>
      </c>
      <c r="AC178" s="52">
        <v>0</v>
      </c>
      <c r="AD178" s="52">
        <v>0</v>
      </c>
      <c r="AE178" s="52">
        <v>0</v>
      </c>
      <c r="AF178" s="52">
        <v>0</v>
      </c>
      <c r="AG178" s="52">
        <v>0</v>
      </c>
      <c r="AH178" s="52">
        <v>0</v>
      </c>
      <c r="AI178" s="52">
        <v>0</v>
      </c>
      <c r="AJ178" s="52">
        <v>0</v>
      </c>
      <c r="AK178" s="52">
        <v>0</v>
      </c>
      <c r="AL178" s="52">
        <v>0</v>
      </c>
      <c r="AM178" s="52">
        <v>0</v>
      </c>
      <c r="AN178" s="52">
        <v>0</v>
      </c>
      <c r="AO178" s="52">
        <v>0</v>
      </c>
      <c r="AP178" s="52">
        <v>0</v>
      </c>
      <c r="AQ178" s="52">
        <v>0</v>
      </c>
      <c r="AR178" s="52">
        <v>0</v>
      </c>
      <c r="AS178" s="52">
        <v>0</v>
      </c>
      <c r="AT178" s="52">
        <v>0</v>
      </c>
      <c r="AU178" s="52">
        <v>0</v>
      </c>
      <c r="AV178" s="52">
        <v>0</v>
      </c>
      <c r="AW178" s="52">
        <v>0</v>
      </c>
      <c r="AX178" s="52">
        <v>0</v>
      </c>
      <c r="AY178" s="52">
        <v>0</v>
      </c>
      <c r="AZ178" s="52">
        <v>0</v>
      </c>
      <c r="BA178" s="52">
        <v>0</v>
      </c>
      <c r="BB178" s="52">
        <v>0</v>
      </c>
      <c r="BC178" s="52">
        <v>0</v>
      </c>
      <c r="BD178" s="52">
        <v>0</v>
      </c>
      <c r="BE178" s="52">
        <v>0</v>
      </c>
      <c r="BF178" s="52">
        <v>0</v>
      </c>
      <c r="BG178" s="52">
        <v>0</v>
      </c>
      <c r="BH178" s="52">
        <v>0</v>
      </c>
      <c r="BI178" s="52">
        <v>0</v>
      </c>
      <c r="BJ178" s="52">
        <v>0</v>
      </c>
      <c r="BK178" s="52">
        <v>0</v>
      </c>
      <c r="BL178" s="52">
        <v>0</v>
      </c>
      <c r="BM178" s="52">
        <v>0</v>
      </c>
      <c r="BN178" s="52">
        <v>0</v>
      </c>
      <c r="BO178" s="52">
        <v>0</v>
      </c>
      <c r="BP178" s="52">
        <v>0</v>
      </c>
      <c r="BQ178" s="52">
        <v>0</v>
      </c>
      <c r="BR178" s="52">
        <v>0</v>
      </c>
      <c r="BS178" s="52">
        <v>0</v>
      </c>
      <c r="BT178" s="52">
        <v>0</v>
      </c>
      <c r="BU178" s="52">
        <v>0</v>
      </c>
      <c r="BV178" s="52">
        <v>0</v>
      </c>
      <c r="BW178" s="52">
        <v>0</v>
      </c>
    </row>
    <row r="179" spans="1:75" x14ac:dyDescent="0.3">
      <c r="A179" s="8" t="s">
        <v>104</v>
      </c>
      <c r="B179" s="8" t="s">
        <v>8</v>
      </c>
      <c r="C179" s="8" t="s">
        <v>27</v>
      </c>
      <c r="D179" s="52">
        <v>13200</v>
      </c>
      <c r="E179" s="52">
        <v>46199.999999999993</v>
      </c>
      <c r="F179" s="52">
        <v>16632.000000000004</v>
      </c>
      <c r="G179" s="52">
        <v>5399.9999999999991</v>
      </c>
      <c r="H179" s="52">
        <v>18900</v>
      </c>
      <c r="I179" s="52">
        <v>6804</v>
      </c>
      <c r="J179" s="52">
        <v>9000</v>
      </c>
      <c r="K179" s="52">
        <v>45000</v>
      </c>
      <c r="L179" s="52">
        <v>18000</v>
      </c>
      <c r="M179" s="52">
        <v>3599.9999999999995</v>
      </c>
      <c r="N179" s="52">
        <v>15600</v>
      </c>
      <c r="O179" s="52">
        <v>5568.0000000000155</v>
      </c>
      <c r="P179" s="52">
        <v>12600</v>
      </c>
      <c r="Q179" s="52">
        <v>44100</v>
      </c>
      <c r="R179" s="52">
        <v>16169.59223300972</v>
      </c>
      <c r="S179" s="52">
        <v>4500</v>
      </c>
      <c r="T179" s="52">
        <v>19500</v>
      </c>
      <c r="U179" s="52">
        <v>10266.4077669903</v>
      </c>
      <c r="V179" s="52">
        <v>11400</v>
      </c>
      <c r="W179" s="52">
        <v>39900</v>
      </c>
      <c r="X179" s="52">
        <v>6938.8674633999772</v>
      </c>
      <c r="Y179" s="52">
        <v>4950</v>
      </c>
      <c r="Z179" s="52">
        <v>23099.999999999996</v>
      </c>
      <c r="AA179" s="52">
        <v>4431.1325366000247</v>
      </c>
      <c r="AB179" s="52">
        <v>13200</v>
      </c>
      <c r="AC179" s="52">
        <v>46199.999999999993</v>
      </c>
      <c r="AD179" s="52">
        <v>0</v>
      </c>
      <c r="AE179" s="52">
        <v>4050</v>
      </c>
      <c r="AF179" s="52">
        <v>16901.999999999989</v>
      </c>
      <c r="AG179" s="52">
        <v>0</v>
      </c>
      <c r="AH179" s="52">
        <v>12600</v>
      </c>
      <c r="AI179" s="52">
        <v>31014.270370439939</v>
      </c>
      <c r="AJ179" s="52">
        <v>0</v>
      </c>
      <c r="AK179" s="52">
        <v>4050</v>
      </c>
      <c r="AL179" s="52">
        <v>4175.72962956007</v>
      </c>
      <c r="AM179" s="52">
        <v>0</v>
      </c>
      <c r="AN179" s="52">
        <v>16500</v>
      </c>
      <c r="AO179" s="52">
        <v>27919.713069600068</v>
      </c>
      <c r="AP179" s="52">
        <v>0</v>
      </c>
      <c r="AQ179" s="52">
        <v>4050</v>
      </c>
      <c r="AR179" s="52">
        <v>5098.2869303999387</v>
      </c>
      <c r="AS179" s="52">
        <v>0</v>
      </c>
      <c r="AT179" s="52">
        <v>13200</v>
      </c>
      <c r="AU179" s="52">
        <v>25485.936710573271</v>
      </c>
      <c r="AV179" s="52">
        <v>0</v>
      </c>
      <c r="AW179" s="52">
        <v>4050</v>
      </c>
      <c r="AX179" s="52">
        <v>10832.063289426738</v>
      </c>
      <c r="AY179" s="52">
        <v>0</v>
      </c>
      <c r="AZ179" s="52">
        <v>15000</v>
      </c>
      <c r="BA179" s="52">
        <v>36000</v>
      </c>
      <c r="BB179" s="52">
        <v>1756.3636363636354</v>
      </c>
      <c r="BC179" s="52">
        <v>4500</v>
      </c>
      <c r="BD179" s="52">
        <v>19500</v>
      </c>
      <c r="BE179" s="52">
        <v>1003.6363636363629</v>
      </c>
      <c r="BF179" s="52">
        <v>9900</v>
      </c>
      <c r="BG179" s="52">
        <v>46199.999999999993</v>
      </c>
      <c r="BH179" s="52">
        <v>12938.102635200019</v>
      </c>
      <c r="BI179" s="52">
        <v>4050</v>
      </c>
      <c r="BJ179" s="52">
        <v>17550</v>
      </c>
      <c r="BK179" s="52">
        <v>3105.8973647999724</v>
      </c>
      <c r="BL179" s="52">
        <v>6300</v>
      </c>
      <c r="BM179" s="52">
        <v>47250</v>
      </c>
      <c r="BN179" s="52">
        <v>22050</v>
      </c>
      <c r="BO179" s="52">
        <v>4050</v>
      </c>
      <c r="BP179" s="52">
        <v>17550</v>
      </c>
      <c r="BQ179" s="52">
        <v>6480.0000000000091</v>
      </c>
      <c r="BR179" s="52">
        <v>10200</v>
      </c>
      <c r="BS179" s="52">
        <v>35699.999999999993</v>
      </c>
      <c r="BT179" s="52">
        <v>15299.999999999998</v>
      </c>
      <c r="BU179" s="52">
        <v>8400</v>
      </c>
      <c r="BV179" s="52">
        <v>27300</v>
      </c>
      <c r="BW179" s="52">
        <v>10236.000000000009</v>
      </c>
    </row>
    <row r="180" spans="1:75" x14ac:dyDescent="0.3">
      <c r="A180" s="8" t="s">
        <v>104</v>
      </c>
      <c r="B180" s="8" t="s">
        <v>8</v>
      </c>
      <c r="C180" s="8" t="s">
        <v>144</v>
      </c>
      <c r="D180" s="52">
        <v>17600</v>
      </c>
      <c r="E180" s="52">
        <v>45246.882338436197</v>
      </c>
      <c r="F180" s="52">
        <v>0</v>
      </c>
      <c r="G180" s="52">
        <v>7200</v>
      </c>
      <c r="H180" s="52">
        <v>0</v>
      </c>
      <c r="I180" s="52">
        <v>0</v>
      </c>
      <c r="J180" s="52">
        <v>12000</v>
      </c>
      <c r="K180" s="52">
        <v>0</v>
      </c>
      <c r="L180" s="52">
        <v>0</v>
      </c>
      <c r="M180" s="52">
        <v>4800.0000000000009</v>
      </c>
      <c r="N180" s="52">
        <v>0</v>
      </c>
      <c r="O180" s="52">
        <v>0</v>
      </c>
      <c r="P180" s="52">
        <v>16800</v>
      </c>
      <c r="Q180" s="52">
        <v>0</v>
      </c>
      <c r="R180" s="52">
        <v>0</v>
      </c>
      <c r="S180" s="52">
        <v>6000</v>
      </c>
      <c r="T180" s="52">
        <v>0</v>
      </c>
      <c r="U180" s="52">
        <v>0</v>
      </c>
      <c r="V180" s="52">
        <v>15200.000000000002</v>
      </c>
      <c r="W180" s="52">
        <v>11188.811584563815</v>
      </c>
      <c r="X180" s="52">
        <v>0</v>
      </c>
      <c r="Y180" s="52">
        <v>6600.0000000000009</v>
      </c>
      <c r="Z180" s="52">
        <v>2798.6420769999372</v>
      </c>
      <c r="AA180" s="52">
        <v>0</v>
      </c>
      <c r="AB180" s="52">
        <v>11262.238820900238</v>
      </c>
      <c r="AC180" s="52">
        <v>15736.033179099761</v>
      </c>
      <c r="AD180" s="52">
        <v>0</v>
      </c>
      <c r="AE180" s="52">
        <v>0</v>
      </c>
      <c r="AF180" s="52">
        <v>0</v>
      </c>
      <c r="AG180" s="52">
        <v>0</v>
      </c>
      <c r="AH180" s="52">
        <v>16800</v>
      </c>
      <c r="AI180" s="52">
        <v>0</v>
      </c>
      <c r="AJ180" s="52">
        <v>0</v>
      </c>
      <c r="AK180" s="52">
        <v>4765.9736016000088</v>
      </c>
      <c r="AL180" s="52">
        <v>0</v>
      </c>
      <c r="AM180" s="52">
        <v>0</v>
      </c>
      <c r="AN180" s="52">
        <v>22000</v>
      </c>
      <c r="AO180" s="52">
        <v>0</v>
      </c>
      <c r="AP180" s="52">
        <v>0</v>
      </c>
      <c r="AQ180" s="52">
        <v>2635.5856383000196</v>
      </c>
      <c r="AR180" s="52">
        <v>0</v>
      </c>
      <c r="AS180" s="52">
        <v>0</v>
      </c>
      <c r="AT180" s="52">
        <v>17600</v>
      </c>
      <c r="AU180" s="52">
        <v>40807.313099326544</v>
      </c>
      <c r="AV180" s="52">
        <v>0</v>
      </c>
      <c r="AW180" s="52">
        <v>5400</v>
      </c>
      <c r="AX180" s="52">
        <v>17978.047029773232</v>
      </c>
      <c r="AY180" s="52">
        <v>0</v>
      </c>
      <c r="AZ180" s="52">
        <v>16586.914630000185</v>
      </c>
      <c r="BA180" s="52">
        <v>2029.855055999974</v>
      </c>
      <c r="BB180" s="52">
        <v>0</v>
      </c>
      <c r="BC180" s="52">
        <v>4976.0743890000549</v>
      </c>
      <c r="BD180" s="52">
        <v>1099.5048219999858</v>
      </c>
      <c r="BE180" s="52">
        <v>0</v>
      </c>
      <c r="BF180" s="52">
        <v>13200.000000000002</v>
      </c>
      <c r="BG180" s="52">
        <v>0</v>
      </c>
      <c r="BH180" s="52">
        <v>0</v>
      </c>
      <c r="BI180" s="52">
        <v>3130.2677339999973</v>
      </c>
      <c r="BJ180" s="52">
        <v>0</v>
      </c>
      <c r="BK180" s="52">
        <v>0</v>
      </c>
      <c r="BL180" s="52">
        <v>8400</v>
      </c>
      <c r="BM180" s="52">
        <v>11400.193912280089</v>
      </c>
      <c r="BN180" s="52">
        <v>0</v>
      </c>
      <c r="BO180" s="52">
        <v>5400</v>
      </c>
      <c r="BP180" s="52">
        <v>4234.3577388468902</v>
      </c>
      <c r="BQ180" s="52">
        <v>0</v>
      </c>
      <c r="BR180" s="52">
        <v>13600.000000000002</v>
      </c>
      <c r="BS180" s="52">
        <v>30753.960348873017</v>
      </c>
      <c r="BT180" s="52">
        <v>0</v>
      </c>
      <c r="BU180" s="52">
        <v>11200.000000000002</v>
      </c>
      <c r="BV180" s="52">
        <v>0</v>
      </c>
      <c r="BW180" s="52">
        <v>0</v>
      </c>
    </row>
    <row r="181" spans="1:75" x14ac:dyDescent="0.3">
      <c r="A181" s="8" t="s">
        <v>104</v>
      </c>
      <c r="B181" s="8" t="s">
        <v>8</v>
      </c>
      <c r="C181" s="8" t="s">
        <v>145</v>
      </c>
      <c r="D181" s="52">
        <v>10580.40608240003</v>
      </c>
      <c r="E181" s="52">
        <v>0</v>
      </c>
      <c r="F181" s="52">
        <v>0</v>
      </c>
      <c r="G181" s="52">
        <v>4328.3479428000119</v>
      </c>
      <c r="H181" s="52">
        <v>0</v>
      </c>
      <c r="I181" s="52">
        <v>0</v>
      </c>
      <c r="J181" s="52">
        <v>3030.6570780000229</v>
      </c>
      <c r="K181" s="52">
        <v>0</v>
      </c>
      <c r="L181" s="52">
        <v>0</v>
      </c>
      <c r="M181" s="52">
        <v>1212.2628312000093</v>
      </c>
      <c r="N181" s="52">
        <v>0</v>
      </c>
      <c r="O181" s="52">
        <v>0</v>
      </c>
      <c r="P181" s="52">
        <v>10247.667528000044</v>
      </c>
      <c r="Q181" s="52">
        <v>0</v>
      </c>
      <c r="R181" s="52">
        <v>0</v>
      </c>
      <c r="S181" s="52">
        <v>3659.8812600000156</v>
      </c>
      <c r="T181" s="52">
        <v>0</v>
      </c>
      <c r="U181" s="52">
        <v>0</v>
      </c>
      <c r="V181" s="52">
        <v>15200.000000000002</v>
      </c>
      <c r="W181" s="52">
        <v>0</v>
      </c>
      <c r="X181" s="52">
        <v>0</v>
      </c>
      <c r="Y181" s="52">
        <v>6600.0000000000009</v>
      </c>
      <c r="Z181" s="52">
        <v>0</v>
      </c>
      <c r="AA181" s="52">
        <v>0</v>
      </c>
      <c r="AB181" s="52">
        <v>14320.825173499812</v>
      </c>
      <c r="AC181" s="52">
        <v>0</v>
      </c>
      <c r="AD181" s="52">
        <v>0</v>
      </c>
      <c r="AE181" s="52">
        <v>529.27503030001037</v>
      </c>
      <c r="AF181" s="52">
        <v>0</v>
      </c>
      <c r="AG181" s="52">
        <v>0</v>
      </c>
      <c r="AH181" s="52">
        <v>9124.5002519999562</v>
      </c>
      <c r="AI181" s="52">
        <v>0</v>
      </c>
      <c r="AJ181" s="52">
        <v>0</v>
      </c>
      <c r="AK181" s="52">
        <v>0</v>
      </c>
      <c r="AL181" s="52">
        <v>0</v>
      </c>
      <c r="AM181" s="52">
        <v>0</v>
      </c>
      <c r="AN181" s="52">
        <v>4641.3987949999673</v>
      </c>
      <c r="AO181" s="52">
        <v>0</v>
      </c>
      <c r="AP181" s="52">
        <v>0</v>
      </c>
      <c r="AQ181" s="52">
        <v>0</v>
      </c>
      <c r="AR181" s="52">
        <v>0</v>
      </c>
      <c r="AS181" s="52">
        <v>0</v>
      </c>
      <c r="AT181" s="52">
        <v>17600</v>
      </c>
      <c r="AU181" s="52">
        <v>0</v>
      </c>
      <c r="AV181" s="52">
        <v>0</v>
      </c>
      <c r="AW181" s="52">
        <v>5400</v>
      </c>
      <c r="AX181" s="52">
        <v>0</v>
      </c>
      <c r="AY181" s="52">
        <v>0</v>
      </c>
      <c r="AZ181" s="52">
        <v>20000</v>
      </c>
      <c r="BA181" s="52">
        <v>0</v>
      </c>
      <c r="BB181" s="52">
        <v>0</v>
      </c>
      <c r="BC181" s="52">
        <v>6000</v>
      </c>
      <c r="BD181" s="52">
        <v>0</v>
      </c>
      <c r="BE181" s="52">
        <v>0</v>
      </c>
      <c r="BF181" s="52">
        <v>5311.6791420000118</v>
      </c>
      <c r="BG181" s="52">
        <v>0</v>
      </c>
      <c r="BH181" s="52">
        <v>0</v>
      </c>
      <c r="BI181" s="52">
        <v>0</v>
      </c>
      <c r="BJ181" s="52">
        <v>0</v>
      </c>
      <c r="BK181" s="52">
        <v>0</v>
      </c>
      <c r="BL181" s="52">
        <v>8400</v>
      </c>
      <c r="BM181" s="52">
        <v>0</v>
      </c>
      <c r="BN181" s="52">
        <v>0</v>
      </c>
      <c r="BO181" s="52">
        <v>4996.3625063999962</v>
      </c>
      <c r="BP181" s="52">
        <v>0</v>
      </c>
      <c r="BQ181" s="52">
        <v>0</v>
      </c>
      <c r="BR181" s="52">
        <v>7973.3123784000018</v>
      </c>
      <c r="BS181" s="52">
        <v>0</v>
      </c>
      <c r="BT181" s="52">
        <v>0</v>
      </c>
      <c r="BU181" s="52">
        <v>0</v>
      </c>
      <c r="BV181" s="52">
        <v>0</v>
      </c>
      <c r="BW181" s="52">
        <v>0</v>
      </c>
    </row>
    <row r="182" spans="1:75" x14ac:dyDescent="0.3">
      <c r="A182" s="8" t="s">
        <v>104</v>
      </c>
      <c r="B182" s="8" t="s">
        <v>8</v>
      </c>
      <c r="C182" s="8" t="s">
        <v>146</v>
      </c>
      <c r="D182" s="52">
        <v>17600</v>
      </c>
      <c r="E182" s="52">
        <v>61600</v>
      </c>
      <c r="F182" s="52">
        <v>0</v>
      </c>
      <c r="G182" s="52">
        <v>7200</v>
      </c>
      <c r="H182" s="52">
        <v>0</v>
      </c>
      <c r="I182" s="52">
        <v>0</v>
      </c>
      <c r="J182" s="52">
        <v>12000</v>
      </c>
      <c r="K182" s="52">
        <v>50554.07014080073</v>
      </c>
      <c r="L182" s="52">
        <v>0</v>
      </c>
      <c r="M182" s="52">
        <v>4800.0000000000009</v>
      </c>
      <c r="N182" s="52">
        <v>17525.410982144254</v>
      </c>
      <c r="O182" s="52">
        <v>0</v>
      </c>
      <c r="P182" s="52">
        <v>16800</v>
      </c>
      <c r="Q182" s="52">
        <v>58800.000000000007</v>
      </c>
      <c r="R182" s="52">
        <v>0</v>
      </c>
      <c r="S182" s="52">
        <v>6000</v>
      </c>
      <c r="T182" s="52">
        <v>14163.288243000021</v>
      </c>
      <c r="U182" s="52">
        <v>0</v>
      </c>
      <c r="V182" s="52">
        <v>15200.000000000002</v>
      </c>
      <c r="W182" s="52">
        <v>53200</v>
      </c>
      <c r="X182" s="52">
        <v>0</v>
      </c>
      <c r="Y182" s="52">
        <v>6600.0000000000009</v>
      </c>
      <c r="Z182" s="52">
        <v>30800</v>
      </c>
      <c r="AA182" s="52">
        <v>0</v>
      </c>
      <c r="AB182" s="52">
        <v>17600</v>
      </c>
      <c r="AC182" s="52">
        <v>61600</v>
      </c>
      <c r="AD182" s="52">
        <v>0</v>
      </c>
      <c r="AE182" s="52">
        <v>5400</v>
      </c>
      <c r="AF182" s="52">
        <v>0</v>
      </c>
      <c r="AG182" s="52">
        <v>0</v>
      </c>
      <c r="AH182" s="52">
        <v>16800</v>
      </c>
      <c r="AI182" s="52">
        <v>49182.249508559791</v>
      </c>
      <c r="AJ182" s="52">
        <v>0</v>
      </c>
      <c r="AK182" s="52">
        <v>5400</v>
      </c>
      <c r="AL182" s="52">
        <v>21078.106932239913</v>
      </c>
      <c r="AM182" s="52">
        <v>0</v>
      </c>
      <c r="AN182" s="52">
        <v>22000</v>
      </c>
      <c r="AO182" s="52">
        <v>52800.000000000007</v>
      </c>
      <c r="AP182" s="52">
        <v>0</v>
      </c>
      <c r="AQ182" s="52">
        <v>5400</v>
      </c>
      <c r="AR182" s="52">
        <v>25001.25168420004</v>
      </c>
      <c r="AS182" s="52">
        <v>0</v>
      </c>
      <c r="AT182" s="52">
        <v>17600</v>
      </c>
      <c r="AU182" s="52">
        <v>57200</v>
      </c>
      <c r="AV182" s="52">
        <v>0</v>
      </c>
      <c r="AW182" s="52">
        <v>5400</v>
      </c>
      <c r="AX182" s="52">
        <v>25200.000000000004</v>
      </c>
      <c r="AY182" s="52">
        <v>0</v>
      </c>
      <c r="AZ182" s="52">
        <v>20000</v>
      </c>
      <c r="BA182" s="52">
        <v>48000</v>
      </c>
      <c r="BB182" s="52">
        <v>0</v>
      </c>
      <c r="BC182" s="52">
        <v>6000</v>
      </c>
      <c r="BD182" s="52">
        <v>26000</v>
      </c>
      <c r="BE182" s="52">
        <v>0</v>
      </c>
      <c r="BF182" s="52">
        <v>13200.000000000002</v>
      </c>
      <c r="BG182" s="52">
        <v>43299.775626800045</v>
      </c>
      <c r="BH182" s="52">
        <v>0</v>
      </c>
      <c r="BI182" s="52">
        <v>5400</v>
      </c>
      <c r="BJ182" s="52">
        <v>0</v>
      </c>
      <c r="BK182" s="52">
        <v>0</v>
      </c>
      <c r="BL182" s="52">
        <v>8400</v>
      </c>
      <c r="BM182" s="52">
        <v>47259.404109219846</v>
      </c>
      <c r="BN182" s="52">
        <v>0</v>
      </c>
      <c r="BO182" s="52">
        <v>5400</v>
      </c>
      <c r="BP182" s="52">
        <v>17553.492954853089</v>
      </c>
      <c r="BQ182" s="52">
        <v>0</v>
      </c>
      <c r="BR182" s="52">
        <v>13600.000000000002</v>
      </c>
      <c r="BS182" s="52">
        <v>47600</v>
      </c>
      <c r="BT182" s="52">
        <v>0</v>
      </c>
      <c r="BU182" s="52">
        <v>11200.000000000002</v>
      </c>
      <c r="BV182" s="52">
        <v>36400</v>
      </c>
      <c r="BW182" s="52">
        <v>0</v>
      </c>
    </row>
    <row r="183" spans="1:75" x14ac:dyDescent="0.3">
      <c r="A183" s="8" t="s">
        <v>104</v>
      </c>
      <c r="B183" s="8" t="s">
        <v>8</v>
      </c>
      <c r="C183" s="8" t="s">
        <v>28</v>
      </c>
      <c r="D183" s="52">
        <v>17600</v>
      </c>
      <c r="E183" s="52">
        <v>61600</v>
      </c>
      <c r="F183" s="52">
        <v>26400.000000000004</v>
      </c>
      <c r="G183" s="52">
        <v>7200</v>
      </c>
      <c r="H183" s="52">
        <v>25200.000000000004</v>
      </c>
      <c r="I183" s="52">
        <v>10800</v>
      </c>
      <c r="J183" s="52">
        <v>12000</v>
      </c>
      <c r="K183" s="52">
        <v>60000</v>
      </c>
      <c r="L183" s="52">
        <v>24000</v>
      </c>
      <c r="M183" s="52">
        <v>4800.0000000000009</v>
      </c>
      <c r="N183" s="52">
        <v>20800</v>
      </c>
      <c r="O183" s="52">
        <v>12800</v>
      </c>
      <c r="P183" s="52">
        <v>16800</v>
      </c>
      <c r="Q183" s="52">
        <v>58800.000000000007</v>
      </c>
      <c r="R183" s="52">
        <v>25200.000000000004</v>
      </c>
      <c r="S183" s="52">
        <v>6000</v>
      </c>
      <c r="T183" s="52">
        <v>26000</v>
      </c>
      <c r="U183" s="52">
        <v>16000</v>
      </c>
      <c r="V183" s="52">
        <v>15200.000000000002</v>
      </c>
      <c r="W183" s="52">
        <v>53200</v>
      </c>
      <c r="X183" s="52">
        <v>22800</v>
      </c>
      <c r="Y183" s="52">
        <v>6600.0000000000009</v>
      </c>
      <c r="Z183" s="52">
        <v>30800</v>
      </c>
      <c r="AA183" s="52">
        <v>15400</v>
      </c>
      <c r="AB183" s="52">
        <v>17600</v>
      </c>
      <c r="AC183" s="52">
        <v>61600</v>
      </c>
      <c r="AD183" s="52">
        <v>26400.000000000004</v>
      </c>
      <c r="AE183" s="52">
        <v>5400</v>
      </c>
      <c r="AF183" s="52">
        <v>23400.000000000004</v>
      </c>
      <c r="AG183" s="52">
        <v>14400</v>
      </c>
      <c r="AH183" s="52">
        <v>16800</v>
      </c>
      <c r="AI183" s="52">
        <v>58800.000000000007</v>
      </c>
      <c r="AJ183" s="52">
        <v>25200.000000000004</v>
      </c>
      <c r="AK183" s="52">
        <v>5400</v>
      </c>
      <c r="AL183" s="52">
        <v>25200.000000000004</v>
      </c>
      <c r="AM183" s="52">
        <v>12600.000000000002</v>
      </c>
      <c r="AN183" s="52">
        <v>22000</v>
      </c>
      <c r="AO183" s="52">
        <v>52800.000000000007</v>
      </c>
      <c r="AP183" s="52">
        <v>30800</v>
      </c>
      <c r="AQ183" s="52">
        <v>5400</v>
      </c>
      <c r="AR183" s="52">
        <v>25200.000000000004</v>
      </c>
      <c r="AS183" s="52">
        <v>12600.000000000002</v>
      </c>
      <c r="AT183" s="52">
        <v>17600</v>
      </c>
      <c r="AU183" s="52">
        <v>57200</v>
      </c>
      <c r="AV183" s="52">
        <v>30800</v>
      </c>
      <c r="AW183" s="52">
        <v>5400</v>
      </c>
      <c r="AX183" s="52">
        <v>25200.000000000004</v>
      </c>
      <c r="AY183" s="52">
        <v>12600.000000000002</v>
      </c>
      <c r="AZ183" s="52">
        <v>20000</v>
      </c>
      <c r="BA183" s="52">
        <v>48000</v>
      </c>
      <c r="BB183" s="52">
        <v>28000</v>
      </c>
      <c r="BC183" s="52">
        <v>6000</v>
      </c>
      <c r="BD183" s="52">
        <v>26000</v>
      </c>
      <c r="BE183" s="52">
        <v>16000</v>
      </c>
      <c r="BF183" s="52">
        <v>13200.000000000002</v>
      </c>
      <c r="BG183" s="52">
        <v>61600</v>
      </c>
      <c r="BH183" s="52">
        <v>30800</v>
      </c>
      <c r="BI183" s="52">
        <v>5400</v>
      </c>
      <c r="BJ183" s="52">
        <v>23400.000000000004</v>
      </c>
      <c r="BK183" s="52">
        <v>14400</v>
      </c>
      <c r="BL183" s="52">
        <v>8400</v>
      </c>
      <c r="BM183" s="52">
        <v>63000</v>
      </c>
      <c r="BN183" s="52">
        <v>29400.000000000004</v>
      </c>
      <c r="BO183" s="52">
        <v>5400</v>
      </c>
      <c r="BP183" s="52">
        <v>23400.000000000004</v>
      </c>
      <c r="BQ183" s="52">
        <v>14400</v>
      </c>
      <c r="BR183" s="52">
        <v>13600.000000000002</v>
      </c>
      <c r="BS183" s="52">
        <v>47600</v>
      </c>
      <c r="BT183" s="52">
        <v>20400.000000000004</v>
      </c>
      <c r="BU183" s="52">
        <v>11200.000000000002</v>
      </c>
      <c r="BV183" s="52">
        <v>36400</v>
      </c>
      <c r="BW183" s="52">
        <v>19600</v>
      </c>
    </row>
    <row r="184" spans="1:75" x14ac:dyDescent="0.3">
      <c r="A184" s="8" t="s">
        <v>104</v>
      </c>
      <c r="B184" s="8" t="s">
        <v>9</v>
      </c>
      <c r="C184" s="8" t="s">
        <v>60</v>
      </c>
      <c r="D184" s="52">
        <v>67900.800000000003</v>
      </c>
      <c r="E184" s="52">
        <v>237652.80000000002</v>
      </c>
      <c r="F184" s="52">
        <v>101851.20000000001</v>
      </c>
      <c r="G184" s="52">
        <v>27777.600000000002</v>
      </c>
      <c r="H184" s="52">
        <v>97221.6</v>
      </c>
      <c r="I184" s="52">
        <v>41666.400000000001</v>
      </c>
      <c r="J184" s="52">
        <v>46296.000000000007</v>
      </c>
      <c r="K184" s="52">
        <v>231480.00000000003</v>
      </c>
      <c r="L184" s="52">
        <v>92592.000000000015</v>
      </c>
      <c r="M184" s="52">
        <v>18518.400000000001</v>
      </c>
      <c r="N184" s="52">
        <v>80246.400000000009</v>
      </c>
      <c r="O184" s="52">
        <v>49382.400000000001</v>
      </c>
      <c r="P184" s="52">
        <v>64814.400000000009</v>
      </c>
      <c r="Q184" s="52">
        <v>226850.4</v>
      </c>
      <c r="R184" s="52">
        <v>97221.6</v>
      </c>
      <c r="S184" s="52">
        <v>23148.000000000004</v>
      </c>
      <c r="T184" s="52">
        <v>100308</v>
      </c>
      <c r="U184" s="52">
        <v>61728.000000000007</v>
      </c>
      <c r="V184" s="52">
        <v>58641.600000000006</v>
      </c>
      <c r="W184" s="52">
        <v>205245.60000000003</v>
      </c>
      <c r="X184" s="52">
        <v>87962.400000000009</v>
      </c>
      <c r="Y184" s="52">
        <v>25462.800000000003</v>
      </c>
      <c r="Z184" s="52">
        <v>118826.40000000001</v>
      </c>
      <c r="AA184" s="52">
        <v>59413.200000000004</v>
      </c>
      <c r="AB184" s="52">
        <v>67900.800000000003</v>
      </c>
      <c r="AC184" s="52">
        <v>237652.80000000002</v>
      </c>
      <c r="AD184" s="52">
        <v>101851.20000000001</v>
      </c>
      <c r="AE184" s="52">
        <v>20833.2</v>
      </c>
      <c r="AF184" s="52">
        <v>90277.200000000012</v>
      </c>
      <c r="AG184" s="52">
        <v>55555.200000000004</v>
      </c>
      <c r="AH184" s="52">
        <v>64814.400000000009</v>
      </c>
      <c r="AI184" s="52">
        <v>226850.4</v>
      </c>
      <c r="AJ184" s="52">
        <v>97221.6</v>
      </c>
      <c r="AK184" s="52">
        <v>20833.2</v>
      </c>
      <c r="AL184" s="52">
        <v>97221.6</v>
      </c>
      <c r="AM184" s="52">
        <v>48610.8</v>
      </c>
      <c r="AN184" s="52">
        <v>84876</v>
      </c>
      <c r="AO184" s="52">
        <v>203702.40000000002</v>
      </c>
      <c r="AP184" s="52">
        <v>118826.40000000001</v>
      </c>
      <c r="AQ184" s="52">
        <v>20833.2</v>
      </c>
      <c r="AR184" s="52">
        <v>97221.6</v>
      </c>
      <c r="AS184" s="52">
        <v>48610.8</v>
      </c>
      <c r="AT184" s="52">
        <v>67900.800000000003</v>
      </c>
      <c r="AU184" s="52">
        <v>220677.6</v>
      </c>
      <c r="AV184" s="52">
        <v>118826.40000000001</v>
      </c>
      <c r="AW184" s="52">
        <v>20833.2</v>
      </c>
      <c r="AX184" s="52">
        <v>97221.6</v>
      </c>
      <c r="AY184" s="52">
        <v>48610.8</v>
      </c>
      <c r="AZ184" s="52">
        <v>77160.000000000015</v>
      </c>
      <c r="BA184" s="52">
        <v>185184.00000000003</v>
      </c>
      <c r="BB184" s="52">
        <v>108024.00000000001</v>
      </c>
      <c r="BC184" s="52">
        <v>23148.000000000004</v>
      </c>
      <c r="BD184" s="52">
        <v>100308</v>
      </c>
      <c r="BE184" s="52">
        <v>61728.000000000007</v>
      </c>
      <c r="BF184" s="52">
        <v>50925.600000000006</v>
      </c>
      <c r="BG184" s="52">
        <v>237652.80000000002</v>
      </c>
      <c r="BH184" s="52">
        <v>118826.40000000001</v>
      </c>
      <c r="BI184" s="52">
        <v>20833.2</v>
      </c>
      <c r="BJ184" s="52">
        <v>90277.200000000012</v>
      </c>
      <c r="BK184" s="52">
        <v>55555.200000000004</v>
      </c>
      <c r="BL184" s="52">
        <v>32407.200000000004</v>
      </c>
      <c r="BM184" s="52">
        <v>243054.00000000003</v>
      </c>
      <c r="BN184" s="52">
        <v>113425.2</v>
      </c>
      <c r="BO184" s="52">
        <v>20833.2</v>
      </c>
      <c r="BP184" s="52">
        <v>90277.200000000012</v>
      </c>
      <c r="BQ184" s="52">
        <v>55555.200000000004</v>
      </c>
      <c r="BR184" s="52">
        <v>52468.800000000003</v>
      </c>
      <c r="BS184" s="52">
        <v>183640.80000000002</v>
      </c>
      <c r="BT184" s="52">
        <v>78703.200000000012</v>
      </c>
      <c r="BU184" s="52">
        <v>43209.599999999999</v>
      </c>
      <c r="BV184" s="52">
        <v>140431.20000000001</v>
      </c>
      <c r="BW184" s="52">
        <v>75616.800000000017</v>
      </c>
    </row>
    <row r="185" spans="1:75" x14ac:dyDescent="0.3">
      <c r="A185" s="8" t="s">
        <v>104</v>
      </c>
      <c r="B185" s="8" t="s">
        <v>9</v>
      </c>
      <c r="C185" s="8" t="s">
        <v>150</v>
      </c>
      <c r="D185" s="52">
        <v>20697.599999999999</v>
      </c>
      <c r="E185" s="52">
        <v>72441.599999999991</v>
      </c>
      <c r="F185" s="52">
        <v>31046.399999999994</v>
      </c>
      <c r="G185" s="52">
        <v>0</v>
      </c>
      <c r="H185" s="52">
        <v>0</v>
      </c>
      <c r="I185" s="52">
        <v>0</v>
      </c>
      <c r="J185" s="52">
        <v>14111.999999999998</v>
      </c>
      <c r="K185" s="52">
        <v>70559.999999999985</v>
      </c>
      <c r="L185" s="52">
        <v>28223.999999999996</v>
      </c>
      <c r="M185" s="52">
        <v>5644.7999999999993</v>
      </c>
      <c r="N185" s="52">
        <v>24460.799999999996</v>
      </c>
      <c r="O185" s="52">
        <v>15052.799999999997</v>
      </c>
      <c r="P185" s="52">
        <v>30004.467528000056</v>
      </c>
      <c r="Q185" s="52">
        <v>69148.799999999988</v>
      </c>
      <c r="R185" s="52">
        <v>29635.199999999993</v>
      </c>
      <c r="S185" s="52">
        <v>10715.88126000002</v>
      </c>
      <c r="T185" s="52">
        <v>30575.999999999996</v>
      </c>
      <c r="U185" s="52">
        <v>18815.999999999996</v>
      </c>
      <c r="V185" s="52">
        <v>0</v>
      </c>
      <c r="W185" s="52">
        <v>0</v>
      </c>
      <c r="X185" s="52">
        <v>0</v>
      </c>
      <c r="Y185" s="52">
        <v>0</v>
      </c>
      <c r="Z185" s="52">
        <v>0</v>
      </c>
      <c r="AA185" s="52">
        <v>0</v>
      </c>
      <c r="AB185" s="52">
        <v>0</v>
      </c>
      <c r="AC185" s="52">
        <v>0</v>
      </c>
      <c r="AD185" s="52">
        <v>0</v>
      </c>
      <c r="AE185" s="52">
        <v>0</v>
      </c>
      <c r="AF185" s="52">
        <v>0</v>
      </c>
      <c r="AG185" s="52">
        <v>0</v>
      </c>
      <c r="AH185" s="52">
        <v>19756.8</v>
      </c>
      <c r="AI185" s="52">
        <v>69148.799999999988</v>
      </c>
      <c r="AJ185" s="52">
        <v>29635.199999999993</v>
      </c>
      <c r="AK185" s="52">
        <v>0</v>
      </c>
      <c r="AL185" s="52">
        <v>0</v>
      </c>
      <c r="AM185" s="52">
        <v>0</v>
      </c>
      <c r="AN185" s="52">
        <v>25871.999999999996</v>
      </c>
      <c r="AO185" s="52">
        <v>62092.799999999988</v>
      </c>
      <c r="AP185" s="52">
        <v>36220.799999999996</v>
      </c>
      <c r="AQ185" s="52">
        <v>6350.3999999999987</v>
      </c>
      <c r="AR185" s="52">
        <v>29635.199999999993</v>
      </c>
      <c r="AS185" s="52">
        <v>14817.599999999991</v>
      </c>
      <c r="AT185" s="52">
        <v>20697.599999999969</v>
      </c>
      <c r="AU185" s="52">
        <v>67267.19999999991</v>
      </c>
      <c r="AV185" s="52">
        <v>36220.799999999945</v>
      </c>
      <c r="AW185" s="52">
        <v>0</v>
      </c>
      <c r="AX185" s="52">
        <v>0</v>
      </c>
      <c r="AY185" s="52">
        <v>0</v>
      </c>
      <c r="AZ185" s="52">
        <v>23519.999999999996</v>
      </c>
      <c r="BA185" s="52">
        <v>56447.999999999993</v>
      </c>
      <c r="BB185" s="52">
        <v>32928</v>
      </c>
      <c r="BC185" s="52">
        <v>0</v>
      </c>
      <c r="BD185" s="52">
        <v>0</v>
      </c>
      <c r="BE185" s="52">
        <v>0</v>
      </c>
      <c r="BF185" s="52">
        <v>15523.199999999997</v>
      </c>
      <c r="BG185" s="52">
        <v>72441.599999999991</v>
      </c>
      <c r="BH185" s="52">
        <v>36220.799999999996</v>
      </c>
      <c r="BI185" s="52">
        <v>6350.3999999999987</v>
      </c>
      <c r="BJ185" s="52">
        <v>27518.399999999998</v>
      </c>
      <c r="BK185" s="52">
        <v>16934.399999999998</v>
      </c>
      <c r="BL185" s="52">
        <v>9878.4</v>
      </c>
      <c r="BM185" s="52">
        <v>74088</v>
      </c>
      <c r="BN185" s="52">
        <v>34574.399999999994</v>
      </c>
      <c r="BO185" s="52">
        <v>6350.3999999999987</v>
      </c>
      <c r="BP185" s="52">
        <v>27518.399999999998</v>
      </c>
      <c r="BQ185" s="52">
        <v>16934.399999999998</v>
      </c>
      <c r="BR185" s="52">
        <v>35717.261113500215</v>
      </c>
      <c r="BS185" s="52">
        <v>55977.599999999991</v>
      </c>
      <c r="BT185" s="52">
        <v>23990.399999999998</v>
      </c>
      <c r="BU185" s="52">
        <v>13171.199999999999</v>
      </c>
      <c r="BV185" s="52">
        <v>42806.399999999994</v>
      </c>
      <c r="BW185" s="52">
        <v>23049.599999999999</v>
      </c>
    </row>
    <row r="186" spans="1:75" x14ac:dyDescent="0.3">
      <c r="A186" s="8" t="s">
        <v>104</v>
      </c>
      <c r="B186" s="8" t="s">
        <v>9</v>
      </c>
      <c r="C186" s="8" t="s">
        <v>61</v>
      </c>
      <c r="D186" s="52">
        <v>17872.800000000003</v>
      </c>
      <c r="E186" s="52">
        <v>25021.919999999998</v>
      </c>
      <c r="F186" s="52">
        <v>10723.68</v>
      </c>
      <c r="G186" s="52">
        <v>0</v>
      </c>
      <c r="H186" s="52">
        <v>0</v>
      </c>
      <c r="I186" s="52">
        <v>0</v>
      </c>
      <c r="J186" s="52">
        <v>0</v>
      </c>
      <c r="K186" s="52">
        <v>0</v>
      </c>
      <c r="L186" s="52">
        <v>0</v>
      </c>
      <c r="M186" s="52">
        <v>0</v>
      </c>
      <c r="N186" s="52">
        <v>0</v>
      </c>
      <c r="O186" s="52">
        <v>0</v>
      </c>
      <c r="P186" s="52">
        <v>0</v>
      </c>
      <c r="Q186" s="52">
        <v>0</v>
      </c>
      <c r="R186" s="52">
        <v>0</v>
      </c>
      <c r="S186" s="52">
        <v>0</v>
      </c>
      <c r="T186" s="52">
        <v>0</v>
      </c>
      <c r="U186" s="52">
        <v>0</v>
      </c>
      <c r="V186" s="52">
        <v>11904.093704400033</v>
      </c>
      <c r="W186" s="52">
        <v>21609.84</v>
      </c>
      <c r="X186" s="52">
        <v>9261.36</v>
      </c>
      <c r="Y186" s="52">
        <v>5168.8827927000148</v>
      </c>
      <c r="Z186" s="52">
        <v>12510.96</v>
      </c>
      <c r="AA186" s="52">
        <v>6255.48</v>
      </c>
      <c r="AB186" s="52">
        <v>8016.55010832471</v>
      </c>
      <c r="AC186" s="52">
        <v>25021.919999999998</v>
      </c>
      <c r="AD186" s="52">
        <v>10723.68</v>
      </c>
      <c r="AE186" s="52">
        <v>0</v>
      </c>
      <c r="AF186" s="52">
        <v>0</v>
      </c>
      <c r="AG186" s="52">
        <v>0</v>
      </c>
      <c r="AH186" s="52">
        <v>0</v>
      </c>
      <c r="AI186" s="52">
        <v>0</v>
      </c>
      <c r="AJ186" s="52">
        <v>0</v>
      </c>
      <c r="AK186" s="52">
        <v>0</v>
      </c>
      <c r="AL186" s="52">
        <v>0</v>
      </c>
      <c r="AM186" s="52">
        <v>0</v>
      </c>
      <c r="AN186" s="52">
        <v>0</v>
      </c>
      <c r="AO186" s="52">
        <v>0</v>
      </c>
      <c r="AP186" s="52">
        <v>0</v>
      </c>
      <c r="AQ186" s="52">
        <v>0</v>
      </c>
      <c r="AR186" s="52">
        <v>0</v>
      </c>
      <c r="AS186" s="52">
        <v>0</v>
      </c>
      <c r="AT186" s="52">
        <v>0</v>
      </c>
      <c r="AU186" s="52">
        <v>0</v>
      </c>
      <c r="AV186" s="52">
        <v>0</v>
      </c>
      <c r="AW186" s="52">
        <v>0</v>
      </c>
      <c r="AX186" s="52">
        <v>0</v>
      </c>
      <c r="AY186" s="52">
        <v>0</v>
      </c>
      <c r="AZ186" s="52">
        <v>0</v>
      </c>
      <c r="BA186" s="52">
        <v>0</v>
      </c>
      <c r="BB186" s="52">
        <v>0</v>
      </c>
      <c r="BC186" s="52">
        <v>0</v>
      </c>
      <c r="BD186" s="52">
        <v>0</v>
      </c>
      <c r="BE186" s="52">
        <v>0</v>
      </c>
      <c r="BF186" s="52">
        <v>0</v>
      </c>
      <c r="BG186" s="52">
        <v>0</v>
      </c>
      <c r="BH186" s="52">
        <v>0</v>
      </c>
      <c r="BI186" s="52">
        <v>0</v>
      </c>
      <c r="BJ186" s="52">
        <v>0</v>
      </c>
      <c r="BK186" s="52">
        <v>0</v>
      </c>
      <c r="BL186" s="52">
        <v>0</v>
      </c>
      <c r="BM186" s="52">
        <v>0</v>
      </c>
      <c r="BN186" s="52">
        <v>0</v>
      </c>
      <c r="BO186" s="52">
        <v>0</v>
      </c>
      <c r="BP186" s="52">
        <v>0</v>
      </c>
      <c r="BQ186" s="52">
        <v>0</v>
      </c>
      <c r="BR186" s="52">
        <v>0</v>
      </c>
      <c r="BS186" s="52">
        <v>0</v>
      </c>
      <c r="BT186" s="52">
        <v>0</v>
      </c>
      <c r="BU186" s="52">
        <v>0</v>
      </c>
      <c r="BV186" s="52">
        <v>0</v>
      </c>
      <c r="BW186" s="52">
        <v>0</v>
      </c>
    </row>
    <row r="187" spans="1:75" x14ac:dyDescent="0.3">
      <c r="A187" s="8" t="s">
        <v>104</v>
      </c>
      <c r="B187" s="8" t="s">
        <v>9</v>
      </c>
      <c r="C187" s="8" t="s">
        <v>152</v>
      </c>
      <c r="D187" s="52">
        <v>9366.5384911999554</v>
      </c>
      <c r="E187" s="52">
        <v>18529.279999999995</v>
      </c>
      <c r="F187" s="52">
        <v>7941.119999999999</v>
      </c>
      <c r="G187" s="52">
        <v>0</v>
      </c>
      <c r="H187" s="52">
        <v>0</v>
      </c>
      <c r="I187" s="52">
        <v>0</v>
      </c>
      <c r="J187" s="52">
        <v>6614.8369380000267</v>
      </c>
      <c r="K187" s="52">
        <v>18048</v>
      </c>
      <c r="L187" s="52">
        <v>7219.1999999999989</v>
      </c>
      <c r="M187" s="52">
        <v>0</v>
      </c>
      <c r="N187" s="52">
        <v>0</v>
      </c>
      <c r="O187" s="52">
        <v>0</v>
      </c>
      <c r="P187" s="52">
        <v>0</v>
      </c>
      <c r="Q187" s="52">
        <v>0</v>
      </c>
      <c r="R187" s="52">
        <v>0</v>
      </c>
      <c r="S187" s="52">
        <v>0</v>
      </c>
      <c r="T187" s="52">
        <v>0</v>
      </c>
      <c r="U187" s="52">
        <v>0</v>
      </c>
      <c r="V187" s="52">
        <v>0</v>
      </c>
      <c r="W187" s="52">
        <v>0</v>
      </c>
      <c r="X187" s="52">
        <v>0</v>
      </c>
      <c r="Y187" s="52">
        <v>0</v>
      </c>
      <c r="Z187" s="52">
        <v>0</v>
      </c>
      <c r="AA187" s="52">
        <v>0</v>
      </c>
      <c r="AB187" s="52">
        <v>0</v>
      </c>
      <c r="AC187" s="52">
        <v>0</v>
      </c>
      <c r="AD187" s="52">
        <v>0</v>
      </c>
      <c r="AE187" s="52">
        <v>0</v>
      </c>
      <c r="AF187" s="52">
        <v>0</v>
      </c>
      <c r="AG187" s="52">
        <v>0</v>
      </c>
      <c r="AH187" s="52">
        <v>0</v>
      </c>
      <c r="AI187" s="52">
        <v>0</v>
      </c>
      <c r="AJ187" s="52">
        <v>0</v>
      </c>
      <c r="AK187" s="52">
        <v>0</v>
      </c>
      <c r="AL187" s="52">
        <v>0</v>
      </c>
      <c r="AM187" s="52">
        <v>0</v>
      </c>
      <c r="AN187" s="52">
        <v>11063.827676000035</v>
      </c>
      <c r="AO187" s="52">
        <v>15882.239999999996</v>
      </c>
      <c r="AP187" s="52">
        <v>9264.6399999999976</v>
      </c>
      <c r="AQ187" s="52">
        <v>0</v>
      </c>
      <c r="AR187" s="52">
        <v>0</v>
      </c>
      <c r="AS187" s="52">
        <v>0</v>
      </c>
      <c r="AT187" s="52">
        <v>13235.2</v>
      </c>
      <c r="AU187" s="52">
        <v>43014.400000000001</v>
      </c>
      <c r="AV187" s="52">
        <v>9264.6399999999976</v>
      </c>
      <c r="AW187" s="52">
        <v>4060.8</v>
      </c>
      <c r="AX187" s="52">
        <v>7580.1599999999989</v>
      </c>
      <c r="AY187" s="52">
        <v>3790.0799999999995</v>
      </c>
      <c r="AZ187" s="52">
        <v>6015.9999999999991</v>
      </c>
      <c r="BA187" s="52">
        <v>18496.059293538303</v>
      </c>
      <c r="BB187" s="52">
        <v>8422.4</v>
      </c>
      <c r="BC187" s="52">
        <v>0</v>
      </c>
      <c r="BD187" s="52">
        <v>0</v>
      </c>
      <c r="BE187" s="52">
        <v>0</v>
      </c>
      <c r="BF187" s="52">
        <v>0</v>
      </c>
      <c r="BG187" s="52">
        <v>0</v>
      </c>
      <c r="BH187" s="52">
        <v>0</v>
      </c>
      <c r="BI187" s="52">
        <v>0</v>
      </c>
      <c r="BJ187" s="52">
        <v>0</v>
      </c>
      <c r="BK187" s="52">
        <v>0</v>
      </c>
      <c r="BL187" s="52">
        <v>3389.2085766000582</v>
      </c>
      <c r="BM187" s="52">
        <v>18950.399999999998</v>
      </c>
      <c r="BN187" s="52">
        <v>8843.5199999999986</v>
      </c>
      <c r="BO187" s="52">
        <v>0</v>
      </c>
      <c r="BP187" s="52">
        <v>0</v>
      </c>
      <c r="BQ187" s="52">
        <v>0</v>
      </c>
      <c r="BR187" s="52">
        <v>0</v>
      </c>
      <c r="BS187" s="52">
        <v>0</v>
      </c>
      <c r="BT187" s="52">
        <v>0</v>
      </c>
      <c r="BU187" s="52">
        <v>0</v>
      </c>
      <c r="BV187" s="52">
        <v>0</v>
      </c>
      <c r="BW187" s="52">
        <v>0</v>
      </c>
    </row>
    <row r="188" spans="1:75" x14ac:dyDescent="0.3">
      <c r="A188" s="8" t="s">
        <v>104</v>
      </c>
      <c r="B188" s="8" t="s">
        <v>9</v>
      </c>
      <c r="C188" s="8" t="s">
        <v>151</v>
      </c>
      <c r="D188" s="52">
        <v>17107.2</v>
      </c>
      <c r="E188" s="52">
        <v>59875.200000000004</v>
      </c>
      <c r="F188" s="52">
        <v>10264.320000000002</v>
      </c>
      <c r="G188" s="52">
        <v>0</v>
      </c>
      <c r="H188" s="52">
        <v>0</v>
      </c>
      <c r="I188" s="52">
        <v>0</v>
      </c>
      <c r="J188" s="52">
        <v>11664.000000000002</v>
      </c>
      <c r="K188" s="52">
        <v>58320.000000000007</v>
      </c>
      <c r="L188" s="52">
        <v>9331.2000000000007</v>
      </c>
      <c r="M188" s="52">
        <v>4665.6000000000004</v>
      </c>
      <c r="N188" s="52">
        <v>20217.600000000002</v>
      </c>
      <c r="O188" s="52">
        <v>4976.6400000000003</v>
      </c>
      <c r="P188" s="52">
        <v>8767.4635943998837</v>
      </c>
      <c r="Q188" s="52">
        <v>53343.677931599901</v>
      </c>
      <c r="R188" s="52">
        <v>9797.760000000002</v>
      </c>
      <c r="S188" s="52">
        <v>0</v>
      </c>
      <c r="T188" s="52">
        <v>0</v>
      </c>
      <c r="U188" s="52">
        <v>0</v>
      </c>
      <c r="V188" s="52">
        <v>14774.400000000001</v>
      </c>
      <c r="W188" s="52">
        <v>48339.043541599982</v>
      </c>
      <c r="X188" s="52">
        <v>8864.6400000000012</v>
      </c>
      <c r="Y188" s="52">
        <v>6415.2000000000007</v>
      </c>
      <c r="Z188" s="52">
        <v>11975.04</v>
      </c>
      <c r="AA188" s="52">
        <v>5987.52</v>
      </c>
      <c r="AB188" s="52">
        <v>17107.2</v>
      </c>
      <c r="AC188" s="52">
        <v>57360.467758399958</v>
      </c>
      <c r="AD188" s="52">
        <v>10264.320000000002</v>
      </c>
      <c r="AE188" s="52">
        <v>5248.8</v>
      </c>
      <c r="AF188" s="52">
        <v>9097.9199999999983</v>
      </c>
      <c r="AG188" s="52">
        <v>5598.7199999999984</v>
      </c>
      <c r="AH188" s="52">
        <v>16329.600000000002</v>
      </c>
      <c r="AI188" s="52">
        <v>57153.600000000006</v>
      </c>
      <c r="AJ188" s="52">
        <v>9797.7599999999875</v>
      </c>
      <c r="AK188" s="52">
        <v>0</v>
      </c>
      <c r="AL188" s="52">
        <v>0</v>
      </c>
      <c r="AM188" s="52">
        <v>0</v>
      </c>
      <c r="AN188" s="52">
        <v>21384</v>
      </c>
      <c r="AO188" s="52">
        <v>48446.973115200104</v>
      </c>
      <c r="AP188" s="52">
        <v>11975.04</v>
      </c>
      <c r="AQ188" s="52">
        <v>0</v>
      </c>
      <c r="AR188" s="52">
        <v>0</v>
      </c>
      <c r="AS188" s="52">
        <v>0</v>
      </c>
      <c r="AT188" s="52">
        <v>17107.2</v>
      </c>
      <c r="AU188" s="52">
        <v>55598.400000000009</v>
      </c>
      <c r="AV188" s="52">
        <v>11975.04</v>
      </c>
      <c r="AW188" s="52">
        <v>5248.8</v>
      </c>
      <c r="AX188" s="52">
        <v>24494.400000000001</v>
      </c>
      <c r="AY188" s="52">
        <v>4898.880000000001</v>
      </c>
      <c r="AZ188" s="52">
        <v>19440</v>
      </c>
      <c r="BA188" s="52">
        <v>46656.000000000007</v>
      </c>
      <c r="BB188" s="52">
        <v>10886.400000000001</v>
      </c>
      <c r="BC188" s="52">
        <v>5832.0000000000009</v>
      </c>
      <c r="BD188" s="52">
        <v>25272.000000000004</v>
      </c>
      <c r="BE188" s="52">
        <v>6220.8</v>
      </c>
      <c r="BF188" s="52">
        <v>0</v>
      </c>
      <c r="BG188" s="52">
        <v>0</v>
      </c>
      <c r="BH188" s="52">
        <v>0</v>
      </c>
      <c r="BI188" s="52">
        <v>0</v>
      </c>
      <c r="BJ188" s="52">
        <v>0</v>
      </c>
      <c r="BK188" s="52">
        <v>0</v>
      </c>
      <c r="BL188" s="52">
        <v>8164.8000000000011</v>
      </c>
      <c r="BM188" s="52">
        <v>60045.40669050016</v>
      </c>
      <c r="BN188" s="52">
        <v>11430.720000000001</v>
      </c>
      <c r="BO188" s="52">
        <v>0</v>
      </c>
      <c r="BP188" s="52">
        <v>0</v>
      </c>
      <c r="BQ188" s="52">
        <v>0</v>
      </c>
      <c r="BR188" s="52">
        <v>13219.2</v>
      </c>
      <c r="BS188" s="52">
        <v>46267.200000000004</v>
      </c>
      <c r="BT188" s="52">
        <v>7931.5199999999868</v>
      </c>
      <c r="BU188" s="52">
        <v>10886.400000000001</v>
      </c>
      <c r="BV188" s="52">
        <v>35380.800000000003</v>
      </c>
      <c r="BW188" s="52">
        <v>7620.4800000000005</v>
      </c>
    </row>
    <row r="189" spans="1:75" x14ac:dyDescent="0.3">
      <c r="A189" s="8" t="s">
        <v>104</v>
      </c>
      <c r="B189" s="8" t="s">
        <v>9</v>
      </c>
      <c r="C189" s="8" t="s">
        <v>62</v>
      </c>
      <c r="D189" s="52">
        <v>44000</v>
      </c>
      <c r="E189" s="52">
        <v>154000</v>
      </c>
      <c r="F189" s="52">
        <v>66000</v>
      </c>
      <c r="G189" s="52">
        <v>18000</v>
      </c>
      <c r="H189" s="52">
        <v>63000</v>
      </c>
      <c r="I189" s="52">
        <v>27000</v>
      </c>
      <c r="J189" s="52">
        <v>30000</v>
      </c>
      <c r="K189" s="52">
        <v>150000</v>
      </c>
      <c r="L189" s="52">
        <v>60000</v>
      </c>
      <c r="M189" s="52">
        <v>12000</v>
      </c>
      <c r="N189" s="52">
        <v>52000</v>
      </c>
      <c r="O189" s="52">
        <v>32000</v>
      </c>
      <c r="P189" s="52">
        <v>42000</v>
      </c>
      <c r="Q189" s="52">
        <v>147000</v>
      </c>
      <c r="R189" s="52">
        <v>63000</v>
      </c>
      <c r="S189" s="52">
        <v>15000</v>
      </c>
      <c r="T189" s="52">
        <v>65000</v>
      </c>
      <c r="U189" s="52">
        <v>40000</v>
      </c>
      <c r="V189" s="52">
        <v>38000</v>
      </c>
      <c r="W189" s="52">
        <v>133000</v>
      </c>
      <c r="X189" s="52">
        <v>57000</v>
      </c>
      <c r="Y189" s="52">
        <v>16500</v>
      </c>
      <c r="Z189" s="52">
        <v>77000</v>
      </c>
      <c r="AA189" s="52">
        <v>38500</v>
      </c>
      <c r="AB189" s="52">
        <v>44000</v>
      </c>
      <c r="AC189" s="52">
        <v>154000</v>
      </c>
      <c r="AD189" s="52">
        <v>66000</v>
      </c>
      <c r="AE189" s="52">
        <v>13500</v>
      </c>
      <c r="AF189" s="52">
        <v>58500</v>
      </c>
      <c r="AG189" s="52">
        <v>36000</v>
      </c>
      <c r="AH189" s="52">
        <v>42000</v>
      </c>
      <c r="AI189" s="52">
        <v>147000</v>
      </c>
      <c r="AJ189" s="52">
        <v>63000</v>
      </c>
      <c r="AK189" s="52">
        <v>13500</v>
      </c>
      <c r="AL189" s="52">
        <v>63000</v>
      </c>
      <c r="AM189" s="52">
        <v>31500</v>
      </c>
      <c r="AN189" s="52">
        <v>55000</v>
      </c>
      <c r="AO189" s="52">
        <v>132000</v>
      </c>
      <c r="AP189" s="52">
        <v>77000</v>
      </c>
      <c r="AQ189" s="52">
        <v>13500</v>
      </c>
      <c r="AR189" s="52">
        <v>63000</v>
      </c>
      <c r="AS189" s="52">
        <v>31500</v>
      </c>
      <c r="AT189" s="52">
        <v>44000</v>
      </c>
      <c r="AU189" s="52">
        <v>143000</v>
      </c>
      <c r="AV189" s="52">
        <v>77000</v>
      </c>
      <c r="AW189" s="52">
        <v>13500</v>
      </c>
      <c r="AX189" s="52">
        <v>63000</v>
      </c>
      <c r="AY189" s="52">
        <v>31500</v>
      </c>
      <c r="AZ189" s="52">
        <v>50000</v>
      </c>
      <c r="BA189" s="52">
        <v>120000</v>
      </c>
      <c r="BB189" s="52">
        <v>70000</v>
      </c>
      <c r="BC189" s="52">
        <v>15000</v>
      </c>
      <c r="BD189" s="52">
        <v>65000</v>
      </c>
      <c r="BE189" s="52">
        <v>40000</v>
      </c>
      <c r="BF189" s="52">
        <v>33000</v>
      </c>
      <c r="BG189" s="52">
        <v>154000</v>
      </c>
      <c r="BH189" s="52">
        <v>77000</v>
      </c>
      <c r="BI189" s="52">
        <v>13500</v>
      </c>
      <c r="BJ189" s="52">
        <v>58500</v>
      </c>
      <c r="BK189" s="52">
        <v>36000</v>
      </c>
      <c r="BL189" s="52">
        <v>21000</v>
      </c>
      <c r="BM189" s="52">
        <v>157500</v>
      </c>
      <c r="BN189" s="52">
        <v>73500</v>
      </c>
      <c r="BO189" s="52">
        <v>13500</v>
      </c>
      <c r="BP189" s="52">
        <v>58500</v>
      </c>
      <c r="BQ189" s="52">
        <v>36000</v>
      </c>
      <c r="BR189" s="52">
        <v>34000</v>
      </c>
      <c r="BS189" s="52">
        <v>119000</v>
      </c>
      <c r="BT189" s="52">
        <v>51000</v>
      </c>
      <c r="BU189" s="52">
        <v>28000</v>
      </c>
      <c r="BV189" s="52">
        <v>91000</v>
      </c>
      <c r="BW189" s="52">
        <v>49000</v>
      </c>
    </row>
    <row r="190" spans="1:75" x14ac:dyDescent="0.3">
      <c r="A190" s="8" t="s">
        <v>104</v>
      </c>
      <c r="B190" s="8" t="s">
        <v>9</v>
      </c>
      <c r="C190" s="8" t="s">
        <v>63</v>
      </c>
      <c r="D190" s="52">
        <v>44000</v>
      </c>
      <c r="E190" s="52">
        <v>154000</v>
      </c>
      <c r="F190" s="52">
        <v>44044.498000800006</v>
      </c>
      <c r="G190" s="52">
        <v>18000</v>
      </c>
      <c r="H190" s="52">
        <v>63000</v>
      </c>
      <c r="I190" s="52">
        <v>18018.203727600001</v>
      </c>
      <c r="J190" s="52">
        <v>30000</v>
      </c>
      <c r="K190" s="52">
        <v>150000</v>
      </c>
      <c r="L190" s="52">
        <v>31095.394962260747</v>
      </c>
      <c r="M190" s="52">
        <v>12000</v>
      </c>
      <c r="N190" s="52">
        <v>52000</v>
      </c>
      <c r="O190" s="52">
        <v>10910.118390539063</v>
      </c>
      <c r="P190" s="52">
        <v>42000</v>
      </c>
      <c r="Q190" s="52">
        <v>147000</v>
      </c>
      <c r="R190" s="52">
        <v>28051.523904722351</v>
      </c>
      <c r="S190" s="52">
        <v>15000</v>
      </c>
      <c r="T190" s="52">
        <v>65000</v>
      </c>
      <c r="U190" s="52">
        <v>17810.491368077684</v>
      </c>
      <c r="V190" s="52">
        <v>38000</v>
      </c>
      <c r="W190" s="52">
        <v>133000</v>
      </c>
      <c r="X190" s="52">
        <v>29506.172192660641</v>
      </c>
      <c r="Y190" s="52">
        <v>16500</v>
      </c>
      <c r="Z190" s="52">
        <v>77000</v>
      </c>
      <c r="AA190" s="52">
        <v>12833.970023139314</v>
      </c>
      <c r="AB190" s="52">
        <v>44000</v>
      </c>
      <c r="AC190" s="52">
        <v>154000</v>
      </c>
      <c r="AD190" s="52">
        <v>37376.502556800013</v>
      </c>
      <c r="AE190" s="52">
        <v>13500</v>
      </c>
      <c r="AF190" s="52">
        <v>58500</v>
      </c>
      <c r="AG190" s="52">
        <v>17331.622221600013</v>
      </c>
      <c r="AH190" s="52">
        <v>42000</v>
      </c>
      <c r="AI190" s="52">
        <v>147000</v>
      </c>
      <c r="AJ190" s="52">
        <v>44027.95728239997</v>
      </c>
      <c r="AK190" s="52">
        <v>13500</v>
      </c>
      <c r="AL190" s="52">
        <v>63000</v>
      </c>
      <c r="AM190" s="52">
        <v>22013.978641199985</v>
      </c>
      <c r="AN190" s="52">
        <v>55000</v>
      </c>
      <c r="AO190" s="52">
        <v>132000</v>
      </c>
      <c r="AP190" s="52">
        <v>56216.283153799981</v>
      </c>
      <c r="AQ190" s="52">
        <v>13500</v>
      </c>
      <c r="AR190" s="52">
        <v>63000</v>
      </c>
      <c r="AS190" s="52">
        <v>19136.967525899992</v>
      </c>
      <c r="AT190" s="52">
        <v>44000</v>
      </c>
      <c r="AU190" s="52">
        <v>143000</v>
      </c>
      <c r="AV190" s="52">
        <v>37754.15459200005</v>
      </c>
      <c r="AW190" s="52">
        <v>13500</v>
      </c>
      <c r="AX190" s="52">
        <v>63000</v>
      </c>
      <c r="AY190" s="52">
        <v>15444.881424000019</v>
      </c>
      <c r="AZ190" s="52">
        <v>50000</v>
      </c>
      <c r="BA190" s="52">
        <v>120000</v>
      </c>
      <c r="BB190" s="52">
        <v>48542.892747999977</v>
      </c>
      <c r="BC190" s="52">
        <v>15000</v>
      </c>
      <c r="BD190" s="52">
        <v>65000</v>
      </c>
      <c r="BE190" s="52">
        <v>27738.79585599999</v>
      </c>
      <c r="BF190" s="52">
        <v>33000</v>
      </c>
      <c r="BG190" s="52">
        <v>154000</v>
      </c>
      <c r="BH190" s="52">
        <v>22043.16936359994</v>
      </c>
      <c r="BI190" s="52">
        <v>13500</v>
      </c>
      <c r="BJ190" s="52">
        <v>52749.567385200113</v>
      </c>
      <c r="BK190" s="52">
        <v>10305.897364799972</v>
      </c>
      <c r="BL190" s="52">
        <v>21000</v>
      </c>
      <c r="BM190" s="52">
        <v>157500</v>
      </c>
      <c r="BN190" s="52">
        <v>34264.718664649306</v>
      </c>
      <c r="BO190" s="52">
        <v>13500</v>
      </c>
      <c r="BP190" s="52">
        <v>58500</v>
      </c>
      <c r="BQ190" s="52">
        <v>16782.719345950682</v>
      </c>
      <c r="BR190" s="52">
        <v>34000</v>
      </c>
      <c r="BS190" s="52">
        <v>119000</v>
      </c>
      <c r="BT190" s="52">
        <v>41070.201406800028</v>
      </c>
      <c r="BU190" s="52">
        <v>28000</v>
      </c>
      <c r="BV190" s="52">
        <v>91000</v>
      </c>
      <c r="BW190" s="52">
        <v>19288.326111400031</v>
      </c>
    </row>
    <row r="191" spans="1:75" x14ac:dyDescent="0.3">
      <c r="A191" s="8" t="s">
        <v>104</v>
      </c>
      <c r="B191" s="8" t="s">
        <v>9</v>
      </c>
      <c r="C191" s="8" t="s">
        <v>64</v>
      </c>
      <c r="D191" s="52">
        <v>44000</v>
      </c>
      <c r="E191" s="52">
        <v>154000</v>
      </c>
      <c r="F191" s="52">
        <v>13200.000000000002</v>
      </c>
      <c r="G191" s="52">
        <v>18000</v>
      </c>
      <c r="H191" s="52">
        <v>62679.602147400001</v>
      </c>
      <c r="I191" s="52">
        <v>5400</v>
      </c>
      <c r="J191" s="52">
        <v>30000</v>
      </c>
      <c r="K191" s="52">
        <v>150000</v>
      </c>
      <c r="L191" s="52">
        <v>12000</v>
      </c>
      <c r="M191" s="52">
        <v>0</v>
      </c>
      <c r="N191" s="52">
        <v>0</v>
      </c>
      <c r="O191" s="52">
        <v>0</v>
      </c>
      <c r="P191" s="52">
        <v>42000</v>
      </c>
      <c r="Q191" s="52">
        <v>147000</v>
      </c>
      <c r="R191" s="52">
        <v>12600.000000000002</v>
      </c>
      <c r="S191" s="52">
        <v>0</v>
      </c>
      <c r="T191" s="52">
        <v>0</v>
      </c>
      <c r="U191" s="52">
        <v>0</v>
      </c>
      <c r="V191" s="52">
        <v>38000</v>
      </c>
      <c r="W191" s="52">
        <v>133000</v>
      </c>
      <c r="X191" s="52">
        <v>11400</v>
      </c>
      <c r="Y191" s="52">
        <v>0</v>
      </c>
      <c r="Z191" s="52">
        <v>0</v>
      </c>
      <c r="AA191" s="52">
        <v>0</v>
      </c>
      <c r="AB191" s="52">
        <v>44000</v>
      </c>
      <c r="AC191" s="52">
        <v>154000</v>
      </c>
      <c r="AD191" s="52">
        <v>13200.000000000002</v>
      </c>
      <c r="AE191" s="52">
        <v>0</v>
      </c>
      <c r="AF191" s="52">
        <v>0</v>
      </c>
      <c r="AG191" s="52">
        <v>0</v>
      </c>
      <c r="AH191" s="52">
        <v>42000</v>
      </c>
      <c r="AI191" s="52">
        <v>147000</v>
      </c>
      <c r="AJ191" s="52">
        <v>12600.000000000002</v>
      </c>
      <c r="AK191" s="52">
        <v>13500</v>
      </c>
      <c r="AL191" s="52">
        <v>54889.036561799941</v>
      </c>
      <c r="AM191" s="52">
        <v>6300.0000000000009</v>
      </c>
      <c r="AN191" s="52">
        <v>55000</v>
      </c>
      <c r="AO191" s="52">
        <v>132000</v>
      </c>
      <c r="AP191" s="52">
        <v>15400</v>
      </c>
      <c r="AQ191" s="52">
        <v>0</v>
      </c>
      <c r="AR191" s="52">
        <v>0</v>
      </c>
      <c r="AS191" s="52">
        <v>0</v>
      </c>
      <c r="AT191" s="52">
        <v>0</v>
      </c>
      <c r="AU191" s="52">
        <v>0</v>
      </c>
      <c r="AV191" s="52">
        <v>0</v>
      </c>
      <c r="AW191" s="52">
        <v>0</v>
      </c>
      <c r="AX191" s="52">
        <v>0</v>
      </c>
      <c r="AY191" s="52">
        <v>0</v>
      </c>
      <c r="AZ191" s="52">
        <v>48035.362290000005</v>
      </c>
      <c r="BA191" s="52">
        <v>120000</v>
      </c>
      <c r="BB191" s="52">
        <v>14000</v>
      </c>
      <c r="BC191" s="52">
        <v>0</v>
      </c>
      <c r="BD191" s="52">
        <v>0</v>
      </c>
      <c r="BE191" s="52">
        <v>0</v>
      </c>
      <c r="BF191" s="52">
        <v>33000</v>
      </c>
      <c r="BG191" s="52">
        <v>154000</v>
      </c>
      <c r="BH191" s="52">
        <v>15399.999999999991</v>
      </c>
      <c r="BI191" s="52">
        <v>0</v>
      </c>
      <c r="BJ191" s="52">
        <v>0</v>
      </c>
      <c r="BK191" s="52">
        <v>0</v>
      </c>
      <c r="BL191" s="52">
        <v>21000</v>
      </c>
      <c r="BM191" s="52">
        <v>157500</v>
      </c>
      <c r="BN191" s="52">
        <v>14700.000000000002</v>
      </c>
      <c r="BO191" s="52">
        <v>0</v>
      </c>
      <c r="BP191" s="52">
        <v>0</v>
      </c>
      <c r="BQ191" s="52">
        <v>0</v>
      </c>
      <c r="BR191" s="52">
        <v>34000</v>
      </c>
      <c r="BS191" s="52">
        <v>119000</v>
      </c>
      <c r="BT191" s="52">
        <v>10200.000000000002</v>
      </c>
      <c r="BU191" s="52">
        <v>0</v>
      </c>
      <c r="BV191" s="52">
        <v>0</v>
      </c>
      <c r="BW191" s="52">
        <v>0</v>
      </c>
    </row>
    <row r="192" spans="1:75" x14ac:dyDescent="0.3">
      <c r="A192" s="8" t="s">
        <v>104</v>
      </c>
      <c r="B192" s="8" t="s">
        <v>9</v>
      </c>
      <c r="C192" s="8" t="s">
        <v>65</v>
      </c>
      <c r="D192" s="52">
        <v>58739.999999999993</v>
      </c>
      <c r="E192" s="52">
        <v>205590</v>
      </c>
      <c r="F192" s="52">
        <v>88110</v>
      </c>
      <c r="G192" s="52">
        <v>24030</v>
      </c>
      <c r="H192" s="52">
        <v>84105</v>
      </c>
      <c r="I192" s="52">
        <v>36045</v>
      </c>
      <c r="J192" s="52">
        <v>40050</v>
      </c>
      <c r="K192" s="52">
        <v>200250</v>
      </c>
      <c r="L192" s="52">
        <v>80100</v>
      </c>
      <c r="M192" s="52">
        <v>16020</v>
      </c>
      <c r="N192" s="52">
        <v>69420</v>
      </c>
      <c r="O192" s="52">
        <v>42720</v>
      </c>
      <c r="P192" s="52">
        <v>56070</v>
      </c>
      <c r="Q192" s="52">
        <v>196245</v>
      </c>
      <c r="R192" s="52">
        <v>84105</v>
      </c>
      <c r="S192" s="52">
        <v>20025</v>
      </c>
      <c r="T192" s="52">
        <v>86774.999999999985</v>
      </c>
      <c r="U192" s="52">
        <v>53400</v>
      </c>
      <c r="V192" s="52">
        <v>50730</v>
      </c>
      <c r="W192" s="52">
        <v>177555</v>
      </c>
      <c r="X192" s="52">
        <v>76095</v>
      </c>
      <c r="Y192" s="52">
        <v>22027.5</v>
      </c>
      <c r="Z192" s="52">
        <v>102795</v>
      </c>
      <c r="AA192" s="52">
        <v>51397.5</v>
      </c>
      <c r="AB192" s="52">
        <v>58739.999999999993</v>
      </c>
      <c r="AC192" s="52">
        <v>205590</v>
      </c>
      <c r="AD192" s="52">
        <v>88110</v>
      </c>
      <c r="AE192" s="52">
        <v>18022.5</v>
      </c>
      <c r="AF192" s="52">
        <v>78097.5</v>
      </c>
      <c r="AG192" s="52">
        <v>48060</v>
      </c>
      <c r="AH192" s="52">
        <v>56070</v>
      </c>
      <c r="AI192" s="52">
        <v>196245</v>
      </c>
      <c r="AJ192" s="52">
        <v>84105</v>
      </c>
      <c r="AK192" s="52">
        <v>18022.5</v>
      </c>
      <c r="AL192" s="52">
        <v>84105</v>
      </c>
      <c r="AM192" s="52">
        <v>42052.5</v>
      </c>
      <c r="AN192" s="52">
        <v>73425</v>
      </c>
      <c r="AO192" s="52">
        <v>176220</v>
      </c>
      <c r="AP192" s="52">
        <v>102795</v>
      </c>
      <c r="AQ192" s="52">
        <v>18022.5</v>
      </c>
      <c r="AR192" s="52">
        <v>84105</v>
      </c>
      <c r="AS192" s="52">
        <v>42052.5</v>
      </c>
      <c r="AT192" s="52">
        <v>58739.999999999993</v>
      </c>
      <c r="AU192" s="52">
        <v>190905</v>
      </c>
      <c r="AV192" s="52">
        <v>102795</v>
      </c>
      <c r="AW192" s="52">
        <v>18022.5</v>
      </c>
      <c r="AX192" s="52">
        <v>84105</v>
      </c>
      <c r="AY192" s="52">
        <v>42052.5</v>
      </c>
      <c r="AZ192" s="52">
        <v>66750</v>
      </c>
      <c r="BA192" s="52">
        <v>160200</v>
      </c>
      <c r="BB192" s="52">
        <v>93450</v>
      </c>
      <c r="BC192" s="52">
        <v>20025</v>
      </c>
      <c r="BD192" s="52">
        <v>86774.999999999985</v>
      </c>
      <c r="BE192" s="52">
        <v>53400</v>
      </c>
      <c r="BF192" s="52">
        <v>44055</v>
      </c>
      <c r="BG192" s="52">
        <v>205590</v>
      </c>
      <c r="BH192" s="52">
        <v>102795</v>
      </c>
      <c r="BI192" s="52">
        <v>18022.5</v>
      </c>
      <c r="BJ192" s="52">
        <v>78097.5</v>
      </c>
      <c r="BK192" s="52">
        <v>48060</v>
      </c>
      <c r="BL192" s="52">
        <v>28035</v>
      </c>
      <c r="BM192" s="52">
        <v>210262.5</v>
      </c>
      <c r="BN192" s="52">
        <v>98122.5</v>
      </c>
      <c r="BO192" s="52">
        <v>18022.5</v>
      </c>
      <c r="BP192" s="52">
        <v>78097.5</v>
      </c>
      <c r="BQ192" s="52">
        <v>48060</v>
      </c>
      <c r="BR192" s="52">
        <v>45390</v>
      </c>
      <c r="BS192" s="52">
        <v>158865</v>
      </c>
      <c r="BT192" s="52">
        <v>68085</v>
      </c>
      <c r="BU192" s="52">
        <v>37379.999999999993</v>
      </c>
      <c r="BV192" s="52">
        <v>121485</v>
      </c>
      <c r="BW192" s="52">
        <v>65414.999999999993</v>
      </c>
    </row>
    <row r="193" spans="1:75" x14ac:dyDescent="0.3">
      <c r="A193" s="8" t="s">
        <v>104</v>
      </c>
      <c r="B193" s="8" t="s">
        <v>9</v>
      </c>
      <c r="C193" s="8" t="s">
        <v>66</v>
      </c>
      <c r="D193" s="52">
        <v>0</v>
      </c>
      <c r="E193" s="52">
        <v>0</v>
      </c>
      <c r="F193" s="52">
        <v>0</v>
      </c>
      <c r="G193" s="52">
        <v>0</v>
      </c>
      <c r="H193" s="52">
        <v>0</v>
      </c>
      <c r="I193" s="52">
        <v>0</v>
      </c>
      <c r="J193" s="52">
        <v>0</v>
      </c>
      <c r="K193" s="52">
        <v>0</v>
      </c>
      <c r="L193" s="52">
        <v>0</v>
      </c>
      <c r="M193" s="52">
        <v>0</v>
      </c>
      <c r="N193" s="52">
        <v>0</v>
      </c>
      <c r="O193" s="52">
        <v>0</v>
      </c>
      <c r="P193" s="52">
        <v>0</v>
      </c>
      <c r="Q193" s="52">
        <v>0</v>
      </c>
      <c r="R193" s="52">
        <v>0</v>
      </c>
      <c r="S193" s="52">
        <v>0</v>
      </c>
      <c r="T193" s="52">
        <v>0</v>
      </c>
      <c r="U193" s="52">
        <v>0</v>
      </c>
      <c r="V193" s="52">
        <v>0</v>
      </c>
      <c r="W193" s="52">
        <v>0</v>
      </c>
      <c r="X193" s="52">
        <v>0</v>
      </c>
      <c r="Y193" s="52">
        <v>0</v>
      </c>
      <c r="Z193" s="52">
        <v>0</v>
      </c>
      <c r="AA193" s="52">
        <v>0</v>
      </c>
      <c r="AB193" s="52">
        <v>0</v>
      </c>
      <c r="AC193" s="52">
        <v>0</v>
      </c>
      <c r="AD193" s="52">
        <v>0</v>
      </c>
      <c r="AE193" s="52">
        <v>0</v>
      </c>
      <c r="AF193" s="52">
        <v>0</v>
      </c>
      <c r="AG193" s="52">
        <v>0</v>
      </c>
      <c r="AH193" s="52">
        <v>0</v>
      </c>
      <c r="AI193" s="52">
        <v>0</v>
      </c>
      <c r="AJ193" s="52">
        <v>0</v>
      </c>
      <c r="AK193" s="52">
        <v>0</v>
      </c>
      <c r="AL193" s="52">
        <v>0</v>
      </c>
      <c r="AM193" s="52">
        <v>0</v>
      </c>
      <c r="AN193" s="52">
        <v>0</v>
      </c>
      <c r="AO193" s="52">
        <v>0</v>
      </c>
      <c r="AP193" s="52">
        <v>0</v>
      </c>
      <c r="AQ193" s="52">
        <v>0</v>
      </c>
      <c r="AR193" s="52">
        <v>0</v>
      </c>
      <c r="AS193" s="52">
        <v>0</v>
      </c>
      <c r="AT193" s="52">
        <v>0</v>
      </c>
      <c r="AU193" s="52">
        <v>0</v>
      </c>
      <c r="AV193" s="52">
        <v>0</v>
      </c>
      <c r="AW193" s="52">
        <v>0</v>
      </c>
      <c r="AX193" s="52">
        <v>0</v>
      </c>
      <c r="AY193" s="52">
        <v>0</v>
      </c>
      <c r="AZ193" s="52">
        <v>0</v>
      </c>
      <c r="BA193" s="52">
        <v>0</v>
      </c>
      <c r="BB193" s="52">
        <v>0</v>
      </c>
      <c r="BC193" s="52">
        <v>0</v>
      </c>
      <c r="BD193" s="52">
        <v>0</v>
      </c>
      <c r="BE193" s="52">
        <v>0</v>
      </c>
      <c r="BF193" s="52">
        <v>0</v>
      </c>
      <c r="BG193" s="52">
        <v>0</v>
      </c>
      <c r="BH193" s="52">
        <v>0</v>
      </c>
      <c r="BI193" s="52">
        <v>0</v>
      </c>
      <c r="BJ193" s="52">
        <v>0</v>
      </c>
      <c r="BK193" s="52">
        <v>0</v>
      </c>
      <c r="BL193" s="52">
        <v>0</v>
      </c>
      <c r="BM193" s="52">
        <v>0</v>
      </c>
      <c r="BN193" s="52">
        <v>0</v>
      </c>
      <c r="BO193" s="52">
        <v>0</v>
      </c>
      <c r="BP193" s="52">
        <v>0</v>
      </c>
      <c r="BQ193" s="52">
        <v>0</v>
      </c>
      <c r="BR193" s="52">
        <v>0</v>
      </c>
      <c r="BS193" s="52">
        <v>0</v>
      </c>
      <c r="BT193" s="52">
        <v>0</v>
      </c>
      <c r="BU193" s="52">
        <v>0</v>
      </c>
      <c r="BV193" s="52">
        <v>0</v>
      </c>
      <c r="BW193" s="52">
        <v>0</v>
      </c>
    </row>
    <row r="194" spans="1:75" x14ac:dyDescent="0.3">
      <c r="A194" s="8" t="s">
        <v>104</v>
      </c>
      <c r="B194" s="8" t="s">
        <v>9</v>
      </c>
      <c r="C194" s="8" t="s">
        <v>67</v>
      </c>
      <c r="D194" s="52">
        <v>0</v>
      </c>
      <c r="E194" s="52">
        <v>0</v>
      </c>
      <c r="F194" s="52">
        <v>0</v>
      </c>
      <c r="G194" s="52">
        <v>0</v>
      </c>
      <c r="H194" s="52">
        <v>0</v>
      </c>
      <c r="I194" s="52">
        <v>0</v>
      </c>
      <c r="J194" s="52">
        <v>0</v>
      </c>
      <c r="K194" s="52">
        <v>0</v>
      </c>
      <c r="L194" s="52">
        <v>0</v>
      </c>
      <c r="M194" s="52">
        <v>0</v>
      </c>
      <c r="N194" s="52">
        <v>0</v>
      </c>
      <c r="O194" s="52">
        <v>0</v>
      </c>
      <c r="P194" s="52">
        <v>0</v>
      </c>
      <c r="Q194" s="52">
        <v>0</v>
      </c>
      <c r="R194" s="52">
        <v>0</v>
      </c>
      <c r="S194" s="52">
        <v>0</v>
      </c>
      <c r="T194" s="52">
        <v>0</v>
      </c>
      <c r="U194" s="52">
        <v>0</v>
      </c>
      <c r="V194" s="52">
        <v>0</v>
      </c>
      <c r="W194" s="52">
        <v>0</v>
      </c>
      <c r="X194" s="52">
        <v>0</v>
      </c>
      <c r="Y194" s="52">
        <v>0</v>
      </c>
      <c r="Z194" s="52">
        <v>0</v>
      </c>
      <c r="AA194" s="52">
        <v>0</v>
      </c>
      <c r="AB194" s="52">
        <v>0</v>
      </c>
      <c r="AC194" s="52">
        <v>0</v>
      </c>
      <c r="AD194" s="52">
        <v>0</v>
      </c>
      <c r="AE194" s="52">
        <v>0</v>
      </c>
      <c r="AF194" s="52">
        <v>0</v>
      </c>
      <c r="AG194" s="52">
        <v>0</v>
      </c>
      <c r="AH194" s="52">
        <v>0</v>
      </c>
      <c r="AI194" s="52">
        <v>0</v>
      </c>
      <c r="AJ194" s="52">
        <v>0</v>
      </c>
      <c r="AK194" s="52">
        <v>0</v>
      </c>
      <c r="AL194" s="52">
        <v>0</v>
      </c>
      <c r="AM194" s="52">
        <v>0</v>
      </c>
      <c r="AN194" s="52">
        <v>0</v>
      </c>
      <c r="AO194" s="52">
        <v>0</v>
      </c>
      <c r="AP194" s="52">
        <v>0</v>
      </c>
      <c r="AQ194" s="52">
        <v>0</v>
      </c>
      <c r="AR194" s="52">
        <v>0</v>
      </c>
      <c r="AS194" s="52">
        <v>0</v>
      </c>
      <c r="AT194" s="52">
        <v>0</v>
      </c>
      <c r="AU194" s="52">
        <v>0</v>
      </c>
      <c r="AV194" s="52">
        <v>0</v>
      </c>
      <c r="AW194" s="52">
        <v>0</v>
      </c>
      <c r="AX194" s="52">
        <v>0</v>
      </c>
      <c r="AY194" s="52">
        <v>0</v>
      </c>
      <c r="AZ194" s="52">
        <v>0</v>
      </c>
      <c r="BA194" s="52">
        <v>0</v>
      </c>
      <c r="BB194" s="52">
        <v>0</v>
      </c>
      <c r="BC194" s="52">
        <v>0</v>
      </c>
      <c r="BD194" s="52">
        <v>0</v>
      </c>
      <c r="BE194" s="52">
        <v>0</v>
      </c>
      <c r="BF194" s="52">
        <v>0</v>
      </c>
      <c r="BG194" s="52">
        <v>0</v>
      </c>
      <c r="BH194" s="52">
        <v>0</v>
      </c>
      <c r="BI194" s="52">
        <v>0</v>
      </c>
      <c r="BJ194" s="52">
        <v>0</v>
      </c>
      <c r="BK194" s="52">
        <v>0</v>
      </c>
      <c r="BL194" s="52">
        <v>0</v>
      </c>
      <c r="BM194" s="52">
        <v>0</v>
      </c>
      <c r="BN194" s="52">
        <v>0</v>
      </c>
      <c r="BO194" s="52">
        <v>0</v>
      </c>
      <c r="BP194" s="52">
        <v>0</v>
      </c>
      <c r="BQ194" s="52">
        <v>0</v>
      </c>
      <c r="BR194" s="52">
        <v>0</v>
      </c>
      <c r="BS194" s="52">
        <v>0</v>
      </c>
      <c r="BT194" s="52">
        <v>0</v>
      </c>
      <c r="BU194" s="52">
        <v>0</v>
      </c>
      <c r="BV194" s="52">
        <v>0</v>
      </c>
      <c r="BW194" s="52">
        <v>0</v>
      </c>
    </row>
    <row r="195" spans="1:75" x14ac:dyDescent="0.3">
      <c r="A195" s="8" t="s">
        <v>104</v>
      </c>
      <c r="B195" s="8" t="s">
        <v>9</v>
      </c>
      <c r="C195" s="8" t="s">
        <v>68</v>
      </c>
      <c r="D195" s="52">
        <v>0</v>
      </c>
      <c r="E195" s="52">
        <v>0</v>
      </c>
      <c r="F195" s="52">
        <v>0</v>
      </c>
      <c r="G195" s="52">
        <v>0</v>
      </c>
      <c r="H195" s="52">
        <v>0</v>
      </c>
      <c r="I195" s="52">
        <v>0</v>
      </c>
      <c r="J195" s="52">
        <v>0</v>
      </c>
      <c r="K195" s="52">
        <v>0</v>
      </c>
      <c r="L195" s="52">
        <v>0</v>
      </c>
      <c r="M195" s="52">
        <v>0</v>
      </c>
      <c r="N195" s="52">
        <v>0</v>
      </c>
      <c r="O195" s="52">
        <v>0</v>
      </c>
      <c r="P195" s="52">
        <v>0</v>
      </c>
      <c r="Q195" s="52">
        <v>0</v>
      </c>
      <c r="R195" s="52">
        <v>0</v>
      </c>
      <c r="S195" s="52">
        <v>0</v>
      </c>
      <c r="T195" s="52">
        <v>0</v>
      </c>
      <c r="U195" s="52">
        <v>0</v>
      </c>
      <c r="V195" s="52">
        <v>0</v>
      </c>
      <c r="W195" s="52">
        <v>0</v>
      </c>
      <c r="X195" s="52">
        <v>0</v>
      </c>
      <c r="Y195" s="52">
        <v>0</v>
      </c>
      <c r="Z195" s="52">
        <v>0</v>
      </c>
      <c r="AA195" s="52">
        <v>0</v>
      </c>
      <c r="AB195" s="52">
        <v>0</v>
      </c>
      <c r="AC195" s="52">
        <v>0</v>
      </c>
      <c r="AD195" s="52">
        <v>0</v>
      </c>
      <c r="AE195" s="52">
        <v>0</v>
      </c>
      <c r="AF195" s="52">
        <v>0</v>
      </c>
      <c r="AG195" s="52">
        <v>0</v>
      </c>
      <c r="AH195" s="52">
        <v>0</v>
      </c>
      <c r="AI195" s="52">
        <v>0</v>
      </c>
      <c r="AJ195" s="52">
        <v>0</v>
      </c>
      <c r="AK195" s="52">
        <v>0</v>
      </c>
      <c r="AL195" s="52">
        <v>0</v>
      </c>
      <c r="AM195" s="52">
        <v>0</v>
      </c>
      <c r="AN195" s="52">
        <v>0</v>
      </c>
      <c r="AO195" s="52">
        <v>0</v>
      </c>
      <c r="AP195" s="52">
        <v>0</v>
      </c>
      <c r="AQ195" s="52">
        <v>0</v>
      </c>
      <c r="AR195" s="52">
        <v>0</v>
      </c>
      <c r="AS195" s="52">
        <v>0</v>
      </c>
      <c r="AT195" s="52">
        <v>0</v>
      </c>
      <c r="AU195" s="52">
        <v>0</v>
      </c>
      <c r="AV195" s="52">
        <v>0</v>
      </c>
      <c r="AW195" s="52">
        <v>0</v>
      </c>
      <c r="AX195" s="52">
        <v>0</v>
      </c>
      <c r="AY195" s="52">
        <v>0</v>
      </c>
      <c r="AZ195" s="52">
        <v>0</v>
      </c>
      <c r="BA195" s="52">
        <v>0</v>
      </c>
      <c r="BB195" s="52">
        <v>0</v>
      </c>
      <c r="BC195" s="52">
        <v>0</v>
      </c>
      <c r="BD195" s="52">
        <v>0</v>
      </c>
      <c r="BE195" s="52">
        <v>0</v>
      </c>
      <c r="BF195" s="52">
        <v>0</v>
      </c>
      <c r="BG195" s="52">
        <v>0</v>
      </c>
      <c r="BH195" s="52">
        <v>0</v>
      </c>
      <c r="BI195" s="52">
        <v>0</v>
      </c>
      <c r="BJ195" s="52">
        <v>0</v>
      </c>
      <c r="BK195" s="52">
        <v>0</v>
      </c>
      <c r="BL195" s="52">
        <v>0</v>
      </c>
      <c r="BM195" s="52">
        <v>0</v>
      </c>
      <c r="BN195" s="52">
        <v>0</v>
      </c>
      <c r="BO195" s="52">
        <v>0</v>
      </c>
      <c r="BP195" s="52">
        <v>0</v>
      </c>
      <c r="BQ195" s="52">
        <v>0</v>
      </c>
      <c r="BR195" s="52">
        <v>0</v>
      </c>
      <c r="BS195" s="52">
        <v>0</v>
      </c>
      <c r="BT195" s="52">
        <v>0</v>
      </c>
      <c r="BU195" s="52">
        <v>0</v>
      </c>
      <c r="BV195" s="52">
        <v>0</v>
      </c>
      <c r="BW195" s="52">
        <v>0</v>
      </c>
    </row>
    <row r="196" spans="1:75" x14ac:dyDescent="0.3">
      <c r="A196" s="8" t="s">
        <v>104</v>
      </c>
      <c r="B196" s="8" t="s">
        <v>9</v>
      </c>
      <c r="C196" s="8" t="s">
        <v>69</v>
      </c>
      <c r="D196" s="52">
        <v>0</v>
      </c>
      <c r="E196" s="52">
        <v>0</v>
      </c>
      <c r="F196" s="52">
        <v>0</v>
      </c>
      <c r="G196" s="52">
        <v>0</v>
      </c>
      <c r="H196" s="52">
        <v>0</v>
      </c>
      <c r="I196" s="52">
        <v>0</v>
      </c>
      <c r="J196" s="52">
        <v>0</v>
      </c>
      <c r="K196" s="52">
        <v>0</v>
      </c>
      <c r="L196" s="52">
        <v>0</v>
      </c>
      <c r="M196" s="52">
        <v>0</v>
      </c>
      <c r="N196" s="52">
        <v>0</v>
      </c>
      <c r="O196" s="52">
        <v>0</v>
      </c>
      <c r="P196" s="52">
        <v>0</v>
      </c>
      <c r="Q196" s="52">
        <v>0</v>
      </c>
      <c r="R196" s="52">
        <v>0</v>
      </c>
      <c r="S196" s="52">
        <v>0</v>
      </c>
      <c r="T196" s="52">
        <v>0</v>
      </c>
      <c r="U196" s="52">
        <v>0</v>
      </c>
      <c r="V196" s="52">
        <v>0</v>
      </c>
      <c r="W196" s="52">
        <v>0</v>
      </c>
      <c r="X196" s="52">
        <v>0</v>
      </c>
      <c r="Y196" s="52">
        <v>0</v>
      </c>
      <c r="Z196" s="52">
        <v>0</v>
      </c>
      <c r="AA196" s="52">
        <v>0</v>
      </c>
      <c r="AB196" s="52">
        <v>0</v>
      </c>
      <c r="AC196" s="52">
        <v>0</v>
      </c>
      <c r="AD196" s="52">
        <v>0</v>
      </c>
      <c r="AE196" s="52">
        <v>0</v>
      </c>
      <c r="AF196" s="52">
        <v>0</v>
      </c>
      <c r="AG196" s="52">
        <v>0</v>
      </c>
      <c r="AH196" s="52">
        <v>0</v>
      </c>
      <c r="AI196" s="52">
        <v>0</v>
      </c>
      <c r="AJ196" s="52">
        <v>0</v>
      </c>
      <c r="AK196" s="52">
        <v>0</v>
      </c>
      <c r="AL196" s="52">
        <v>0</v>
      </c>
      <c r="AM196" s="52">
        <v>0</v>
      </c>
      <c r="AN196" s="52">
        <v>0</v>
      </c>
      <c r="AO196" s="52">
        <v>0</v>
      </c>
      <c r="AP196" s="52">
        <v>0</v>
      </c>
      <c r="AQ196" s="52">
        <v>0</v>
      </c>
      <c r="AR196" s="52">
        <v>0</v>
      </c>
      <c r="AS196" s="52">
        <v>0</v>
      </c>
      <c r="AT196" s="52">
        <v>0</v>
      </c>
      <c r="AU196" s="52">
        <v>0</v>
      </c>
      <c r="AV196" s="52">
        <v>0</v>
      </c>
      <c r="AW196" s="52">
        <v>0</v>
      </c>
      <c r="AX196" s="52">
        <v>0</v>
      </c>
      <c r="AY196" s="52">
        <v>0</v>
      </c>
      <c r="AZ196" s="52">
        <v>0</v>
      </c>
      <c r="BA196" s="52">
        <v>0</v>
      </c>
      <c r="BB196" s="52">
        <v>0</v>
      </c>
      <c r="BC196" s="52">
        <v>0</v>
      </c>
      <c r="BD196" s="52">
        <v>0</v>
      </c>
      <c r="BE196" s="52">
        <v>0</v>
      </c>
      <c r="BF196" s="52">
        <v>0</v>
      </c>
      <c r="BG196" s="52">
        <v>0</v>
      </c>
      <c r="BH196" s="52">
        <v>0</v>
      </c>
      <c r="BI196" s="52">
        <v>0</v>
      </c>
      <c r="BJ196" s="52">
        <v>0</v>
      </c>
      <c r="BK196" s="52">
        <v>0</v>
      </c>
      <c r="BL196" s="52">
        <v>0</v>
      </c>
      <c r="BM196" s="52">
        <v>0</v>
      </c>
      <c r="BN196" s="52">
        <v>0</v>
      </c>
      <c r="BO196" s="52">
        <v>0</v>
      </c>
      <c r="BP196" s="52">
        <v>0</v>
      </c>
      <c r="BQ196" s="52">
        <v>0</v>
      </c>
      <c r="BR196" s="52">
        <v>0</v>
      </c>
      <c r="BS196" s="52">
        <v>0</v>
      </c>
      <c r="BT196" s="52">
        <v>0</v>
      </c>
      <c r="BU196" s="52">
        <v>0</v>
      </c>
      <c r="BV196" s="52">
        <v>0</v>
      </c>
      <c r="BW196" s="52">
        <v>0</v>
      </c>
    </row>
    <row r="197" spans="1:75" x14ac:dyDescent="0.3">
      <c r="A197" s="8" t="s">
        <v>104</v>
      </c>
      <c r="B197" s="8" t="s">
        <v>9</v>
      </c>
      <c r="C197" s="8" t="s">
        <v>27</v>
      </c>
      <c r="D197" s="52">
        <v>13200</v>
      </c>
      <c r="E197" s="52">
        <v>46199.999999999993</v>
      </c>
      <c r="F197" s="52">
        <v>16632.000000000004</v>
      </c>
      <c r="G197" s="52">
        <v>5399.9999999999991</v>
      </c>
      <c r="H197" s="52">
        <v>18900</v>
      </c>
      <c r="I197" s="52">
        <v>6804.0000000000009</v>
      </c>
      <c r="J197" s="52">
        <v>9000</v>
      </c>
      <c r="K197" s="52">
        <v>45000</v>
      </c>
      <c r="L197" s="52">
        <v>12214.956521739134</v>
      </c>
      <c r="M197" s="52">
        <v>3599.9999999999995</v>
      </c>
      <c r="N197" s="52">
        <v>15600</v>
      </c>
      <c r="O197" s="52">
        <v>6514.6434782608712</v>
      </c>
      <c r="P197" s="52">
        <v>12600</v>
      </c>
      <c r="Q197" s="52">
        <v>44100</v>
      </c>
      <c r="R197" s="52">
        <v>16838.957608077668</v>
      </c>
      <c r="S197" s="52">
        <v>4500</v>
      </c>
      <c r="T197" s="52">
        <v>19500</v>
      </c>
      <c r="U197" s="52">
        <v>4240.2423919223438</v>
      </c>
      <c r="V197" s="52">
        <v>11400</v>
      </c>
      <c r="W197" s="52">
        <v>39900</v>
      </c>
      <c r="X197" s="52">
        <v>5110.8754095393051</v>
      </c>
      <c r="Y197" s="52">
        <v>4950</v>
      </c>
      <c r="Z197" s="52">
        <v>21371.042076999976</v>
      </c>
      <c r="AA197" s="52">
        <v>3452.082513460758</v>
      </c>
      <c r="AB197" s="52">
        <v>13200</v>
      </c>
      <c r="AC197" s="52">
        <v>43287.859343999953</v>
      </c>
      <c r="AD197" s="52">
        <v>0</v>
      </c>
      <c r="AE197" s="52">
        <v>4050</v>
      </c>
      <c r="AF197" s="52">
        <v>15796.540656000048</v>
      </c>
      <c r="AG197" s="52">
        <v>0</v>
      </c>
      <c r="AH197" s="52">
        <v>12600</v>
      </c>
      <c r="AI197" s="52">
        <v>32598.000000000007</v>
      </c>
      <c r="AJ197" s="52">
        <v>0</v>
      </c>
      <c r="AK197" s="52">
        <v>4050</v>
      </c>
      <c r="AL197" s="52">
        <v>0</v>
      </c>
      <c r="AM197" s="52">
        <v>0</v>
      </c>
      <c r="AN197" s="52">
        <v>16500</v>
      </c>
      <c r="AO197" s="52">
        <v>20537.575384615386</v>
      </c>
      <c r="AP197" s="52">
        <v>0</v>
      </c>
      <c r="AQ197" s="52">
        <v>4050</v>
      </c>
      <c r="AR197" s="52">
        <v>9802.0246153846147</v>
      </c>
      <c r="AS197" s="52">
        <v>0</v>
      </c>
      <c r="AT197" s="52">
        <v>13200</v>
      </c>
      <c r="AU197" s="52">
        <v>37689.599999999999</v>
      </c>
      <c r="AV197" s="52">
        <v>0</v>
      </c>
      <c r="AW197" s="52">
        <v>0</v>
      </c>
      <c r="AX197" s="52">
        <v>0</v>
      </c>
      <c r="AY197" s="52">
        <v>0</v>
      </c>
      <c r="AZ197" s="52">
        <v>15000</v>
      </c>
      <c r="BA197" s="52">
        <v>36000</v>
      </c>
      <c r="BB197" s="52">
        <v>0</v>
      </c>
      <c r="BC197" s="52">
        <v>4500</v>
      </c>
      <c r="BD197" s="52">
        <v>18372</v>
      </c>
      <c r="BE197" s="52">
        <v>0</v>
      </c>
      <c r="BF197" s="52">
        <v>9900</v>
      </c>
      <c r="BG197" s="52">
        <v>46199.999999999993</v>
      </c>
      <c r="BH197" s="52">
        <v>16618.870237200135</v>
      </c>
      <c r="BI197" s="52">
        <v>4050</v>
      </c>
      <c r="BJ197" s="52">
        <v>12287.929762799866</v>
      </c>
      <c r="BK197" s="52">
        <v>0</v>
      </c>
      <c r="BL197" s="52">
        <v>6300</v>
      </c>
      <c r="BM197" s="52">
        <v>47250</v>
      </c>
      <c r="BN197" s="52">
        <v>19229.679219550679</v>
      </c>
      <c r="BO197" s="52">
        <v>4050</v>
      </c>
      <c r="BP197" s="52">
        <v>17550</v>
      </c>
      <c r="BQ197" s="52">
        <v>4116.3207804493231</v>
      </c>
      <c r="BR197" s="52">
        <v>10200</v>
      </c>
      <c r="BS197" s="52">
        <v>35699.999999999993</v>
      </c>
      <c r="BT197" s="52">
        <v>15299.999999999998</v>
      </c>
      <c r="BU197" s="52">
        <v>8400</v>
      </c>
      <c r="BV197" s="52">
        <v>27300</v>
      </c>
      <c r="BW197" s="52">
        <v>4879.2</v>
      </c>
    </row>
    <row r="198" spans="1:75" x14ac:dyDescent="0.3">
      <c r="A198" s="8" t="s">
        <v>104</v>
      </c>
      <c r="B198" s="8" t="s">
        <v>9</v>
      </c>
      <c r="C198" s="8" t="s">
        <v>144</v>
      </c>
      <c r="D198" s="52">
        <v>17600</v>
      </c>
      <c r="E198" s="52">
        <v>13488.842505599878</v>
      </c>
      <c r="F198" s="52">
        <v>0</v>
      </c>
      <c r="G198" s="52">
        <v>7200</v>
      </c>
      <c r="H198" s="52">
        <v>0</v>
      </c>
      <c r="I198" s="52">
        <v>0</v>
      </c>
      <c r="J198" s="52">
        <v>12000</v>
      </c>
      <c r="K198" s="52">
        <v>0</v>
      </c>
      <c r="L198" s="52">
        <v>0</v>
      </c>
      <c r="M198" s="52">
        <v>4800.0000000000009</v>
      </c>
      <c r="N198" s="52">
        <v>0</v>
      </c>
      <c r="O198" s="52">
        <v>0</v>
      </c>
      <c r="P198" s="52">
        <v>16800</v>
      </c>
      <c r="Q198" s="52">
        <v>992.68316073968788</v>
      </c>
      <c r="R198" s="52">
        <v>0</v>
      </c>
      <c r="S198" s="52">
        <v>6000</v>
      </c>
      <c r="T198" s="52">
        <v>438.94153366040621</v>
      </c>
      <c r="U198" s="52">
        <v>0</v>
      </c>
      <c r="V198" s="52">
        <v>15200.000000000002</v>
      </c>
      <c r="W198" s="52">
        <v>0</v>
      </c>
      <c r="X198" s="52">
        <v>0</v>
      </c>
      <c r="Y198" s="52">
        <v>6600.0000000000009</v>
      </c>
      <c r="Z198" s="52">
        <v>0</v>
      </c>
      <c r="AA198" s="52">
        <v>0</v>
      </c>
      <c r="AB198" s="52">
        <v>15817.38110832721</v>
      </c>
      <c r="AC198" s="52">
        <v>0</v>
      </c>
      <c r="AD198" s="52">
        <v>0</v>
      </c>
      <c r="AE198" s="52">
        <v>3081.4092916727773</v>
      </c>
      <c r="AF198" s="52">
        <v>0</v>
      </c>
      <c r="AG198" s="52">
        <v>0</v>
      </c>
      <c r="AH198" s="52">
        <v>16800</v>
      </c>
      <c r="AI198" s="52">
        <v>0</v>
      </c>
      <c r="AJ198" s="52">
        <v>0</v>
      </c>
      <c r="AK198" s="52">
        <v>0</v>
      </c>
      <c r="AL198" s="52">
        <v>0</v>
      </c>
      <c r="AM198" s="52">
        <v>0</v>
      </c>
      <c r="AN198" s="52">
        <v>22000</v>
      </c>
      <c r="AO198" s="52">
        <v>10256.764569784731</v>
      </c>
      <c r="AP198" s="52">
        <v>0</v>
      </c>
      <c r="AQ198" s="52">
        <v>5400</v>
      </c>
      <c r="AR198" s="52">
        <v>4895.2739992154393</v>
      </c>
      <c r="AS198" s="52">
        <v>0</v>
      </c>
      <c r="AT198" s="52">
        <v>17600</v>
      </c>
      <c r="AU198" s="52">
        <v>3212.0956963998119</v>
      </c>
      <c r="AV198" s="52">
        <v>0</v>
      </c>
      <c r="AW198" s="52">
        <v>4104.2316006000083</v>
      </c>
      <c r="AX198" s="52">
        <v>0</v>
      </c>
      <c r="AY198" s="52">
        <v>0</v>
      </c>
      <c r="AZ198" s="52">
        <v>0</v>
      </c>
      <c r="BA198" s="52">
        <v>0</v>
      </c>
      <c r="BB198" s="52">
        <v>0</v>
      </c>
      <c r="BC198" s="52">
        <v>0</v>
      </c>
      <c r="BD198" s="52">
        <v>0</v>
      </c>
      <c r="BE198" s="52">
        <v>0</v>
      </c>
      <c r="BF198" s="52">
        <v>13200.000000000002</v>
      </c>
      <c r="BG198" s="52">
        <v>0</v>
      </c>
      <c r="BH198" s="52">
        <v>0</v>
      </c>
      <c r="BI198" s="52">
        <v>3130.2677340000082</v>
      </c>
      <c r="BJ198" s="52">
        <v>0</v>
      </c>
      <c r="BK198" s="52">
        <v>0</v>
      </c>
      <c r="BL198" s="52">
        <v>8400</v>
      </c>
      <c r="BM198" s="52">
        <v>0</v>
      </c>
      <c r="BN198" s="52">
        <v>0</v>
      </c>
      <c r="BO198" s="52">
        <v>5400</v>
      </c>
      <c r="BP198" s="52">
        <v>0</v>
      </c>
      <c r="BQ198" s="52">
        <v>0</v>
      </c>
      <c r="BR198" s="52">
        <v>13600.000000000002</v>
      </c>
      <c r="BS198" s="52">
        <v>47600</v>
      </c>
      <c r="BT198" s="52">
        <v>0</v>
      </c>
      <c r="BU198" s="52">
        <v>11200.000000000002</v>
      </c>
      <c r="BV198" s="52">
        <v>0</v>
      </c>
      <c r="BW198" s="52">
        <v>0</v>
      </c>
    </row>
    <row r="199" spans="1:75" x14ac:dyDescent="0.3">
      <c r="A199" s="8" t="s">
        <v>104</v>
      </c>
      <c r="B199" s="8" t="s">
        <v>9</v>
      </c>
      <c r="C199" s="8" t="s">
        <v>145</v>
      </c>
      <c r="D199" s="52">
        <v>10580.40608240003</v>
      </c>
      <c r="E199" s="52">
        <v>0</v>
      </c>
      <c r="F199" s="52">
        <v>0</v>
      </c>
      <c r="G199" s="52">
        <v>4328.3479428000119</v>
      </c>
      <c r="H199" s="52">
        <v>0</v>
      </c>
      <c r="I199" s="52">
        <v>0</v>
      </c>
      <c r="J199" s="52">
        <v>3030.6570780000229</v>
      </c>
      <c r="K199" s="52">
        <v>0</v>
      </c>
      <c r="L199" s="52">
        <v>0</v>
      </c>
      <c r="M199" s="52">
        <v>1212.2628312000093</v>
      </c>
      <c r="N199" s="52">
        <v>0</v>
      </c>
      <c r="O199" s="52">
        <v>0</v>
      </c>
      <c r="P199" s="52">
        <v>0</v>
      </c>
      <c r="Q199" s="52">
        <v>0</v>
      </c>
      <c r="R199" s="52">
        <v>0</v>
      </c>
      <c r="S199" s="52">
        <v>0</v>
      </c>
      <c r="T199" s="52">
        <v>0</v>
      </c>
      <c r="U199" s="52">
        <v>0</v>
      </c>
      <c r="V199" s="52">
        <v>0</v>
      </c>
      <c r="W199" s="52">
        <v>0</v>
      </c>
      <c r="X199" s="52">
        <v>0</v>
      </c>
      <c r="Y199" s="52">
        <v>0</v>
      </c>
      <c r="Z199" s="52">
        <v>0</v>
      </c>
      <c r="AA199" s="52">
        <v>0</v>
      </c>
      <c r="AB199" s="52">
        <v>0</v>
      </c>
      <c r="AC199" s="52">
        <v>0</v>
      </c>
      <c r="AD199" s="52">
        <v>0</v>
      </c>
      <c r="AE199" s="52">
        <v>0</v>
      </c>
      <c r="AF199" s="52">
        <v>0</v>
      </c>
      <c r="AG199" s="52">
        <v>0</v>
      </c>
      <c r="AH199" s="52">
        <v>9124.5002519999525</v>
      </c>
      <c r="AI199" s="52">
        <v>0</v>
      </c>
      <c r="AJ199" s="52">
        <v>0</v>
      </c>
      <c r="AK199" s="52">
        <v>0</v>
      </c>
      <c r="AL199" s="52">
        <v>0</v>
      </c>
      <c r="AM199" s="52">
        <v>0</v>
      </c>
      <c r="AN199" s="52">
        <v>10121.571118999978</v>
      </c>
      <c r="AO199" s="52">
        <v>0</v>
      </c>
      <c r="AP199" s="52">
        <v>0</v>
      </c>
      <c r="AQ199" s="52">
        <v>2484.3856382999952</v>
      </c>
      <c r="AR199" s="52">
        <v>0</v>
      </c>
      <c r="AS199" s="52">
        <v>0</v>
      </c>
      <c r="AT199" s="52">
        <v>10866.258312799995</v>
      </c>
      <c r="AU199" s="52">
        <v>10357.009658600246</v>
      </c>
      <c r="AV199" s="52">
        <v>0</v>
      </c>
      <c r="AW199" s="52">
        <v>0</v>
      </c>
      <c r="AX199" s="52">
        <v>0</v>
      </c>
      <c r="AY199" s="52">
        <v>0</v>
      </c>
      <c r="AZ199" s="52">
        <v>17146.914630000036</v>
      </c>
      <c r="BA199" s="52">
        <v>0</v>
      </c>
      <c r="BB199" s="52">
        <v>0</v>
      </c>
      <c r="BC199" s="52">
        <v>5144.0743890000113</v>
      </c>
      <c r="BD199" s="52">
        <v>0</v>
      </c>
      <c r="BE199" s="52">
        <v>0</v>
      </c>
      <c r="BF199" s="52">
        <v>5311.6791420000054</v>
      </c>
      <c r="BG199" s="52">
        <v>0</v>
      </c>
      <c r="BH199" s="52">
        <v>0</v>
      </c>
      <c r="BI199" s="52">
        <v>0</v>
      </c>
      <c r="BJ199" s="52">
        <v>0</v>
      </c>
      <c r="BK199" s="52">
        <v>0</v>
      </c>
      <c r="BL199" s="52">
        <v>7772.1194543999936</v>
      </c>
      <c r="BM199" s="52">
        <v>0</v>
      </c>
      <c r="BN199" s="52">
        <v>0</v>
      </c>
      <c r="BO199" s="52">
        <v>4996.3625063999962</v>
      </c>
      <c r="BP199" s="52">
        <v>0</v>
      </c>
      <c r="BQ199" s="52">
        <v>0</v>
      </c>
      <c r="BR199" s="52">
        <v>12240.051264899776</v>
      </c>
      <c r="BS199" s="52">
        <v>1895.5736814000632</v>
      </c>
      <c r="BT199" s="52">
        <v>0</v>
      </c>
      <c r="BU199" s="52">
        <v>8540.6020168000323</v>
      </c>
      <c r="BV199" s="52">
        <v>0</v>
      </c>
      <c r="BW199" s="52">
        <v>0</v>
      </c>
    </row>
    <row r="200" spans="1:75" x14ac:dyDescent="0.3">
      <c r="A200" s="8" t="s">
        <v>104</v>
      </c>
      <c r="B200" s="8" t="s">
        <v>9</v>
      </c>
      <c r="C200" s="8" t="s">
        <v>146</v>
      </c>
      <c r="D200" s="52">
        <v>17600</v>
      </c>
      <c r="E200" s="52">
        <v>61600</v>
      </c>
      <c r="F200" s="52">
        <v>0</v>
      </c>
      <c r="G200" s="52">
        <v>7200</v>
      </c>
      <c r="H200" s="52">
        <v>0</v>
      </c>
      <c r="I200" s="52">
        <v>0</v>
      </c>
      <c r="J200" s="52">
        <v>12000</v>
      </c>
      <c r="K200" s="52">
        <v>46108.766069999838</v>
      </c>
      <c r="L200" s="52">
        <v>0</v>
      </c>
      <c r="M200" s="52">
        <v>4800.0000000000009</v>
      </c>
      <c r="N200" s="52">
        <v>6853.5571519999721</v>
      </c>
      <c r="O200" s="52">
        <v>0</v>
      </c>
      <c r="P200" s="52">
        <v>16800</v>
      </c>
      <c r="Q200" s="52">
        <v>31038.13794266036</v>
      </c>
      <c r="R200" s="52">
        <v>0</v>
      </c>
      <c r="S200" s="52">
        <v>6000</v>
      </c>
      <c r="T200" s="52">
        <v>13724.346709339614</v>
      </c>
      <c r="U200" s="52">
        <v>0</v>
      </c>
      <c r="V200" s="52">
        <v>1942.2970475999891</v>
      </c>
      <c r="W200" s="52">
        <v>0</v>
      </c>
      <c r="X200" s="52">
        <v>0</v>
      </c>
      <c r="Y200" s="52">
        <v>0</v>
      </c>
      <c r="Z200" s="52">
        <v>0</v>
      </c>
      <c r="AA200" s="52">
        <v>0</v>
      </c>
      <c r="AB200" s="52">
        <v>9281.9327777480212</v>
      </c>
      <c r="AC200" s="52">
        <v>0</v>
      </c>
      <c r="AD200" s="52">
        <v>0</v>
      </c>
      <c r="AE200" s="52">
        <v>2847.8657386272344</v>
      </c>
      <c r="AF200" s="52">
        <v>0</v>
      </c>
      <c r="AG200" s="52">
        <v>0</v>
      </c>
      <c r="AH200" s="52">
        <v>16800</v>
      </c>
      <c r="AI200" s="52">
        <v>47598.519879000058</v>
      </c>
      <c r="AJ200" s="52">
        <v>0</v>
      </c>
      <c r="AK200" s="52">
        <v>3016.3736016000053</v>
      </c>
      <c r="AL200" s="52">
        <v>0</v>
      </c>
      <c r="AM200" s="52">
        <v>0</v>
      </c>
      <c r="AN200" s="52">
        <v>22000</v>
      </c>
      <c r="AO200" s="52">
        <v>52800.000000000007</v>
      </c>
      <c r="AP200" s="52">
        <v>0</v>
      </c>
      <c r="AQ200" s="52">
        <v>5400</v>
      </c>
      <c r="AR200" s="52">
        <v>25200.000000000004</v>
      </c>
      <c r="AS200" s="52">
        <v>0</v>
      </c>
      <c r="AT200" s="52">
        <v>17600</v>
      </c>
      <c r="AU200" s="52">
        <v>57200</v>
      </c>
      <c r="AV200" s="52">
        <v>0</v>
      </c>
      <c r="AW200" s="52">
        <v>5400</v>
      </c>
      <c r="AX200" s="52">
        <v>13065.150319199936</v>
      </c>
      <c r="AY200" s="52">
        <v>0</v>
      </c>
      <c r="AZ200" s="52">
        <v>20000</v>
      </c>
      <c r="BA200" s="52">
        <v>5456.3165944615657</v>
      </c>
      <c r="BB200" s="52">
        <v>0</v>
      </c>
      <c r="BC200" s="52">
        <v>6000</v>
      </c>
      <c r="BD200" s="52">
        <v>2955.5048220000144</v>
      </c>
      <c r="BE200" s="52">
        <v>0</v>
      </c>
      <c r="BF200" s="52">
        <v>13200.000000000002</v>
      </c>
      <c r="BG200" s="52">
        <v>43299.775626800045</v>
      </c>
      <c r="BH200" s="52">
        <v>0</v>
      </c>
      <c r="BI200" s="52">
        <v>5400</v>
      </c>
      <c r="BJ200" s="52">
        <v>0</v>
      </c>
      <c r="BK200" s="52">
        <v>0</v>
      </c>
      <c r="BL200" s="52">
        <v>8400</v>
      </c>
      <c r="BM200" s="52">
        <v>58659.598021499951</v>
      </c>
      <c r="BN200" s="52">
        <v>0</v>
      </c>
      <c r="BO200" s="52">
        <v>5400</v>
      </c>
      <c r="BP200" s="52">
        <v>21787.85069369998</v>
      </c>
      <c r="BQ200" s="52">
        <v>0</v>
      </c>
      <c r="BR200" s="52">
        <v>13600.000000000002</v>
      </c>
      <c r="BS200" s="52">
        <v>47600</v>
      </c>
      <c r="BT200" s="52">
        <v>0</v>
      </c>
      <c r="BU200" s="52">
        <v>11200.000000000002</v>
      </c>
      <c r="BV200" s="52">
        <v>16250.310567399896</v>
      </c>
      <c r="BW200" s="52">
        <v>0</v>
      </c>
    </row>
    <row r="201" spans="1:75" x14ac:dyDescent="0.3">
      <c r="A201" s="8" t="s">
        <v>104</v>
      </c>
      <c r="B201" s="8" t="s">
        <v>9</v>
      </c>
      <c r="C201" s="8" t="s">
        <v>28</v>
      </c>
      <c r="D201" s="52">
        <v>17600</v>
      </c>
      <c r="E201" s="52">
        <v>61600</v>
      </c>
      <c r="F201" s="52">
        <v>26400.000000000004</v>
      </c>
      <c r="G201" s="52">
        <v>7200</v>
      </c>
      <c r="H201" s="52">
        <v>25200.000000000004</v>
      </c>
      <c r="I201" s="52">
        <v>10800</v>
      </c>
      <c r="J201" s="52">
        <v>12000</v>
      </c>
      <c r="K201" s="52">
        <v>60000</v>
      </c>
      <c r="L201" s="52">
        <v>24000</v>
      </c>
      <c r="M201" s="52">
        <v>4800.0000000000009</v>
      </c>
      <c r="N201" s="52">
        <v>20800</v>
      </c>
      <c r="O201" s="52">
        <v>12800</v>
      </c>
      <c r="P201" s="52">
        <v>16800</v>
      </c>
      <c r="Q201" s="52">
        <v>58800.000000000007</v>
      </c>
      <c r="R201" s="52">
        <v>25200.000000000004</v>
      </c>
      <c r="S201" s="52">
        <v>6000</v>
      </c>
      <c r="T201" s="52">
        <v>26000</v>
      </c>
      <c r="U201" s="52">
        <v>16000</v>
      </c>
      <c r="V201" s="52">
        <v>15200.000000000002</v>
      </c>
      <c r="W201" s="52">
        <v>53200</v>
      </c>
      <c r="X201" s="52">
        <v>22800</v>
      </c>
      <c r="Y201" s="52">
        <v>6600.0000000000009</v>
      </c>
      <c r="Z201" s="52">
        <v>30800</v>
      </c>
      <c r="AA201" s="52">
        <v>15400</v>
      </c>
      <c r="AB201" s="52">
        <v>17600</v>
      </c>
      <c r="AC201" s="52">
        <v>61600</v>
      </c>
      <c r="AD201" s="52">
        <v>26400.000000000004</v>
      </c>
      <c r="AE201" s="52">
        <v>5400</v>
      </c>
      <c r="AF201" s="52">
        <v>23400.000000000004</v>
      </c>
      <c r="AG201" s="52">
        <v>14400</v>
      </c>
      <c r="AH201" s="52">
        <v>16800</v>
      </c>
      <c r="AI201" s="52">
        <v>58800.000000000007</v>
      </c>
      <c r="AJ201" s="52">
        <v>25200.000000000004</v>
      </c>
      <c r="AK201" s="52">
        <v>5400</v>
      </c>
      <c r="AL201" s="52">
        <v>25200.000000000004</v>
      </c>
      <c r="AM201" s="52">
        <v>12600.000000000002</v>
      </c>
      <c r="AN201" s="52">
        <v>22000</v>
      </c>
      <c r="AO201" s="52">
        <v>52800.000000000007</v>
      </c>
      <c r="AP201" s="52">
        <v>30800</v>
      </c>
      <c r="AQ201" s="52">
        <v>5400</v>
      </c>
      <c r="AR201" s="52">
        <v>25200.000000000004</v>
      </c>
      <c r="AS201" s="52">
        <v>12600.000000000002</v>
      </c>
      <c r="AT201" s="52">
        <v>17600</v>
      </c>
      <c r="AU201" s="52">
        <v>57200</v>
      </c>
      <c r="AV201" s="52">
        <v>30800</v>
      </c>
      <c r="AW201" s="52">
        <v>5400</v>
      </c>
      <c r="AX201" s="52">
        <v>25200.000000000004</v>
      </c>
      <c r="AY201" s="52">
        <v>12600.000000000002</v>
      </c>
      <c r="AZ201" s="52">
        <v>20000</v>
      </c>
      <c r="BA201" s="52">
        <v>48000</v>
      </c>
      <c r="BB201" s="52">
        <v>28000</v>
      </c>
      <c r="BC201" s="52">
        <v>6000</v>
      </c>
      <c r="BD201" s="52">
        <v>26000</v>
      </c>
      <c r="BE201" s="52">
        <v>16000</v>
      </c>
      <c r="BF201" s="52">
        <v>13200.000000000002</v>
      </c>
      <c r="BG201" s="52">
        <v>61600</v>
      </c>
      <c r="BH201" s="52">
        <v>30800</v>
      </c>
      <c r="BI201" s="52">
        <v>5400</v>
      </c>
      <c r="BJ201" s="52">
        <v>23400.000000000004</v>
      </c>
      <c r="BK201" s="52">
        <v>14400</v>
      </c>
      <c r="BL201" s="52">
        <v>8400</v>
      </c>
      <c r="BM201" s="52">
        <v>63000</v>
      </c>
      <c r="BN201" s="52">
        <v>29400.000000000004</v>
      </c>
      <c r="BO201" s="52">
        <v>5400</v>
      </c>
      <c r="BP201" s="52">
        <v>23400.000000000004</v>
      </c>
      <c r="BQ201" s="52">
        <v>14400</v>
      </c>
      <c r="BR201" s="52">
        <v>13600.000000000002</v>
      </c>
      <c r="BS201" s="52">
        <v>47600</v>
      </c>
      <c r="BT201" s="52">
        <v>20400.000000000004</v>
      </c>
      <c r="BU201" s="52">
        <v>11200.000000000002</v>
      </c>
      <c r="BV201" s="52">
        <v>36400</v>
      </c>
      <c r="BW201" s="52">
        <v>19600</v>
      </c>
    </row>
    <row r="202" spans="1:75" x14ac:dyDescent="0.3">
      <c r="A202" s="8" t="s">
        <v>104</v>
      </c>
      <c r="B202" s="8" t="s">
        <v>10</v>
      </c>
      <c r="C202" s="8" t="s">
        <v>60</v>
      </c>
      <c r="D202" s="52">
        <v>67900.800000000003</v>
      </c>
      <c r="E202" s="52">
        <v>237652.80000000002</v>
      </c>
      <c r="F202" s="52">
        <v>101851.20000000001</v>
      </c>
      <c r="G202" s="52">
        <v>27777.600000000002</v>
      </c>
      <c r="H202" s="52">
        <v>97221.6</v>
      </c>
      <c r="I202" s="52">
        <v>41666.400000000001</v>
      </c>
      <c r="J202" s="52">
        <v>46296.000000000007</v>
      </c>
      <c r="K202" s="52">
        <v>231480.00000000003</v>
      </c>
      <c r="L202" s="52">
        <v>92592.000000000015</v>
      </c>
      <c r="M202" s="52">
        <v>18518.400000000001</v>
      </c>
      <c r="N202" s="52">
        <v>80246.400000000009</v>
      </c>
      <c r="O202" s="52">
        <v>49382.400000000001</v>
      </c>
      <c r="P202" s="52">
        <v>64814.400000000009</v>
      </c>
      <c r="Q202" s="52">
        <v>226850.4</v>
      </c>
      <c r="R202" s="52">
        <v>97221.6</v>
      </c>
      <c r="S202" s="52">
        <v>23148.000000000004</v>
      </c>
      <c r="T202" s="52">
        <v>100308</v>
      </c>
      <c r="U202" s="52">
        <v>61728.000000000007</v>
      </c>
      <c r="V202" s="52">
        <v>58641.600000000006</v>
      </c>
      <c r="W202" s="52">
        <v>205245.60000000003</v>
      </c>
      <c r="X202" s="52">
        <v>87962.400000000009</v>
      </c>
      <c r="Y202" s="52">
        <v>25462.800000000003</v>
      </c>
      <c r="Z202" s="52">
        <v>118826.40000000001</v>
      </c>
      <c r="AA202" s="52">
        <v>59413.200000000004</v>
      </c>
      <c r="AB202" s="52">
        <v>67900.800000000003</v>
      </c>
      <c r="AC202" s="52">
        <v>237652.80000000002</v>
      </c>
      <c r="AD202" s="52">
        <v>101851.20000000001</v>
      </c>
      <c r="AE202" s="52">
        <v>20833.2</v>
      </c>
      <c r="AF202" s="52">
        <v>90277.200000000012</v>
      </c>
      <c r="AG202" s="52">
        <v>55555.200000000004</v>
      </c>
      <c r="AH202" s="52">
        <v>64814.400000000009</v>
      </c>
      <c r="AI202" s="52">
        <v>226850.4</v>
      </c>
      <c r="AJ202" s="52">
        <v>97221.6</v>
      </c>
      <c r="AK202" s="52">
        <v>20833.2</v>
      </c>
      <c r="AL202" s="52">
        <v>97221.6</v>
      </c>
      <c r="AM202" s="52">
        <v>48610.8</v>
      </c>
      <c r="AN202" s="52">
        <v>84876</v>
      </c>
      <c r="AO202" s="52">
        <v>203702.40000000002</v>
      </c>
      <c r="AP202" s="52">
        <v>118826.40000000001</v>
      </c>
      <c r="AQ202" s="52">
        <v>20833.2</v>
      </c>
      <c r="AR202" s="52">
        <v>97221.6</v>
      </c>
      <c r="AS202" s="52">
        <v>48610.8</v>
      </c>
      <c r="AT202" s="52">
        <v>67900.800000000003</v>
      </c>
      <c r="AU202" s="52">
        <v>220677.6</v>
      </c>
      <c r="AV202" s="52">
        <v>118826.40000000001</v>
      </c>
      <c r="AW202" s="52">
        <v>20833.2</v>
      </c>
      <c r="AX202" s="52">
        <v>97221.6</v>
      </c>
      <c r="AY202" s="52">
        <v>48610.8</v>
      </c>
      <c r="AZ202" s="52">
        <v>77160.000000000015</v>
      </c>
      <c r="BA202" s="52">
        <v>185184.00000000003</v>
      </c>
      <c r="BB202" s="52">
        <v>108024.00000000001</v>
      </c>
      <c r="BC202" s="52">
        <v>23148.000000000004</v>
      </c>
      <c r="BD202" s="52">
        <v>100308</v>
      </c>
      <c r="BE202" s="52">
        <v>61728.000000000007</v>
      </c>
      <c r="BF202" s="52">
        <v>50925.600000000006</v>
      </c>
      <c r="BG202" s="52">
        <v>237652.80000000002</v>
      </c>
      <c r="BH202" s="52">
        <v>118826.40000000001</v>
      </c>
      <c r="BI202" s="52">
        <v>20833.2</v>
      </c>
      <c r="BJ202" s="52">
        <v>90277.200000000012</v>
      </c>
      <c r="BK202" s="52">
        <v>55555.200000000004</v>
      </c>
      <c r="BL202" s="52">
        <v>32407.200000000004</v>
      </c>
      <c r="BM202" s="52">
        <v>243054.00000000003</v>
      </c>
      <c r="BN202" s="52">
        <v>113425.2</v>
      </c>
      <c r="BO202" s="52">
        <v>20833.2</v>
      </c>
      <c r="BP202" s="52">
        <v>90277.200000000012</v>
      </c>
      <c r="BQ202" s="52">
        <v>55555.200000000004</v>
      </c>
      <c r="BR202" s="52">
        <v>52468.800000000003</v>
      </c>
      <c r="BS202" s="52">
        <v>183640.80000000002</v>
      </c>
      <c r="BT202" s="52">
        <v>78703.200000000012</v>
      </c>
      <c r="BU202" s="52">
        <v>43209.599999999999</v>
      </c>
      <c r="BV202" s="52">
        <v>140431.20000000001</v>
      </c>
      <c r="BW202" s="52">
        <v>75616.800000000017</v>
      </c>
    </row>
    <row r="203" spans="1:75" x14ac:dyDescent="0.3">
      <c r="A203" s="8" t="s">
        <v>104</v>
      </c>
      <c r="B203" s="8" t="s">
        <v>10</v>
      </c>
      <c r="C203" s="8" t="s">
        <v>150</v>
      </c>
      <c r="D203" s="52">
        <v>20697.599999999999</v>
      </c>
      <c r="E203" s="52">
        <v>72441.599999999991</v>
      </c>
      <c r="F203" s="52">
        <v>31046.399999999994</v>
      </c>
      <c r="G203" s="52">
        <v>8467.1999999999734</v>
      </c>
      <c r="H203" s="52">
        <v>29635.199999999906</v>
      </c>
      <c r="I203" s="52">
        <v>12700.799999999959</v>
      </c>
      <c r="J203" s="52">
        <v>23421.494016000015</v>
      </c>
      <c r="K203" s="52">
        <v>70559.999999999985</v>
      </c>
      <c r="L203" s="52">
        <v>28223.999999999996</v>
      </c>
      <c r="M203" s="52">
        <v>6722.6628312000366</v>
      </c>
      <c r="N203" s="52">
        <v>24460.799999999996</v>
      </c>
      <c r="O203" s="52">
        <v>15052.799999999997</v>
      </c>
      <c r="P203" s="52">
        <v>19756.8</v>
      </c>
      <c r="Q203" s="52">
        <v>69148.799999999988</v>
      </c>
      <c r="R203" s="52">
        <v>29635.199999999993</v>
      </c>
      <c r="S203" s="52">
        <v>7055.9999999999936</v>
      </c>
      <c r="T203" s="52">
        <v>30575.999999999971</v>
      </c>
      <c r="U203" s="52">
        <v>18815.999999999985</v>
      </c>
      <c r="V203" s="52">
        <v>19504.093704400006</v>
      </c>
      <c r="W203" s="52">
        <v>62563.19999999999</v>
      </c>
      <c r="X203" s="52">
        <v>26812.799999999996</v>
      </c>
      <c r="Y203" s="52">
        <v>8468.882792700002</v>
      </c>
      <c r="Z203" s="52">
        <v>36220.799999999981</v>
      </c>
      <c r="AA203" s="52">
        <v>18110.399999999991</v>
      </c>
      <c r="AB203" s="52">
        <v>20697.599999999999</v>
      </c>
      <c r="AC203" s="52">
        <v>72441.599999999991</v>
      </c>
      <c r="AD203" s="52">
        <v>31046.399999999994</v>
      </c>
      <c r="AE203" s="52">
        <v>6350.3999999999987</v>
      </c>
      <c r="AF203" s="52">
        <v>27518.399999999998</v>
      </c>
      <c r="AG203" s="52">
        <v>16934.399999999998</v>
      </c>
      <c r="AH203" s="52">
        <v>19756.8</v>
      </c>
      <c r="AI203" s="52">
        <v>69148.799999999988</v>
      </c>
      <c r="AJ203" s="52">
        <v>29635.199999999993</v>
      </c>
      <c r="AK203" s="52">
        <v>6350.3999999999987</v>
      </c>
      <c r="AL203" s="52">
        <v>29635.199999999993</v>
      </c>
      <c r="AM203" s="52">
        <v>14817.599999999997</v>
      </c>
      <c r="AN203" s="52">
        <v>25871.999999999996</v>
      </c>
      <c r="AO203" s="52">
        <v>62092.799999999988</v>
      </c>
      <c r="AP203" s="52">
        <v>36220.799999999996</v>
      </c>
      <c r="AQ203" s="52">
        <v>6350.3999999999987</v>
      </c>
      <c r="AR203" s="52">
        <v>29635.199999999993</v>
      </c>
      <c r="AS203" s="52">
        <v>14817.599999999997</v>
      </c>
      <c r="AT203" s="52">
        <v>22211.954846400018</v>
      </c>
      <c r="AU203" s="52">
        <v>67267.199999999983</v>
      </c>
      <c r="AV203" s="52">
        <v>36220.799999999996</v>
      </c>
      <c r="AW203" s="52">
        <v>6815.0316006000057</v>
      </c>
      <c r="AX203" s="52">
        <v>29635.199999999993</v>
      </c>
      <c r="AY203" s="52">
        <v>14817.599999999997</v>
      </c>
      <c r="AZ203" s="52">
        <v>23519.999999999996</v>
      </c>
      <c r="BA203" s="52">
        <v>56447.999999999993</v>
      </c>
      <c r="BB203" s="52">
        <v>32928</v>
      </c>
      <c r="BC203" s="52">
        <v>0</v>
      </c>
      <c r="BD203" s="52">
        <v>0</v>
      </c>
      <c r="BE203" s="52">
        <v>0</v>
      </c>
      <c r="BF203" s="52">
        <v>15523.199999999997</v>
      </c>
      <c r="BG203" s="52">
        <v>72441.599999999991</v>
      </c>
      <c r="BH203" s="52">
        <v>36220.799999999996</v>
      </c>
      <c r="BI203" s="52">
        <v>6350.3999999999987</v>
      </c>
      <c r="BJ203" s="52">
        <v>27518.399999999998</v>
      </c>
      <c r="BK203" s="52">
        <v>16934.399999999998</v>
      </c>
      <c r="BL203" s="52">
        <v>9878.4</v>
      </c>
      <c r="BM203" s="52">
        <v>74088</v>
      </c>
      <c r="BN203" s="52">
        <v>34574.399999999994</v>
      </c>
      <c r="BO203" s="52">
        <v>6350.3999999999987</v>
      </c>
      <c r="BP203" s="52">
        <v>27518.399999999998</v>
      </c>
      <c r="BQ203" s="52">
        <v>16934.399999999998</v>
      </c>
      <c r="BR203" s="52">
        <v>39983.999999999993</v>
      </c>
      <c r="BS203" s="52">
        <v>57873.173681400134</v>
      </c>
      <c r="BT203" s="52">
        <v>23990.399999999998</v>
      </c>
      <c r="BU203" s="52">
        <v>21711.802016800008</v>
      </c>
      <c r="BV203" s="52">
        <v>42806.399999999994</v>
      </c>
      <c r="BW203" s="52">
        <v>23049.599999999999</v>
      </c>
    </row>
    <row r="204" spans="1:75" x14ac:dyDescent="0.3">
      <c r="A204" s="8" t="s">
        <v>104</v>
      </c>
      <c r="B204" s="8" t="s">
        <v>10</v>
      </c>
      <c r="C204" s="8" t="s">
        <v>61</v>
      </c>
      <c r="D204" s="52">
        <v>14925.664573599983</v>
      </c>
      <c r="E204" s="52">
        <v>25021.919999999998</v>
      </c>
      <c r="F204" s="52">
        <v>10723.68</v>
      </c>
      <c r="G204" s="52">
        <v>0</v>
      </c>
      <c r="H204" s="52">
        <v>0</v>
      </c>
      <c r="I204" s="52">
        <v>0</v>
      </c>
      <c r="J204" s="52">
        <v>0</v>
      </c>
      <c r="K204" s="52">
        <v>0</v>
      </c>
      <c r="L204" s="52">
        <v>0</v>
      </c>
      <c r="M204" s="52">
        <v>0</v>
      </c>
      <c r="N204" s="52">
        <v>0</v>
      </c>
      <c r="O204" s="52">
        <v>0</v>
      </c>
      <c r="P204" s="52">
        <v>0</v>
      </c>
      <c r="Q204" s="52">
        <v>0</v>
      </c>
      <c r="R204" s="52">
        <v>0</v>
      </c>
      <c r="S204" s="52">
        <v>0</v>
      </c>
      <c r="T204" s="52">
        <v>0</v>
      </c>
      <c r="U204" s="52">
        <v>0</v>
      </c>
      <c r="V204" s="52">
        <v>0</v>
      </c>
      <c r="W204" s="52">
        <v>0</v>
      </c>
      <c r="X204" s="52">
        <v>0</v>
      </c>
      <c r="Y204" s="52">
        <v>0</v>
      </c>
      <c r="Z204" s="52">
        <v>0</v>
      </c>
      <c r="AA204" s="52">
        <v>0</v>
      </c>
      <c r="AB204" s="52">
        <v>0</v>
      </c>
      <c r="AC204" s="52">
        <v>0</v>
      </c>
      <c r="AD204" s="52">
        <v>0</v>
      </c>
      <c r="AE204" s="52">
        <v>0</v>
      </c>
      <c r="AF204" s="52">
        <v>0</v>
      </c>
      <c r="AG204" s="52">
        <v>0</v>
      </c>
      <c r="AH204" s="52">
        <v>0</v>
      </c>
      <c r="AI204" s="52">
        <v>0</v>
      </c>
      <c r="AJ204" s="52">
        <v>0</v>
      </c>
      <c r="AK204" s="52">
        <v>0</v>
      </c>
      <c r="AL204" s="52">
        <v>0</v>
      </c>
      <c r="AM204" s="52">
        <v>0</v>
      </c>
      <c r="AN204" s="52">
        <v>0</v>
      </c>
      <c r="AO204" s="52">
        <v>0</v>
      </c>
      <c r="AP204" s="52">
        <v>0</v>
      </c>
      <c r="AQ204" s="52">
        <v>0</v>
      </c>
      <c r="AR204" s="52">
        <v>0</v>
      </c>
      <c r="AS204" s="52">
        <v>0</v>
      </c>
      <c r="AT204" s="52">
        <v>0</v>
      </c>
      <c r="AU204" s="52">
        <v>0</v>
      </c>
      <c r="AV204" s="52">
        <v>0</v>
      </c>
      <c r="AW204" s="52">
        <v>0</v>
      </c>
      <c r="AX204" s="52">
        <v>0</v>
      </c>
      <c r="AY204" s="52">
        <v>0</v>
      </c>
      <c r="AZ204" s="52">
        <v>0</v>
      </c>
      <c r="BA204" s="52">
        <v>0</v>
      </c>
      <c r="BB204" s="52">
        <v>0</v>
      </c>
      <c r="BC204" s="52">
        <v>0</v>
      </c>
      <c r="BD204" s="52">
        <v>0</v>
      </c>
      <c r="BE204" s="52">
        <v>0</v>
      </c>
      <c r="BF204" s="52">
        <v>0</v>
      </c>
      <c r="BG204" s="52">
        <v>0</v>
      </c>
      <c r="BH204" s="52">
        <v>0</v>
      </c>
      <c r="BI204" s="52">
        <v>0</v>
      </c>
      <c r="BJ204" s="52">
        <v>0</v>
      </c>
      <c r="BK204" s="52">
        <v>0</v>
      </c>
      <c r="BL204" s="52">
        <v>0</v>
      </c>
      <c r="BM204" s="52">
        <v>0</v>
      </c>
      <c r="BN204" s="52">
        <v>0</v>
      </c>
      <c r="BO204" s="52">
        <v>0</v>
      </c>
      <c r="BP204" s="52">
        <v>0</v>
      </c>
      <c r="BQ204" s="52">
        <v>0</v>
      </c>
      <c r="BR204" s="52">
        <v>0</v>
      </c>
      <c r="BS204" s="52">
        <v>0</v>
      </c>
      <c r="BT204" s="52">
        <v>0</v>
      </c>
      <c r="BU204" s="52">
        <v>0</v>
      </c>
      <c r="BV204" s="52">
        <v>0</v>
      </c>
      <c r="BW204" s="52">
        <v>0</v>
      </c>
    </row>
    <row r="205" spans="1:75" x14ac:dyDescent="0.3">
      <c r="A205" s="8" t="s">
        <v>104</v>
      </c>
      <c r="B205" s="8" t="s">
        <v>10</v>
      </c>
      <c r="C205" s="8" t="s">
        <v>152</v>
      </c>
      <c r="D205" s="52">
        <v>5294.079999999999</v>
      </c>
      <c r="E205" s="52">
        <v>18529.279999999995</v>
      </c>
      <c r="F205" s="52">
        <v>7941.119999999999</v>
      </c>
      <c r="G205" s="52">
        <v>2165.7599999999998</v>
      </c>
      <c r="H205" s="52">
        <v>7580.1599999999989</v>
      </c>
      <c r="I205" s="52">
        <v>3248.6399999999994</v>
      </c>
      <c r="J205" s="52">
        <v>0</v>
      </c>
      <c r="K205" s="52">
        <v>0</v>
      </c>
      <c r="L205" s="52">
        <v>0</v>
      </c>
      <c r="M205" s="52">
        <v>0</v>
      </c>
      <c r="N205" s="52">
        <v>0</v>
      </c>
      <c r="O205" s="52">
        <v>0</v>
      </c>
      <c r="P205" s="52">
        <v>0</v>
      </c>
      <c r="Q205" s="52">
        <v>0</v>
      </c>
      <c r="R205" s="52">
        <v>0</v>
      </c>
      <c r="S205" s="52">
        <v>0</v>
      </c>
      <c r="T205" s="52">
        <v>0</v>
      </c>
      <c r="U205" s="52">
        <v>0</v>
      </c>
      <c r="V205" s="52">
        <v>4572.1599999999989</v>
      </c>
      <c r="W205" s="52">
        <v>16002.56</v>
      </c>
      <c r="X205" s="52">
        <v>6858.2399999999989</v>
      </c>
      <c r="Y205" s="52">
        <v>0</v>
      </c>
      <c r="Z205" s="52">
        <v>0</v>
      </c>
      <c r="AA205" s="52">
        <v>0</v>
      </c>
      <c r="AB205" s="52">
        <v>5294.079999999999</v>
      </c>
      <c r="AC205" s="52">
        <v>18529.279999999995</v>
      </c>
      <c r="AD205" s="52">
        <v>7941.119999999999</v>
      </c>
      <c r="AE205" s="52">
        <v>0</v>
      </c>
      <c r="AF205" s="52">
        <v>0</v>
      </c>
      <c r="AG205" s="52">
        <v>0</v>
      </c>
      <c r="AH205" s="52">
        <v>0</v>
      </c>
      <c r="AI205" s="52">
        <v>0</v>
      </c>
      <c r="AJ205" s="52">
        <v>0</v>
      </c>
      <c r="AK205" s="52">
        <v>0</v>
      </c>
      <c r="AL205" s="52">
        <v>0</v>
      </c>
      <c r="AM205" s="52">
        <v>0</v>
      </c>
      <c r="AN205" s="52">
        <v>6617.5999999999995</v>
      </c>
      <c r="AO205" s="52">
        <v>15882.239999999998</v>
      </c>
      <c r="AP205" s="52">
        <v>9264.6399999999976</v>
      </c>
      <c r="AQ205" s="52">
        <v>0</v>
      </c>
      <c r="AR205" s="52">
        <v>0</v>
      </c>
      <c r="AS205" s="52">
        <v>0</v>
      </c>
      <c r="AT205" s="52">
        <v>5294.0799999999899</v>
      </c>
      <c r="AU205" s="52">
        <v>17205.759999999966</v>
      </c>
      <c r="AV205" s="52">
        <v>9264.639999999983</v>
      </c>
      <c r="AW205" s="52">
        <v>0</v>
      </c>
      <c r="AX205" s="52">
        <v>0</v>
      </c>
      <c r="AY205" s="52">
        <v>0</v>
      </c>
      <c r="AZ205" s="52">
        <v>0</v>
      </c>
      <c r="BA205" s="52">
        <v>0</v>
      </c>
      <c r="BB205" s="52">
        <v>0</v>
      </c>
      <c r="BC205" s="52">
        <v>0</v>
      </c>
      <c r="BD205" s="52">
        <v>0</v>
      </c>
      <c r="BE205" s="52">
        <v>0</v>
      </c>
      <c r="BF205" s="52">
        <v>0</v>
      </c>
      <c r="BG205" s="52">
        <v>0</v>
      </c>
      <c r="BH205" s="52">
        <v>0</v>
      </c>
      <c r="BI205" s="52">
        <v>0</v>
      </c>
      <c r="BJ205" s="52">
        <v>0</v>
      </c>
      <c r="BK205" s="52">
        <v>0</v>
      </c>
      <c r="BL205" s="52">
        <v>2761.3280310000273</v>
      </c>
      <c r="BM205" s="52">
        <v>18950.399999999998</v>
      </c>
      <c r="BN205" s="52">
        <v>8843.5199999999986</v>
      </c>
      <c r="BO205" s="52">
        <v>0</v>
      </c>
      <c r="BP205" s="52">
        <v>0</v>
      </c>
      <c r="BQ205" s="52">
        <v>0</v>
      </c>
      <c r="BR205" s="52">
        <v>0</v>
      </c>
      <c r="BS205" s="52">
        <v>0</v>
      </c>
      <c r="BT205" s="52">
        <v>0</v>
      </c>
      <c r="BU205" s="52">
        <v>0</v>
      </c>
      <c r="BV205" s="52">
        <v>0</v>
      </c>
      <c r="BW205" s="52">
        <v>0</v>
      </c>
    </row>
    <row r="206" spans="1:75" x14ac:dyDescent="0.3">
      <c r="A206" s="8" t="s">
        <v>104</v>
      </c>
      <c r="B206" s="8" t="s">
        <v>10</v>
      </c>
      <c r="C206" s="8" t="s">
        <v>151</v>
      </c>
      <c r="D206" s="52">
        <v>17107.2</v>
      </c>
      <c r="E206" s="52">
        <v>59875.200000000004</v>
      </c>
      <c r="F206" s="52">
        <v>10264.320000000002</v>
      </c>
      <c r="G206" s="52">
        <v>6998.4000000000005</v>
      </c>
      <c r="H206" s="52">
        <v>9797.76</v>
      </c>
      <c r="I206" s="52">
        <v>4199.04</v>
      </c>
      <c r="J206" s="52">
        <v>0</v>
      </c>
      <c r="K206" s="52">
        <v>0</v>
      </c>
      <c r="L206" s="52">
        <v>0</v>
      </c>
      <c r="M206" s="52">
        <v>0</v>
      </c>
      <c r="N206" s="52">
        <v>0</v>
      </c>
      <c r="O206" s="52">
        <v>0</v>
      </c>
      <c r="P206" s="52">
        <v>8767.4635943998892</v>
      </c>
      <c r="Q206" s="52">
        <v>26574.499034999943</v>
      </c>
      <c r="R206" s="52">
        <v>9797.760000000002</v>
      </c>
      <c r="S206" s="52">
        <v>0</v>
      </c>
      <c r="T206" s="52">
        <v>0</v>
      </c>
      <c r="U206" s="52">
        <v>0</v>
      </c>
      <c r="V206" s="52">
        <v>14774.400000000001</v>
      </c>
      <c r="W206" s="52">
        <v>46072.159928259964</v>
      </c>
      <c r="X206" s="52">
        <v>8864.6400000000012</v>
      </c>
      <c r="Y206" s="52">
        <v>6415.2000000000007</v>
      </c>
      <c r="Z206" s="52">
        <v>26673.355747939979</v>
      </c>
      <c r="AA206" s="52">
        <v>5987.52</v>
      </c>
      <c r="AB206" s="52">
        <v>17107.2</v>
      </c>
      <c r="AC206" s="52">
        <v>59875.200000000004</v>
      </c>
      <c r="AD206" s="52">
        <v>10264.320000000002</v>
      </c>
      <c r="AE206" s="52">
        <v>3609.9823550001338</v>
      </c>
      <c r="AF206" s="52">
        <v>14926.060656000021</v>
      </c>
      <c r="AG206" s="52">
        <v>5598.7200000000012</v>
      </c>
      <c r="AH206" s="52">
        <v>16329.600000000002</v>
      </c>
      <c r="AI206" s="52">
        <v>40821.95644080003</v>
      </c>
      <c r="AJ206" s="52">
        <v>9797.7599999999984</v>
      </c>
      <c r="AK206" s="52">
        <v>0</v>
      </c>
      <c r="AL206" s="52">
        <v>0</v>
      </c>
      <c r="AM206" s="52">
        <v>0</v>
      </c>
      <c r="AN206" s="52">
        <v>21384</v>
      </c>
      <c r="AO206" s="52">
        <v>48446.97311520006</v>
      </c>
      <c r="AP206" s="52">
        <v>11975.04</v>
      </c>
      <c r="AQ206" s="52">
        <v>0</v>
      </c>
      <c r="AR206" s="52">
        <v>0</v>
      </c>
      <c r="AS206" s="52">
        <v>0</v>
      </c>
      <c r="AT206" s="52">
        <v>17107.2</v>
      </c>
      <c r="AU206" s="52">
        <v>55598.400000000009</v>
      </c>
      <c r="AV206" s="52">
        <v>11975.04</v>
      </c>
      <c r="AW206" s="52">
        <v>5248.8</v>
      </c>
      <c r="AX206" s="52">
        <v>24494.400000000001</v>
      </c>
      <c r="AY206" s="52">
        <v>4898.8799999999992</v>
      </c>
      <c r="AZ206" s="52">
        <v>7776.0000000000009</v>
      </c>
      <c r="BA206" s="52">
        <v>20578.52083200002</v>
      </c>
      <c r="BB206" s="52">
        <v>10886.400000000001</v>
      </c>
      <c r="BC206" s="52">
        <v>0</v>
      </c>
      <c r="BD206" s="52">
        <v>0</v>
      </c>
      <c r="BE206" s="52">
        <v>0</v>
      </c>
      <c r="BF206" s="52">
        <v>0</v>
      </c>
      <c r="BG206" s="52">
        <v>0</v>
      </c>
      <c r="BH206" s="52">
        <v>0</v>
      </c>
      <c r="BI206" s="52">
        <v>0</v>
      </c>
      <c r="BJ206" s="52">
        <v>0</v>
      </c>
      <c r="BK206" s="52">
        <v>0</v>
      </c>
      <c r="BL206" s="52">
        <v>8164.8000000000011</v>
      </c>
      <c r="BM206" s="52">
        <v>24494.400000000001</v>
      </c>
      <c r="BN206" s="52">
        <v>11430.720000000001</v>
      </c>
      <c r="BO206" s="52">
        <v>0</v>
      </c>
      <c r="BP206" s="52">
        <v>0</v>
      </c>
      <c r="BQ206" s="52">
        <v>0</v>
      </c>
      <c r="BR206" s="52">
        <v>13219.2</v>
      </c>
      <c r="BS206" s="52">
        <v>46267.200000000004</v>
      </c>
      <c r="BT206" s="52">
        <v>7931.52</v>
      </c>
      <c r="BU206" s="52">
        <v>10886.400000000001</v>
      </c>
      <c r="BV206" s="52">
        <v>14152.32</v>
      </c>
      <c r="BW206" s="52">
        <v>7620.48</v>
      </c>
    </row>
    <row r="207" spans="1:75" x14ac:dyDescent="0.3">
      <c r="A207" s="8" t="s">
        <v>104</v>
      </c>
      <c r="B207" s="8" t="s">
        <v>10</v>
      </c>
      <c r="C207" s="8" t="s">
        <v>62</v>
      </c>
      <c r="D207" s="52">
        <v>44000</v>
      </c>
      <c r="E207" s="52">
        <v>154000</v>
      </c>
      <c r="F207" s="52">
        <v>66000</v>
      </c>
      <c r="G207" s="52">
        <v>18000</v>
      </c>
      <c r="H207" s="52">
        <v>63000</v>
      </c>
      <c r="I207" s="52">
        <v>27000</v>
      </c>
      <c r="J207" s="52">
        <v>30000</v>
      </c>
      <c r="K207" s="52">
        <v>150000</v>
      </c>
      <c r="L207" s="52">
        <v>60000</v>
      </c>
      <c r="M207" s="52">
        <v>12000</v>
      </c>
      <c r="N207" s="52">
        <v>52000</v>
      </c>
      <c r="O207" s="52">
        <v>32000</v>
      </c>
      <c r="P207" s="52">
        <v>42000</v>
      </c>
      <c r="Q207" s="52">
        <v>147000</v>
      </c>
      <c r="R207" s="52">
        <v>63000</v>
      </c>
      <c r="S207" s="52">
        <v>15000</v>
      </c>
      <c r="T207" s="52">
        <v>65000</v>
      </c>
      <c r="U207" s="52">
        <v>40000</v>
      </c>
      <c r="V207" s="52">
        <v>38000</v>
      </c>
      <c r="W207" s="52">
        <v>133000</v>
      </c>
      <c r="X207" s="52">
        <v>57000</v>
      </c>
      <c r="Y207" s="52">
        <v>16500</v>
      </c>
      <c r="Z207" s="52">
        <v>77000</v>
      </c>
      <c r="AA207" s="52">
        <v>37232.500138800082</v>
      </c>
      <c r="AB207" s="52">
        <v>44000</v>
      </c>
      <c r="AC207" s="52">
        <v>154000</v>
      </c>
      <c r="AD207" s="52">
        <v>66000</v>
      </c>
      <c r="AE207" s="52">
        <v>13500</v>
      </c>
      <c r="AF207" s="52">
        <v>58500</v>
      </c>
      <c r="AG207" s="52">
        <v>36000</v>
      </c>
      <c r="AH207" s="52">
        <v>42000</v>
      </c>
      <c r="AI207" s="52">
        <v>147000</v>
      </c>
      <c r="AJ207" s="52">
        <v>63000</v>
      </c>
      <c r="AK207" s="52">
        <v>13500</v>
      </c>
      <c r="AL207" s="52">
        <v>63000</v>
      </c>
      <c r="AM207" s="52">
        <v>31500</v>
      </c>
      <c r="AN207" s="52">
        <v>55000</v>
      </c>
      <c r="AO207" s="52">
        <v>132000</v>
      </c>
      <c r="AP207" s="52">
        <v>77000</v>
      </c>
      <c r="AQ207" s="52">
        <v>13500</v>
      </c>
      <c r="AR207" s="52">
        <v>63000</v>
      </c>
      <c r="AS207" s="52">
        <v>31500</v>
      </c>
      <c r="AT207" s="52">
        <v>44000</v>
      </c>
      <c r="AU207" s="52">
        <v>143000</v>
      </c>
      <c r="AV207" s="52">
        <v>77000</v>
      </c>
      <c r="AW207" s="52">
        <v>13500</v>
      </c>
      <c r="AX207" s="52">
        <v>63000</v>
      </c>
      <c r="AY207" s="52">
        <v>31500</v>
      </c>
      <c r="AZ207" s="52">
        <v>50000</v>
      </c>
      <c r="BA207" s="52">
        <v>120000</v>
      </c>
      <c r="BB207" s="52">
        <v>70000</v>
      </c>
      <c r="BC207" s="52">
        <v>15000</v>
      </c>
      <c r="BD207" s="52">
        <v>65000</v>
      </c>
      <c r="BE207" s="52">
        <v>40000</v>
      </c>
      <c r="BF207" s="52">
        <v>33000</v>
      </c>
      <c r="BG207" s="52">
        <v>154000</v>
      </c>
      <c r="BH207" s="52">
        <v>77000</v>
      </c>
      <c r="BI207" s="52">
        <v>13500</v>
      </c>
      <c r="BJ207" s="52">
        <v>58500</v>
      </c>
      <c r="BK207" s="52">
        <v>36000</v>
      </c>
      <c r="BL207" s="52">
        <v>21000</v>
      </c>
      <c r="BM207" s="52">
        <v>157500</v>
      </c>
      <c r="BN207" s="52">
        <v>73500</v>
      </c>
      <c r="BO207" s="52">
        <v>13500</v>
      </c>
      <c r="BP207" s="52">
        <v>58500</v>
      </c>
      <c r="BQ207" s="52">
        <v>36000</v>
      </c>
      <c r="BR207" s="52">
        <v>34000</v>
      </c>
      <c r="BS207" s="52">
        <v>119000</v>
      </c>
      <c r="BT207" s="52">
        <v>51000</v>
      </c>
      <c r="BU207" s="52">
        <v>28000</v>
      </c>
      <c r="BV207" s="52">
        <v>91000</v>
      </c>
      <c r="BW207" s="52">
        <v>29067.526111400071</v>
      </c>
    </row>
    <row r="208" spans="1:75" x14ac:dyDescent="0.3">
      <c r="A208" s="8" t="s">
        <v>104</v>
      </c>
      <c r="B208" s="8" t="s">
        <v>10</v>
      </c>
      <c r="C208" s="8" t="s">
        <v>63</v>
      </c>
      <c r="D208" s="52">
        <v>44000</v>
      </c>
      <c r="E208" s="52">
        <v>154000</v>
      </c>
      <c r="F208" s="52">
        <v>13200.000000000002</v>
      </c>
      <c r="G208" s="52">
        <v>18000</v>
      </c>
      <c r="H208" s="52">
        <v>53466.482147400129</v>
      </c>
      <c r="I208" s="52">
        <v>5400</v>
      </c>
      <c r="J208" s="52">
        <v>30000</v>
      </c>
      <c r="K208" s="52">
        <v>150000</v>
      </c>
      <c r="L208" s="52">
        <v>17860.751483999928</v>
      </c>
      <c r="M208" s="52">
        <v>12000</v>
      </c>
      <c r="N208" s="52">
        <v>52000</v>
      </c>
      <c r="O208" s="52">
        <v>6400</v>
      </c>
      <c r="P208" s="52">
        <v>42000</v>
      </c>
      <c r="Q208" s="52">
        <v>147000</v>
      </c>
      <c r="R208" s="52">
        <v>12600.000000000002</v>
      </c>
      <c r="S208" s="52">
        <v>15000</v>
      </c>
      <c r="T208" s="52">
        <v>53163.288243000046</v>
      </c>
      <c r="U208" s="52">
        <v>8000</v>
      </c>
      <c r="V208" s="52">
        <v>35370.137047600125</v>
      </c>
      <c r="W208" s="52">
        <v>133000</v>
      </c>
      <c r="X208" s="52">
        <v>11399.999999999975</v>
      </c>
      <c r="Y208" s="52">
        <v>0</v>
      </c>
      <c r="Z208" s="52">
        <v>0</v>
      </c>
      <c r="AA208" s="52">
        <v>0</v>
      </c>
      <c r="AB208" s="52">
        <v>44000</v>
      </c>
      <c r="AC208" s="52">
        <v>154000</v>
      </c>
      <c r="AD208" s="52">
        <v>13199.999999999995</v>
      </c>
      <c r="AE208" s="52">
        <v>0</v>
      </c>
      <c r="AF208" s="52">
        <v>0</v>
      </c>
      <c r="AG208" s="52">
        <v>0</v>
      </c>
      <c r="AH208" s="52">
        <v>42000</v>
      </c>
      <c r="AI208" s="52">
        <v>147000</v>
      </c>
      <c r="AJ208" s="52">
        <v>13692.893331600015</v>
      </c>
      <c r="AK208" s="52">
        <v>13500</v>
      </c>
      <c r="AL208" s="52">
        <v>63000</v>
      </c>
      <c r="AM208" s="52">
        <v>6300.0000000000009</v>
      </c>
      <c r="AN208" s="52">
        <v>55000</v>
      </c>
      <c r="AO208" s="52">
        <v>132000</v>
      </c>
      <c r="AP208" s="52">
        <v>43785.864846666605</v>
      </c>
      <c r="AQ208" s="52">
        <v>13500</v>
      </c>
      <c r="AR208" s="52">
        <v>63000</v>
      </c>
      <c r="AS208" s="52">
        <v>17912.399255454522</v>
      </c>
      <c r="AT208" s="52">
        <v>43693.023466399864</v>
      </c>
      <c r="AU208" s="52">
        <v>143000</v>
      </c>
      <c r="AV208" s="52">
        <v>15400</v>
      </c>
      <c r="AW208" s="52">
        <v>0</v>
      </c>
      <c r="AX208" s="52">
        <v>0</v>
      </c>
      <c r="AY208" s="52">
        <v>0</v>
      </c>
      <c r="AZ208" s="52">
        <v>50000</v>
      </c>
      <c r="BA208" s="52">
        <v>120000</v>
      </c>
      <c r="BB208" s="52">
        <v>55198.7472934545</v>
      </c>
      <c r="BC208" s="52">
        <v>15000</v>
      </c>
      <c r="BD208" s="52">
        <v>65000</v>
      </c>
      <c r="BE208" s="52">
        <v>31542.141310545427</v>
      </c>
      <c r="BF208" s="52">
        <v>33000</v>
      </c>
      <c r="BG208" s="52">
        <v>154000</v>
      </c>
      <c r="BH208" s="52">
        <v>19240.962357090284</v>
      </c>
      <c r="BI208" s="52">
        <v>13500</v>
      </c>
      <c r="BJ208" s="52">
        <v>47487.497147999915</v>
      </c>
      <c r="BK208" s="52">
        <v>8995.7746085097406</v>
      </c>
      <c r="BL208" s="52">
        <v>21000</v>
      </c>
      <c r="BM208" s="52">
        <v>157500</v>
      </c>
      <c r="BN208" s="52">
        <v>14700.000000000002</v>
      </c>
      <c r="BO208" s="52">
        <v>13500</v>
      </c>
      <c r="BP208" s="52">
        <v>57496.405392296612</v>
      </c>
      <c r="BQ208" s="52">
        <v>7200</v>
      </c>
      <c r="BR208" s="52">
        <v>34000</v>
      </c>
      <c r="BS208" s="52">
        <v>119000</v>
      </c>
      <c r="BT208" s="52">
        <v>20670.201406800024</v>
      </c>
      <c r="BU208" s="52">
        <v>28000</v>
      </c>
      <c r="BV208" s="52">
        <v>84064.251367399847</v>
      </c>
      <c r="BW208" s="52">
        <v>9800</v>
      </c>
    </row>
    <row r="209" spans="1:75" x14ac:dyDescent="0.3">
      <c r="A209" s="8" t="s">
        <v>104</v>
      </c>
      <c r="B209" s="8" t="s">
        <v>10</v>
      </c>
      <c r="C209" s="8" t="s">
        <v>64</v>
      </c>
      <c r="D209" s="52">
        <v>44000</v>
      </c>
      <c r="E209" s="52">
        <v>154000</v>
      </c>
      <c r="F209" s="52">
        <v>13200.000000000002</v>
      </c>
      <c r="G209" s="52">
        <v>0</v>
      </c>
      <c r="H209" s="52">
        <v>0</v>
      </c>
      <c r="I209" s="52">
        <v>0</v>
      </c>
      <c r="J209" s="52">
        <v>30000</v>
      </c>
      <c r="K209" s="52">
        <v>150000</v>
      </c>
      <c r="L209" s="52">
        <v>12000</v>
      </c>
      <c r="M209" s="52">
        <v>0</v>
      </c>
      <c r="N209" s="52">
        <v>0</v>
      </c>
      <c r="O209" s="52">
        <v>0</v>
      </c>
      <c r="P209" s="52">
        <v>42000</v>
      </c>
      <c r="Q209" s="52">
        <v>147000</v>
      </c>
      <c r="R209" s="52">
        <v>12600.000000000002</v>
      </c>
      <c r="S209" s="52">
        <v>0</v>
      </c>
      <c r="T209" s="52">
        <v>0</v>
      </c>
      <c r="U209" s="52">
        <v>0</v>
      </c>
      <c r="V209" s="52">
        <v>0</v>
      </c>
      <c r="W209" s="52">
        <v>0</v>
      </c>
      <c r="X209" s="52">
        <v>0</v>
      </c>
      <c r="Y209" s="52">
        <v>0</v>
      </c>
      <c r="Z209" s="52">
        <v>0</v>
      </c>
      <c r="AA209" s="52">
        <v>0</v>
      </c>
      <c r="AB209" s="52">
        <v>0</v>
      </c>
      <c r="AC209" s="52">
        <v>0</v>
      </c>
      <c r="AD209" s="52">
        <v>0</v>
      </c>
      <c r="AE209" s="52">
        <v>0</v>
      </c>
      <c r="AF209" s="52">
        <v>0</v>
      </c>
      <c r="AG209" s="52">
        <v>0</v>
      </c>
      <c r="AH209" s="52">
        <v>42000</v>
      </c>
      <c r="AI209" s="52">
        <v>147000</v>
      </c>
      <c r="AJ209" s="52">
        <v>12599.999999999991</v>
      </c>
      <c r="AK209" s="52">
        <v>0</v>
      </c>
      <c r="AL209" s="52">
        <v>0</v>
      </c>
      <c r="AM209" s="52">
        <v>0</v>
      </c>
      <c r="AN209" s="52">
        <v>55000</v>
      </c>
      <c r="AO209" s="52">
        <v>132000</v>
      </c>
      <c r="AP209" s="52">
        <v>15399.999999999913</v>
      </c>
      <c r="AQ209" s="52">
        <v>0</v>
      </c>
      <c r="AR209" s="52">
        <v>0</v>
      </c>
      <c r="AS209" s="52">
        <v>0</v>
      </c>
      <c r="AT209" s="52">
        <v>0</v>
      </c>
      <c r="AU209" s="52">
        <v>0</v>
      </c>
      <c r="AV209" s="52">
        <v>0</v>
      </c>
      <c r="AW209" s="52">
        <v>0</v>
      </c>
      <c r="AX209" s="52">
        <v>0</v>
      </c>
      <c r="AY209" s="52">
        <v>0</v>
      </c>
      <c r="AZ209" s="52">
        <v>46275.362289999728</v>
      </c>
      <c r="BA209" s="52">
        <v>120000</v>
      </c>
      <c r="BB209" s="52">
        <v>14000</v>
      </c>
      <c r="BC209" s="52">
        <v>0</v>
      </c>
      <c r="BD209" s="52">
        <v>0</v>
      </c>
      <c r="BE209" s="52">
        <v>0</v>
      </c>
      <c r="BF209" s="52">
        <v>32861.096311858033</v>
      </c>
      <c r="BG209" s="52">
        <v>135699.77562679996</v>
      </c>
      <c r="BH209" s="52">
        <v>15400</v>
      </c>
      <c r="BI209" s="52">
        <v>0</v>
      </c>
      <c r="BJ209" s="52">
        <v>0</v>
      </c>
      <c r="BK209" s="52">
        <v>0</v>
      </c>
      <c r="BL209" s="52">
        <v>21000</v>
      </c>
      <c r="BM209" s="52">
        <v>133326.62936094188</v>
      </c>
      <c r="BN209" s="52">
        <v>14700.000000000002</v>
      </c>
      <c r="BO209" s="52">
        <v>0</v>
      </c>
      <c r="BP209" s="52">
        <v>0</v>
      </c>
      <c r="BQ209" s="52">
        <v>0</v>
      </c>
      <c r="BR209" s="52">
        <v>34000</v>
      </c>
      <c r="BS209" s="52">
        <v>119000</v>
      </c>
      <c r="BT209" s="52">
        <v>10200.000000000002</v>
      </c>
      <c r="BU209" s="52">
        <v>0</v>
      </c>
      <c r="BV209" s="52">
        <v>0</v>
      </c>
      <c r="BW209" s="52">
        <v>0</v>
      </c>
    </row>
    <row r="210" spans="1:75" x14ac:dyDescent="0.3">
      <c r="A210" s="8" t="s">
        <v>104</v>
      </c>
      <c r="B210" s="8" t="s">
        <v>10</v>
      </c>
      <c r="C210" s="8" t="s">
        <v>65</v>
      </c>
      <c r="D210" s="52">
        <v>58739.999999999993</v>
      </c>
      <c r="E210" s="52">
        <v>205590</v>
      </c>
      <c r="F210" s="52">
        <v>88110</v>
      </c>
      <c r="G210" s="52">
        <v>24030</v>
      </c>
      <c r="H210" s="52">
        <v>84105</v>
      </c>
      <c r="I210" s="52">
        <v>36045</v>
      </c>
      <c r="J210" s="52">
        <v>40050</v>
      </c>
      <c r="K210" s="52">
        <v>200250</v>
      </c>
      <c r="L210" s="52">
        <v>80100</v>
      </c>
      <c r="M210" s="52">
        <v>16020</v>
      </c>
      <c r="N210" s="52">
        <v>69420</v>
      </c>
      <c r="O210" s="52">
        <v>42720</v>
      </c>
      <c r="P210" s="52">
        <v>56070</v>
      </c>
      <c r="Q210" s="52">
        <v>196245</v>
      </c>
      <c r="R210" s="52">
        <v>84105</v>
      </c>
      <c r="S210" s="52">
        <v>20025</v>
      </c>
      <c r="T210" s="52">
        <v>86774.999999999985</v>
      </c>
      <c r="U210" s="52">
        <v>53400</v>
      </c>
      <c r="V210" s="52">
        <v>50730</v>
      </c>
      <c r="W210" s="52">
        <v>177555</v>
      </c>
      <c r="X210" s="52">
        <v>76095</v>
      </c>
      <c r="Y210" s="52">
        <v>22027.5</v>
      </c>
      <c r="Z210" s="52">
        <v>102795</v>
      </c>
      <c r="AA210" s="52">
        <v>51397.5</v>
      </c>
      <c r="AB210" s="52">
        <v>58739.999999999993</v>
      </c>
      <c r="AC210" s="52">
        <v>205590</v>
      </c>
      <c r="AD210" s="52">
        <v>88110</v>
      </c>
      <c r="AE210" s="52">
        <v>18022.5</v>
      </c>
      <c r="AF210" s="52">
        <v>78097.5</v>
      </c>
      <c r="AG210" s="52">
        <v>48060</v>
      </c>
      <c r="AH210" s="52">
        <v>56070</v>
      </c>
      <c r="AI210" s="52">
        <v>196245</v>
      </c>
      <c r="AJ210" s="52">
        <v>84105</v>
      </c>
      <c r="AK210" s="52">
        <v>18022.5</v>
      </c>
      <c r="AL210" s="52">
        <v>84105</v>
      </c>
      <c r="AM210" s="52">
        <v>42052.5</v>
      </c>
      <c r="AN210" s="52">
        <v>73425</v>
      </c>
      <c r="AO210" s="52">
        <v>176220</v>
      </c>
      <c r="AP210" s="52">
        <v>102795</v>
      </c>
      <c r="AQ210" s="52">
        <v>18022.5</v>
      </c>
      <c r="AR210" s="52">
        <v>84105</v>
      </c>
      <c r="AS210" s="52">
        <v>42052.5</v>
      </c>
      <c r="AT210" s="52">
        <v>58739.999999999993</v>
      </c>
      <c r="AU210" s="52">
        <v>190905</v>
      </c>
      <c r="AV210" s="52">
        <v>102795</v>
      </c>
      <c r="AW210" s="52">
        <v>18022.5</v>
      </c>
      <c r="AX210" s="52">
        <v>84105</v>
      </c>
      <c r="AY210" s="52">
        <v>42052.5</v>
      </c>
      <c r="AZ210" s="52">
        <v>66750</v>
      </c>
      <c r="BA210" s="52">
        <v>160200</v>
      </c>
      <c r="BB210" s="52">
        <v>93450</v>
      </c>
      <c r="BC210" s="52">
        <v>20025</v>
      </c>
      <c r="BD210" s="52">
        <v>86774.999999999985</v>
      </c>
      <c r="BE210" s="52">
        <v>53400</v>
      </c>
      <c r="BF210" s="52">
        <v>44055</v>
      </c>
      <c r="BG210" s="52">
        <v>205590</v>
      </c>
      <c r="BH210" s="52">
        <v>102795</v>
      </c>
      <c r="BI210" s="52">
        <v>18022.5</v>
      </c>
      <c r="BJ210" s="52">
        <v>78097.5</v>
      </c>
      <c r="BK210" s="52">
        <v>48060</v>
      </c>
      <c r="BL210" s="52">
        <v>28035</v>
      </c>
      <c r="BM210" s="52">
        <v>210262.5</v>
      </c>
      <c r="BN210" s="52">
        <v>98122.5</v>
      </c>
      <c r="BO210" s="52">
        <v>18022.5</v>
      </c>
      <c r="BP210" s="52">
        <v>78097.5</v>
      </c>
      <c r="BQ210" s="52">
        <v>48060</v>
      </c>
      <c r="BR210" s="52">
        <v>45390</v>
      </c>
      <c r="BS210" s="52">
        <v>158865</v>
      </c>
      <c r="BT210" s="52">
        <v>68085</v>
      </c>
      <c r="BU210" s="52">
        <v>37379.999999999993</v>
      </c>
      <c r="BV210" s="52">
        <v>121485</v>
      </c>
      <c r="BW210" s="52">
        <v>65414.999999999993</v>
      </c>
    </row>
    <row r="211" spans="1:75" x14ac:dyDescent="0.3">
      <c r="A211" s="8" t="s">
        <v>104</v>
      </c>
      <c r="B211" s="8" t="s">
        <v>10</v>
      </c>
      <c r="C211" s="8" t="s">
        <v>66</v>
      </c>
      <c r="D211" s="52">
        <v>0</v>
      </c>
      <c r="E211" s="52">
        <v>0</v>
      </c>
      <c r="F211" s="52">
        <v>0</v>
      </c>
      <c r="G211" s="52">
        <v>0</v>
      </c>
      <c r="H211" s="52">
        <v>0</v>
      </c>
      <c r="I211" s="52">
        <v>0</v>
      </c>
      <c r="J211" s="52">
        <v>0</v>
      </c>
      <c r="K211" s="52">
        <v>0</v>
      </c>
      <c r="L211" s="52">
        <v>0</v>
      </c>
      <c r="M211" s="52">
        <v>0</v>
      </c>
      <c r="N211" s="52">
        <v>0</v>
      </c>
      <c r="O211" s="52">
        <v>0</v>
      </c>
      <c r="P211" s="52">
        <v>0</v>
      </c>
      <c r="Q211" s="52">
        <v>0</v>
      </c>
      <c r="R211" s="52">
        <v>0</v>
      </c>
      <c r="S211" s="52">
        <v>0</v>
      </c>
      <c r="T211" s="52">
        <v>0</v>
      </c>
      <c r="U211" s="52">
        <v>0</v>
      </c>
      <c r="V211" s="52">
        <v>0</v>
      </c>
      <c r="W211" s="52">
        <v>0</v>
      </c>
      <c r="X211" s="52">
        <v>0</v>
      </c>
      <c r="Y211" s="52">
        <v>0</v>
      </c>
      <c r="Z211" s="52">
        <v>0</v>
      </c>
      <c r="AA211" s="52">
        <v>0</v>
      </c>
      <c r="AB211" s="52">
        <v>0</v>
      </c>
      <c r="AC211" s="52">
        <v>0</v>
      </c>
      <c r="AD211" s="52">
        <v>0</v>
      </c>
      <c r="AE211" s="52">
        <v>0</v>
      </c>
      <c r="AF211" s="52">
        <v>0</v>
      </c>
      <c r="AG211" s="52">
        <v>0</v>
      </c>
      <c r="AH211" s="52">
        <v>0</v>
      </c>
      <c r="AI211" s="52">
        <v>0</v>
      </c>
      <c r="AJ211" s="52">
        <v>0</v>
      </c>
      <c r="AK211" s="52">
        <v>0</v>
      </c>
      <c r="AL211" s="52">
        <v>0</v>
      </c>
      <c r="AM211" s="52">
        <v>0</v>
      </c>
      <c r="AN211" s="52">
        <v>0</v>
      </c>
      <c r="AO211" s="52">
        <v>0</v>
      </c>
      <c r="AP211" s="52">
        <v>0</v>
      </c>
      <c r="AQ211" s="52">
        <v>0</v>
      </c>
      <c r="AR211" s="52">
        <v>0</v>
      </c>
      <c r="AS211" s="52">
        <v>0</v>
      </c>
      <c r="AT211" s="52">
        <v>0</v>
      </c>
      <c r="AU211" s="52">
        <v>0</v>
      </c>
      <c r="AV211" s="52">
        <v>0</v>
      </c>
      <c r="AW211" s="52">
        <v>0</v>
      </c>
      <c r="AX211" s="52">
        <v>0</v>
      </c>
      <c r="AY211" s="52">
        <v>0</v>
      </c>
      <c r="AZ211" s="52">
        <v>0</v>
      </c>
      <c r="BA211" s="52">
        <v>0</v>
      </c>
      <c r="BB211" s="52">
        <v>0</v>
      </c>
      <c r="BC211" s="52">
        <v>0</v>
      </c>
      <c r="BD211" s="52">
        <v>0</v>
      </c>
      <c r="BE211" s="52">
        <v>0</v>
      </c>
      <c r="BF211" s="52">
        <v>0</v>
      </c>
      <c r="BG211" s="52">
        <v>0</v>
      </c>
      <c r="BH211" s="52">
        <v>0</v>
      </c>
      <c r="BI211" s="52">
        <v>0</v>
      </c>
      <c r="BJ211" s="52">
        <v>0</v>
      </c>
      <c r="BK211" s="52">
        <v>0</v>
      </c>
      <c r="BL211" s="52">
        <v>0</v>
      </c>
      <c r="BM211" s="52">
        <v>0</v>
      </c>
      <c r="BN211" s="52">
        <v>0</v>
      </c>
      <c r="BO211" s="52">
        <v>0</v>
      </c>
      <c r="BP211" s="52">
        <v>0</v>
      </c>
      <c r="BQ211" s="52">
        <v>0</v>
      </c>
      <c r="BR211" s="52">
        <v>0</v>
      </c>
      <c r="BS211" s="52">
        <v>0</v>
      </c>
      <c r="BT211" s="52">
        <v>0</v>
      </c>
      <c r="BU211" s="52">
        <v>0</v>
      </c>
      <c r="BV211" s="52">
        <v>0</v>
      </c>
      <c r="BW211" s="52">
        <v>0</v>
      </c>
    </row>
    <row r="212" spans="1:75" x14ac:dyDescent="0.3">
      <c r="A212" s="8" t="s">
        <v>104</v>
      </c>
      <c r="B212" s="8" t="s">
        <v>10</v>
      </c>
      <c r="C212" s="8" t="s">
        <v>67</v>
      </c>
      <c r="D212" s="52">
        <v>0</v>
      </c>
      <c r="E212" s="52">
        <v>0</v>
      </c>
      <c r="F212" s="52">
        <v>0</v>
      </c>
      <c r="G212" s="52">
        <v>0</v>
      </c>
      <c r="H212" s="52">
        <v>0</v>
      </c>
      <c r="I212" s="52">
        <v>0</v>
      </c>
      <c r="J212" s="52">
        <v>0</v>
      </c>
      <c r="K212" s="52">
        <v>0</v>
      </c>
      <c r="L212" s="52">
        <v>0</v>
      </c>
      <c r="M212" s="52">
        <v>0</v>
      </c>
      <c r="N212" s="52">
        <v>0</v>
      </c>
      <c r="O212" s="52">
        <v>0</v>
      </c>
      <c r="P212" s="52">
        <v>0</v>
      </c>
      <c r="Q212" s="52">
        <v>0</v>
      </c>
      <c r="R212" s="52">
        <v>0</v>
      </c>
      <c r="S212" s="52">
        <v>0</v>
      </c>
      <c r="T212" s="52">
        <v>0</v>
      </c>
      <c r="U212" s="52">
        <v>0</v>
      </c>
      <c r="V212" s="52">
        <v>0</v>
      </c>
      <c r="W212" s="52">
        <v>0</v>
      </c>
      <c r="X212" s="52">
        <v>0</v>
      </c>
      <c r="Y212" s="52">
        <v>0</v>
      </c>
      <c r="Z212" s="52">
        <v>0</v>
      </c>
      <c r="AA212" s="52">
        <v>0</v>
      </c>
      <c r="AB212" s="52">
        <v>0</v>
      </c>
      <c r="AC212" s="52">
        <v>0</v>
      </c>
      <c r="AD212" s="52">
        <v>0</v>
      </c>
      <c r="AE212" s="52">
        <v>0</v>
      </c>
      <c r="AF212" s="52">
        <v>0</v>
      </c>
      <c r="AG212" s="52">
        <v>0</v>
      </c>
      <c r="AH212" s="52">
        <v>0</v>
      </c>
      <c r="AI212" s="52">
        <v>0</v>
      </c>
      <c r="AJ212" s="52">
        <v>0</v>
      </c>
      <c r="AK212" s="52">
        <v>0</v>
      </c>
      <c r="AL212" s="52">
        <v>0</v>
      </c>
      <c r="AM212" s="52">
        <v>0</v>
      </c>
      <c r="AN212" s="52">
        <v>0</v>
      </c>
      <c r="AO212" s="52">
        <v>0</v>
      </c>
      <c r="AP212" s="52">
        <v>0</v>
      </c>
      <c r="AQ212" s="52">
        <v>0</v>
      </c>
      <c r="AR212" s="52">
        <v>0</v>
      </c>
      <c r="AS212" s="52">
        <v>0</v>
      </c>
      <c r="AT212" s="52">
        <v>0</v>
      </c>
      <c r="AU212" s="52">
        <v>0</v>
      </c>
      <c r="AV212" s="52">
        <v>0</v>
      </c>
      <c r="AW212" s="52">
        <v>0</v>
      </c>
      <c r="AX212" s="52">
        <v>0</v>
      </c>
      <c r="AY212" s="52">
        <v>0</v>
      </c>
      <c r="AZ212" s="52">
        <v>0</v>
      </c>
      <c r="BA212" s="52">
        <v>0</v>
      </c>
      <c r="BB212" s="52">
        <v>0</v>
      </c>
      <c r="BC212" s="52">
        <v>0</v>
      </c>
      <c r="BD212" s="52">
        <v>0</v>
      </c>
      <c r="BE212" s="52">
        <v>0</v>
      </c>
      <c r="BF212" s="52">
        <v>0</v>
      </c>
      <c r="BG212" s="52">
        <v>0</v>
      </c>
      <c r="BH212" s="52">
        <v>0</v>
      </c>
      <c r="BI212" s="52">
        <v>0</v>
      </c>
      <c r="BJ212" s="52">
        <v>0</v>
      </c>
      <c r="BK212" s="52">
        <v>0</v>
      </c>
      <c r="BL212" s="52">
        <v>0</v>
      </c>
      <c r="BM212" s="52">
        <v>0</v>
      </c>
      <c r="BN212" s="52">
        <v>0</v>
      </c>
      <c r="BO212" s="52">
        <v>0</v>
      </c>
      <c r="BP212" s="52">
        <v>0</v>
      </c>
      <c r="BQ212" s="52">
        <v>0</v>
      </c>
      <c r="BR212" s="52">
        <v>0</v>
      </c>
      <c r="BS212" s="52">
        <v>0</v>
      </c>
      <c r="BT212" s="52">
        <v>0</v>
      </c>
      <c r="BU212" s="52">
        <v>0</v>
      </c>
      <c r="BV212" s="52">
        <v>0</v>
      </c>
      <c r="BW212" s="52">
        <v>0</v>
      </c>
    </row>
    <row r="213" spans="1:75" x14ac:dyDescent="0.3">
      <c r="A213" s="8" t="s">
        <v>104</v>
      </c>
      <c r="B213" s="8" t="s">
        <v>10</v>
      </c>
      <c r="C213" s="8" t="s">
        <v>68</v>
      </c>
      <c r="D213" s="52">
        <v>0</v>
      </c>
      <c r="E213" s="52">
        <v>0</v>
      </c>
      <c r="F213" s="52">
        <v>0</v>
      </c>
      <c r="G213" s="52">
        <v>0</v>
      </c>
      <c r="H213" s="52">
        <v>0</v>
      </c>
      <c r="I213" s="52">
        <v>0</v>
      </c>
      <c r="J213" s="52">
        <v>0</v>
      </c>
      <c r="K213" s="52">
        <v>0</v>
      </c>
      <c r="L213" s="52">
        <v>0</v>
      </c>
      <c r="M213" s="52">
        <v>0</v>
      </c>
      <c r="N213" s="52">
        <v>0</v>
      </c>
      <c r="O213" s="52">
        <v>0</v>
      </c>
      <c r="P213" s="52">
        <v>0</v>
      </c>
      <c r="Q213" s="52">
        <v>0</v>
      </c>
      <c r="R213" s="52">
        <v>0</v>
      </c>
      <c r="S213" s="52">
        <v>0</v>
      </c>
      <c r="T213" s="52">
        <v>0</v>
      </c>
      <c r="U213" s="52">
        <v>0</v>
      </c>
      <c r="V213" s="52">
        <v>0</v>
      </c>
      <c r="W213" s="52">
        <v>0</v>
      </c>
      <c r="X213" s="52">
        <v>0</v>
      </c>
      <c r="Y213" s="52">
        <v>0</v>
      </c>
      <c r="Z213" s="52">
        <v>0</v>
      </c>
      <c r="AA213" s="52">
        <v>0</v>
      </c>
      <c r="AB213" s="52">
        <v>0</v>
      </c>
      <c r="AC213" s="52">
        <v>0</v>
      </c>
      <c r="AD213" s="52">
        <v>0</v>
      </c>
      <c r="AE213" s="52">
        <v>0</v>
      </c>
      <c r="AF213" s="52">
        <v>0</v>
      </c>
      <c r="AG213" s="52">
        <v>0</v>
      </c>
      <c r="AH213" s="52">
        <v>0</v>
      </c>
      <c r="AI213" s="52">
        <v>0</v>
      </c>
      <c r="AJ213" s="52">
        <v>0</v>
      </c>
      <c r="AK213" s="52">
        <v>0</v>
      </c>
      <c r="AL213" s="52">
        <v>0</v>
      </c>
      <c r="AM213" s="52">
        <v>0</v>
      </c>
      <c r="AN213" s="52">
        <v>0</v>
      </c>
      <c r="AO213" s="52">
        <v>0</v>
      </c>
      <c r="AP213" s="52">
        <v>0</v>
      </c>
      <c r="AQ213" s="52">
        <v>0</v>
      </c>
      <c r="AR213" s="52">
        <v>0</v>
      </c>
      <c r="AS213" s="52">
        <v>0</v>
      </c>
      <c r="AT213" s="52">
        <v>0</v>
      </c>
      <c r="AU213" s="52">
        <v>0</v>
      </c>
      <c r="AV213" s="52">
        <v>0</v>
      </c>
      <c r="AW213" s="52">
        <v>0</v>
      </c>
      <c r="AX213" s="52">
        <v>0</v>
      </c>
      <c r="AY213" s="52">
        <v>0</v>
      </c>
      <c r="AZ213" s="52">
        <v>0</v>
      </c>
      <c r="BA213" s="52">
        <v>0</v>
      </c>
      <c r="BB213" s="52">
        <v>0</v>
      </c>
      <c r="BC213" s="52">
        <v>0</v>
      </c>
      <c r="BD213" s="52">
        <v>0</v>
      </c>
      <c r="BE213" s="52">
        <v>0</v>
      </c>
      <c r="BF213" s="52">
        <v>0</v>
      </c>
      <c r="BG213" s="52">
        <v>0</v>
      </c>
      <c r="BH213" s="52">
        <v>0</v>
      </c>
      <c r="BI213" s="52">
        <v>0</v>
      </c>
      <c r="BJ213" s="52">
        <v>0</v>
      </c>
      <c r="BK213" s="52">
        <v>0</v>
      </c>
      <c r="BL213" s="52">
        <v>0</v>
      </c>
      <c r="BM213" s="52">
        <v>0</v>
      </c>
      <c r="BN213" s="52">
        <v>0</v>
      </c>
      <c r="BO213" s="52">
        <v>0</v>
      </c>
      <c r="BP213" s="52">
        <v>0</v>
      </c>
      <c r="BQ213" s="52">
        <v>0</v>
      </c>
      <c r="BR213" s="52">
        <v>0</v>
      </c>
      <c r="BS213" s="52">
        <v>0</v>
      </c>
      <c r="BT213" s="52">
        <v>0</v>
      </c>
      <c r="BU213" s="52">
        <v>0</v>
      </c>
      <c r="BV213" s="52">
        <v>0</v>
      </c>
      <c r="BW213" s="52">
        <v>0</v>
      </c>
    </row>
    <row r="214" spans="1:75" x14ac:dyDescent="0.3">
      <c r="A214" s="8" t="s">
        <v>104</v>
      </c>
      <c r="B214" s="8" t="s">
        <v>10</v>
      </c>
      <c r="C214" s="8" t="s">
        <v>69</v>
      </c>
      <c r="D214" s="52">
        <v>0</v>
      </c>
      <c r="E214" s="52">
        <v>0</v>
      </c>
      <c r="F214" s="52">
        <v>0</v>
      </c>
      <c r="G214" s="52">
        <v>0</v>
      </c>
      <c r="H214" s="52">
        <v>0</v>
      </c>
      <c r="I214" s="52">
        <v>0</v>
      </c>
      <c r="J214" s="52">
        <v>0</v>
      </c>
      <c r="K214" s="52">
        <v>0</v>
      </c>
      <c r="L214" s="52">
        <v>0</v>
      </c>
      <c r="M214" s="52">
        <v>0</v>
      </c>
      <c r="N214" s="52">
        <v>0</v>
      </c>
      <c r="O214" s="52">
        <v>0</v>
      </c>
      <c r="P214" s="52">
        <v>0</v>
      </c>
      <c r="Q214" s="52">
        <v>0</v>
      </c>
      <c r="R214" s="52">
        <v>0</v>
      </c>
      <c r="S214" s="52">
        <v>0</v>
      </c>
      <c r="T214" s="52">
        <v>0</v>
      </c>
      <c r="U214" s="52">
        <v>0</v>
      </c>
      <c r="V214" s="52">
        <v>0</v>
      </c>
      <c r="W214" s="52">
        <v>0</v>
      </c>
      <c r="X214" s="52">
        <v>0</v>
      </c>
      <c r="Y214" s="52">
        <v>0</v>
      </c>
      <c r="Z214" s="52">
        <v>0</v>
      </c>
      <c r="AA214" s="52">
        <v>0</v>
      </c>
      <c r="AB214" s="52">
        <v>0</v>
      </c>
      <c r="AC214" s="52">
        <v>0</v>
      </c>
      <c r="AD214" s="52">
        <v>0</v>
      </c>
      <c r="AE214" s="52">
        <v>0</v>
      </c>
      <c r="AF214" s="52">
        <v>0</v>
      </c>
      <c r="AG214" s="52">
        <v>0</v>
      </c>
      <c r="AH214" s="52">
        <v>0</v>
      </c>
      <c r="AI214" s="52">
        <v>0</v>
      </c>
      <c r="AJ214" s="52">
        <v>0</v>
      </c>
      <c r="AK214" s="52">
        <v>0</v>
      </c>
      <c r="AL214" s="52">
        <v>0</v>
      </c>
      <c r="AM214" s="52">
        <v>0</v>
      </c>
      <c r="AN214" s="52">
        <v>0</v>
      </c>
      <c r="AO214" s="52">
        <v>0</v>
      </c>
      <c r="AP214" s="52">
        <v>0</v>
      </c>
      <c r="AQ214" s="52">
        <v>0</v>
      </c>
      <c r="AR214" s="52">
        <v>0</v>
      </c>
      <c r="AS214" s="52">
        <v>0</v>
      </c>
      <c r="AT214" s="52">
        <v>0</v>
      </c>
      <c r="AU214" s="52">
        <v>0</v>
      </c>
      <c r="AV214" s="52">
        <v>0</v>
      </c>
      <c r="AW214" s="52">
        <v>0</v>
      </c>
      <c r="AX214" s="52">
        <v>0</v>
      </c>
      <c r="AY214" s="52">
        <v>0</v>
      </c>
      <c r="AZ214" s="52">
        <v>0</v>
      </c>
      <c r="BA214" s="52">
        <v>0</v>
      </c>
      <c r="BB214" s="52">
        <v>0</v>
      </c>
      <c r="BC214" s="52">
        <v>0</v>
      </c>
      <c r="BD214" s="52">
        <v>0</v>
      </c>
      <c r="BE214" s="52">
        <v>0</v>
      </c>
      <c r="BF214" s="52">
        <v>0</v>
      </c>
      <c r="BG214" s="52">
        <v>0</v>
      </c>
      <c r="BH214" s="52">
        <v>0</v>
      </c>
      <c r="BI214" s="52">
        <v>0</v>
      </c>
      <c r="BJ214" s="52">
        <v>0</v>
      </c>
      <c r="BK214" s="52">
        <v>0</v>
      </c>
      <c r="BL214" s="52">
        <v>0</v>
      </c>
      <c r="BM214" s="52">
        <v>0</v>
      </c>
      <c r="BN214" s="52">
        <v>0</v>
      </c>
      <c r="BO214" s="52">
        <v>0</v>
      </c>
      <c r="BP214" s="52">
        <v>0</v>
      </c>
      <c r="BQ214" s="52">
        <v>0</v>
      </c>
      <c r="BR214" s="52">
        <v>0</v>
      </c>
      <c r="BS214" s="52">
        <v>0</v>
      </c>
      <c r="BT214" s="52">
        <v>0</v>
      </c>
      <c r="BU214" s="52">
        <v>0</v>
      </c>
      <c r="BV214" s="52">
        <v>0</v>
      </c>
      <c r="BW214" s="52">
        <v>0</v>
      </c>
    </row>
    <row r="215" spans="1:75" x14ac:dyDescent="0.3">
      <c r="A215" s="8" t="s">
        <v>104</v>
      </c>
      <c r="B215" s="8" t="s">
        <v>10</v>
      </c>
      <c r="C215" s="8" t="s">
        <v>27</v>
      </c>
      <c r="D215" s="52">
        <v>13200</v>
      </c>
      <c r="E215" s="52">
        <v>46199.999999999993</v>
      </c>
      <c r="F215" s="52">
        <v>19800</v>
      </c>
      <c r="G215" s="52">
        <v>5399.9999999999991</v>
      </c>
      <c r="H215" s="52">
        <v>18900</v>
      </c>
      <c r="I215" s="52">
        <v>3636.0000000000073</v>
      </c>
      <c r="J215" s="52">
        <v>9000</v>
      </c>
      <c r="K215" s="52">
        <v>45000</v>
      </c>
      <c r="L215" s="52">
        <v>18000</v>
      </c>
      <c r="M215" s="52">
        <v>3599.9999999999995</v>
      </c>
      <c r="N215" s="52">
        <v>15600</v>
      </c>
      <c r="O215" s="52">
        <v>9600</v>
      </c>
      <c r="P215" s="52">
        <v>12600</v>
      </c>
      <c r="Q215" s="52">
        <v>44100</v>
      </c>
      <c r="R215" s="52">
        <v>18900</v>
      </c>
      <c r="S215" s="52">
        <v>4500</v>
      </c>
      <c r="T215" s="52">
        <v>19500</v>
      </c>
      <c r="U215" s="52">
        <v>12000</v>
      </c>
      <c r="V215" s="52">
        <v>11400</v>
      </c>
      <c r="W215" s="52">
        <v>39900</v>
      </c>
      <c r="X215" s="52">
        <v>10207.367602200016</v>
      </c>
      <c r="Y215" s="52">
        <v>4950</v>
      </c>
      <c r="Z215" s="52">
        <v>23099.999999999996</v>
      </c>
      <c r="AA215" s="52">
        <v>5698.6323977999818</v>
      </c>
      <c r="AB215" s="52">
        <v>13200</v>
      </c>
      <c r="AC215" s="52">
        <v>46199.999999999993</v>
      </c>
      <c r="AD215" s="52">
        <v>3369.6000000000035</v>
      </c>
      <c r="AE215" s="52">
        <v>4050</v>
      </c>
      <c r="AF215" s="52">
        <v>17550</v>
      </c>
      <c r="AG215" s="52">
        <v>0</v>
      </c>
      <c r="AH215" s="52">
        <v>12600</v>
      </c>
      <c r="AI215" s="52">
        <v>37728.163438200019</v>
      </c>
      <c r="AJ215" s="52">
        <v>0</v>
      </c>
      <c r="AK215" s="52">
        <v>4050</v>
      </c>
      <c r="AL215" s="52">
        <v>53.836561799979307</v>
      </c>
      <c r="AM215" s="52">
        <v>0</v>
      </c>
      <c r="AN215" s="52">
        <v>16500</v>
      </c>
      <c r="AO215" s="52">
        <v>24902.474752319995</v>
      </c>
      <c r="AP215" s="52">
        <v>0</v>
      </c>
      <c r="AQ215" s="52">
        <v>2958.653206799997</v>
      </c>
      <c r="AR215" s="52">
        <v>11885.272040879998</v>
      </c>
      <c r="AS215" s="52">
        <v>0</v>
      </c>
      <c r="AT215" s="52">
        <v>13200</v>
      </c>
      <c r="AU215" s="52">
        <v>30640.204765628165</v>
      </c>
      <c r="AV215" s="52">
        <v>0</v>
      </c>
      <c r="AW215" s="52">
        <v>4050</v>
      </c>
      <c r="AX215" s="52">
        <v>8356.1952343718312</v>
      </c>
      <c r="AY215" s="52">
        <v>0</v>
      </c>
      <c r="AZ215" s="52">
        <v>15000</v>
      </c>
      <c r="BA215" s="52">
        <v>36000</v>
      </c>
      <c r="BB215" s="52">
        <v>4230.545454545455</v>
      </c>
      <c r="BC215" s="52">
        <v>4500</v>
      </c>
      <c r="BD215" s="52">
        <v>19500</v>
      </c>
      <c r="BE215" s="52">
        <v>2417.4545454545455</v>
      </c>
      <c r="BF215" s="52">
        <v>9900</v>
      </c>
      <c r="BG215" s="52">
        <v>46199.999999999993</v>
      </c>
      <c r="BH215" s="52">
        <v>19421.077243709758</v>
      </c>
      <c r="BI215" s="52">
        <v>4050</v>
      </c>
      <c r="BJ215" s="52">
        <v>17550</v>
      </c>
      <c r="BK215" s="52">
        <v>1310.1227562902391</v>
      </c>
      <c r="BL215" s="52">
        <v>6300</v>
      </c>
      <c r="BM215" s="52">
        <v>47250</v>
      </c>
      <c r="BN215" s="52">
        <v>22050</v>
      </c>
      <c r="BO215" s="52">
        <v>4050</v>
      </c>
      <c r="BP215" s="52">
        <v>17550</v>
      </c>
      <c r="BQ215" s="52">
        <v>10799.999999999998</v>
      </c>
      <c r="BR215" s="52">
        <v>10200</v>
      </c>
      <c r="BS215" s="52">
        <v>35699.999999999993</v>
      </c>
      <c r="BT215" s="52">
        <v>15299.999999999998</v>
      </c>
      <c r="BU215" s="52">
        <v>8400</v>
      </c>
      <c r="BV215" s="52">
        <v>27300</v>
      </c>
      <c r="BW215" s="52">
        <v>14700</v>
      </c>
    </row>
    <row r="216" spans="1:75" x14ac:dyDescent="0.3">
      <c r="A216" s="8" t="s">
        <v>104</v>
      </c>
      <c r="B216" s="8" t="s">
        <v>10</v>
      </c>
      <c r="C216" s="8" t="s">
        <v>144</v>
      </c>
      <c r="D216" s="52">
        <v>17600</v>
      </c>
      <c r="E216" s="52">
        <v>13488.842505599931</v>
      </c>
      <c r="F216" s="52">
        <v>0</v>
      </c>
      <c r="G216" s="52">
        <v>7200</v>
      </c>
      <c r="H216" s="52">
        <v>0</v>
      </c>
      <c r="I216" s="52">
        <v>0</v>
      </c>
      <c r="J216" s="52">
        <v>12000</v>
      </c>
      <c r="K216" s="52">
        <v>60000</v>
      </c>
      <c r="L216" s="52">
        <v>0</v>
      </c>
      <c r="M216" s="52">
        <v>4800.0000000000009</v>
      </c>
      <c r="N216" s="52">
        <v>6271.1571519999925</v>
      </c>
      <c r="O216" s="52">
        <v>0</v>
      </c>
      <c r="P216" s="52">
        <v>16800</v>
      </c>
      <c r="Q216" s="52">
        <v>0</v>
      </c>
      <c r="R216" s="52">
        <v>0</v>
      </c>
      <c r="S216" s="52">
        <v>6000</v>
      </c>
      <c r="T216" s="52">
        <v>0</v>
      </c>
      <c r="U216" s="52">
        <v>0</v>
      </c>
      <c r="V216" s="52">
        <v>15200.000000000002</v>
      </c>
      <c r="W216" s="52">
        <v>25110.963613340042</v>
      </c>
      <c r="X216" s="52">
        <v>0</v>
      </c>
      <c r="Y216" s="52">
        <v>6600.0000000000009</v>
      </c>
      <c r="Z216" s="52">
        <v>6062.8863290600284</v>
      </c>
      <c r="AA216" s="52">
        <v>0</v>
      </c>
      <c r="AB216" s="52">
        <v>15955.697366706323</v>
      </c>
      <c r="AC216" s="52">
        <v>21024.167102399886</v>
      </c>
      <c r="AD216" s="52">
        <v>0</v>
      </c>
      <c r="AE216" s="52">
        <v>3927.3615508939738</v>
      </c>
      <c r="AF216" s="52">
        <v>0</v>
      </c>
      <c r="AG216" s="52">
        <v>0</v>
      </c>
      <c r="AH216" s="52">
        <v>9124.5002519999998</v>
      </c>
      <c r="AI216" s="52">
        <v>0</v>
      </c>
      <c r="AJ216" s="52">
        <v>0</v>
      </c>
      <c r="AK216" s="52">
        <v>0</v>
      </c>
      <c r="AL216" s="52">
        <v>0</v>
      </c>
      <c r="AM216" s="52">
        <v>0</v>
      </c>
      <c r="AN216" s="52">
        <v>22000</v>
      </c>
      <c r="AO216" s="52">
        <v>5891.8652020800146</v>
      </c>
      <c r="AP216" s="52">
        <v>0</v>
      </c>
      <c r="AQ216" s="52">
        <v>5400</v>
      </c>
      <c r="AR216" s="52">
        <v>2812.026573720007</v>
      </c>
      <c r="AS216" s="52">
        <v>0</v>
      </c>
      <c r="AT216" s="52">
        <v>17600</v>
      </c>
      <c r="AU216" s="52">
        <v>46427.140589371797</v>
      </c>
      <c r="AV216" s="52">
        <v>0</v>
      </c>
      <c r="AW216" s="52">
        <v>5400</v>
      </c>
      <c r="AX216" s="52">
        <v>20453.915084828132</v>
      </c>
      <c r="AY216" s="52">
        <v>0</v>
      </c>
      <c r="AZ216" s="52">
        <v>20000</v>
      </c>
      <c r="BA216" s="52">
        <v>2029.8550559998807</v>
      </c>
      <c r="BB216" s="52">
        <v>0</v>
      </c>
      <c r="BC216" s="52">
        <v>6000</v>
      </c>
      <c r="BD216" s="52">
        <v>1099.5048219999353</v>
      </c>
      <c r="BE216" s="52">
        <v>0</v>
      </c>
      <c r="BF216" s="52">
        <v>13200.000000000002</v>
      </c>
      <c r="BG216" s="52">
        <v>0</v>
      </c>
      <c r="BH216" s="52">
        <v>0</v>
      </c>
      <c r="BI216" s="52">
        <v>900.48384894192361</v>
      </c>
      <c r="BJ216" s="52">
        <v>0</v>
      </c>
      <c r="BK216" s="52">
        <v>0</v>
      </c>
      <c r="BL216" s="52">
        <v>8400</v>
      </c>
      <c r="BM216" s="52">
        <v>55383.97535105807</v>
      </c>
      <c r="BN216" s="52">
        <v>0</v>
      </c>
      <c r="BO216" s="52">
        <v>5400</v>
      </c>
      <c r="BP216" s="52">
        <v>0</v>
      </c>
      <c r="BQ216" s="52">
        <v>0</v>
      </c>
      <c r="BR216" s="52">
        <v>13600.000000000002</v>
      </c>
      <c r="BS216" s="52">
        <v>47600</v>
      </c>
      <c r="BT216" s="52">
        <v>0</v>
      </c>
      <c r="BU216" s="52">
        <v>11200.000000000002</v>
      </c>
      <c r="BV216" s="52">
        <v>8014.5391999999929</v>
      </c>
      <c r="BW216" s="52">
        <v>0</v>
      </c>
    </row>
    <row r="217" spans="1:75" x14ac:dyDescent="0.3">
      <c r="A217" s="8" t="s">
        <v>104</v>
      </c>
      <c r="B217" s="8" t="s">
        <v>10</v>
      </c>
      <c r="C217" s="8" t="s">
        <v>145</v>
      </c>
      <c r="D217" s="52">
        <v>17600</v>
      </c>
      <c r="E217" s="52">
        <v>0</v>
      </c>
      <c r="F217" s="52">
        <v>0</v>
      </c>
      <c r="G217" s="52">
        <v>4696.9879428000368</v>
      </c>
      <c r="H217" s="52">
        <v>0</v>
      </c>
      <c r="I217" s="52">
        <v>0</v>
      </c>
      <c r="J217" s="52">
        <v>12000</v>
      </c>
      <c r="K217" s="52">
        <v>2476.766069999936</v>
      </c>
      <c r="L217" s="52">
        <v>0</v>
      </c>
      <c r="M217" s="52">
        <v>4800.0000000000009</v>
      </c>
      <c r="N217" s="52">
        <v>0</v>
      </c>
      <c r="O217" s="52">
        <v>0</v>
      </c>
      <c r="P217" s="52">
        <v>10247.667528000069</v>
      </c>
      <c r="Q217" s="52">
        <v>0</v>
      </c>
      <c r="R217" s="52">
        <v>0</v>
      </c>
      <c r="S217" s="52">
        <v>3659.8812600000242</v>
      </c>
      <c r="T217" s="52">
        <v>0</v>
      </c>
      <c r="U217" s="52">
        <v>0</v>
      </c>
      <c r="V217" s="52">
        <v>15200.000000000002</v>
      </c>
      <c r="W217" s="52">
        <v>0</v>
      </c>
      <c r="X217" s="52">
        <v>0</v>
      </c>
      <c r="Y217" s="52">
        <v>6600.0000000000009</v>
      </c>
      <c r="Z217" s="52">
        <v>0</v>
      </c>
      <c r="AA217" s="52">
        <v>0</v>
      </c>
      <c r="AB217" s="52">
        <v>17568.486627693645</v>
      </c>
      <c r="AC217" s="52">
        <v>0</v>
      </c>
      <c r="AD217" s="52">
        <v>0</v>
      </c>
      <c r="AE217" s="52">
        <v>5390.3311244060051</v>
      </c>
      <c r="AF217" s="52">
        <v>0</v>
      </c>
      <c r="AG217" s="52">
        <v>0</v>
      </c>
      <c r="AH217" s="52">
        <v>16800</v>
      </c>
      <c r="AI217" s="52">
        <v>0</v>
      </c>
      <c r="AJ217" s="52">
        <v>0</v>
      </c>
      <c r="AK217" s="52">
        <v>4765.9736016000097</v>
      </c>
      <c r="AL217" s="52">
        <v>0</v>
      </c>
      <c r="AM217" s="52">
        <v>0</v>
      </c>
      <c r="AN217" s="52">
        <v>14567.798794999999</v>
      </c>
      <c r="AO217" s="52">
        <v>0</v>
      </c>
      <c r="AP217" s="52">
        <v>0</v>
      </c>
      <c r="AQ217" s="52">
        <v>3575.7324314999996</v>
      </c>
      <c r="AR217" s="52">
        <v>0</v>
      </c>
      <c r="AS217" s="52">
        <v>0</v>
      </c>
      <c r="AT217" s="52">
        <v>17600</v>
      </c>
      <c r="AU217" s="52">
        <v>0</v>
      </c>
      <c r="AV217" s="52">
        <v>0</v>
      </c>
      <c r="AW217" s="52">
        <v>5400</v>
      </c>
      <c r="AX217" s="52">
        <v>0</v>
      </c>
      <c r="AY217" s="52">
        <v>0</v>
      </c>
      <c r="AZ217" s="52">
        <v>16586.914630000185</v>
      </c>
      <c r="BA217" s="52">
        <v>0</v>
      </c>
      <c r="BB217" s="52">
        <v>0</v>
      </c>
      <c r="BC217" s="52">
        <v>4976.0743890000549</v>
      </c>
      <c r="BD217" s="52">
        <v>0</v>
      </c>
      <c r="BE217" s="52">
        <v>0</v>
      </c>
      <c r="BF217" s="52">
        <v>5450.5828301419569</v>
      </c>
      <c r="BG217" s="52">
        <v>0</v>
      </c>
      <c r="BH217" s="52">
        <v>0</v>
      </c>
      <c r="BI217" s="52">
        <v>2229.7838850580733</v>
      </c>
      <c r="BJ217" s="52">
        <v>0</v>
      </c>
      <c r="BK217" s="52">
        <v>0</v>
      </c>
      <c r="BL217" s="52">
        <v>8400</v>
      </c>
      <c r="BM217" s="52">
        <v>0</v>
      </c>
      <c r="BN217" s="52">
        <v>0</v>
      </c>
      <c r="BO217" s="52">
        <v>4996.3625064000125</v>
      </c>
      <c r="BP217" s="52">
        <v>0</v>
      </c>
      <c r="BQ217" s="52">
        <v>0</v>
      </c>
      <c r="BR217" s="52">
        <v>7973.3123783999908</v>
      </c>
      <c r="BS217" s="52">
        <v>0</v>
      </c>
      <c r="BT217" s="52">
        <v>0</v>
      </c>
      <c r="BU217" s="52">
        <v>0</v>
      </c>
      <c r="BV217" s="52">
        <v>0</v>
      </c>
      <c r="BW217" s="52">
        <v>0</v>
      </c>
    </row>
    <row r="218" spans="1:75" x14ac:dyDescent="0.3">
      <c r="A218" s="8" t="s">
        <v>104</v>
      </c>
      <c r="B218" s="8" t="s">
        <v>10</v>
      </c>
      <c r="C218" s="8" t="s">
        <v>146</v>
      </c>
      <c r="D218" s="52">
        <v>17600</v>
      </c>
      <c r="E218" s="52">
        <v>61600</v>
      </c>
      <c r="F218" s="52">
        <v>17789.679296399969</v>
      </c>
      <c r="G218" s="52">
        <v>7200</v>
      </c>
      <c r="H218" s="52">
        <v>25200.000000000004</v>
      </c>
      <c r="I218" s="52">
        <v>1037.7237276000085</v>
      </c>
      <c r="J218" s="52">
        <v>12000</v>
      </c>
      <c r="K218" s="52">
        <v>60000</v>
      </c>
      <c r="L218" s="52">
        <v>24000</v>
      </c>
      <c r="M218" s="52">
        <v>4800.0000000000009</v>
      </c>
      <c r="N218" s="52">
        <v>20800</v>
      </c>
      <c r="O218" s="52">
        <v>6401.4018687999715</v>
      </c>
      <c r="P218" s="52">
        <v>16800</v>
      </c>
      <c r="Q218" s="52">
        <v>58800.000000000007</v>
      </c>
      <c r="R218" s="52">
        <v>13390.481512799994</v>
      </c>
      <c r="S218" s="52">
        <v>6000</v>
      </c>
      <c r="T218" s="52">
        <v>26000</v>
      </c>
      <c r="U218" s="52">
        <v>2050.7337600000233</v>
      </c>
      <c r="V218" s="52">
        <v>15200.000000000002</v>
      </c>
      <c r="W218" s="52">
        <v>53200</v>
      </c>
      <c r="X218" s="52">
        <v>0</v>
      </c>
      <c r="Y218" s="52">
        <v>6600.0000000000009</v>
      </c>
      <c r="Z218" s="52">
        <v>30800</v>
      </c>
      <c r="AA218" s="52">
        <v>0</v>
      </c>
      <c r="AB218" s="52">
        <v>17600</v>
      </c>
      <c r="AC218" s="52">
        <v>61600</v>
      </c>
      <c r="AD218" s="52">
        <v>5743.0625568000714</v>
      </c>
      <c r="AE218" s="52">
        <v>5400</v>
      </c>
      <c r="AF218" s="52">
        <v>23400.000000000004</v>
      </c>
      <c r="AG218" s="52">
        <v>397.22222159999632</v>
      </c>
      <c r="AH218" s="52">
        <v>16800</v>
      </c>
      <c r="AI218" s="52">
        <v>58800.000000000007</v>
      </c>
      <c r="AJ218" s="52">
        <v>25200.000000000004</v>
      </c>
      <c r="AK218" s="52">
        <v>5400</v>
      </c>
      <c r="AL218" s="52">
        <v>25200.000000000004</v>
      </c>
      <c r="AM218" s="52">
        <v>7196.3786412000063</v>
      </c>
      <c r="AN218" s="52">
        <v>22000</v>
      </c>
      <c r="AO218" s="52">
        <v>52800.000000000007</v>
      </c>
      <c r="AP218" s="52">
        <v>12430.418307133465</v>
      </c>
      <c r="AQ218" s="52">
        <v>5400</v>
      </c>
      <c r="AR218" s="52">
        <v>25200.000000000004</v>
      </c>
      <c r="AS218" s="52">
        <v>1224.5682704455044</v>
      </c>
      <c r="AT218" s="52">
        <v>17600</v>
      </c>
      <c r="AU218" s="52">
        <v>57200</v>
      </c>
      <c r="AV218" s="52">
        <v>20801.952940999963</v>
      </c>
      <c r="AW218" s="52">
        <v>5400</v>
      </c>
      <c r="AX218" s="52">
        <v>25200.000000000004</v>
      </c>
      <c r="AY218" s="52">
        <v>4417.3614240000252</v>
      </c>
      <c r="AZ218" s="52">
        <v>20000</v>
      </c>
      <c r="BA218" s="52">
        <v>48000</v>
      </c>
      <c r="BB218" s="52">
        <v>0</v>
      </c>
      <c r="BC218" s="52">
        <v>6000</v>
      </c>
      <c r="BD218" s="52">
        <v>26000</v>
      </c>
      <c r="BE218" s="52">
        <v>0</v>
      </c>
      <c r="BF218" s="52">
        <v>13200.000000000002</v>
      </c>
      <c r="BG218" s="52">
        <v>61600</v>
      </c>
      <c r="BH218" s="52">
        <v>0</v>
      </c>
      <c r="BI218" s="52">
        <v>5400</v>
      </c>
      <c r="BJ218" s="52">
        <v>0</v>
      </c>
      <c r="BK218" s="52">
        <v>0</v>
      </c>
      <c r="BL218" s="52">
        <v>8400</v>
      </c>
      <c r="BM218" s="52">
        <v>63000</v>
      </c>
      <c r="BN218" s="52">
        <v>16744.397884200142</v>
      </c>
      <c r="BO218" s="52">
        <v>5400</v>
      </c>
      <c r="BP218" s="52">
        <v>22791.445301403346</v>
      </c>
      <c r="BQ218" s="52">
        <v>2899.0401264000097</v>
      </c>
      <c r="BR218" s="52">
        <v>13600.000000000002</v>
      </c>
      <c r="BS218" s="52">
        <v>47600</v>
      </c>
      <c r="BT218" s="52">
        <v>20400.000000000004</v>
      </c>
      <c r="BU218" s="52">
        <v>11200.000000000002</v>
      </c>
      <c r="BV218" s="52">
        <v>36400</v>
      </c>
      <c r="BW218" s="52">
        <v>19600</v>
      </c>
    </row>
    <row r="219" spans="1:75" x14ac:dyDescent="0.3">
      <c r="A219" s="8" t="s">
        <v>104</v>
      </c>
      <c r="B219" s="8" t="s">
        <v>10</v>
      </c>
      <c r="C219" s="8" t="s">
        <v>28</v>
      </c>
      <c r="D219" s="52">
        <v>17600</v>
      </c>
      <c r="E219" s="52">
        <v>61600</v>
      </c>
      <c r="F219" s="52">
        <v>26400.000000000004</v>
      </c>
      <c r="G219" s="52">
        <v>7200</v>
      </c>
      <c r="H219" s="52">
        <v>25200.000000000004</v>
      </c>
      <c r="I219" s="52">
        <v>10800</v>
      </c>
      <c r="J219" s="52">
        <v>12000</v>
      </c>
      <c r="K219" s="52">
        <v>60000</v>
      </c>
      <c r="L219" s="52">
        <v>24000</v>
      </c>
      <c r="M219" s="52">
        <v>4800.0000000000009</v>
      </c>
      <c r="N219" s="52">
        <v>20800</v>
      </c>
      <c r="O219" s="52">
        <v>12800</v>
      </c>
      <c r="P219" s="52">
        <v>16800</v>
      </c>
      <c r="Q219" s="52">
        <v>58800.000000000007</v>
      </c>
      <c r="R219" s="52">
        <v>25200.000000000004</v>
      </c>
      <c r="S219" s="52">
        <v>6000</v>
      </c>
      <c r="T219" s="52">
        <v>26000</v>
      </c>
      <c r="U219" s="52">
        <v>16000</v>
      </c>
      <c r="V219" s="52">
        <v>15200.000000000002</v>
      </c>
      <c r="W219" s="52">
        <v>53200</v>
      </c>
      <c r="X219" s="52">
        <v>22800</v>
      </c>
      <c r="Y219" s="52">
        <v>6600.0000000000009</v>
      </c>
      <c r="Z219" s="52">
        <v>30800</v>
      </c>
      <c r="AA219" s="52">
        <v>15400</v>
      </c>
      <c r="AB219" s="52">
        <v>17600</v>
      </c>
      <c r="AC219" s="52">
        <v>61600</v>
      </c>
      <c r="AD219" s="52">
        <v>26400.000000000004</v>
      </c>
      <c r="AE219" s="52">
        <v>5400</v>
      </c>
      <c r="AF219" s="52">
        <v>23400.000000000004</v>
      </c>
      <c r="AG219" s="52">
        <v>14400</v>
      </c>
      <c r="AH219" s="52">
        <v>16800</v>
      </c>
      <c r="AI219" s="52">
        <v>58800.000000000007</v>
      </c>
      <c r="AJ219" s="52">
        <v>25200.000000000004</v>
      </c>
      <c r="AK219" s="52">
        <v>5400</v>
      </c>
      <c r="AL219" s="52">
        <v>25200.000000000004</v>
      </c>
      <c r="AM219" s="52">
        <v>12600.000000000002</v>
      </c>
      <c r="AN219" s="52">
        <v>22000</v>
      </c>
      <c r="AO219" s="52">
        <v>52800.000000000007</v>
      </c>
      <c r="AP219" s="52">
        <v>30800</v>
      </c>
      <c r="AQ219" s="52">
        <v>5400</v>
      </c>
      <c r="AR219" s="52">
        <v>25200.000000000004</v>
      </c>
      <c r="AS219" s="52">
        <v>12600.000000000002</v>
      </c>
      <c r="AT219" s="52">
        <v>17600</v>
      </c>
      <c r="AU219" s="52">
        <v>57200</v>
      </c>
      <c r="AV219" s="52">
        <v>30800</v>
      </c>
      <c r="AW219" s="52">
        <v>5400</v>
      </c>
      <c r="AX219" s="52">
        <v>25200.000000000004</v>
      </c>
      <c r="AY219" s="52">
        <v>12600.000000000002</v>
      </c>
      <c r="AZ219" s="52">
        <v>20000</v>
      </c>
      <c r="BA219" s="52">
        <v>48000</v>
      </c>
      <c r="BB219" s="52">
        <v>28000</v>
      </c>
      <c r="BC219" s="52">
        <v>6000</v>
      </c>
      <c r="BD219" s="52">
        <v>26000</v>
      </c>
      <c r="BE219" s="52">
        <v>16000</v>
      </c>
      <c r="BF219" s="52">
        <v>13200.000000000002</v>
      </c>
      <c r="BG219" s="52">
        <v>61600</v>
      </c>
      <c r="BH219" s="52">
        <v>30800</v>
      </c>
      <c r="BI219" s="52">
        <v>5400</v>
      </c>
      <c r="BJ219" s="52">
        <v>23400.000000000004</v>
      </c>
      <c r="BK219" s="52">
        <v>14400</v>
      </c>
      <c r="BL219" s="52">
        <v>8400</v>
      </c>
      <c r="BM219" s="52">
        <v>63000</v>
      </c>
      <c r="BN219" s="52">
        <v>29400.000000000004</v>
      </c>
      <c r="BO219" s="52">
        <v>5400</v>
      </c>
      <c r="BP219" s="52">
        <v>23400.000000000004</v>
      </c>
      <c r="BQ219" s="52">
        <v>14400</v>
      </c>
      <c r="BR219" s="52">
        <v>13600.000000000002</v>
      </c>
      <c r="BS219" s="52">
        <v>47600</v>
      </c>
      <c r="BT219" s="52">
        <v>20400.000000000004</v>
      </c>
      <c r="BU219" s="52">
        <v>11200.000000000002</v>
      </c>
      <c r="BV219" s="52">
        <v>36400</v>
      </c>
      <c r="BW219" s="52">
        <v>19600</v>
      </c>
    </row>
    <row r="220" spans="1:75" x14ac:dyDescent="0.3">
      <c r="A220" s="8" t="s">
        <v>100</v>
      </c>
      <c r="B220" s="8" t="s">
        <v>8</v>
      </c>
      <c r="C220" s="8" t="s">
        <v>60</v>
      </c>
      <c r="D220" s="52">
        <v>67900.800000000003</v>
      </c>
      <c r="E220" s="52">
        <v>237652.80000000002</v>
      </c>
      <c r="F220" s="52">
        <v>101851.20000000001</v>
      </c>
      <c r="G220" s="52">
        <v>27777.600000000002</v>
      </c>
      <c r="H220" s="52">
        <v>97221.6</v>
      </c>
      <c r="I220" s="52">
        <v>41666.400000000001</v>
      </c>
      <c r="J220" s="52">
        <v>46296.000000000007</v>
      </c>
      <c r="K220" s="52">
        <v>231480.00000000003</v>
      </c>
      <c r="L220" s="52">
        <v>92592.000000000015</v>
      </c>
      <c r="M220" s="52">
        <v>18518.400000000001</v>
      </c>
      <c r="N220" s="52">
        <v>80246.400000000009</v>
      </c>
      <c r="O220" s="52">
        <v>49382.400000000001</v>
      </c>
      <c r="P220" s="52">
        <v>64814.400000000009</v>
      </c>
      <c r="Q220" s="52">
        <v>226850.4</v>
      </c>
      <c r="R220" s="52">
        <v>97221.6</v>
      </c>
      <c r="S220" s="52">
        <v>23148.000000000004</v>
      </c>
      <c r="T220" s="52">
        <v>100308</v>
      </c>
      <c r="U220" s="52">
        <v>61728.000000000007</v>
      </c>
      <c r="V220" s="52">
        <v>58641.600000000006</v>
      </c>
      <c r="W220" s="52">
        <v>205245.60000000003</v>
      </c>
      <c r="X220" s="52">
        <v>87962.400000000009</v>
      </c>
      <c r="Y220" s="52">
        <v>25462.800000000003</v>
      </c>
      <c r="Z220" s="52">
        <v>118826.40000000001</v>
      </c>
      <c r="AA220" s="52">
        <v>59413.200000000004</v>
      </c>
      <c r="AB220" s="52">
        <v>67900.800000000003</v>
      </c>
      <c r="AC220" s="52">
        <v>237652.80000000002</v>
      </c>
      <c r="AD220" s="52">
        <v>101851.20000000001</v>
      </c>
      <c r="AE220" s="52">
        <v>20833.2</v>
      </c>
      <c r="AF220" s="52">
        <v>90277.200000000012</v>
      </c>
      <c r="AG220" s="52">
        <v>55555.200000000004</v>
      </c>
      <c r="AH220" s="52">
        <v>64814.400000000009</v>
      </c>
      <c r="AI220" s="52">
        <v>226850.4</v>
      </c>
      <c r="AJ220" s="52">
        <v>97221.6</v>
      </c>
      <c r="AK220" s="52">
        <v>20833.2</v>
      </c>
      <c r="AL220" s="52">
        <v>97221.6</v>
      </c>
      <c r="AM220" s="52">
        <v>48610.8</v>
      </c>
      <c r="AN220" s="52">
        <v>84876</v>
      </c>
      <c r="AO220" s="52">
        <v>203702.40000000002</v>
      </c>
      <c r="AP220" s="52">
        <v>118826.40000000001</v>
      </c>
      <c r="AQ220" s="52">
        <v>20833.2</v>
      </c>
      <c r="AR220" s="52">
        <v>97221.6</v>
      </c>
      <c r="AS220" s="52">
        <v>48610.8</v>
      </c>
      <c r="AT220" s="52">
        <v>67900.800000000003</v>
      </c>
      <c r="AU220" s="52">
        <v>220677.6</v>
      </c>
      <c r="AV220" s="52">
        <v>118826.40000000001</v>
      </c>
      <c r="AW220" s="52">
        <v>20833.2</v>
      </c>
      <c r="AX220" s="52">
        <v>97221.6</v>
      </c>
      <c r="AY220" s="52">
        <v>48610.8</v>
      </c>
      <c r="AZ220" s="52">
        <v>77160.000000000015</v>
      </c>
      <c r="BA220" s="52">
        <v>185184.00000000003</v>
      </c>
      <c r="BB220" s="52">
        <v>108024.00000000001</v>
      </c>
      <c r="BC220" s="52">
        <v>23148.000000000004</v>
      </c>
      <c r="BD220" s="52">
        <v>100308</v>
      </c>
      <c r="BE220" s="52">
        <v>61728.000000000007</v>
      </c>
      <c r="BF220" s="52">
        <v>50925.600000000006</v>
      </c>
      <c r="BG220" s="52">
        <v>237652.80000000002</v>
      </c>
      <c r="BH220" s="52">
        <v>118826.40000000001</v>
      </c>
      <c r="BI220" s="52">
        <v>20833.2</v>
      </c>
      <c r="BJ220" s="52">
        <v>90277.200000000012</v>
      </c>
      <c r="BK220" s="52">
        <v>55555.200000000004</v>
      </c>
      <c r="BL220" s="52">
        <v>32407.200000000004</v>
      </c>
      <c r="BM220" s="52">
        <v>243054.00000000003</v>
      </c>
      <c r="BN220" s="52">
        <v>113425.2</v>
      </c>
      <c r="BO220" s="52">
        <v>20833.2</v>
      </c>
      <c r="BP220" s="52">
        <v>90277.200000000012</v>
      </c>
      <c r="BQ220" s="52">
        <v>55555.200000000004</v>
      </c>
      <c r="BR220" s="52">
        <v>52468.800000000003</v>
      </c>
      <c r="BS220" s="52">
        <v>183640.80000000002</v>
      </c>
      <c r="BT220" s="52">
        <v>78703.200000000012</v>
      </c>
      <c r="BU220" s="52">
        <v>43209.599999999999</v>
      </c>
      <c r="BV220" s="52">
        <v>140431.20000000001</v>
      </c>
      <c r="BW220" s="52">
        <v>75616.800000000017</v>
      </c>
    </row>
    <row r="221" spans="1:75" x14ac:dyDescent="0.3">
      <c r="A221" s="8" t="s">
        <v>100</v>
      </c>
      <c r="B221" s="8" t="s">
        <v>8</v>
      </c>
      <c r="C221" s="8" t="s">
        <v>150</v>
      </c>
      <c r="D221" s="52">
        <v>51744</v>
      </c>
      <c r="E221" s="52">
        <v>93190.145476545731</v>
      </c>
      <c r="F221" s="52">
        <v>31046.399999999994</v>
      </c>
      <c r="G221" s="52">
        <v>19291.344596136016</v>
      </c>
      <c r="H221" s="52">
        <v>29635.199999999993</v>
      </c>
      <c r="I221" s="52">
        <v>12700.799999999997</v>
      </c>
      <c r="J221" s="52">
        <v>16277.351773647311</v>
      </c>
      <c r="K221" s="52">
        <v>70559.999999999985</v>
      </c>
      <c r="L221" s="52">
        <v>28223.999999999996</v>
      </c>
      <c r="M221" s="52">
        <v>6510.9407094589242</v>
      </c>
      <c r="N221" s="52">
        <v>24460.799999999996</v>
      </c>
      <c r="O221" s="52">
        <v>15052.799999999997</v>
      </c>
      <c r="P221" s="52">
        <v>19756.8</v>
      </c>
      <c r="Q221" s="52">
        <v>69148.799999999988</v>
      </c>
      <c r="R221" s="52">
        <v>29635.199999999993</v>
      </c>
      <c r="S221" s="52">
        <v>7055.9999999999991</v>
      </c>
      <c r="T221" s="52">
        <v>30575.999999999996</v>
      </c>
      <c r="U221" s="52">
        <v>18815.999999999996</v>
      </c>
      <c r="V221" s="52">
        <v>17875.199999999961</v>
      </c>
      <c r="W221" s="52">
        <v>62563.199999999866</v>
      </c>
      <c r="X221" s="52">
        <v>26812.799999999941</v>
      </c>
      <c r="Y221" s="52">
        <v>0</v>
      </c>
      <c r="Z221" s="52">
        <v>0</v>
      </c>
      <c r="AA221" s="52">
        <v>0</v>
      </c>
      <c r="AB221" s="52">
        <v>30946.835858197242</v>
      </c>
      <c r="AC221" s="52">
        <v>72441.599999999991</v>
      </c>
      <c r="AD221" s="52">
        <v>31046.399999999994</v>
      </c>
      <c r="AE221" s="52">
        <v>9495.0519110377918</v>
      </c>
      <c r="AF221" s="52">
        <v>27518.399999999998</v>
      </c>
      <c r="AG221" s="52">
        <v>16934.399999999998</v>
      </c>
      <c r="AH221" s="52">
        <v>19756.8</v>
      </c>
      <c r="AI221" s="52">
        <v>69148.799999999988</v>
      </c>
      <c r="AJ221" s="52">
        <v>29635.199999999993</v>
      </c>
      <c r="AK221" s="52">
        <v>0</v>
      </c>
      <c r="AL221" s="52">
        <v>0</v>
      </c>
      <c r="AM221" s="52">
        <v>0</v>
      </c>
      <c r="AN221" s="52">
        <v>25871.999999999996</v>
      </c>
      <c r="AO221" s="52">
        <v>62092.799999999988</v>
      </c>
      <c r="AP221" s="52">
        <v>36220.799999999996</v>
      </c>
      <c r="AQ221" s="52">
        <v>6350.3999999999987</v>
      </c>
      <c r="AR221" s="52">
        <v>29635.199999999993</v>
      </c>
      <c r="AS221" s="52">
        <v>14817.599999999997</v>
      </c>
      <c r="AT221" s="52">
        <v>20697.599999999999</v>
      </c>
      <c r="AU221" s="52">
        <v>67267.199999999983</v>
      </c>
      <c r="AV221" s="52">
        <v>36220.799999999996</v>
      </c>
      <c r="AW221" s="52">
        <v>0</v>
      </c>
      <c r="AX221" s="52">
        <v>0</v>
      </c>
      <c r="AY221" s="52">
        <v>0</v>
      </c>
      <c r="AZ221" s="52">
        <v>23519.999999999996</v>
      </c>
      <c r="BA221" s="52">
        <v>56447.999999999993</v>
      </c>
      <c r="BB221" s="52">
        <v>32928</v>
      </c>
      <c r="BC221" s="52">
        <v>7055.9999999999991</v>
      </c>
      <c r="BD221" s="52">
        <v>30575.999999999996</v>
      </c>
      <c r="BE221" s="52">
        <v>18815.999999999996</v>
      </c>
      <c r="BF221" s="52">
        <v>15523.199999999997</v>
      </c>
      <c r="BG221" s="52">
        <v>72441.599999999991</v>
      </c>
      <c r="BH221" s="52">
        <v>36220.799999999996</v>
      </c>
      <c r="BI221" s="52">
        <v>6350.3999999999987</v>
      </c>
      <c r="BJ221" s="52">
        <v>27518.399999999998</v>
      </c>
      <c r="BK221" s="52">
        <v>16934.399999999998</v>
      </c>
      <c r="BL221" s="52">
        <v>9878.4</v>
      </c>
      <c r="BM221" s="52">
        <v>74088</v>
      </c>
      <c r="BN221" s="52">
        <v>34574.399999999994</v>
      </c>
      <c r="BO221" s="52">
        <v>6350.3999999999987</v>
      </c>
      <c r="BP221" s="52">
        <v>27518.399999999998</v>
      </c>
      <c r="BQ221" s="52">
        <v>16934.399999999998</v>
      </c>
      <c r="BR221" s="52">
        <v>37266.86550218401</v>
      </c>
      <c r="BS221" s="52">
        <v>55977.599999999991</v>
      </c>
      <c r="BT221" s="52">
        <v>23990.399999999998</v>
      </c>
      <c r="BU221" s="52">
        <v>23336.480036968049</v>
      </c>
      <c r="BV221" s="52">
        <v>42806.399999999994</v>
      </c>
      <c r="BW221" s="52">
        <v>23049.599999999999</v>
      </c>
    </row>
    <row r="222" spans="1:75" x14ac:dyDescent="0.3">
      <c r="A222" s="8" t="s">
        <v>100</v>
      </c>
      <c r="B222" s="8" t="s">
        <v>8</v>
      </c>
      <c r="C222" s="8" t="s">
        <v>61</v>
      </c>
      <c r="D222" s="52">
        <v>0</v>
      </c>
      <c r="E222" s="52">
        <v>0</v>
      </c>
      <c r="F222" s="52">
        <v>0</v>
      </c>
      <c r="G222" s="52">
        <v>0</v>
      </c>
      <c r="H222" s="52">
        <v>0</v>
      </c>
      <c r="I222" s="52">
        <v>0</v>
      </c>
      <c r="J222" s="52">
        <v>0</v>
      </c>
      <c r="K222" s="52">
        <v>0</v>
      </c>
      <c r="L222" s="52">
        <v>0</v>
      </c>
      <c r="M222" s="52">
        <v>0</v>
      </c>
      <c r="N222" s="52">
        <v>0</v>
      </c>
      <c r="O222" s="52">
        <v>0</v>
      </c>
      <c r="P222" s="52">
        <v>0</v>
      </c>
      <c r="Q222" s="52">
        <v>0</v>
      </c>
      <c r="R222" s="52">
        <v>0</v>
      </c>
      <c r="S222" s="52">
        <v>0</v>
      </c>
      <c r="T222" s="52">
        <v>0</v>
      </c>
      <c r="U222" s="52">
        <v>0</v>
      </c>
      <c r="V222" s="52">
        <v>0</v>
      </c>
      <c r="W222" s="52">
        <v>0</v>
      </c>
      <c r="X222" s="52">
        <v>0</v>
      </c>
      <c r="Y222" s="52">
        <v>0</v>
      </c>
      <c r="Z222" s="52">
        <v>0</v>
      </c>
      <c r="AA222" s="52">
        <v>0</v>
      </c>
      <c r="AB222" s="52">
        <v>0</v>
      </c>
      <c r="AC222" s="52">
        <v>0</v>
      </c>
      <c r="AD222" s="52">
        <v>0</v>
      </c>
      <c r="AE222" s="52">
        <v>0</v>
      </c>
      <c r="AF222" s="52">
        <v>0</v>
      </c>
      <c r="AG222" s="52">
        <v>0</v>
      </c>
      <c r="AH222" s="52">
        <v>17060.400000000001</v>
      </c>
      <c r="AI222" s="52">
        <v>23884.559999999998</v>
      </c>
      <c r="AJ222" s="52">
        <v>10236.239999999998</v>
      </c>
      <c r="AK222" s="52">
        <v>5483.7</v>
      </c>
      <c r="AL222" s="52">
        <v>10236.239999999998</v>
      </c>
      <c r="AM222" s="52">
        <v>5118.119999999999</v>
      </c>
      <c r="AN222" s="52">
        <v>0</v>
      </c>
      <c r="AO222" s="52">
        <v>0</v>
      </c>
      <c r="AP222" s="52">
        <v>0</v>
      </c>
      <c r="AQ222" s="52">
        <v>0</v>
      </c>
      <c r="AR222" s="52">
        <v>0</v>
      </c>
      <c r="AS222" s="52">
        <v>0</v>
      </c>
      <c r="AT222" s="52">
        <v>0</v>
      </c>
      <c r="AU222" s="52">
        <v>0</v>
      </c>
      <c r="AV222" s="52">
        <v>0</v>
      </c>
      <c r="AW222" s="52">
        <v>0</v>
      </c>
      <c r="AX222" s="52">
        <v>0</v>
      </c>
      <c r="AY222" s="52">
        <v>0</v>
      </c>
      <c r="AZ222" s="52">
        <v>0</v>
      </c>
      <c r="BA222" s="52">
        <v>0</v>
      </c>
      <c r="BB222" s="52">
        <v>0</v>
      </c>
      <c r="BC222" s="52">
        <v>0</v>
      </c>
      <c r="BD222" s="52">
        <v>0</v>
      </c>
      <c r="BE222" s="52">
        <v>0</v>
      </c>
      <c r="BF222" s="52">
        <v>0</v>
      </c>
      <c r="BG222" s="52">
        <v>0</v>
      </c>
      <c r="BH222" s="52">
        <v>0</v>
      </c>
      <c r="BI222" s="52">
        <v>0</v>
      </c>
      <c r="BJ222" s="52">
        <v>0</v>
      </c>
      <c r="BK222" s="52">
        <v>0</v>
      </c>
      <c r="BL222" s="52">
        <v>8530.2000000000007</v>
      </c>
      <c r="BM222" s="52">
        <v>25590.6</v>
      </c>
      <c r="BN222" s="52">
        <v>11942.279999999999</v>
      </c>
      <c r="BO222" s="52">
        <v>0</v>
      </c>
      <c r="BP222" s="52">
        <v>0</v>
      </c>
      <c r="BQ222" s="52">
        <v>0</v>
      </c>
      <c r="BR222" s="52">
        <v>13810.800000000001</v>
      </c>
      <c r="BS222" s="52">
        <v>27055.730364015126</v>
      </c>
      <c r="BT222" s="52">
        <v>8286.479999999925</v>
      </c>
      <c r="BU222" s="52">
        <v>11373.6</v>
      </c>
      <c r="BV222" s="52">
        <v>14785.679999999864</v>
      </c>
      <c r="BW222" s="52">
        <v>7961.5199999999277</v>
      </c>
    </row>
    <row r="223" spans="1:75" x14ac:dyDescent="0.3">
      <c r="A223" s="8" t="s">
        <v>100</v>
      </c>
      <c r="B223" s="8" t="s">
        <v>8</v>
      </c>
      <c r="C223" s="8" t="s">
        <v>152</v>
      </c>
      <c r="D223" s="52">
        <v>0</v>
      </c>
      <c r="E223" s="52">
        <v>0</v>
      </c>
      <c r="F223" s="52">
        <v>0</v>
      </c>
      <c r="G223" s="52">
        <v>0</v>
      </c>
      <c r="H223" s="52">
        <v>0</v>
      </c>
      <c r="I223" s="52">
        <v>0</v>
      </c>
      <c r="J223" s="52">
        <v>6980.9853073800023</v>
      </c>
      <c r="K223" s="52">
        <v>18047.999999999982</v>
      </c>
      <c r="L223" s="52">
        <v>7219.1999999999916</v>
      </c>
      <c r="M223" s="52">
        <v>0</v>
      </c>
      <c r="N223" s="52">
        <v>0</v>
      </c>
      <c r="O223" s="52">
        <v>0</v>
      </c>
      <c r="P223" s="52">
        <v>0</v>
      </c>
      <c r="Q223" s="52">
        <v>0</v>
      </c>
      <c r="R223" s="52">
        <v>0</v>
      </c>
      <c r="S223" s="52">
        <v>0</v>
      </c>
      <c r="T223" s="52">
        <v>0</v>
      </c>
      <c r="U223" s="52">
        <v>0</v>
      </c>
      <c r="V223" s="52">
        <v>11430.400000000001</v>
      </c>
      <c r="W223" s="52">
        <v>40006.400000000001</v>
      </c>
      <c r="X223" s="52">
        <v>6858.2399999999989</v>
      </c>
      <c r="Y223" s="52">
        <v>4963.2000000000007</v>
      </c>
      <c r="Z223" s="52">
        <v>9264.6399999999976</v>
      </c>
      <c r="AA223" s="52">
        <v>4632.3199999999988</v>
      </c>
      <c r="AB223" s="52">
        <v>5294.079999999999</v>
      </c>
      <c r="AC223" s="52">
        <v>18529.279999999995</v>
      </c>
      <c r="AD223" s="52">
        <v>7941.119999999999</v>
      </c>
      <c r="AE223" s="52">
        <v>0</v>
      </c>
      <c r="AF223" s="52">
        <v>0</v>
      </c>
      <c r="AG223" s="52">
        <v>0</v>
      </c>
      <c r="AH223" s="52">
        <v>8364.0930930480026</v>
      </c>
      <c r="AI223" s="52">
        <v>17687.039999999997</v>
      </c>
      <c r="AJ223" s="52">
        <v>7580.1599999999989</v>
      </c>
      <c r="AK223" s="52">
        <v>0</v>
      </c>
      <c r="AL223" s="52">
        <v>0</v>
      </c>
      <c r="AM223" s="52">
        <v>0</v>
      </c>
      <c r="AN223" s="52">
        <v>11938.305952759942</v>
      </c>
      <c r="AO223" s="52">
        <v>15882.239999999998</v>
      </c>
      <c r="AP223" s="52">
        <v>9264.6399999999976</v>
      </c>
      <c r="AQ223" s="52">
        <v>0</v>
      </c>
      <c r="AR223" s="52">
        <v>0</v>
      </c>
      <c r="AS223" s="52">
        <v>0</v>
      </c>
      <c r="AT223" s="52">
        <v>13235.2</v>
      </c>
      <c r="AU223" s="52">
        <v>43014.400000000001</v>
      </c>
      <c r="AV223" s="52">
        <v>9264.6399999999976</v>
      </c>
      <c r="AW223" s="52">
        <v>4060.8</v>
      </c>
      <c r="AX223" s="52">
        <v>7580.1599999999989</v>
      </c>
      <c r="AY223" s="52">
        <v>3790.0799999999995</v>
      </c>
      <c r="AZ223" s="52">
        <v>0</v>
      </c>
      <c r="BA223" s="52">
        <v>0</v>
      </c>
      <c r="BB223" s="52">
        <v>0</v>
      </c>
      <c r="BC223" s="52">
        <v>0</v>
      </c>
      <c r="BD223" s="52">
        <v>0</v>
      </c>
      <c r="BE223" s="52">
        <v>0</v>
      </c>
      <c r="BF223" s="52">
        <v>0</v>
      </c>
      <c r="BG223" s="52">
        <v>0</v>
      </c>
      <c r="BH223" s="52">
        <v>0</v>
      </c>
      <c r="BI223" s="52">
        <v>0</v>
      </c>
      <c r="BJ223" s="52">
        <v>0</v>
      </c>
      <c r="BK223" s="52">
        <v>0</v>
      </c>
      <c r="BL223" s="52">
        <v>0</v>
      </c>
      <c r="BM223" s="52">
        <v>0</v>
      </c>
      <c r="BN223" s="52">
        <v>0</v>
      </c>
      <c r="BO223" s="52">
        <v>0</v>
      </c>
      <c r="BP223" s="52">
        <v>0</v>
      </c>
      <c r="BQ223" s="52">
        <v>0</v>
      </c>
      <c r="BR223" s="52">
        <v>0</v>
      </c>
      <c r="BS223" s="52">
        <v>0</v>
      </c>
      <c r="BT223" s="52">
        <v>0</v>
      </c>
      <c r="BU223" s="52">
        <v>0</v>
      </c>
      <c r="BV223" s="52">
        <v>0</v>
      </c>
      <c r="BW223" s="52">
        <v>0</v>
      </c>
    </row>
    <row r="224" spans="1:75" x14ac:dyDescent="0.3">
      <c r="A224" s="8" t="s">
        <v>100</v>
      </c>
      <c r="B224" s="8" t="s">
        <v>8</v>
      </c>
      <c r="C224" s="8" t="s">
        <v>151</v>
      </c>
      <c r="D224" s="52">
        <v>17107.2</v>
      </c>
      <c r="E224" s="52">
        <v>59875.200000000004</v>
      </c>
      <c r="F224" s="52">
        <v>10264.319999999954</v>
      </c>
      <c r="G224" s="52">
        <v>0</v>
      </c>
      <c r="H224" s="52">
        <v>0</v>
      </c>
      <c r="I224" s="52">
        <v>0</v>
      </c>
      <c r="J224" s="52">
        <v>11664.000000000002</v>
      </c>
      <c r="K224" s="52">
        <v>56226.433730700133</v>
      </c>
      <c r="L224" s="52">
        <v>9331.2000000000007</v>
      </c>
      <c r="M224" s="52">
        <v>4665.6000000000004</v>
      </c>
      <c r="N224" s="52">
        <v>9687.1407235200459</v>
      </c>
      <c r="O224" s="52">
        <v>4976.6400000000003</v>
      </c>
      <c r="P224" s="52">
        <v>9275.1382303439696</v>
      </c>
      <c r="Q224" s="52">
        <v>37789.68602535018</v>
      </c>
      <c r="R224" s="52">
        <v>9797.760000000002</v>
      </c>
      <c r="S224" s="52">
        <v>0</v>
      </c>
      <c r="T224" s="52">
        <v>0</v>
      </c>
      <c r="U224" s="52">
        <v>0</v>
      </c>
      <c r="V224" s="52">
        <v>14774.400000000001</v>
      </c>
      <c r="W224" s="52">
        <v>51710.400000000009</v>
      </c>
      <c r="X224" s="52">
        <v>8864.6400000000012</v>
      </c>
      <c r="Y224" s="52">
        <v>6415.2000000000007</v>
      </c>
      <c r="Z224" s="52">
        <v>11975.04</v>
      </c>
      <c r="AA224" s="52">
        <v>5987.52</v>
      </c>
      <c r="AB224" s="52">
        <v>9074.647645712037</v>
      </c>
      <c r="AC224" s="52">
        <v>43748.192471984046</v>
      </c>
      <c r="AD224" s="52">
        <v>10264.320000000002</v>
      </c>
      <c r="AE224" s="52">
        <v>0</v>
      </c>
      <c r="AF224" s="52">
        <v>0</v>
      </c>
      <c r="AG224" s="52">
        <v>0</v>
      </c>
      <c r="AH224" s="52">
        <v>16329.600000000002</v>
      </c>
      <c r="AI224" s="52">
        <v>52667.749539890981</v>
      </c>
      <c r="AJ224" s="52">
        <v>9797.760000000002</v>
      </c>
      <c r="AK224" s="52">
        <v>5248.8</v>
      </c>
      <c r="AL224" s="52">
        <v>22571.892659953282</v>
      </c>
      <c r="AM224" s="52">
        <v>4898.880000000001</v>
      </c>
      <c r="AN224" s="52">
        <v>21384</v>
      </c>
      <c r="AO224" s="52">
        <v>50410.265246352028</v>
      </c>
      <c r="AP224" s="52">
        <v>11975.04</v>
      </c>
      <c r="AQ224" s="52">
        <v>0</v>
      </c>
      <c r="AR224" s="52">
        <v>0</v>
      </c>
      <c r="AS224" s="52">
        <v>0</v>
      </c>
      <c r="AT224" s="52">
        <v>17107.2</v>
      </c>
      <c r="AU224" s="52">
        <v>55598.400000000009</v>
      </c>
      <c r="AV224" s="52">
        <v>11975.04</v>
      </c>
      <c r="AW224" s="52">
        <v>5248.8</v>
      </c>
      <c r="AX224" s="52">
        <v>24494.400000000001</v>
      </c>
      <c r="AY224" s="52">
        <v>4898.880000000001</v>
      </c>
      <c r="AZ224" s="52">
        <v>19440</v>
      </c>
      <c r="BA224" s="52">
        <v>46656.000000000007</v>
      </c>
      <c r="BB224" s="52">
        <v>10886.400000000001</v>
      </c>
      <c r="BC224" s="52">
        <v>0</v>
      </c>
      <c r="BD224" s="52">
        <v>0</v>
      </c>
      <c r="BE224" s="52">
        <v>0</v>
      </c>
      <c r="BF224" s="52">
        <v>0</v>
      </c>
      <c r="BG224" s="52">
        <v>0</v>
      </c>
      <c r="BH224" s="52">
        <v>0</v>
      </c>
      <c r="BI224" s="52">
        <v>0</v>
      </c>
      <c r="BJ224" s="52">
        <v>0</v>
      </c>
      <c r="BK224" s="52">
        <v>0</v>
      </c>
      <c r="BL224" s="52">
        <v>8164.8000000000011</v>
      </c>
      <c r="BM224" s="52">
        <v>61236.000000000007</v>
      </c>
      <c r="BN224" s="52">
        <v>11430.720000000001</v>
      </c>
      <c r="BO224" s="52">
        <v>5248.8</v>
      </c>
      <c r="BP224" s="52">
        <v>22744.800000000003</v>
      </c>
      <c r="BQ224" s="52">
        <v>5598.7200000000012</v>
      </c>
      <c r="BR224" s="52">
        <v>13219.2</v>
      </c>
      <c r="BS224" s="52">
        <v>46267.200000000004</v>
      </c>
      <c r="BT224" s="52">
        <v>7931.52</v>
      </c>
      <c r="BU224" s="52">
        <v>0</v>
      </c>
      <c r="BV224" s="52">
        <v>0</v>
      </c>
      <c r="BW224" s="52">
        <v>0</v>
      </c>
    </row>
    <row r="225" spans="1:75" x14ac:dyDescent="0.3">
      <c r="A225" s="8" t="s">
        <v>100</v>
      </c>
      <c r="B225" s="8" t="s">
        <v>8</v>
      </c>
      <c r="C225" s="8" t="s">
        <v>62</v>
      </c>
      <c r="D225" s="52">
        <v>44000</v>
      </c>
      <c r="E225" s="52">
        <v>154000</v>
      </c>
      <c r="F225" s="52">
        <v>66000</v>
      </c>
      <c r="G225" s="52">
        <v>18000</v>
      </c>
      <c r="H225" s="52">
        <v>63000</v>
      </c>
      <c r="I225" s="52">
        <v>27000</v>
      </c>
      <c r="J225" s="52">
        <v>30000</v>
      </c>
      <c r="K225" s="52">
        <v>150000</v>
      </c>
      <c r="L225" s="52">
        <v>60000</v>
      </c>
      <c r="M225" s="52">
        <v>12000</v>
      </c>
      <c r="N225" s="52">
        <v>52000</v>
      </c>
      <c r="O225" s="52">
        <v>32000</v>
      </c>
      <c r="P225" s="52">
        <v>42000</v>
      </c>
      <c r="Q225" s="52">
        <v>147000</v>
      </c>
      <c r="R225" s="52">
        <v>63000</v>
      </c>
      <c r="S225" s="52">
        <v>15000</v>
      </c>
      <c r="T225" s="52">
        <v>65000</v>
      </c>
      <c r="U225" s="52">
        <v>40000</v>
      </c>
      <c r="V225" s="52">
        <v>38000</v>
      </c>
      <c r="W225" s="52">
        <v>133000</v>
      </c>
      <c r="X225" s="52">
        <v>57000</v>
      </c>
      <c r="Y225" s="52">
        <v>16500</v>
      </c>
      <c r="Z225" s="52">
        <v>77000</v>
      </c>
      <c r="AA225" s="52">
        <v>38500</v>
      </c>
      <c r="AB225" s="52">
        <v>44000</v>
      </c>
      <c r="AC225" s="52">
        <v>154000</v>
      </c>
      <c r="AD225" s="52">
        <v>66000</v>
      </c>
      <c r="AE225" s="52">
        <v>13500</v>
      </c>
      <c r="AF225" s="52">
        <v>58500</v>
      </c>
      <c r="AG225" s="52">
        <v>36000</v>
      </c>
      <c r="AH225" s="52">
        <v>42000</v>
      </c>
      <c r="AI225" s="52">
        <v>147000</v>
      </c>
      <c r="AJ225" s="52">
        <v>63000</v>
      </c>
      <c r="AK225" s="52">
        <v>13500</v>
      </c>
      <c r="AL225" s="52">
        <v>63000</v>
      </c>
      <c r="AM225" s="52">
        <v>31500</v>
      </c>
      <c r="AN225" s="52">
        <v>55000</v>
      </c>
      <c r="AO225" s="52">
        <v>132000</v>
      </c>
      <c r="AP225" s="52">
        <v>77000</v>
      </c>
      <c r="AQ225" s="52">
        <v>13500</v>
      </c>
      <c r="AR225" s="52">
        <v>63000</v>
      </c>
      <c r="AS225" s="52">
        <v>31500</v>
      </c>
      <c r="AT225" s="52">
        <v>44000</v>
      </c>
      <c r="AU225" s="52">
        <v>143000</v>
      </c>
      <c r="AV225" s="52">
        <v>77000</v>
      </c>
      <c r="AW225" s="52">
        <v>13500</v>
      </c>
      <c r="AX225" s="52">
        <v>63000</v>
      </c>
      <c r="AY225" s="52">
        <v>31500</v>
      </c>
      <c r="AZ225" s="52">
        <v>50000</v>
      </c>
      <c r="BA225" s="52">
        <v>120000</v>
      </c>
      <c r="BB225" s="52">
        <v>70000</v>
      </c>
      <c r="BC225" s="52">
        <v>15000</v>
      </c>
      <c r="BD225" s="52">
        <v>65000</v>
      </c>
      <c r="BE225" s="52">
        <v>40000</v>
      </c>
      <c r="BF225" s="52">
        <v>33000</v>
      </c>
      <c r="BG225" s="52">
        <v>154000</v>
      </c>
      <c r="BH225" s="52">
        <v>77000</v>
      </c>
      <c r="BI225" s="52">
        <v>13500</v>
      </c>
      <c r="BJ225" s="52">
        <v>58500</v>
      </c>
      <c r="BK225" s="52">
        <v>36000</v>
      </c>
      <c r="BL225" s="52">
        <v>21000</v>
      </c>
      <c r="BM225" s="52">
        <v>157500</v>
      </c>
      <c r="BN225" s="52">
        <v>73500</v>
      </c>
      <c r="BO225" s="52">
        <v>13500</v>
      </c>
      <c r="BP225" s="52">
        <v>58500</v>
      </c>
      <c r="BQ225" s="52">
        <v>36000</v>
      </c>
      <c r="BR225" s="52">
        <v>34000</v>
      </c>
      <c r="BS225" s="52">
        <v>119000</v>
      </c>
      <c r="BT225" s="52">
        <v>51000</v>
      </c>
      <c r="BU225" s="52">
        <v>28000</v>
      </c>
      <c r="BV225" s="52">
        <v>91000</v>
      </c>
      <c r="BW225" s="52">
        <v>49000</v>
      </c>
    </row>
    <row r="226" spans="1:75" x14ac:dyDescent="0.3">
      <c r="A226" s="8" t="s">
        <v>100</v>
      </c>
      <c r="B226" s="8" t="s">
        <v>8</v>
      </c>
      <c r="C226" s="8" t="s">
        <v>63</v>
      </c>
      <c r="D226" s="52">
        <v>44000</v>
      </c>
      <c r="E226" s="52">
        <v>154000</v>
      </c>
      <c r="F226" s="52">
        <v>53717.743289363985</v>
      </c>
      <c r="G226" s="52">
        <v>18000</v>
      </c>
      <c r="H226" s="52">
        <v>63000</v>
      </c>
      <c r="I226" s="52">
        <v>15342.739764876027</v>
      </c>
      <c r="J226" s="52">
        <v>30000</v>
      </c>
      <c r="K226" s="52">
        <v>150000</v>
      </c>
      <c r="L226" s="52">
        <v>31507.684216231246</v>
      </c>
      <c r="M226" s="52">
        <v>12000</v>
      </c>
      <c r="N226" s="52">
        <v>52000</v>
      </c>
      <c r="O226" s="52">
        <v>10970.762670096659</v>
      </c>
      <c r="P226" s="52">
        <v>42000</v>
      </c>
      <c r="Q226" s="52">
        <v>147000</v>
      </c>
      <c r="R226" s="52">
        <v>29654.981927928144</v>
      </c>
      <c r="S226" s="52">
        <v>15000</v>
      </c>
      <c r="T226" s="52">
        <v>65000</v>
      </c>
      <c r="U226" s="52">
        <v>16634.681097600009</v>
      </c>
      <c r="V226" s="52">
        <v>38000</v>
      </c>
      <c r="W226" s="52">
        <v>133000</v>
      </c>
      <c r="X226" s="52">
        <v>22589.607499099027</v>
      </c>
      <c r="Y226" s="52">
        <v>16500</v>
      </c>
      <c r="Z226" s="52">
        <v>77000</v>
      </c>
      <c r="AA226" s="52">
        <v>15257.892784479169</v>
      </c>
      <c r="AB226" s="52">
        <v>44000</v>
      </c>
      <c r="AC226" s="52">
        <v>154000</v>
      </c>
      <c r="AD226" s="52">
        <v>13200.000000000002</v>
      </c>
      <c r="AE226" s="52">
        <v>0</v>
      </c>
      <c r="AF226" s="52">
        <v>0</v>
      </c>
      <c r="AG226" s="52">
        <v>0</v>
      </c>
      <c r="AH226" s="52">
        <v>42000</v>
      </c>
      <c r="AI226" s="52">
        <v>147000</v>
      </c>
      <c r="AJ226" s="52">
        <v>39855.502855224062</v>
      </c>
      <c r="AK226" s="52">
        <v>13500</v>
      </c>
      <c r="AL226" s="52">
        <v>63000</v>
      </c>
      <c r="AM226" s="52">
        <v>19927.751427612031</v>
      </c>
      <c r="AN226" s="52">
        <v>55000</v>
      </c>
      <c r="AO226" s="52">
        <v>132000</v>
      </c>
      <c r="AP226" s="52">
        <v>60801.264785337989</v>
      </c>
      <c r="AQ226" s="52">
        <v>13500</v>
      </c>
      <c r="AR226" s="52">
        <v>63000</v>
      </c>
      <c r="AS226" s="52">
        <v>20824.146201159037</v>
      </c>
      <c r="AT226" s="52">
        <v>44000</v>
      </c>
      <c r="AU226" s="52">
        <v>143000</v>
      </c>
      <c r="AV226" s="52">
        <v>41638.306937920031</v>
      </c>
      <c r="AW226" s="52">
        <v>13500</v>
      </c>
      <c r="AX226" s="52">
        <v>63000</v>
      </c>
      <c r="AY226" s="52">
        <v>17033.852838240015</v>
      </c>
      <c r="AZ226" s="52">
        <v>50000</v>
      </c>
      <c r="BA226" s="52">
        <v>120000</v>
      </c>
      <c r="BB226" s="52">
        <v>47475.02360422018</v>
      </c>
      <c r="BC226" s="52">
        <v>15000</v>
      </c>
      <c r="BD226" s="52">
        <v>65000</v>
      </c>
      <c r="BE226" s="52">
        <v>17194.471814559998</v>
      </c>
      <c r="BF226" s="52">
        <v>33000</v>
      </c>
      <c r="BG226" s="52">
        <v>154000</v>
      </c>
      <c r="BH226" s="52">
        <v>21361.937911634319</v>
      </c>
      <c r="BI226" s="52">
        <v>13500</v>
      </c>
      <c r="BJ226" s="52">
        <v>58500</v>
      </c>
      <c r="BK226" s="52">
        <v>9987.3995431017593</v>
      </c>
      <c r="BL226" s="52">
        <v>21000</v>
      </c>
      <c r="BM226" s="52">
        <v>157500</v>
      </c>
      <c r="BN226" s="52">
        <v>32720.545263042011</v>
      </c>
      <c r="BO226" s="52">
        <v>13500</v>
      </c>
      <c r="BP226" s="52">
        <v>58500</v>
      </c>
      <c r="BQ226" s="52">
        <v>10738.806527663966</v>
      </c>
      <c r="BR226" s="52">
        <v>34000</v>
      </c>
      <c r="BS226" s="52">
        <v>119000</v>
      </c>
      <c r="BT226" s="52">
        <v>38227.164620868069</v>
      </c>
      <c r="BU226" s="52">
        <v>28000</v>
      </c>
      <c r="BV226" s="52">
        <v>91000</v>
      </c>
      <c r="BW226" s="52">
        <v>13958.540172514062</v>
      </c>
    </row>
    <row r="227" spans="1:75" x14ac:dyDescent="0.3">
      <c r="A227" s="8" t="s">
        <v>100</v>
      </c>
      <c r="B227" s="8" t="s">
        <v>8</v>
      </c>
      <c r="C227" s="8" t="s">
        <v>64</v>
      </c>
      <c r="D227" s="52">
        <v>44000</v>
      </c>
      <c r="E227" s="52">
        <v>154000</v>
      </c>
      <c r="F227" s="52">
        <v>13200.000000000002</v>
      </c>
      <c r="G227" s="52">
        <v>0</v>
      </c>
      <c r="H227" s="52">
        <v>0</v>
      </c>
      <c r="I227" s="52">
        <v>0</v>
      </c>
      <c r="J227" s="52">
        <v>30000</v>
      </c>
      <c r="K227" s="52">
        <v>150000</v>
      </c>
      <c r="L227" s="52">
        <v>12000</v>
      </c>
      <c r="M227" s="52">
        <v>0</v>
      </c>
      <c r="N227" s="52">
        <v>0</v>
      </c>
      <c r="O227" s="52">
        <v>0</v>
      </c>
      <c r="P227" s="52">
        <v>42000</v>
      </c>
      <c r="Q227" s="52">
        <v>147000</v>
      </c>
      <c r="R227" s="52">
        <v>12599.999999999898</v>
      </c>
      <c r="S227" s="52">
        <v>0</v>
      </c>
      <c r="T227" s="52">
        <v>0</v>
      </c>
      <c r="U227" s="52">
        <v>0</v>
      </c>
      <c r="V227" s="52">
        <v>0</v>
      </c>
      <c r="W227" s="52">
        <v>0</v>
      </c>
      <c r="X227" s="52">
        <v>0</v>
      </c>
      <c r="Y227" s="52">
        <v>0</v>
      </c>
      <c r="Z227" s="52">
        <v>0</v>
      </c>
      <c r="AA227" s="52">
        <v>0</v>
      </c>
      <c r="AB227" s="52">
        <v>0</v>
      </c>
      <c r="AC227" s="52">
        <v>0</v>
      </c>
      <c r="AD227" s="52">
        <v>0</v>
      </c>
      <c r="AE227" s="52">
        <v>0</v>
      </c>
      <c r="AF227" s="52">
        <v>0</v>
      </c>
      <c r="AG227" s="52">
        <v>0</v>
      </c>
      <c r="AH227" s="52">
        <v>42000</v>
      </c>
      <c r="AI227" s="52">
        <v>140842.906247148</v>
      </c>
      <c r="AJ227" s="52">
        <v>12600.000000000002</v>
      </c>
      <c r="AK227" s="52">
        <v>0</v>
      </c>
      <c r="AL227" s="52">
        <v>0</v>
      </c>
      <c r="AM227" s="52">
        <v>0</v>
      </c>
      <c r="AN227" s="52">
        <v>55000</v>
      </c>
      <c r="AO227" s="52">
        <v>132000</v>
      </c>
      <c r="AP227" s="52">
        <v>15400</v>
      </c>
      <c r="AQ227" s="52">
        <v>0</v>
      </c>
      <c r="AR227" s="52">
        <v>0</v>
      </c>
      <c r="AS227" s="52">
        <v>0</v>
      </c>
      <c r="AT227" s="52">
        <v>0</v>
      </c>
      <c r="AU227" s="52">
        <v>0</v>
      </c>
      <c r="AV227" s="52">
        <v>0</v>
      </c>
      <c r="AW227" s="52">
        <v>0</v>
      </c>
      <c r="AX227" s="52">
        <v>0</v>
      </c>
      <c r="AY227" s="52">
        <v>0</v>
      </c>
      <c r="AZ227" s="52">
        <v>50000</v>
      </c>
      <c r="BA227" s="52">
        <v>120000</v>
      </c>
      <c r="BB227" s="52">
        <v>13999.999999999965</v>
      </c>
      <c r="BC227" s="52">
        <v>0</v>
      </c>
      <c r="BD227" s="52">
        <v>0</v>
      </c>
      <c r="BE227" s="52">
        <v>0</v>
      </c>
      <c r="BF227" s="52">
        <v>33000</v>
      </c>
      <c r="BG227" s="52">
        <v>154000</v>
      </c>
      <c r="BH227" s="52">
        <v>15399.999999999991</v>
      </c>
      <c r="BI227" s="52">
        <v>0</v>
      </c>
      <c r="BJ227" s="52">
        <v>0</v>
      </c>
      <c r="BK227" s="52">
        <v>0</v>
      </c>
      <c r="BL227" s="52">
        <v>21000</v>
      </c>
      <c r="BM227" s="52">
        <v>157500</v>
      </c>
      <c r="BN227" s="52">
        <v>14700.000000000002</v>
      </c>
      <c r="BO227" s="52">
        <v>0</v>
      </c>
      <c r="BP227" s="52">
        <v>0</v>
      </c>
      <c r="BQ227" s="52">
        <v>0</v>
      </c>
      <c r="BR227" s="52">
        <v>34000</v>
      </c>
      <c r="BS227" s="52">
        <v>119000</v>
      </c>
      <c r="BT227" s="52">
        <v>10200.000000000002</v>
      </c>
      <c r="BU227" s="52">
        <v>0</v>
      </c>
      <c r="BV227" s="52">
        <v>0</v>
      </c>
      <c r="BW227" s="52">
        <v>0</v>
      </c>
    </row>
    <row r="228" spans="1:75" x14ac:dyDescent="0.3">
      <c r="A228" s="8" t="s">
        <v>100</v>
      </c>
      <c r="B228" s="8" t="s">
        <v>8</v>
      </c>
      <c r="C228" s="8" t="s">
        <v>65</v>
      </c>
      <c r="D228" s="52">
        <v>58739.999999999993</v>
      </c>
      <c r="E228" s="52">
        <v>205590</v>
      </c>
      <c r="F228" s="52">
        <v>88110</v>
      </c>
      <c r="G228" s="52">
        <v>24030</v>
      </c>
      <c r="H228" s="52">
        <v>84105</v>
      </c>
      <c r="I228" s="52">
        <v>36045</v>
      </c>
      <c r="J228" s="52">
        <v>40050</v>
      </c>
      <c r="K228" s="52">
        <v>200250</v>
      </c>
      <c r="L228" s="52">
        <v>80100</v>
      </c>
      <c r="M228" s="52">
        <v>16020</v>
      </c>
      <c r="N228" s="52">
        <v>69420</v>
      </c>
      <c r="O228" s="52">
        <v>42720</v>
      </c>
      <c r="P228" s="52">
        <v>56070</v>
      </c>
      <c r="Q228" s="52">
        <v>196245</v>
      </c>
      <c r="R228" s="52">
        <v>84105</v>
      </c>
      <c r="S228" s="52">
        <v>20025</v>
      </c>
      <c r="T228" s="52">
        <v>86774.999999999985</v>
      </c>
      <c r="U228" s="52">
        <v>53400</v>
      </c>
      <c r="V228" s="52">
        <v>50730</v>
      </c>
      <c r="W228" s="52">
        <v>177555</v>
      </c>
      <c r="X228" s="52">
        <v>76095</v>
      </c>
      <c r="Y228" s="52">
        <v>22027.5</v>
      </c>
      <c r="Z228" s="52">
        <v>102795</v>
      </c>
      <c r="AA228" s="52">
        <v>51397.5</v>
      </c>
      <c r="AB228" s="52">
        <v>58739.999999999993</v>
      </c>
      <c r="AC228" s="52">
        <v>205590</v>
      </c>
      <c r="AD228" s="52">
        <v>88110</v>
      </c>
      <c r="AE228" s="52">
        <v>18022.5</v>
      </c>
      <c r="AF228" s="52">
        <v>78097.5</v>
      </c>
      <c r="AG228" s="52">
        <v>48060</v>
      </c>
      <c r="AH228" s="52">
        <v>56070</v>
      </c>
      <c r="AI228" s="52">
        <v>196245</v>
      </c>
      <c r="AJ228" s="52">
        <v>84105</v>
      </c>
      <c r="AK228" s="52">
        <v>18022.5</v>
      </c>
      <c r="AL228" s="52">
        <v>84105</v>
      </c>
      <c r="AM228" s="52">
        <v>42052.5</v>
      </c>
      <c r="AN228" s="52">
        <v>73425</v>
      </c>
      <c r="AO228" s="52">
        <v>176220</v>
      </c>
      <c r="AP228" s="52">
        <v>102795</v>
      </c>
      <c r="AQ228" s="52">
        <v>18022.5</v>
      </c>
      <c r="AR228" s="52">
        <v>84105</v>
      </c>
      <c r="AS228" s="52">
        <v>42052.5</v>
      </c>
      <c r="AT228" s="52">
        <v>58739.999999999993</v>
      </c>
      <c r="AU228" s="52">
        <v>190905</v>
      </c>
      <c r="AV228" s="52">
        <v>102795</v>
      </c>
      <c r="AW228" s="52">
        <v>18022.5</v>
      </c>
      <c r="AX228" s="52">
        <v>84105</v>
      </c>
      <c r="AY228" s="52">
        <v>42052.5</v>
      </c>
      <c r="AZ228" s="52">
        <v>66750</v>
      </c>
      <c r="BA228" s="52">
        <v>160200</v>
      </c>
      <c r="BB228" s="52">
        <v>93450</v>
      </c>
      <c r="BC228" s="52">
        <v>20025</v>
      </c>
      <c r="BD228" s="52">
        <v>86774.999999999985</v>
      </c>
      <c r="BE228" s="52">
        <v>53400</v>
      </c>
      <c r="BF228" s="52">
        <v>44055</v>
      </c>
      <c r="BG228" s="52">
        <v>205590</v>
      </c>
      <c r="BH228" s="52">
        <v>102795</v>
      </c>
      <c r="BI228" s="52">
        <v>18022.5</v>
      </c>
      <c r="BJ228" s="52">
        <v>78097.5</v>
      </c>
      <c r="BK228" s="52">
        <v>48060</v>
      </c>
      <c r="BL228" s="52">
        <v>28035</v>
      </c>
      <c r="BM228" s="52">
        <v>210262.5</v>
      </c>
      <c r="BN228" s="52">
        <v>98122.5</v>
      </c>
      <c r="BO228" s="52">
        <v>18022.5</v>
      </c>
      <c r="BP228" s="52">
        <v>78097.5</v>
      </c>
      <c r="BQ228" s="52">
        <v>48060</v>
      </c>
      <c r="BR228" s="52">
        <v>45390</v>
      </c>
      <c r="BS228" s="52">
        <v>158865</v>
      </c>
      <c r="BT228" s="52">
        <v>68085</v>
      </c>
      <c r="BU228" s="52">
        <v>37379.999999999993</v>
      </c>
      <c r="BV228" s="52">
        <v>121485</v>
      </c>
      <c r="BW228" s="52">
        <v>65414.999999999993</v>
      </c>
    </row>
    <row r="229" spans="1:75" x14ac:dyDescent="0.3">
      <c r="A229" s="8" t="s">
        <v>100</v>
      </c>
      <c r="B229" s="8" t="s">
        <v>8</v>
      </c>
      <c r="C229" s="8" t="s">
        <v>66</v>
      </c>
      <c r="D229" s="52">
        <v>0</v>
      </c>
      <c r="E229" s="52">
        <v>0</v>
      </c>
      <c r="F229" s="52">
        <v>0</v>
      </c>
      <c r="G229" s="52">
        <v>0</v>
      </c>
      <c r="H229" s="52">
        <v>0</v>
      </c>
      <c r="I229" s="52">
        <v>0</v>
      </c>
      <c r="J229" s="52">
        <v>0</v>
      </c>
      <c r="K229" s="52">
        <v>0</v>
      </c>
      <c r="L229" s="52">
        <v>0</v>
      </c>
      <c r="M229" s="52">
        <v>0</v>
      </c>
      <c r="N229" s="52">
        <v>0</v>
      </c>
      <c r="O229" s="52">
        <v>0</v>
      </c>
      <c r="P229" s="52">
        <v>0</v>
      </c>
      <c r="Q229" s="52">
        <v>0</v>
      </c>
      <c r="R229" s="52">
        <v>0</v>
      </c>
      <c r="S229" s="52">
        <v>0</v>
      </c>
      <c r="T229" s="52">
        <v>0</v>
      </c>
      <c r="U229" s="52">
        <v>0</v>
      </c>
      <c r="V229" s="52">
        <v>0</v>
      </c>
      <c r="W229" s="52">
        <v>0</v>
      </c>
      <c r="X229" s="52">
        <v>0</v>
      </c>
      <c r="Y229" s="52">
        <v>0</v>
      </c>
      <c r="Z229" s="52">
        <v>0</v>
      </c>
      <c r="AA229" s="52">
        <v>0</v>
      </c>
      <c r="AB229" s="52">
        <v>0</v>
      </c>
      <c r="AC229" s="52">
        <v>0</v>
      </c>
      <c r="AD229" s="52">
        <v>0</v>
      </c>
      <c r="AE229" s="52">
        <v>0</v>
      </c>
      <c r="AF229" s="52">
        <v>0</v>
      </c>
      <c r="AG229" s="52">
        <v>0</v>
      </c>
      <c r="AH229" s="52">
        <v>0</v>
      </c>
      <c r="AI229" s="52">
        <v>0</v>
      </c>
      <c r="AJ229" s="52">
        <v>0</v>
      </c>
      <c r="AK229" s="52">
        <v>0</v>
      </c>
      <c r="AL229" s="52">
        <v>0</v>
      </c>
      <c r="AM229" s="52">
        <v>0</v>
      </c>
      <c r="AN229" s="52">
        <v>0</v>
      </c>
      <c r="AO229" s="52">
        <v>0</v>
      </c>
      <c r="AP229" s="52">
        <v>0</v>
      </c>
      <c r="AQ229" s="52">
        <v>0</v>
      </c>
      <c r="AR229" s="52">
        <v>0</v>
      </c>
      <c r="AS229" s="52">
        <v>0</v>
      </c>
      <c r="AT229" s="52">
        <v>0</v>
      </c>
      <c r="AU229" s="52">
        <v>0</v>
      </c>
      <c r="AV229" s="52">
        <v>0</v>
      </c>
      <c r="AW229" s="52">
        <v>0</v>
      </c>
      <c r="AX229" s="52">
        <v>0</v>
      </c>
      <c r="AY229" s="52">
        <v>0</v>
      </c>
      <c r="AZ229" s="52">
        <v>0</v>
      </c>
      <c r="BA229" s="52">
        <v>0</v>
      </c>
      <c r="BB229" s="52">
        <v>0</v>
      </c>
      <c r="BC229" s="52">
        <v>0</v>
      </c>
      <c r="BD229" s="52">
        <v>0</v>
      </c>
      <c r="BE229" s="52">
        <v>0</v>
      </c>
      <c r="BF229" s="52">
        <v>0</v>
      </c>
      <c r="BG229" s="52">
        <v>0</v>
      </c>
      <c r="BH229" s="52">
        <v>0</v>
      </c>
      <c r="BI229" s="52">
        <v>0</v>
      </c>
      <c r="BJ229" s="52">
        <v>0</v>
      </c>
      <c r="BK229" s="52">
        <v>0</v>
      </c>
      <c r="BL229" s="52">
        <v>0</v>
      </c>
      <c r="BM229" s="52">
        <v>0</v>
      </c>
      <c r="BN229" s="52">
        <v>0</v>
      </c>
      <c r="BO229" s="52">
        <v>0</v>
      </c>
      <c r="BP229" s="52">
        <v>0</v>
      </c>
      <c r="BQ229" s="52">
        <v>0</v>
      </c>
      <c r="BR229" s="52">
        <v>0</v>
      </c>
      <c r="BS229" s="52">
        <v>0</v>
      </c>
      <c r="BT229" s="52">
        <v>0</v>
      </c>
      <c r="BU229" s="52">
        <v>0</v>
      </c>
      <c r="BV229" s="52">
        <v>0</v>
      </c>
      <c r="BW229" s="52">
        <v>0</v>
      </c>
    </row>
    <row r="230" spans="1:75" x14ac:dyDescent="0.3">
      <c r="A230" s="8" t="s">
        <v>100</v>
      </c>
      <c r="B230" s="8" t="s">
        <v>8</v>
      </c>
      <c r="C230" s="8" t="s">
        <v>67</v>
      </c>
      <c r="D230" s="52">
        <v>0</v>
      </c>
      <c r="E230" s="52">
        <v>0</v>
      </c>
      <c r="F230" s="52">
        <v>0</v>
      </c>
      <c r="G230" s="52">
        <v>0</v>
      </c>
      <c r="H230" s="52">
        <v>0</v>
      </c>
      <c r="I230" s="52">
        <v>0</v>
      </c>
      <c r="J230" s="52">
        <v>0</v>
      </c>
      <c r="K230" s="52">
        <v>0</v>
      </c>
      <c r="L230" s="52">
        <v>0</v>
      </c>
      <c r="M230" s="52">
        <v>0</v>
      </c>
      <c r="N230" s="52">
        <v>0</v>
      </c>
      <c r="O230" s="52">
        <v>0</v>
      </c>
      <c r="P230" s="52">
        <v>0</v>
      </c>
      <c r="Q230" s="52">
        <v>0</v>
      </c>
      <c r="R230" s="52">
        <v>0</v>
      </c>
      <c r="S230" s="52">
        <v>0</v>
      </c>
      <c r="T230" s="52">
        <v>0</v>
      </c>
      <c r="U230" s="52">
        <v>0</v>
      </c>
      <c r="V230" s="52">
        <v>0</v>
      </c>
      <c r="W230" s="52">
        <v>0</v>
      </c>
      <c r="X230" s="52">
        <v>0</v>
      </c>
      <c r="Y230" s="52">
        <v>0</v>
      </c>
      <c r="Z230" s="52">
        <v>0</v>
      </c>
      <c r="AA230" s="52">
        <v>0</v>
      </c>
      <c r="AB230" s="52">
        <v>0</v>
      </c>
      <c r="AC230" s="52">
        <v>0</v>
      </c>
      <c r="AD230" s="52">
        <v>0</v>
      </c>
      <c r="AE230" s="52">
        <v>0</v>
      </c>
      <c r="AF230" s="52">
        <v>0</v>
      </c>
      <c r="AG230" s="52">
        <v>0</v>
      </c>
      <c r="AH230" s="52">
        <v>0</v>
      </c>
      <c r="AI230" s="52">
        <v>0</v>
      </c>
      <c r="AJ230" s="52">
        <v>0</v>
      </c>
      <c r="AK230" s="52">
        <v>0</v>
      </c>
      <c r="AL230" s="52">
        <v>0</v>
      </c>
      <c r="AM230" s="52">
        <v>0</v>
      </c>
      <c r="AN230" s="52">
        <v>0</v>
      </c>
      <c r="AO230" s="52">
        <v>0</v>
      </c>
      <c r="AP230" s="52">
        <v>0</v>
      </c>
      <c r="AQ230" s="52">
        <v>0</v>
      </c>
      <c r="AR230" s="52">
        <v>0</v>
      </c>
      <c r="AS230" s="52">
        <v>0</v>
      </c>
      <c r="AT230" s="52">
        <v>0</v>
      </c>
      <c r="AU230" s="52">
        <v>0</v>
      </c>
      <c r="AV230" s="52">
        <v>0</v>
      </c>
      <c r="AW230" s="52">
        <v>0</v>
      </c>
      <c r="AX230" s="52">
        <v>0</v>
      </c>
      <c r="AY230" s="52">
        <v>0</v>
      </c>
      <c r="AZ230" s="52">
        <v>0</v>
      </c>
      <c r="BA230" s="52">
        <v>0</v>
      </c>
      <c r="BB230" s="52">
        <v>0</v>
      </c>
      <c r="BC230" s="52">
        <v>0</v>
      </c>
      <c r="BD230" s="52">
        <v>0</v>
      </c>
      <c r="BE230" s="52">
        <v>0</v>
      </c>
      <c r="BF230" s="52">
        <v>0</v>
      </c>
      <c r="BG230" s="52">
        <v>0</v>
      </c>
      <c r="BH230" s="52">
        <v>0</v>
      </c>
      <c r="BI230" s="52">
        <v>0</v>
      </c>
      <c r="BJ230" s="52">
        <v>0</v>
      </c>
      <c r="BK230" s="52">
        <v>0</v>
      </c>
      <c r="BL230" s="52">
        <v>0</v>
      </c>
      <c r="BM230" s="52">
        <v>0</v>
      </c>
      <c r="BN230" s="52">
        <v>0</v>
      </c>
      <c r="BO230" s="52">
        <v>0</v>
      </c>
      <c r="BP230" s="52">
        <v>0</v>
      </c>
      <c r="BQ230" s="52">
        <v>0</v>
      </c>
      <c r="BR230" s="52">
        <v>0</v>
      </c>
      <c r="BS230" s="52">
        <v>0</v>
      </c>
      <c r="BT230" s="52">
        <v>0</v>
      </c>
      <c r="BU230" s="52">
        <v>0</v>
      </c>
      <c r="BV230" s="52">
        <v>0</v>
      </c>
      <c r="BW230" s="52">
        <v>0</v>
      </c>
    </row>
    <row r="231" spans="1:75" x14ac:dyDescent="0.3">
      <c r="A231" s="8" t="s">
        <v>100</v>
      </c>
      <c r="B231" s="8" t="s">
        <v>8</v>
      </c>
      <c r="C231" s="8" t="s">
        <v>68</v>
      </c>
      <c r="D231" s="52">
        <v>0</v>
      </c>
      <c r="E231" s="52">
        <v>0</v>
      </c>
      <c r="F231" s="52">
        <v>0</v>
      </c>
      <c r="G231" s="52">
        <v>0</v>
      </c>
      <c r="H231" s="52">
        <v>0</v>
      </c>
      <c r="I231" s="52">
        <v>0</v>
      </c>
      <c r="J231" s="52">
        <v>0</v>
      </c>
      <c r="K231" s="52">
        <v>0</v>
      </c>
      <c r="L231" s="52">
        <v>0</v>
      </c>
      <c r="M231" s="52">
        <v>0</v>
      </c>
      <c r="N231" s="52">
        <v>0</v>
      </c>
      <c r="O231" s="52">
        <v>0</v>
      </c>
      <c r="P231" s="52">
        <v>0</v>
      </c>
      <c r="Q231" s="52">
        <v>0</v>
      </c>
      <c r="R231" s="52">
        <v>0</v>
      </c>
      <c r="S231" s="52">
        <v>0</v>
      </c>
      <c r="T231" s="52">
        <v>0</v>
      </c>
      <c r="U231" s="52">
        <v>0</v>
      </c>
      <c r="V231" s="52">
        <v>0</v>
      </c>
      <c r="W231" s="52">
        <v>0</v>
      </c>
      <c r="X231" s="52">
        <v>0</v>
      </c>
      <c r="Y231" s="52">
        <v>0</v>
      </c>
      <c r="Z231" s="52">
        <v>0</v>
      </c>
      <c r="AA231" s="52">
        <v>0</v>
      </c>
      <c r="AB231" s="52">
        <v>0</v>
      </c>
      <c r="AC231" s="52">
        <v>0</v>
      </c>
      <c r="AD231" s="52">
        <v>0</v>
      </c>
      <c r="AE231" s="52">
        <v>0</v>
      </c>
      <c r="AF231" s="52">
        <v>0</v>
      </c>
      <c r="AG231" s="52">
        <v>0</v>
      </c>
      <c r="AH231" s="52">
        <v>0</v>
      </c>
      <c r="AI231" s="52">
        <v>0</v>
      </c>
      <c r="AJ231" s="52">
        <v>0</v>
      </c>
      <c r="AK231" s="52">
        <v>0</v>
      </c>
      <c r="AL231" s="52">
        <v>0</v>
      </c>
      <c r="AM231" s="52">
        <v>0</v>
      </c>
      <c r="AN231" s="52">
        <v>0</v>
      </c>
      <c r="AO231" s="52">
        <v>0</v>
      </c>
      <c r="AP231" s="52">
        <v>0</v>
      </c>
      <c r="AQ231" s="52">
        <v>0</v>
      </c>
      <c r="AR231" s="52">
        <v>0</v>
      </c>
      <c r="AS231" s="52">
        <v>0</v>
      </c>
      <c r="AT231" s="52">
        <v>0</v>
      </c>
      <c r="AU231" s="52">
        <v>0</v>
      </c>
      <c r="AV231" s="52">
        <v>0</v>
      </c>
      <c r="AW231" s="52">
        <v>0</v>
      </c>
      <c r="AX231" s="52">
        <v>0</v>
      </c>
      <c r="AY231" s="52">
        <v>0</v>
      </c>
      <c r="AZ231" s="52">
        <v>0</v>
      </c>
      <c r="BA231" s="52">
        <v>0</v>
      </c>
      <c r="BB231" s="52">
        <v>0</v>
      </c>
      <c r="BC231" s="52">
        <v>0</v>
      </c>
      <c r="BD231" s="52">
        <v>0</v>
      </c>
      <c r="BE231" s="52">
        <v>0</v>
      </c>
      <c r="BF231" s="52">
        <v>0</v>
      </c>
      <c r="BG231" s="52">
        <v>0</v>
      </c>
      <c r="BH231" s="52">
        <v>0</v>
      </c>
      <c r="BI231" s="52">
        <v>0</v>
      </c>
      <c r="BJ231" s="52">
        <v>0</v>
      </c>
      <c r="BK231" s="52">
        <v>0</v>
      </c>
      <c r="BL231" s="52">
        <v>0</v>
      </c>
      <c r="BM231" s="52">
        <v>0</v>
      </c>
      <c r="BN231" s="52">
        <v>0</v>
      </c>
      <c r="BO231" s="52">
        <v>0</v>
      </c>
      <c r="BP231" s="52">
        <v>0</v>
      </c>
      <c r="BQ231" s="52">
        <v>0</v>
      </c>
      <c r="BR231" s="52">
        <v>0</v>
      </c>
      <c r="BS231" s="52">
        <v>0</v>
      </c>
      <c r="BT231" s="52">
        <v>0</v>
      </c>
      <c r="BU231" s="52">
        <v>0</v>
      </c>
      <c r="BV231" s="52">
        <v>0</v>
      </c>
      <c r="BW231" s="52">
        <v>0</v>
      </c>
    </row>
    <row r="232" spans="1:75" x14ac:dyDescent="0.3">
      <c r="A232" s="8" t="s">
        <v>100</v>
      </c>
      <c r="B232" s="8" t="s">
        <v>8</v>
      </c>
      <c r="C232" s="8" t="s">
        <v>69</v>
      </c>
      <c r="D232" s="52">
        <v>0</v>
      </c>
      <c r="E232" s="52">
        <v>0</v>
      </c>
      <c r="F232" s="52">
        <v>0</v>
      </c>
      <c r="G232" s="52">
        <v>0</v>
      </c>
      <c r="H232" s="52">
        <v>0</v>
      </c>
      <c r="I232" s="52">
        <v>0</v>
      </c>
      <c r="J232" s="52">
        <v>0</v>
      </c>
      <c r="K232" s="52">
        <v>0</v>
      </c>
      <c r="L232" s="52">
        <v>0</v>
      </c>
      <c r="M232" s="52">
        <v>0</v>
      </c>
      <c r="N232" s="52">
        <v>0</v>
      </c>
      <c r="O232" s="52">
        <v>0</v>
      </c>
      <c r="P232" s="52">
        <v>0</v>
      </c>
      <c r="Q232" s="52">
        <v>0</v>
      </c>
      <c r="R232" s="52">
        <v>0</v>
      </c>
      <c r="S232" s="52">
        <v>0</v>
      </c>
      <c r="T232" s="52">
        <v>0</v>
      </c>
      <c r="U232" s="52">
        <v>0</v>
      </c>
      <c r="V232" s="52">
        <v>0</v>
      </c>
      <c r="W232" s="52">
        <v>0</v>
      </c>
      <c r="X232" s="52">
        <v>0</v>
      </c>
      <c r="Y232" s="52">
        <v>0</v>
      </c>
      <c r="Z232" s="52">
        <v>0</v>
      </c>
      <c r="AA232" s="52">
        <v>0</v>
      </c>
      <c r="AB232" s="52">
        <v>0</v>
      </c>
      <c r="AC232" s="52">
        <v>0</v>
      </c>
      <c r="AD232" s="52">
        <v>0</v>
      </c>
      <c r="AE232" s="52">
        <v>0</v>
      </c>
      <c r="AF232" s="52">
        <v>0</v>
      </c>
      <c r="AG232" s="52">
        <v>0</v>
      </c>
      <c r="AH232" s="52">
        <v>0</v>
      </c>
      <c r="AI232" s="52">
        <v>0</v>
      </c>
      <c r="AJ232" s="52">
        <v>0</v>
      </c>
      <c r="AK232" s="52">
        <v>0</v>
      </c>
      <c r="AL232" s="52">
        <v>0</v>
      </c>
      <c r="AM232" s="52">
        <v>0</v>
      </c>
      <c r="AN232" s="52">
        <v>0</v>
      </c>
      <c r="AO232" s="52">
        <v>0</v>
      </c>
      <c r="AP232" s="52">
        <v>0</v>
      </c>
      <c r="AQ232" s="52">
        <v>0</v>
      </c>
      <c r="AR232" s="52">
        <v>0</v>
      </c>
      <c r="AS232" s="52">
        <v>0</v>
      </c>
      <c r="AT232" s="52">
        <v>0</v>
      </c>
      <c r="AU232" s="52">
        <v>0</v>
      </c>
      <c r="AV232" s="52">
        <v>0</v>
      </c>
      <c r="AW232" s="52">
        <v>0</v>
      </c>
      <c r="AX232" s="52">
        <v>0</v>
      </c>
      <c r="AY232" s="52">
        <v>0</v>
      </c>
      <c r="AZ232" s="52">
        <v>0</v>
      </c>
      <c r="BA232" s="52">
        <v>0</v>
      </c>
      <c r="BB232" s="52">
        <v>0</v>
      </c>
      <c r="BC232" s="52">
        <v>0</v>
      </c>
      <c r="BD232" s="52">
        <v>0</v>
      </c>
      <c r="BE232" s="52">
        <v>0</v>
      </c>
      <c r="BF232" s="52">
        <v>0</v>
      </c>
      <c r="BG232" s="52">
        <v>0</v>
      </c>
      <c r="BH232" s="52">
        <v>0</v>
      </c>
      <c r="BI232" s="52">
        <v>0</v>
      </c>
      <c r="BJ232" s="52">
        <v>0</v>
      </c>
      <c r="BK232" s="52">
        <v>0</v>
      </c>
      <c r="BL232" s="52">
        <v>0</v>
      </c>
      <c r="BM232" s="52">
        <v>0</v>
      </c>
      <c r="BN232" s="52">
        <v>0</v>
      </c>
      <c r="BO232" s="52">
        <v>0</v>
      </c>
      <c r="BP232" s="52">
        <v>0</v>
      </c>
      <c r="BQ232" s="52">
        <v>0</v>
      </c>
      <c r="BR232" s="52">
        <v>0</v>
      </c>
      <c r="BS232" s="52">
        <v>0</v>
      </c>
      <c r="BT232" s="52">
        <v>0</v>
      </c>
      <c r="BU232" s="52">
        <v>0</v>
      </c>
      <c r="BV232" s="52">
        <v>0</v>
      </c>
      <c r="BW232" s="52">
        <v>0</v>
      </c>
    </row>
    <row r="233" spans="1:75" x14ac:dyDescent="0.3">
      <c r="A233" s="8" t="s">
        <v>100</v>
      </c>
      <c r="B233" s="8" t="s">
        <v>8</v>
      </c>
      <c r="C233" s="8" t="s">
        <v>27</v>
      </c>
      <c r="D233" s="52">
        <v>13200</v>
      </c>
      <c r="E233" s="52">
        <v>46199.999999999993</v>
      </c>
      <c r="F233" s="52">
        <v>19800</v>
      </c>
      <c r="G233" s="52">
        <v>5399.9999999999991</v>
      </c>
      <c r="H233" s="52">
        <v>18900</v>
      </c>
      <c r="I233" s="52">
        <v>3636.0000000000073</v>
      </c>
      <c r="J233" s="52">
        <v>9000</v>
      </c>
      <c r="K233" s="52">
        <v>45000</v>
      </c>
      <c r="L233" s="52">
        <v>15370.434782608701</v>
      </c>
      <c r="M233" s="52">
        <v>3599.9999999999995</v>
      </c>
      <c r="N233" s="52">
        <v>15600</v>
      </c>
      <c r="O233" s="52">
        <v>8197.5652173913095</v>
      </c>
      <c r="P233" s="52">
        <v>12600</v>
      </c>
      <c r="Q233" s="52">
        <v>44100</v>
      </c>
      <c r="R233" s="52">
        <v>18900</v>
      </c>
      <c r="S233" s="52">
        <v>4500</v>
      </c>
      <c r="T233" s="52">
        <v>19500</v>
      </c>
      <c r="U233" s="52">
        <v>7536.0000000000146</v>
      </c>
      <c r="V233" s="52">
        <v>11400</v>
      </c>
      <c r="W233" s="52">
        <v>39900</v>
      </c>
      <c r="X233" s="52">
        <v>6786.2827225130904</v>
      </c>
      <c r="Y233" s="52">
        <v>4950</v>
      </c>
      <c r="Z233" s="52">
        <v>23099.999999999996</v>
      </c>
      <c r="AA233" s="52">
        <v>4583.7172774869114</v>
      </c>
      <c r="AB233" s="52">
        <v>12704.139130434782</v>
      </c>
      <c r="AC233" s="52">
        <v>46199.999999999993</v>
      </c>
      <c r="AD233" s="52">
        <v>0</v>
      </c>
      <c r="AE233" s="52">
        <v>3897.8608695652174</v>
      </c>
      <c r="AF233" s="52">
        <v>17550</v>
      </c>
      <c r="AG233" s="52">
        <v>0</v>
      </c>
      <c r="AH233" s="52">
        <v>12600</v>
      </c>
      <c r="AI233" s="52">
        <v>24633.000000000004</v>
      </c>
      <c r="AJ233" s="52">
        <v>0</v>
      </c>
      <c r="AK233" s="52">
        <v>4050</v>
      </c>
      <c r="AL233" s="52">
        <v>10557.000000000004</v>
      </c>
      <c r="AM233" s="52">
        <v>0</v>
      </c>
      <c r="AN233" s="52">
        <v>8489.5168301900612</v>
      </c>
      <c r="AO233" s="52">
        <v>29104.099657008985</v>
      </c>
      <c r="AP233" s="52">
        <v>0</v>
      </c>
      <c r="AQ233" s="52">
        <v>2083.7904946830149</v>
      </c>
      <c r="AR233" s="52">
        <v>13890.593018117925</v>
      </c>
      <c r="AS233" s="52">
        <v>0</v>
      </c>
      <c r="AT233" s="52">
        <v>10668.000000000005</v>
      </c>
      <c r="AU233" s="52">
        <v>42900</v>
      </c>
      <c r="AV233" s="52">
        <v>0</v>
      </c>
      <c r="AW233" s="52">
        <v>0</v>
      </c>
      <c r="AX233" s="52">
        <v>0</v>
      </c>
      <c r="AY233" s="52">
        <v>0</v>
      </c>
      <c r="AZ233" s="52">
        <v>15000</v>
      </c>
      <c r="BA233" s="52">
        <v>36000</v>
      </c>
      <c r="BB233" s="52">
        <v>2759.9999999999982</v>
      </c>
      <c r="BC233" s="52">
        <v>4500</v>
      </c>
      <c r="BD233" s="52">
        <v>19500</v>
      </c>
      <c r="BE233" s="52">
        <v>0</v>
      </c>
      <c r="BF233" s="52">
        <v>9900</v>
      </c>
      <c r="BG233" s="52">
        <v>46199.999999999993</v>
      </c>
      <c r="BH233" s="52">
        <v>21497.144085173757</v>
      </c>
      <c r="BI233" s="52">
        <v>4050</v>
      </c>
      <c r="BJ233" s="52">
        <v>9965.8031194800078</v>
      </c>
      <c r="BK233" s="52">
        <v>2131.0527953462506</v>
      </c>
      <c r="BL233" s="52">
        <v>6300</v>
      </c>
      <c r="BM233" s="52">
        <v>47250</v>
      </c>
      <c r="BN233" s="52">
        <v>22050</v>
      </c>
      <c r="BO233" s="52">
        <v>4050</v>
      </c>
      <c r="BP233" s="52">
        <v>17550</v>
      </c>
      <c r="BQ233" s="52">
        <v>6480.0000000000091</v>
      </c>
      <c r="BR233" s="52">
        <v>10200</v>
      </c>
      <c r="BS233" s="52">
        <v>35699.999999999993</v>
      </c>
      <c r="BT233" s="52">
        <v>13023.360000000004</v>
      </c>
      <c r="BU233" s="52">
        <v>8400</v>
      </c>
      <c r="BV233" s="52">
        <v>27300</v>
      </c>
      <c r="BW233" s="52">
        <v>12512.640000000005</v>
      </c>
    </row>
    <row r="234" spans="1:75" x14ac:dyDescent="0.3">
      <c r="A234" s="8" t="s">
        <v>100</v>
      </c>
      <c r="B234" s="8" t="s">
        <v>8</v>
      </c>
      <c r="C234" s="8" t="s">
        <v>144</v>
      </c>
      <c r="D234" s="52">
        <v>17600</v>
      </c>
      <c r="E234" s="52">
        <v>48931.49345410971</v>
      </c>
      <c r="F234" s="52">
        <v>0</v>
      </c>
      <c r="G234" s="52">
        <v>7200</v>
      </c>
      <c r="H234" s="52">
        <v>11985.464168874098</v>
      </c>
      <c r="I234" s="52">
        <v>0</v>
      </c>
      <c r="J234" s="52">
        <v>12000</v>
      </c>
      <c r="K234" s="52">
        <v>0</v>
      </c>
      <c r="L234" s="52">
        <v>0</v>
      </c>
      <c r="M234" s="52">
        <v>4800.0000000000009</v>
      </c>
      <c r="N234" s="52">
        <v>0</v>
      </c>
      <c r="O234" s="52">
        <v>0</v>
      </c>
      <c r="P234" s="52">
        <v>16800</v>
      </c>
      <c r="Q234" s="52">
        <v>0</v>
      </c>
      <c r="R234" s="52">
        <v>0</v>
      </c>
      <c r="S234" s="52">
        <v>6000</v>
      </c>
      <c r="T234" s="52">
        <v>0</v>
      </c>
      <c r="U234" s="52">
        <v>0</v>
      </c>
      <c r="V234" s="52">
        <v>15200.000000000002</v>
      </c>
      <c r="W234" s="52">
        <v>4917.3783770161599</v>
      </c>
      <c r="X234" s="52">
        <v>0</v>
      </c>
      <c r="Y234" s="52">
        <v>0</v>
      </c>
      <c r="Z234" s="52">
        <v>0</v>
      </c>
      <c r="AA234" s="52">
        <v>0</v>
      </c>
      <c r="AB234" s="52">
        <v>17600</v>
      </c>
      <c r="AC234" s="52">
        <v>48076.30510144015</v>
      </c>
      <c r="AD234" s="52">
        <v>0</v>
      </c>
      <c r="AE234" s="52">
        <v>5400</v>
      </c>
      <c r="AF234" s="52">
        <v>18262.752262560058</v>
      </c>
      <c r="AG234" s="52">
        <v>0</v>
      </c>
      <c r="AH234" s="52">
        <v>2920.2897457927675</v>
      </c>
      <c r="AI234" s="52">
        <v>0</v>
      </c>
      <c r="AJ234" s="52">
        <v>0</v>
      </c>
      <c r="AK234" s="52">
        <v>938.66456114767516</v>
      </c>
      <c r="AL234" s="52">
        <v>0</v>
      </c>
      <c r="AM234" s="52">
        <v>0</v>
      </c>
      <c r="AN234" s="52">
        <v>22000</v>
      </c>
      <c r="AO234" s="52">
        <v>10114.335696935143</v>
      </c>
      <c r="AP234" s="52">
        <v>0</v>
      </c>
      <c r="AQ234" s="52">
        <v>5400</v>
      </c>
      <c r="AR234" s="52">
        <v>4827.2965826281361</v>
      </c>
      <c r="AS234" s="52">
        <v>0</v>
      </c>
      <c r="AT234" s="52">
        <v>17600</v>
      </c>
      <c r="AU234" s="52">
        <v>0</v>
      </c>
      <c r="AV234" s="52">
        <v>0</v>
      </c>
      <c r="AW234" s="52">
        <v>5004.9269166060085</v>
      </c>
      <c r="AX234" s="52">
        <v>0</v>
      </c>
      <c r="AY234" s="52">
        <v>0</v>
      </c>
      <c r="AZ234" s="52">
        <v>20000</v>
      </c>
      <c r="BA234" s="52">
        <v>0</v>
      </c>
      <c r="BB234" s="52">
        <v>0</v>
      </c>
      <c r="BC234" s="52">
        <v>4926.5651328900267</v>
      </c>
      <c r="BD234" s="52">
        <v>0</v>
      </c>
      <c r="BE234" s="52">
        <v>0</v>
      </c>
      <c r="BF234" s="52">
        <v>9180.8639999999996</v>
      </c>
      <c r="BG234" s="52">
        <v>0</v>
      </c>
      <c r="BH234" s="52">
        <v>0</v>
      </c>
      <c r="BI234" s="52">
        <v>3755.8080000000009</v>
      </c>
      <c r="BJ234" s="52">
        <v>0</v>
      </c>
      <c r="BK234" s="52">
        <v>0</v>
      </c>
      <c r="BL234" s="52">
        <v>8400</v>
      </c>
      <c r="BM234" s="52">
        <v>7661.2392727269762</v>
      </c>
      <c r="BN234" s="52">
        <v>0</v>
      </c>
      <c r="BO234" s="52">
        <v>5400</v>
      </c>
      <c r="BP234" s="52">
        <v>0</v>
      </c>
      <c r="BQ234" s="52">
        <v>0</v>
      </c>
      <c r="BR234" s="52">
        <v>13600.000000000002</v>
      </c>
      <c r="BS234" s="52">
        <v>32261.305054199049</v>
      </c>
      <c r="BT234" s="52">
        <v>0</v>
      </c>
      <c r="BU234" s="52">
        <v>11200.000000000002</v>
      </c>
      <c r="BV234" s="52">
        <v>6465.967673073983</v>
      </c>
      <c r="BW234" s="52">
        <v>0</v>
      </c>
    </row>
    <row r="235" spans="1:75" x14ac:dyDescent="0.3">
      <c r="A235" s="8" t="s">
        <v>100</v>
      </c>
      <c r="B235" s="8" t="s">
        <v>8</v>
      </c>
      <c r="C235" s="8" t="s">
        <v>145</v>
      </c>
      <c r="D235" s="52">
        <v>10775.998019336019</v>
      </c>
      <c r="E235" s="52">
        <v>0</v>
      </c>
      <c r="F235" s="52">
        <v>0</v>
      </c>
      <c r="G235" s="52">
        <v>4408.3628260920077</v>
      </c>
      <c r="H235" s="52">
        <v>0</v>
      </c>
      <c r="I235" s="52">
        <v>0</v>
      </c>
      <c r="J235" s="52">
        <v>3066.8318751327301</v>
      </c>
      <c r="K235" s="52">
        <v>0</v>
      </c>
      <c r="L235" s="52">
        <v>0</v>
      </c>
      <c r="M235" s="52">
        <v>1226.7327500530921</v>
      </c>
      <c r="N235" s="52">
        <v>0</v>
      </c>
      <c r="O235" s="52">
        <v>0</v>
      </c>
      <c r="P235" s="52">
        <v>13226.556203280064</v>
      </c>
      <c r="Q235" s="52">
        <v>0</v>
      </c>
      <c r="R235" s="52">
        <v>0</v>
      </c>
      <c r="S235" s="52">
        <v>4723.770072600023</v>
      </c>
      <c r="T235" s="52">
        <v>0</v>
      </c>
      <c r="U235" s="52">
        <v>0</v>
      </c>
      <c r="V235" s="52">
        <v>10278.714659520074</v>
      </c>
      <c r="W235" s="52">
        <v>0</v>
      </c>
      <c r="X235" s="52">
        <v>0</v>
      </c>
      <c r="Y235" s="52">
        <v>1307.9266206270258</v>
      </c>
      <c r="Z235" s="52">
        <v>0</v>
      </c>
      <c r="AA235" s="52">
        <v>0</v>
      </c>
      <c r="AB235" s="52">
        <v>17600</v>
      </c>
      <c r="AC235" s="52">
        <v>0</v>
      </c>
      <c r="AD235" s="52">
        <v>0</v>
      </c>
      <c r="AE235" s="52">
        <v>5400</v>
      </c>
      <c r="AF235" s="52">
        <v>0</v>
      </c>
      <c r="AG235" s="52">
        <v>0</v>
      </c>
      <c r="AH235" s="52">
        <v>1130.6704156792684</v>
      </c>
      <c r="AI235" s="52">
        <v>0</v>
      </c>
      <c r="AJ235" s="52">
        <v>0</v>
      </c>
      <c r="AK235" s="52">
        <v>363.42977646833629</v>
      </c>
      <c r="AL235" s="52">
        <v>0</v>
      </c>
      <c r="AM235" s="52">
        <v>0</v>
      </c>
      <c r="AN235" s="52">
        <v>22000</v>
      </c>
      <c r="AO235" s="52">
        <v>0</v>
      </c>
      <c r="AP235" s="52">
        <v>0</v>
      </c>
      <c r="AQ235" s="52">
        <v>5400</v>
      </c>
      <c r="AR235" s="52">
        <v>0</v>
      </c>
      <c r="AS235" s="52">
        <v>0</v>
      </c>
      <c r="AT235" s="52">
        <v>16823.728895928052</v>
      </c>
      <c r="AU235" s="52">
        <v>18649.918408550169</v>
      </c>
      <c r="AV235" s="52">
        <v>0</v>
      </c>
      <c r="AW235" s="52">
        <v>0</v>
      </c>
      <c r="AX235" s="52">
        <v>0</v>
      </c>
      <c r="AY235" s="52">
        <v>0</v>
      </c>
      <c r="AZ235" s="52">
        <v>5328.9596891999754</v>
      </c>
      <c r="BA235" s="52">
        <v>0</v>
      </c>
      <c r="BB235" s="52">
        <v>0</v>
      </c>
      <c r="BC235" s="52">
        <v>0</v>
      </c>
      <c r="BD235" s="52">
        <v>0</v>
      </c>
      <c r="BE235" s="52">
        <v>0</v>
      </c>
      <c r="BF235" s="52">
        <v>11973.969933419979</v>
      </c>
      <c r="BG235" s="52">
        <v>0</v>
      </c>
      <c r="BH235" s="52">
        <v>0</v>
      </c>
      <c r="BI235" s="52">
        <v>276.32341134001325</v>
      </c>
      <c r="BJ235" s="52">
        <v>0</v>
      </c>
      <c r="BK235" s="52">
        <v>0</v>
      </c>
      <c r="BL235" s="52">
        <v>4472.5953113100431</v>
      </c>
      <c r="BM235" s="52">
        <v>0</v>
      </c>
      <c r="BN235" s="52">
        <v>0</v>
      </c>
      <c r="BO235" s="52">
        <v>722.08713146400123</v>
      </c>
      <c r="BP235" s="52">
        <v>0</v>
      </c>
      <c r="BQ235" s="52">
        <v>0</v>
      </c>
      <c r="BR235" s="52">
        <v>0</v>
      </c>
      <c r="BS235" s="52">
        <v>0</v>
      </c>
      <c r="BT235" s="52">
        <v>0</v>
      </c>
      <c r="BU235" s="52">
        <v>0</v>
      </c>
      <c r="BV235" s="52">
        <v>0</v>
      </c>
      <c r="BW235" s="52">
        <v>0</v>
      </c>
    </row>
    <row r="236" spans="1:75" x14ac:dyDescent="0.3">
      <c r="A236" s="8" t="s">
        <v>100</v>
      </c>
      <c r="B236" s="8" t="s">
        <v>8</v>
      </c>
      <c r="C236" s="8" t="s">
        <v>146</v>
      </c>
      <c r="D236" s="52">
        <v>17600</v>
      </c>
      <c r="E236" s="52">
        <v>61600</v>
      </c>
      <c r="F236" s="52">
        <v>0</v>
      </c>
      <c r="G236" s="52">
        <v>7200</v>
      </c>
      <c r="H236" s="52">
        <v>25200.000000000004</v>
      </c>
      <c r="I236" s="52">
        <v>0</v>
      </c>
      <c r="J236" s="52">
        <v>12000</v>
      </c>
      <c r="K236" s="52">
        <v>60000</v>
      </c>
      <c r="L236" s="52">
        <v>0</v>
      </c>
      <c r="M236" s="52">
        <v>4800.0000000000009</v>
      </c>
      <c r="N236" s="52">
        <v>20800</v>
      </c>
      <c r="O236" s="52">
        <v>0</v>
      </c>
      <c r="P236" s="52">
        <v>16800</v>
      </c>
      <c r="Q236" s="52">
        <v>58800.000000000007</v>
      </c>
      <c r="R236" s="52">
        <v>0</v>
      </c>
      <c r="S236" s="52">
        <v>6000</v>
      </c>
      <c r="T236" s="52">
        <v>18236.511125430021</v>
      </c>
      <c r="U236" s="52">
        <v>0</v>
      </c>
      <c r="V236" s="52">
        <v>15200.000000000002</v>
      </c>
      <c r="W236" s="52">
        <v>53200</v>
      </c>
      <c r="X236" s="52">
        <v>0</v>
      </c>
      <c r="Y236" s="52">
        <v>6600.0000000000009</v>
      </c>
      <c r="Z236" s="52">
        <v>6040.1464977699825</v>
      </c>
      <c r="AA236" s="52">
        <v>0</v>
      </c>
      <c r="AB236" s="52">
        <v>17600</v>
      </c>
      <c r="AC236" s="52">
        <v>61600</v>
      </c>
      <c r="AD236" s="52">
        <v>14236.562346996061</v>
      </c>
      <c r="AE236" s="52">
        <v>5400</v>
      </c>
      <c r="AF236" s="52">
        <v>23400.000000000004</v>
      </c>
      <c r="AG236" s="52">
        <v>7765.3976438160335</v>
      </c>
      <c r="AH236" s="52">
        <v>16800</v>
      </c>
      <c r="AI236" s="52">
        <v>35928.807290751167</v>
      </c>
      <c r="AJ236" s="52">
        <v>0</v>
      </c>
      <c r="AK236" s="52">
        <v>5400</v>
      </c>
      <c r="AL236" s="52">
        <v>15398.060267464787</v>
      </c>
      <c r="AM236" s="52">
        <v>0</v>
      </c>
      <c r="AN236" s="52">
        <v>22000</v>
      </c>
      <c r="AO236" s="52">
        <v>52800.000000000007</v>
      </c>
      <c r="AP236" s="52">
        <v>0</v>
      </c>
      <c r="AQ236" s="52">
        <v>5400</v>
      </c>
      <c r="AR236" s="52">
        <v>25200.000000000004</v>
      </c>
      <c r="AS236" s="52">
        <v>0</v>
      </c>
      <c r="AT236" s="52">
        <v>17600</v>
      </c>
      <c r="AU236" s="52">
        <v>57200</v>
      </c>
      <c r="AV236" s="52">
        <v>0</v>
      </c>
      <c r="AW236" s="52">
        <v>5400</v>
      </c>
      <c r="AX236" s="52">
        <v>16841.813422392021</v>
      </c>
      <c r="AY236" s="52">
        <v>0</v>
      </c>
      <c r="AZ236" s="52">
        <v>20000</v>
      </c>
      <c r="BA236" s="52">
        <v>33116.779646880022</v>
      </c>
      <c r="BB236" s="52">
        <v>0</v>
      </c>
      <c r="BC236" s="52">
        <v>6000</v>
      </c>
      <c r="BD236" s="52">
        <v>420.32987022003812</v>
      </c>
      <c r="BE236" s="52">
        <v>0</v>
      </c>
      <c r="BF236" s="52">
        <v>13200.000000000002</v>
      </c>
      <c r="BG236" s="52">
        <v>54587.61738306826</v>
      </c>
      <c r="BH236" s="52">
        <v>0</v>
      </c>
      <c r="BI236" s="52">
        <v>5400</v>
      </c>
      <c r="BJ236" s="52">
        <v>0</v>
      </c>
      <c r="BK236" s="52">
        <v>0</v>
      </c>
      <c r="BL236" s="52">
        <v>8400</v>
      </c>
      <c r="BM236" s="52">
        <v>55645.66448639318</v>
      </c>
      <c r="BN236" s="52">
        <v>0</v>
      </c>
      <c r="BO236" s="52">
        <v>5400</v>
      </c>
      <c r="BP236" s="52">
        <v>2799.3602006370361</v>
      </c>
      <c r="BQ236" s="52">
        <v>0</v>
      </c>
      <c r="BR236" s="52">
        <v>13600.000000000002</v>
      </c>
      <c r="BS236" s="52">
        <v>47600</v>
      </c>
      <c r="BT236" s="52">
        <v>0</v>
      </c>
      <c r="BU236" s="52">
        <v>11200.000000000002</v>
      </c>
      <c r="BV236" s="52">
        <v>36400</v>
      </c>
      <c r="BW236" s="52">
        <v>0</v>
      </c>
    </row>
    <row r="237" spans="1:75" x14ac:dyDescent="0.3">
      <c r="A237" s="8" t="s">
        <v>100</v>
      </c>
      <c r="B237" s="8" t="s">
        <v>8</v>
      </c>
      <c r="C237" s="8" t="s">
        <v>28</v>
      </c>
      <c r="D237" s="52">
        <v>17600</v>
      </c>
      <c r="E237" s="52">
        <v>61600</v>
      </c>
      <c r="F237" s="52">
        <v>26400.000000000004</v>
      </c>
      <c r="G237" s="52">
        <v>7200</v>
      </c>
      <c r="H237" s="52">
        <v>25200.000000000004</v>
      </c>
      <c r="I237" s="52">
        <v>10800</v>
      </c>
      <c r="J237" s="52">
        <v>12000</v>
      </c>
      <c r="K237" s="52">
        <v>60000</v>
      </c>
      <c r="L237" s="52">
        <v>24000</v>
      </c>
      <c r="M237" s="52">
        <v>4800.0000000000009</v>
      </c>
      <c r="N237" s="52">
        <v>20800</v>
      </c>
      <c r="O237" s="52">
        <v>12800</v>
      </c>
      <c r="P237" s="52">
        <v>16800</v>
      </c>
      <c r="Q237" s="52">
        <v>58800.000000000007</v>
      </c>
      <c r="R237" s="52">
        <v>25200.000000000004</v>
      </c>
      <c r="S237" s="52">
        <v>6000</v>
      </c>
      <c r="T237" s="52">
        <v>26000</v>
      </c>
      <c r="U237" s="52">
        <v>16000</v>
      </c>
      <c r="V237" s="52">
        <v>15200.000000000002</v>
      </c>
      <c r="W237" s="52">
        <v>53200</v>
      </c>
      <c r="X237" s="52">
        <v>22800</v>
      </c>
      <c r="Y237" s="52">
        <v>6600.0000000000009</v>
      </c>
      <c r="Z237" s="52">
        <v>30800</v>
      </c>
      <c r="AA237" s="52">
        <v>15400</v>
      </c>
      <c r="AB237" s="52">
        <v>17600</v>
      </c>
      <c r="AC237" s="52">
        <v>61600</v>
      </c>
      <c r="AD237" s="52">
        <v>26400.000000000004</v>
      </c>
      <c r="AE237" s="52">
        <v>5400</v>
      </c>
      <c r="AF237" s="52">
        <v>23400.000000000004</v>
      </c>
      <c r="AG237" s="52">
        <v>14400</v>
      </c>
      <c r="AH237" s="52">
        <v>16800</v>
      </c>
      <c r="AI237" s="52">
        <v>58800.000000000007</v>
      </c>
      <c r="AJ237" s="52">
        <v>25200.000000000004</v>
      </c>
      <c r="AK237" s="52">
        <v>5400</v>
      </c>
      <c r="AL237" s="52">
        <v>25200.000000000004</v>
      </c>
      <c r="AM237" s="52">
        <v>12600.000000000002</v>
      </c>
      <c r="AN237" s="52">
        <v>22000</v>
      </c>
      <c r="AO237" s="52">
        <v>52800.000000000007</v>
      </c>
      <c r="AP237" s="52">
        <v>30800</v>
      </c>
      <c r="AQ237" s="52">
        <v>5400</v>
      </c>
      <c r="AR237" s="52">
        <v>25200.000000000004</v>
      </c>
      <c r="AS237" s="52">
        <v>12600.000000000002</v>
      </c>
      <c r="AT237" s="52">
        <v>17600</v>
      </c>
      <c r="AU237" s="52">
        <v>57200</v>
      </c>
      <c r="AV237" s="52">
        <v>30800</v>
      </c>
      <c r="AW237" s="52">
        <v>5400</v>
      </c>
      <c r="AX237" s="52">
        <v>25200.000000000004</v>
      </c>
      <c r="AY237" s="52">
        <v>12600.000000000002</v>
      </c>
      <c r="AZ237" s="52">
        <v>20000</v>
      </c>
      <c r="BA237" s="52">
        <v>48000</v>
      </c>
      <c r="BB237" s="52">
        <v>28000</v>
      </c>
      <c r="BC237" s="52">
        <v>6000</v>
      </c>
      <c r="BD237" s="52">
        <v>26000</v>
      </c>
      <c r="BE237" s="52">
        <v>16000</v>
      </c>
      <c r="BF237" s="52">
        <v>13200.000000000002</v>
      </c>
      <c r="BG237" s="52">
        <v>61600</v>
      </c>
      <c r="BH237" s="52">
        <v>30800</v>
      </c>
      <c r="BI237" s="52">
        <v>5400</v>
      </c>
      <c r="BJ237" s="52">
        <v>23400.000000000004</v>
      </c>
      <c r="BK237" s="52">
        <v>14400</v>
      </c>
      <c r="BL237" s="52">
        <v>8400</v>
      </c>
      <c r="BM237" s="52">
        <v>63000</v>
      </c>
      <c r="BN237" s="52">
        <v>29400.000000000004</v>
      </c>
      <c r="BO237" s="52">
        <v>5400</v>
      </c>
      <c r="BP237" s="52">
        <v>23400.000000000004</v>
      </c>
      <c r="BQ237" s="52">
        <v>14400</v>
      </c>
      <c r="BR237" s="52">
        <v>13600.000000000002</v>
      </c>
      <c r="BS237" s="52">
        <v>47600</v>
      </c>
      <c r="BT237" s="52">
        <v>20400.000000000004</v>
      </c>
      <c r="BU237" s="52">
        <v>11200.000000000002</v>
      </c>
      <c r="BV237" s="52">
        <v>36400</v>
      </c>
      <c r="BW237" s="52">
        <v>19600</v>
      </c>
    </row>
    <row r="238" spans="1:75" x14ac:dyDescent="0.3">
      <c r="A238" s="8" t="s">
        <v>100</v>
      </c>
      <c r="B238" s="8" t="s">
        <v>9</v>
      </c>
      <c r="C238" s="8" t="s">
        <v>60</v>
      </c>
      <c r="D238" s="52">
        <v>67900.800000000003</v>
      </c>
      <c r="E238" s="52">
        <v>237652.80000000002</v>
      </c>
      <c r="F238" s="52">
        <v>101851.20000000001</v>
      </c>
      <c r="G238" s="52">
        <v>27777.600000000002</v>
      </c>
      <c r="H238" s="52">
        <v>97221.6</v>
      </c>
      <c r="I238" s="52">
        <v>41666.400000000001</v>
      </c>
      <c r="J238" s="52">
        <v>46296.000000000007</v>
      </c>
      <c r="K238" s="52">
        <v>231480.00000000003</v>
      </c>
      <c r="L238" s="52">
        <v>92592.000000000015</v>
      </c>
      <c r="M238" s="52">
        <v>18518.400000000001</v>
      </c>
      <c r="N238" s="52">
        <v>80246.400000000009</v>
      </c>
      <c r="O238" s="52">
        <v>49382.400000000001</v>
      </c>
      <c r="P238" s="52">
        <v>64814.400000000009</v>
      </c>
      <c r="Q238" s="52">
        <v>226850.4</v>
      </c>
      <c r="R238" s="52">
        <v>97221.6</v>
      </c>
      <c r="S238" s="52">
        <v>23148.000000000004</v>
      </c>
      <c r="T238" s="52">
        <v>100308</v>
      </c>
      <c r="U238" s="52">
        <v>61728.000000000007</v>
      </c>
      <c r="V238" s="52">
        <v>58641.600000000006</v>
      </c>
      <c r="W238" s="52">
        <v>205245.60000000003</v>
      </c>
      <c r="X238" s="52">
        <v>87962.400000000009</v>
      </c>
      <c r="Y238" s="52">
        <v>25462.800000000003</v>
      </c>
      <c r="Z238" s="52">
        <v>118826.40000000001</v>
      </c>
      <c r="AA238" s="52">
        <v>59413.200000000004</v>
      </c>
      <c r="AB238" s="52">
        <v>67900.800000000003</v>
      </c>
      <c r="AC238" s="52">
        <v>237652.80000000002</v>
      </c>
      <c r="AD238" s="52">
        <v>101851.20000000001</v>
      </c>
      <c r="AE238" s="52">
        <v>20833.2</v>
      </c>
      <c r="AF238" s="52">
        <v>90277.200000000012</v>
      </c>
      <c r="AG238" s="52">
        <v>55555.200000000004</v>
      </c>
      <c r="AH238" s="52">
        <v>64814.400000000009</v>
      </c>
      <c r="AI238" s="52">
        <v>226850.4</v>
      </c>
      <c r="AJ238" s="52">
        <v>97221.6</v>
      </c>
      <c r="AK238" s="52">
        <v>20833.2</v>
      </c>
      <c r="AL238" s="52">
        <v>97221.6</v>
      </c>
      <c r="AM238" s="52">
        <v>48610.8</v>
      </c>
      <c r="AN238" s="52">
        <v>84876</v>
      </c>
      <c r="AO238" s="52">
        <v>203702.40000000002</v>
      </c>
      <c r="AP238" s="52">
        <v>118826.40000000001</v>
      </c>
      <c r="AQ238" s="52">
        <v>20833.2</v>
      </c>
      <c r="AR238" s="52">
        <v>97221.6</v>
      </c>
      <c r="AS238" s="52">
        <v>48610.8</v>
      </c>
      <c r="AT238" s="52">
        <v>67900.800000000003</v>
      </c>
      <c r="AU238" s="52">
        <v>220677.6</v>
      </c>
      <c r="AV238" s="52">
        <v>118826.40000000001</v>
      </c>
      <c r="AW238" s="52">
        <v>20833.2</v>
      </c>
      <c r="AX238" s="52">
        <v>97221.6</v>
      </c>
      <c r="AY238" s="52">
        <v>48610.8</v>
      </c>
      <c r="AZ238" s="52">
        <v>77160.000000000015</v>
      </c>
      <c r="BA238" s="52">
        <v>185184.00000000003</v>
      </c>
      <c r="BB238" s="52">
        <v>108024.00000000001</v>
      </c>
      <c r="BC238" s="52">
        <v>23148.000000000004</v>
      </c>
      <c r="BD238" s="52">
        <v>100308</v>
      </c>
      <c r="BE238" s="52">
        <v>61728.000000000007</v>
      </c>
      <c r="BF238" s="52">
        <v>50925.600000000006</v>
      </c>
      <c r="BG238" s="52">
        <v>237652.80000000002</v>
      </c>
      <c r="BH238" s="52">
        <v>118826.40000000001</v>
      </c>
      <c r="BI238" s="52">
        <v>20833.2</v>
      </c>
      <c r="BJ238" s="52">
        <v>90277.200000000012</v>
      </c>
      <c r="BK238" s="52">
        <v>55555.200000000004</v>
      </c>
      <c r="BL238" s="52">
        <v>32407.200000000004</v>
      </c>
      <c r="BM238" s="52">
        <v>243054.00000000003</v>
      </c>
      <c r="BN238" s="52">
        <v>113425.2</v>
      </c>
      <c r="BO238" s="52">
        <v>20833.2</v>
      </c>
      <c r="BP238" s="52">
        <v>90277.200000000012</v>
      </c>
      <c r="BQ238" s="52">
        <v>55555.200000000004</v>
      </c>
      <c r="BR238" s="52">
        <v>52468.800000000003</v>
      </c>
      <c r="BS238" s="52">
        <v>183640.80000000002</v>
      </c>
      <c r="BT238" s="52">
        <v>78703.200000000012</v>
      </c>
      <c r="BU238" s="52">
        <v>43209.599999999999</v>
      </c>
      <c r="BV238" s="52">
        <v>140431.20000000001</v>
      </c>
      <c r="BW238" s="52">
        <v>75616.800000000017</v>
      </c>
    </row>
    <row r="239" spans="1:75" x14ac:dyDescent="0.3">
      <c r="A239" s="8" t="s">
        <v>100</v>
      </c>
      <c r="B239" s="8" t="s">
        <v>9</v>
      </c>
      <c r="C239" s="8" t="s">
        <v>150</v>
      </c>
      <c r="D239" s="52">
        <v>48587.379876111932</v>
      </c>
      <c r="E239" s="52">
        <v>102028.77409753404</v>
      </c>
      <c r="F239" s="52">
        <v>31046.399999999994</v>
      </c>
      <c r="G239" s="52">
        <v>0</v>
      </c>
      <c r="H239" s="52">
        <v>0</v>
      </c>
      <c r="I239" s="52">
        <v>0</v>
      </c>
      <c r="J239" s="52">
        <v>31344.183648780036</v>
      </c>
      <c r="K239" s="52">
        <v>70559.999999999985</v>
      </c>
      <c r="L239" s="52">
        <v>28223.999999999996</v>
      </c>
      <c r="M239" s="52">
        <v>12537.673459512014</v>
      </c>
      <c r="N239" s="52">
        <v>24460.799999999996</v>
      </c>
      <c r="O239" s="52">
        <v>15052.799999999997</v>
      </c>
      <c r="P239" s="52">
        <v>19756.799999999905</v>
      </c>
      <c r="Q239" s="52">
        <v>69148.799999999668</v>
      </c>
      <c r="R239" s="52">
        <v>29635.199999999859</v>
      </c>
      <c r="S239" s="52">
        <v>7055.9999999999991</v>
      </c>
      <c r="T239" s="52">
        <v>30575.999999999996</v>
      </c>
      <c r="U239" s="52">
        <v>18815.999999999996</v>
      </c>
      <c r="V239" s="52">
        <v>17875.199999999997</v>
      </c>
      <c r="W239" s="52">
        <v>62563.19999999999</v>
      </c>
      <c r="X239" s="52">
        <v>26812.799999999996</v>
      </c>
      <c r="Y239" s="52">
        <v>0</v>
      </c>
      <c r="Z239" s="52">
        <v>0</v>
      </c>
      <c r="AA239" s="52">
        <v>0</v>
      </c>
      <c r="AB239" s="52">
        <v>0</v>
      </c>
      <c r="AC239" s="52">
        <v>0</v>
      </c>
      <c r="AD239" s="52">
        <v>0</v>
      </c>
      <c r="AE239" s="52">
        <v>0</v>
      </c>
      <c r="AF239" s="52">
        <v>0</v>
      </c>
      <c r="AG239" s="52">
        <v>0</v>
      </c>
      <c r="AH239" s="52">
        <v>19756.8</v>
      </c>
      <c r="AI239" s="52">
        <v>69148.799999999988</v>
      </c>
      <c r="AJ239" s="52">
        <v>29635.199999999993</v>
      </c>
      <c r="AK239" s="52">
        <v>6350.3999999999987</v>
      </c>
      <c r="AL239" s="52">
        <v>29635.199999999993</v>
      </c>
      <c r="AM239" s="52">
        <v>14817.599999999997</v>
      </c>
      <c r="AN239" s="52">
        <v>25871.999999999996</v>
      </c>
      <c r="AO239" s="52">
        <v>62092.799999999988</v>
      </c>
      <c r="AP239" s="52">
        <v>36220.799999999996</v>
      </c>
      <c r="AQ239" s="52">
        <v>6350.3999999999987</v>
      </c>
      <c r="AR239" s="52">
        <v>29635.199999999993</v>
      </c>
      <c r="AS239" s="52">
        <v>14817.599999999997</v>
      </c>
      <c r="AT239" s="52">
        <v>20697.599999999999</v>
      </c>
      <c r="AU239" s="52">
        <v>67267.199999999983</v>
      </c>
      <c r="AV239" s="52">
        <v>36220.799999999996</v>
      </c>
      <c r="AW239" s="52">
        <v>0</v>
      </c>
      <c r="AX239" s="52">
        <v>0</v>
      </c>
      <c r="AY239" s="52">
        <v>0</v>
      </c>
      <c r="AZ239" s="52">
        <v>23519.999999999996</v>
      </c>
      <c r="BA239" s="52">
        <v>56447.999999999993</v>
      </c>
      <c r="BB239" s="52">
        <v>32928</v>
      </c>
      <c r="BC239" s="52">
        <v>7055.9999999999991</v>
      </c>
      <c r="BD239" s="52">
        <v>30575.999999999996</v>
      </c>
      <c r="BE239" s="52">
        <v>18815.999999999996</v>
      </c>
      <c r="BF239" s="52">
        <v>19477.724770717214</v>
      </c>
      <c r="BG239" s="52">
        <v>72441.599999999991</v>
      </c>
      <c r="BH239" s="52">
        <v>36220.799999999996</v>
      </c>
      <c r="BI239" s="52">
        <v>6350.3999999999987</v>
      </c>
      <c r="BJ239" s="52">
        <v>27518.399999999998</v>
      </c>
      <c r="BK239" s="52">
        <v>16934.399999999998</v>
      </c>
      <c r="BL239" s="52">
        <v>9878.4</v>
      </c>
      <c r="BM239" s="52">
        <v>74088</v>
      </c>
      <c r="BN239" s="52">
        <v>34574.399999999994</v>
      </c>
      <c r="BO239" s="52">
        <v>6350.3999999999987</v>
      </c>
      <c r="BP239" s="52">
        <v>27518.399999999998</v>
      </c>
      <c r="BQ239" s="52">
        <v>16934.399999999998</v>
      </c>
      <c r="BR239" s="52">
        <v>27250.465502184092</v>
      </c>
      <c r="BS239" s="52">
        <v>55977.599999999991</v>
      </c>
      <c r="BT239" s="52">
        <v>23990.399999999998</v>
      </c>
      <c r="BU239" s="52">
        <v>0</v>
      </c>
      <c r="BV239" s="52">
        <v>0</v>
      </c>
      <c r="BW239" s="52">
        <v>0</v>
      </c>
    </row>
    <row r="240" spans="1:75" x14ac:dyDescent="0.3">
      <c r="A240" s="8" t="s">
        <v>100</v>
      </c>
      <c r="B240" s="8" t="s">
        <v>9</v>
      </c>
      <c r="C240" s="8" t="s">
        <v>61</v>
      </c>
      <c r="D240" s="52">
        <v>0</v>
      </c>
      <c r="E240" s="52">
        <v>0</v>
      </c>
      <c r="F240" s="52">
        <v>0</v>
      </c>
      <c r="G240" s="52">
        <v>0</v>
      </c>
      <c r="H240" s="52">
        <v>0</v>
      </c>
      <c r="I240" s="52">
        <v>0</v>
      </c>
      <c r="J240" s="52">
        <v>0</v>
      </c>
      <c r="K240" s="52">
        <v>0</v>
      </c>
      <c r="L240" s="52">
        <v>0</v>
      </c>
      <c r="M240" s="52">
        <v>0</v>
      </c>
      <c r="N240" s="52">
        <v>0</v>
      </c>
      <c r="O240" s="52">
        <v>0</v>
      </c>
      <c r="P240" s="52">
        <v>0</v>
      </c>
      <c r="Q240" s="52">
        <v>0</v>
      </c>
      <c r="R240" s="52">
        <v>0</v>
      </c>
      <c r="S240" s="52">
        <v>0</v>
      </c>
      <c r="T240" s="52">
        <v>0</v>
      </c>
      <c r="U240" s="52">
        <v>0</v>
      </c>
      <c r="V240" s="52">
        <v>0</v>
      </c>
      <c r="W240" s="52">
        <v>0</v>
      </c>
      <c r="X240" s="52">
        <v>0</v>
      </c>
      <c r="Y240" s="52">
        <v>0</v>
      </c>
      <c r="Z240" s="52">
        <v>0</v>
      </c>
      <c r="AA240" s="52">
        <v>0</v>
      </c>
      <c r="AB240" s="52">
        <v>14368.727645711951</v>
      </c>
      <c r="AC240" s="52">
        <v>30520.177573424124</v>
      </c>
      <c r="AD240" s="52">
        <v>10723.679999999984</v>
      </c>
      <c r="AE240" s="52">
        <v>0</v>
      </c>
      <c r="AF240" s="52">
        <v>0</v>
      </c>
      <c r="AG240" s="52">
        <v>0</v>
      </c>
      <c r="AH240" s="52">
        <v>0</v>
      </c>
      <c r="AI240" s="52">
        <v>0</v>
      </c>
      <c r="AJ240" s="52">
        <v>0</v>
      </c>
      <c r="AK240" s="52">
        <v>0</v>
      </c>
      <c r="AL240" s="52">
        <v>0</v>
      </c>
      <c r="AM240" s="52">
        <v>0</v>
      </c>
      <c r="AN240" s="52">
        <v>0</v>
      </c>
      <c r="AO240" s="52">
        <v>0</v>
      </c>
      <c r="AP240" s="52">
        <v>0</v>
      </c>
      <c r="AQ240" s="52">
        <v>0</v>
      </c>
      <c r="AR240" s="52">
        <v>0</v>
      </c>
      <c r="AS240" s="52">
        <v>0</v>
      </c>
      <c r="AT240" s="52">
        <v>17872.800000000003</v>
      </c>
      <c r="AU240" s="52">
        <v>58086.600000000006</v>
      </c>
      <c r="AV240" s="52">
        <v>12510.959999999948</v>
      </c>
      <c r="AW240" s="52">
        <v>5483.7</v>
      </c>
      <c r="AX240" s="52">
        <v>24421.973422392006</v>
      </c>
      <c r="AY240" s="52">
        <v>5118.119999999979</v>
      </c>
      <c r="AZ240" s="52">
        <v>0</v>
      </c>
      <c r="BA240" s="52">
        <v>0</v>
      </c>
      <c r="BB240" s="52">
        <v>0</v>
      </c>
      <c r="BC240" s="52">
        <v>0</v>
      </c>
      <c r="BD240" s="52">
        <v>0</v>
      </c>
      <c r="BE240" s="52">
        <v>0</v>
      </c>
      <c r="BF240" s="52">
        <v>0</v>
      </c>
      <c r="BG240" s="52">
        <v>0</v>
      </c>
      <c r="BH240" s="52">
        <v>0</v>
      </c>
      <c r="BI240" s="52">
        <v>0</v>
      </c>
      <c r="BJ240" s="52">
        <v>0</v>
      </c>
      <c r="BK240" s="52">
        <v>0</v>
      </c>
      <c r="BL240" s="52">
        <v>8530.2000000000007</v>
      </c>
      <c r="BM240" s="52">
        <v>63976.5</v>
      </c>
      <c r="BN240" s="52">
        <v>11942.279999999999</v>
      </c>
      <c r="BO240" s="52">
        <v>0</v>
      </c>
      <c r="BP240" s="52">
        <v>0</v>
      </c>
      <c r="BQ240" s="52">
        <v>0</v>
      </c>
      <c r="BR240" s="52">
        <v>0</v>
      </c>
      <c r="BS240" s="52">
        <v>0</v>
      </c>
      <c r="BT240" s="52">
        <v>0</v>
      </c>
      <c r="BU240" s="52">
        <v>0</v>
      </c>
      <c r="BV240" s="52">
        <v>0</v>
      </c>
      <c r="BW240" s="52">
        <v>0</v>
      </c>
    </row>
    <row r="241" spans="1:75" x14ac:dyDescent="0.3">
      <c r="A241" s="8" t="s">
        <v>100</v>
      </c>
      <c r="B241" s="8" t="s">
        <v>9</v>
      </c>
      <c r="C241" s="8" t="s">
        <v>152</v>
      </c>
      <c r="D241" s="52">
        <v>0</v>
      </c>
      <c r="E241" s="52">
        <v>0</v>
      </c>
      <c r="F241" s="52">
        <v>0</v>
      </c>
      <c r="G241" s="52">
        <v>0</v>
      </c>
      <c r="H241" s="52">
        <v>0</v>
      </c>
      <c r="I241" s="52">
        <v>0</v>
      </c>
      <c r="J241" s="52">
        <v>6980.9853073800023</v>
      </c>
      <c r="K241" s="52">
        <v>45120.000000000007</v>
      </c>
      <c r="L241" s="52">
        <v>7219.1999999999953</v>
      </c>
      <c r="M241" s="52">
        <v>0</v>
      </c>
      <c r="N241" s="52">
        <v>0</v>
      </c>
      <c r="O241" s="52">
        <v>0</v>
      </c>
      <c r="P241" s="52">
        <v>0</v>
      </c>
      <c r="Q241" s="52">
        <v>0</v>
      </c>
      <c r="R241" s="52">
        <v>0</v>
      </c>
      <c r="S241" s="52">
        <v>0</v>
      </c>
      <c r="T241" s="52">
        <v>0</v>
      </c>
      <c r="U241" s="52">
        <v>0</v>
      </c>
      <c r="V241" s="52">
        <v>11430.400000000001</v>
      </c>
      <c r="W241" s="52">
        <v>40006.400000000001</v>
      </c>
      <c r="X241" s="52">
        <v>6858.2399999999861</v>
      </c>
      <c r="Y241" s="52">
        <v>0</v>
      </c>
      <c r="Z241" s="52">
        <v>0</v>
      </c>
      <c r="AA241" s="52">
        <v>0</v>
      </c>
      <c r="AB241" s="52">
        <v>0</v>
      </c>
      <c r="AC241" s="52">
        <v>0</v>
      </c>
      <c r="AD241" s="52">
        <v>0</v>
      </c>
      <c r="AE241" s="52">
        <v>0</v>
      </c>
      <c r="AF241" s="52">
        <v>0</v>
      </c>
      <c r="AG241" s="52">
        <v>0</v>
      </c>
      <c r="AH241" s="52">
        <v>11791.293093048043</v>
      </c>
      <c r="AI241" s="52">
        <v>23525.146247147779</v>
      </c>
      <c r="AJ241" s="52">
        <v>7580.1599999999989</v>
      </c>
      <c r="AK241" s="52">
        <v>0</v>
      </c>
      <c r="AL241" s="52">
        <v>0</v>
      </c>
      <c r="AM241" s="52">
        <v>0</v>
      </c>
      <c r="AN241" s="52">
        <v>16544</v>
      </c>
      <c r="AO241" s="52">
        <v>39705.600000000006</v>
      </c>
      <c r="AP241" s="52">
        <v>9264.639999999974</v>
      </c>
      <c r="AQ241" s="52">
        <v>4060.8</v>
      </c>
      <c r="AR241" s="52">
        <v>18950.400000000001</v>
      </c>
      <c r="AS241" s="52">
        <v>3790.0799999999995</v>
      </c>
      <c r="AT241" s="52">
        <v>0</v>
      </c>
      <c r="AU241" s="52">
        <v>0</v>
      </c>
      <c r="AV241" s="52">
        <v>0</v>
      </c>
      <c r="AW241" s="52">
        <v>0</v>
      </c>
      <c r="AX241" s="52">
        <v>0</v>
      </c>
      <c r="AY241" s="52">
        <v>0</v>
      </c>
      <c r="AZ241" s="52">
        <v>0</v>
      </c>
      <c r="BA241" s="52">
        <v>0</v>
      </c>
      <c r="BB241" s="52">
        <v>0</v>
      </c>
      <c r="BC241" s="52">
        <v>0</v>
      </c>
      <c r="BD241" s="52">
        <v>0</v>
      </c>
      <c r="BE241" s="52">
        <v>0</v>
      </c>
      <c r="BF241" s="52">
        <v>0</v>
      </c>
      <c r="BG241" s="52">
        <v>0</v>
      </c>
      <c r="BH241" s="52">
        <v>0</v>
      </c>
      <c r="BI241" s="52">
        <v>0</v>
      </c>
      <c r="BJ241" s="52">
        <v>0</v>
      </c>
      <c r="BK241" s="52">
        <v>0</v>
      </c>
      <c r="BL241" s="52">
        <v>0</v>
      </c>
      <c r="BM241" s="52">
        <v>0</v>
      </c>
      <c r="BN241" s="52">
        <v>0</v>
      </c>
      <c r="BO241" s="52">
        <v>0</v>
      </c>
      <c r="BP241" s="52">
        <v>0</v>
      </c>
      <c r="BQ241" s="52">
        <v>0</v>
      </c>
      <c r="BR241" s="52">
        <v>10227.200000000001</v>
      </c>
      <c r="BS241" s="52">
        <v>35795.200000000004</v>
      </c>
      <c r="BT241" s="52">
        <v>6136.32</v>
      </c>
      <c r="BU241" s="52">
        <v>0</v>
      </c>
      <c r="BV241" s="52">
        <v>0</v>
      </c>
      <c r="BW241" s="52">
        <v>0</v>
      </c>
    </row>
    <row r="242" spans="1:75" x14ac:dyDescent="0.3">
      <c r="A242" s="8" t="s">
        <v>100</v>
      </c>
      <c r="B242" s="8" t="s">
        <v>9</v>
      </c>
      <c r="C242" s="8" t="s">
        <v>151</v>
      </c>
      <c r="D242" s="52">
        <v>17107.2</v>
      </c>
      <c r="E242" s="52">
        <v>59875.200000000004</v>
      </c>
      <c r="F242" s="52">
        <v>10264.320000000002</v>
      </c>
      <c r="G242" s="52">
        <v>0</v>
      </c>
      <c r="H242" s="52">
        <v>0</v>
      </c>
      <c r="I242" s="52">
        <v>0</v>
      </c>
      <c r="J242" s="52">
        <v>11664.000000000002</v>
      </c>
      <c r="K242" s="52">
        <v>58320.000000000007</v>
      </c>
      <c r="L242" s="52">
        <v>9331.1999999999916</v>
      </c>
      <c r="M242" s="52">
        <v>4665.6000000000004</v>
      </c>
      <c r="N242" s="52">
        <v>20217.600000000002</v>
      </c>
      <c r="O242" s="52">
        <v>4976.6399999999949</v>
      </c>
      <c r="P242" s="52">
        <v>16329.600000000002</v>
      </c>
      <c r="Q242" s="52">
        <v>57153.600000000006</v>
      </c>
      <c r="R242" s="52">
        <v>9797.760000000002</v>
      </c>
      <c r="S242" s="52">
        <v>5832.0000000000009</v>
      </c>
      <c r="T242" s="52">
        <v>18236.51112543005</v>
      </c>
      <c r="U242" s="52">
        <v>6220.8</v>
      </c>
      <c r="V242" s="52">
        <v>14774.400000000001</v>
      </c>
      <c r="W242" s="52">
        <v>51710.400000000009</v>
      </c>
      <c r="X242" s="52">
        <v>8864.6400000000012</v>
      </c>
      <c r="Y242" s="52">
        <v>6415.2000000000007</v>
      </c>
      <c r="Z242" s="52">
        <v>27279.826497770024</v>
      </c>
      <c r="AA242" s="52">
        <v>5987.52</v>
      </c>
      <c r="AB242" s="52">
        <v>17107.2</v>
      </c>
      <c r="AC242" s="52">
        <v>59875.200000000004</v>
      </c>
      <c r="AD242" s="52">
        <v>10264.320000000002</v>
      </c>
      <c r="AE242" s="52">
        <v>5248.8</v>
      </c>
      <c r="AF242" s="52">
        <v>15346.752262560054</v>
      </c>
      <c r="AG242" s="52">
        <v>5598.7200000000012</v>
      </c>
      <c r="AH242" s="52">
        <v>16329.600000000002</v>
      </c>
      <c r="AI242" s="52">
        <v>57153.600000000006</v>
      </c>
      <c r="AJ242" s="52">
        <v>9797.760000000002</v>
      </c>
      <c r="AK242" s="52">
        <v>0</v>
      </c>
      <c r="AL242" s="52">
        <v>0</v>
      </c>
      <c r="AM242" s="52">
        <v>0</v>
      </c>
      <c r="AN242" s="52">
        <v>21384</v>
      </c>
      <c r="AO242" s="52">
        <v>51321.600000000006</v>
      </c>
      <c r="AP242" s="52">
        <v>11975.04</v>
      </c>
      <c r="AQ242" s="52">
        <v>0</v>
      </c>
      <c r="AR242" s="52">
        <v>0</v>
      </c>
      <c r="AS242" s="52">
        <v>0</v>
      </c>
      <c r="AT242" s="52">
        <v>17107.2</v>
      </c>
      <c r="AU242" s="52">
        <v>55598.400000000009</v>
      </c>
      <c r="AV242" s="52">
        <v>11975.04</v>
      </c>
      <c r="AW242" s="52">
        <v>5248.8</v>
      </c>
      <c r="AX242" s="52">
        <v>24494.400000000001</v>
      </c>
      <c r="AY242" s="52">
        <v>4898.880000000001</v>
      </c>
      <c r="AZ242" s="52">
        <v>19440</v>
      </c>
      <c r="BA242" s="52">
        <v>46656.000000000007</v>
      </c>
      <c r="BB242" s="52">
        <v>10886.39999999987</v>
      </c>
      <c r="BC242" s="52">
        <v>0</v>
      </c>
      <c r="BD242" s="52">
        <v>0</v>
      </c>
      <c r="BE242" s="52">
        <v>0</v>
      </c>
      <c r="BF242" s="52">
        <v>0</v>
      </c>
      <c r="BG242" s="52">
        <v>0</v>
      </c>
      <c r="BH242" s="52">
        <v>0</v>
      </c>
      <c r="BI242" s="52">
        <v>0</v>
      </c>
      <c r="BJ242" s="52">
        <v>0</v>
      </c>
      <c r="BK242" s="52">
        <v>0</v>
      </c>
      <c r="BL242" s="52">
        <v>8164.8000000000011</v>
      </c>
      <c r="BM242" s="52">
        <v>61236.000000000007</v>
      </c>
      <c r="BN242" s="52">
        <v>11430.719999999988</v>
      </c>
      <c r="BO242" s="52">
        <v>5248.8</v>
      </c>
      <c r="BP242" s="52">
        <v>22744.800000000003</v>
      </c>
      <c r="BQ242" s="52">
        <v>5598.7199999999884</v>
      </c>
      <c r="BR242" s="52">
        <v>13219.2</v>
      </c>
      <c r="BS242" s="52">
        <v>46267.200000000004</v>
      </c>
      <c r="BT242" s="52">
        <v>7931.52</v>
      </c>
      <c r="BU242" s="52">
        <v>0</v>
      </c>
      <c r="BV242" s="52">
        <v>0</v>
      </c>
      <c r="BW242" s="52">
        <v>0</v>
      </c>
    </row>
    <row r="243" spans="1:75" x14ac:dyDescent="0.3">
      <c r="A243" s="8" t="s">
        <v>100</v>
      </c>
      <c r="B243" s="8" t="s">
        <v>9</v>
      </c>
      <c r="C243" s="8" t="s">
        <v>62</v>
      </c>
      <c r="D243" s="52">
        <v>44000</v>
      </c>
      <c r="E243" s="52">
        <v>154000</v>
      </c>
      <c r="F243" s="52">
        <v>66000</v>
      </c>
      <c r="G243" s="52">
        <v>18000</v>
      </c>
      <c r="H243" s="52">
        <v>63000</v>
      </c>
      <c r="I243" s="52">
        <v>27000</v>
      </c>
      <c r="J243" s="52">
        <v>30000</v>
      </c>
      <c r="K243" s="52">
        <v>150000</v>
      </c>
      <c r="L243" s="52">
        <v>60000</v>
      </c>
      <c r="M243" s="52">
        <v>12000</v>
      </c>
      <c r="N243" s="52">
        <v>52000</v>
      </c>
      <c r="O243" s="52">
        <v>32000</v>
      </c>
      <c r="P243" s="52">
        <v>42000</v>
      </c>
      <c r="Q243" s="52">
        <v>147000</v>
      </c>
      <c r="R243" s="52">
        <v>63000</v>
      </c>
      <c r="S243" s="52">
        <v>15000</v>
      </c>
      <c r="T243" s="52">
        <v>65000</v>
      </c>
      <c r="U243" s="52">
        <v>40000</v>
      </c>
      <c r="V243" s="52">
        <v>38000</v>
      </c>
      <c r="W243" s="52">
        <v>133000</v>
      </c>
      <c r="X243" s="52">
        <v>57000</v>
      </c>
      <c r="Y243" s="52">
        <v>16500</v>
      </c>
      <c r="Z243" s="52">
        <v>77000</v>
      </c>
      <c r="AA243" s="52">
        <v>38500</v>
      </c>
      <c r="AB243" s="52">
        <v>44000</v>
      </c>
      <c r="AC243" s="52">
        <v>154000</v>
      </c>
      <c r="AD243" s="52">
        <v>66000</v>
      </c>
      <c r="AE243" s="52">
        <v>13500</v>
      </c>
      <c r="AF243" s="52">
        <v>58500</v>
      </c>
      <c r="AG243" s="52">
        <v>36000</v>
      </c>
      <c r="AH243" s="52">
        <v>42000</v>
      </c>
      <c r="AI243" s="52">
        <v>147000</v>
      </c>
      <c r="AJ243" s="52">
        <v>63000</v>
      </c>
      <c r="AK243" s="52">
        <v>13500</v>
      </c>
      <c r="AL243" s="52">
        <v>63000</v>
      </c>
      <c r="AM243" s="52">
        <v>31500</v>
      </c>
      <c r="AN243" s="52">
        <v>55000</v>
      </c>
      <c r="AO243" s="52">
        <v>132000</v>
      </c>
      <c r="AP243" s="52">
        <v>77000</v>
      </c>
      <c r="AQ243" s="52">
        <v>13500</v>
      </c>
      <c r="AR243" s="52">
        <v>63000</v>
      </c>
      <c r="AS243" s="52">
        <v>31500</v>
      </c>
      <c r="AT243" s="52">
        <v>44000</v>
      </c>
      <c r="AU243" s="52">
        <v>143000</v>
      </c>
      <c r="AV243" s="52">
        <v>77000</v>
      </c>
      <c r="AW243" s="52">
        <v>13500</v>
      </c>
      <c r="AX243" s="52">
        <v>63000</v>
      </c>
      <c r="AY243" s="52">
        <v>31500</v>
      </c>
      <c r="AZ243" s="52">
        <v>50000</v>
      </c>
      <c r="BA243" s="52">
        <v>120000</v>
      </c>
      <c r="BB243" s="52">
        <v>70000</v>
      </c>
      <c r="BC243" s="52">
        <v>15000</v>
      </c>
      <c r="BD243" s="52">
        <v>65000</v>
      </c>
      <c r="BE243" s="52">
        <v>40000</v>
      </c>
      <c r="BF243" s="52">
        <v>33000</v>
      </c>
      <c r="BG243" s="52">
        <v>154000</v>
      </c>
      <c r="BH243" s="52">
        <v>77000</v>
      </c>
      <c r="BI243" s="52">
        <v>13500</v>
      </c>
      <c r="BJ243" s="52">
        <v>58500</v>
      </c>
      <c r="BK243" s="52">
        <v>36000</v>
      </c>
      <c r="BL243" s="52">
        <v>21000</v>
      </c>
      <c r="BM243" s="52">
        <v>157500</v>
      </c>
      <c r="BN243" s="52">
        <v>73500</v>
      </c>
      <c r="BO243" s="52">
        <v>13500</v>
      </c>
      <c r="BP243" s="52">
        <v>58500</v>
      </c>
      <c r="BQ243" s="52">
        <v>36000</v>
      </c>
      <c r="BR243" s="52">
        <v>34000</v>
      </c>
      <c r="BS243" s="52">
        <v>119000</v>
      </c>
      <c r="BT243" s="52">
        <v>51000</v>
      </c>
      <c r="BU243" s="52">
        <v>28000</v>
      </c>
      <c r="BV243" s="52">
        <v>91000</v>
      </c>
      <c r="BW243" s="52">
        <v>49000</v>
      </c>
    </row>
    <row r="244" spans="1:75" x14ac:dyDescent="0.3">
      <c r="A244" s="8" t="s">
        <v>100</v>
      </c>
      <c r="B244" s="8" t="s">
        <v>9</v>
      </c>
      <c r="C244" s="8" t="s">
        <v>63</v>
      </c>
      <c r="D244" s="52">
        <v>44000</v>
      </c>
      <c r="E244" s="52">
        <v>154000</v>
      </c>
      <c r="F244" s="52">
        <v>54191.878296557414</v>
      </c>
      <c r="G244" s="52">
        <v>18000</v>
      </c>
      <c r="H244" s="52">
        <v>63000</v>
      </c>
      <c r="I244" s="52">
        <v>22169.40475768258</v>
      </c>
      <c r="J244" s="52">
        <v>30000</v>
      </c>
      <c r="K244" s="52">
        <v>150000</v>
      </c>
      <c r="L244" s="52">
        <v>30858.813186735653</v>
      </c>
      <c r="M244" s="52">
        <v>12000</v>
      </c>
      <c r="N244" s="52">
        <v>52000</v>
      </c>
      <c r="O244" s="52">
        <v>16458.03369959235</v>
      </c>
      <c r="P244" s="52">
        <v>42000</v>
      </c>
      <c r="Q244" s="52">
        <v>147000</v>
      </c>
      <c r="R244" s="52">
        <v>29654.981927928198</v>
      </c>
      <c r="S244" s="52">
        <v>15000</v>
      </c>
      <c r="T244" s="52">
        <v>65000</v>
      </c>
      <c r="U244" s="52">
        <v>15770.681097600071</v>
      </c>
      <c r="V244" s="52">
        <v>38000</v>
      </c>
      <c r="W244" s="52">
        <v>133000</v>
      </c>
      <c r="X244" s="52">
        <v>32155.198284439288</v>
      </c>
      <c r="Y244" s="52">
        <v>16500</v>
      </c>
      <c r="Z244" s="52">
        <v>77000</v>
      </c>
      <c r="AA244" s="52">
        <v>21718.861999138811</v>
      </c>
      <c r="AB244" s="52">
        <v>44000</v>
      </c>
      <c r="AC244" s="52">
        <v>154000</v>
      </c>
      <c r="AD244" s="52">
        <v>40915.759582367973</v>
      </c>
      <c r="AE244" s="52">
        <v>13500</v>
      </c>
      <c r="AF244" s="52">
        <v>58500</v>
      </c>
      <c r="AG244" s="52">
        <v>19101.077643816057</v>
      </c>
      <c r="AH244" s="52">
        <v>42000</v>
      </c>
      <c r="AI244" s="52">
        <v>147000</v>
      </c>
      <c r="AJ244" s="52">
        <v>34917.257864916035</v>
      </c>
      <c r="AK244" s="52">
        <v>13500</v>
      </c>
      <c r="AL244" s="52">
        <v>63000</v>
      </c>
      <c r="AM244" s="52">
        <v>15127.151427612025</v>
      </c>
      <c r="AN244" s="52">
        <v>55000</v>
      </c>
      <c r="AO244" s="52">
        <v>132000</v>
      </c>
      <c r="AP244" s="52">
        <v>60801.264785338019</v>
      </c>
      <c r="AQ244" s="52">
        <v>13500</v>
      </c>
      <c r="AR244" s="52">
        <v>63000</v>
      </c>
      <c r="AS244" s="52">
        <v>17034.066201159003</v>
      </c>
      <c r="AT244" s="52">
        <v>44000</v>
      </c>
      <c r="AU244" s="52">
        <v>143000</v>
      </c>
      <c r="AV244" s="52">
        <v>38391.986937920075</v>
      </c>
      <c r="AW244" s="52">
        <v>13500</v>
      </c>
      <c r="AX244" s="52">
        <v>63000</v>
      </c>
      <c r="AY244" s="52">
        <v>15705.81283824003</v>
      </c>
      <c r="AZ244" s="52">
        <v>50000</v>
      </c>
      <c r="BA244" s="52">
        <v>120000</v>
      </c>
      <c r="BB244" s="52">
        <v>50235.023604220274</v>
      </c>
      <c r="BC244" s="52">
        <v>15000</v>
      </c>
      <c r="BD244" s="52">
        <v>65000</v>
      </c>
      <c r="BE244" s="52">
        <v>17194.471814559998</v>
      </c>
      <c r="BF244" s="52">
        <v>33000</v>
      </c>
      <c r="BG244" s="52">
        <v>154000</v>
      </c>
      <c r="BH244" s="52">
        <v>31502.281996808051</v>
      </c>
      <c r="BI244" s="52">
        <v>13500</v>
      </c>
      <c r="BJ244" s="52">
        <v>50915.803119479991</v>
      </c>
      <c r="BK244" s="52">
        <v>12118.452338447973</v>
      </c>
      <c r="BL244" s="52">
        <v>21000</v>
      </c>
      <c r="BM244" s="52">
        <v>157500</v>
      </c>
      <c r="BN244" s="52">
        <v>32720.545263041997</v>
      </c>
      <c r="BO244" s="52">
        <v>13500</v>
      </c>
      <c r="BP244" s="52">
        <v>58500</v>
      </c>
      <c r="BQ244" s="52">
        <v>15922.80652766401</v>
      </c>
      <c r="BR244" s="52">
        <v>34000</v>
      </c>
      <c r="BS244" s="52">
        <v>119000</v>
      </c>
      <c r="BT244" s="52">
        <v>41260.930244624848</v>
      </c>
      <c r="BU244" s="52">
        <v>28000</v>
      </c>
      <c r="BV244" s="52">
        <v>91000</v>
      </c>
      <c r="BW244" s="52">
        <v>39642.854548757205</v>
      </c>
    </row>
    <row r="245" spans="1:75" x14ac:dyDescent="0.3">
      <c r="A245" s="8" t="s">
        <v>100</v>
      </c>
      <c r="B245" s="8" t="s">
        <v>9</v>
      </c>
      <c r="C245" s="8" t="s">
        <v>64</v>
      </c>
      <c r="D245" s="52">
        <v>44000</v>
      </c>
      <c r="E245" s="52">
        <v>154000</v>
      </c>
      <c r="F245" s="52">
        <v>13200.000000000002</v>
      </c>
      <c r="G245" s="52">
        <v>18000</v>
      </c>
      <c r="H245" s="52">
        <v>63000</v>
      </c>
      <c r="I245" s="52">
        <v>5400</v>
      </c>
      <c r="J245" s="52">
        <v>30000</v>
      </c>
      <c r="K245" s="52">
        <v>150000</v>
      </c>
      <c r="L245" s="52">
        <v>12000</v>
      </c>
      <c r="M245" s="52">
        <v>0</v>
      </c>
      <c r="N245" s="52">
        <v>0</v>
      </c>
      <c r="O245" s="52">
        <v>0</v>
      </c>
      <c r="P245" s="52">
        <v>42000</v>
      </c>
      <c r="Q245" s="52">
        <v>147000</v>
      </c>
      <c r="R245" s="52">
        <v>12600.000000000002</v>
      </c>
      <c r="S245" s="52">
        <v>0</v>
      </c>
      <c r="T245" s="52">
        <v>0</v>
      </c>
      <c r="U245" s="52">
        <v>0</v>
      </c>
      <c r="V245" s="52">
        <v>0</v>
      </c>
      <c r="W245" s="52">
        <v>0</v>
      </c>
      <c r="X245" s="52">
        <v>0</v>
      </c>
      <c r="Y245" s="52">
        <v>0</v>
      </c>
      <c r="Z245" s="52">
        <v>0</v>
      </c>
      <c r="AA245" s="52">
        <v>0</v>
      </c>
      <c r="AB245" s="52">
        <v>44000</v>
      </c>
      <c r="AC245" s="52">
        <v>154000</v>
      </c>
      <c r="AD245" s="52">
        <v>13200.000000000002</v>
      </c>
      <c r="AE245" s="52">
        <v>0</v>
      </c>
      <c r="AF245" s="52">
        <v>0</v>
      </c>
      <c r="AG245" s="52">
        <v>0</v>
      </c>
      <c r="AH245" s="52">
        <v>42000</v>
      </c>
      <c r="AI245" s="52">
        <v>147000</v>
      </c>
      <c r="AJ245" s="52">
        <v>12600.000000000002</v>
      </c>
      <c r="AK245" s="52">
        <v>0</v>
      </c>
      <c r="AL245" s="52">
        <v>0</v>
      </c>
      <c r="AM245" s="52">
        <v>0</v>
      </c>
      <c r="AN245" s="52">
        <v>55000</v>
      </c>
      <c r="AO245" s="52">
        <v>132000</v>
      </c>
      <c r="AP245" s="52">
        <v>15400</v>
      </c>
      <c r="AQ245" s="52">
        <v>0</v>
      </c>
      <c r="AR245" s="52">
        <v>0</v>
      </c>
      <c r="AS245" s="52">
        <v>0</v>
      </c>
      <c r="AT245" s="52">
        <v>0</v>
      </c>
      <c r="AU245" s="52">
        <v>0</v>
      </c>
      <c r="AV245" s="52">
        <v>0</v>
      </c>
      <c r="AW245" s="52">
        <v>0</v>
      </c>
      <c r="AX245" s="52">
        <v>0</v>
      </c>
      <c r="AY245" s="52">
        <v>0</v>
      </c>
      <c r="AZ245" s="52">
        <v>50000</v>
      </c>
      <c r="BA245" s="52">
        <v>120000</v>
      </c>
      <c r="BB245" s="52">
        <v>14000</v>
      </c>
      <c r="BC245" s="52">
        <v>0</v>
      </c>
      <c r="BD245" s="52">
        <v>0</v>
      </c>
      <c r="BE245" s="52">
        <v>0</v>
      </c>
      <c r="BF245" s="52">
        <v>33000</v>
      </c>
      <c r="BG245" s="52">
        <v>154000</v>
      </c>
      <c r="BH245" s="52">
        <v>15400</v>
      </c>
      <c r="BI245" s="52">
        <v>0</v>
      </c>
      <c r="BJ245" s="52">
        <v>0</v>
      </c>
      <c r="BK245" s="52">
        <v>0</v>
      </c>
      <c r="BL245" s="52">
        <v>21000</v>
      </c>
      <c r="BM245" s="52">
        <v>157500</v>
      </c>
      <c r="BN245" s="52">
        <v>14700.000000000002</v>
      </c>
      <c r="BO245" s="52">
        <v>0</v>
      </c>
      <c r="BP245" s="52">
        <v>0</v>
      </c>
      <c r="BQ245" s="52">
        <v>0</v>
      </c>
      <c r="BR245" s="52">
        <v>34000</v>
      </c>
      <c r="BS245" s="52">
        <v>119000</v>
      </c>
      <c r="BT245" s="52">
        <v>10200.000000000002</v>
      </c>
      <c r="BU245" s="52">
        <v>28000</v>
      </c>
      <c r="BV245" s="52">
        <v>91000</v>
      </c>
      <c r="BW245" s="52">
        <v>9800</v>
      </c>
    </row>
    <row r="246" spans="1:75" x14ac:dyDescent="0.3">
      <c r="A246" s="8" t="s">
        <v>100</v>
      </c>
      <c r="B246" s="8" t="s">
        <v>9</v>
      </c>
      <c r="C246" s="8" t="s">
        <v>65</v>
      </c>
      <c r="D246" s="52">
        <v>58739.999999999993</v>
      </c>
      <c r="E246" s="52">
        <v>205590</v>
      </c>
      <c r="F246" s="52">
        <v>88110</v>
      </c>
      <c r="G246" s="52">
        <v>24030</v>
      </c>
      <c r="H246" s="52">
        <v>84105</v>
      </c>
      <c r="I246" s="52">
        <v>36045</v>
      </c>
      <c r="J246" s="52">
        <v>40050</v>
      </c>
      <c r="K246" s="52">
        <v>200250</v>
      </c>
      <c r="L246" s="52">
        <v>80100</v>
      </c>
      <c r="M246" s="52">
        <v>16020</v>
      </c>
      <c r="N246" s="52">
        <v>69420</v>
      </c>
      <c r="O246" s="52">
        <v>42720</v>
      </c>
      <c r="P246" s="52">
        <v>56070</v>
      </c>
      <c r="Q246" s="52">
        <v>196245</v>
      </c>
      <c r="R246" s="52">
        <v>84105</v>
      </c>
      <c r="S246" s="52">
        <v>20025</v>
      </c>
      <c r="T246" s="52">
        <v>86774.999999999985</v>
      </c>
      <c r="U246" s="52">
        <v>53400</v>
      </c>
      <c r="V246" s="52">
        <v>50730</v>
      </c>
      <c r="W246" s="52">
        <v>177555</v>
      </c>
      <c r="X246" s="52">
        <v>76095</v>
      </c>
      <c r="Y246" s="52">
        <v>22027.5</v>
      </c>
      <c r="Z246" s="52">
        <v>102795</v>
      </c>
      <c r="AA246" s="52">
        <v>51397.5</v>
      </c>
      <c r="AB246" s="52">
        <v>58739.999999999993</v>
      </c>
      <c r="AC246" s="52">
        <v>205590</v>
      </c>
      <c r="AD246" s="52">
        <v>88110</v>
      </c>
      <c r="AE246" s="52">
        <v>18022.5</v>
      </c>
      <c r="AF246" s="52">
        <v>78097.5</v>
      </c>
      <c r="AG246" s="52">
        <v>48060</v>
      </c>
      <c r="AH246" s="52">
        <v>56070</v>
      </c>
      <c r="AI246" s="52">
        <v>196245</v>
      </c>
      <c r="AJ246" s="52">
        <v>84105</v>
      </c>
      <c r="AK246" s="52">
        <v>18022.5</v>
      </c>
      <c r="AL246" s="52">
        <v>84105</v>
      </c>
      <c r="AM246" s="52">
        <v>42052.5</v>
      </c>
      <c r="AN246" s="52">
        <v>73425</v>
      </c>
      <c r="AO246" s="52">
        <v>176220</v>
      </c>
      <c r="AP246" s="52">
        <v>102795</v>
      </c>
      <c r="AQ246" s="52">
        <v>18022.5</v>
      </c>
      <c r="AR246" s="52">
        <v>84105</v>
      </c>
      <c r="AS246" s="52">
        <v>42052.5</v>
      </c>
      <c r="AT246" s="52">
        <v>58739.999999999993</v>
      </c>
      <c r="AU246" s="52">
        <v>190905</v>
      </c>
      <c r="AV246" s="52">
        <v>102795</v>
      </c>
      <c r="AW246" s="52">
        <v>18022.5</v>
      </c>
      <c r="AX246" s="52">
        <v>84105</v>
      </c>
      <c r="AY246" s="52">
        <v>42052.5</v>
      </c>
      <c r="AZ246" s="52">
        <v>66750</v>
      </c>
      <c r="BA246" s="52">
        <v>160200</v>
      </c>
      <c r="BB246" s="52">
        <v>93450</v>
      </c>
      <c r="BC246" s="52">
        <v>20025</v>
      </c>
      <c r="BD246" s="52">
        <v>86774.999999999985</v>
      </c>
      <c r="BE246" s="52">
        <v>53400</v>
      </c>
      <c r="BF246" s="52">
        <v>44055</v>
      </c>
      <c r="BG246" s="52">
        <v>205590</v>
      </c>
      <c r="BH246" s="52">
        <v>102795</v>
      </c>
      <c r="BI246" s="52">
        <v>18022.5</v>
      </c>
      <c r="BJ246" s="52">
        <v>78097.5</v>
      </c>
      <c r="BK246" s="52">
        <v>48060</v>
      </c>
      <c r="BL246" s="52">
        <v>28035</v>
      </c>
      <c r="BM246" s="52">
        <v>210262.5</v>
      </c>
      <c r="BN246" s="52">
        <v>98122.5</v>
      </c>
      <c r="BO246" s="52">
        <v>18022.5</v>
      </c>
      <c r="BP246" s="52">
        <v>78097.5</v>
      </c>
      <c r="BQ246" s="52">
        <v>48060</v>
      </c>
      <c r="BR246" s="52">
        <v>45390</v>
      </c>
      <c r="BS246" s="52">
        <v>158865</v>
      </c>
      <c r="BT246" s="52">
        <v>68085</v>
      </c>
      <c r="BU246" s="52">
        <v>37379.999999999993</v>
      </c>
      <c r="BV246" s="52">
        <v>121485</v>
      </c>
      <c r="BW246" s="52">
        <v>65414.999999999993</v>
      </c>
    </row>
    <row r="247" spans="1:75" x14ac:dyDescent="0.3">
      <c r="A247" s="8" t="s">
        <v>100</v>
      </c>
      <c r="B247" s="8" t="s">
        <v>9</v>
      </c>
      <c r="C247" s="8" t="s">
        <v>66</v>
      </c>
      <c r="D247" s="52">
        <v>0</v>
      </c>
      <c r="E247" s="52">
        <v>0</v>
      </c>
      <c r="F247" s="52">
        <v>0</v>
      </c>
      <c r="G247" s="52">
        <v>0</v>
      </c>
      <c r="H247" s="52">
        <v>0</v>
      </c>
      <c r="I247" s="52">
        <v>0</v>
      </c>
      <c r="J247" s="52">
        <v>0</v>
      </c>
      <c r="K247" s="52">
        <v>0</v>
      </c>
      <c r="L247" s="52">
        <v>0</v>
      </c>
      <c r="M247" s="52">
        <v>0</v>
      </c>
      <c r="N247" s="52">
        <v>0</v>
      </c>
      <c r="O247" s="52">
        <v>0</v>
      </c>
      <c r="P247" s="52">
        <v>0</v>
      </c>
      <c r="Q247" s="52">
        <v>0</v>
      </c>
      <c r="R247" s="52">
        <v>0</v>
      </c>
      <c r="S247" s="52">
        <v>0</v>
      </c>
      <c r="T247" s="52">
        <v>0</v>
      </c>
      <c r="U247" s="52">
        <v>0</v>
      </c>
      <c r="V247" s="52">
        <v>0</v>
      </c>
      <c r="W247" s="52">
        <v>0</v>
      </c>
      <c r="X247" s="52">
        <v>0</v>
      </c>
      <c r="Y247" s="52">
        <v>0</v>
      </c>
      <c r="Z247" s="52">
        <v>0</v>
      </c>
      <c r="AA247" s="52">
        <v>0</v>
      </c>
      <c r="AB247" s="52">
        <v>0</v>
      </c>
      <c r="AC247" s="52">
        <v>0</v>
      </c>
      <c r="AD247" s="52">
        <v>0</v>
      </c>
      <c r="AE247" s="52">
        <v>0</v>
      </c>
      <c r="AF247" s="52">
        <v>0</v>
      </c>
      <c r="AG247" s="52">
        <v>0</v>
      </c>
      <c r="AH247" s="52">
        <v>0</v>
      </c>
      <c r="AI247" s="52">
        <v>0</v>
      </c>
      <c r="AJ247" s="52">
        <v>0</v>
      </c>
      <c r="AK247" s="52">
        <v>0</v>
      </c>
      <c r="AL247" s="52">
        <v>0</v>
      </c>
      <c r="AM247" s="52">
        <v>0</v>
      </c>
      <c r="AN247" s="52">
        <v>0</v>
      </c>
      <c r="AO247" s="52">
        <v>0</v>
      </c>
      <c r="AP247" s="52">
        <v>0</v>
      </c>
      <c r="AQ247" s="52">
        <v>0</v>
      </c>
      <c r="AR247" s="52">
        <v>0</v>
      </c>
      <c r="AS247" s="52">
        <v>0</v>
      </c>
      <c r="AT247" s="52">
        <v>0</v>
      </c>
      <c r="AU247" s="52">
        <v>0</v>
      </c>
      <c r="AV247" s="52">
        <v>0</v>
      </c>
      <c r="AW247" s="52">
        <v>0</v>
      </c>
      <c r="AX247" s="52">
        <v>0</v>
      </c>
      <c r="AY247" s="52">
        <v>0</v>
      </c>
      <c r="AZ247" s="52">
        <v>0</v>
      </c>
      <c r="BA247" s="52">
        <v>0</v>
      </c>
      <c r="BB247" s="52">
        <v>0</v>
      </c>
      <c r="BC247" s="52">
        <v>0</v>
      </c>
      <c r="BD247" s="52">
        <v>0</v>
      </c>
      <c r="BE247" s="52">
        <v>0</v>
      </c>
      <c r="BF247" s="52">
        <v>0</v>
      </c>
      <c r="BG247" s="52">
        <v>0</v>
      </c>
      <c r="BH247" s="52">
        <v>0</v>
      </c>
      <c r="BI247" s="52">
        <v>0</v>
      </c>
      <c r="BJ247" s="52">
        <v>0</v>
      </c>
      <c r="BK247" s="52">
        <v>0</v>
      </c>
      <c r="BL247" s="52">
        <v>0</v>
      </c>
      <c r="BM247" s="52">
        <v>0</v>
      </c>
      <c r="BN247" s="52">
        <v>0</v>
      </c>
      <c r="BO247" s="52">
        <v>0</v>
      </c>
      <c r="BP247" s="52">
        <v>0</v>
      </c>
      <c r="BQ247" s="52">
        <v>0</v>
      </c>
      <c r="BR247" s="52">
        <v>0</v>
      </c>
      <c r="BS247" s="52">
        <v>0</v>
      </c>
      <c r="BT247" s="52">
        <v>0</v>
      </c>
      <c r="BU247" s="52">
        <v>0</v>
      </c>
      <c r="BV247" s="52">
        <v>0</v>
      </c>
      <c r="BW247" s="52">
        <v>0</v>
      </c>
    </row>
    <row r="248" spans="1:75" x14ac:dyDescent="0.3">
      <c r="A248" s="8" t="s">
        <v>100</v>
      </c>
      <c r="B248" s="8" t="s">
        <v>9</v>
      </c>
      <c r="C248" s="8" t="s">
        <v>67</v>
      </c>
      <c r="D248" s="52">
        <v>0</v>
      </c>
      <c r="E248" s="52">
        <v>0</v>
      </c>
      <c r="F248" s="52">
        <v>0</v>
      </c>
      <c r="G248" s="52">
        <v>0</v>
      </c>
      <c r="H248" s="52">
        <v>0</v>
      </c>
      <c r="I248" s="52">
        <v>0</v>
      </c>
      <c r="J248" s="52">
        <v>0</v>
      </c>
      <c r="K248" s="52">
        <v>0</v>
      </c>
      <c r="L248" s="52">
        <v>0</v>
      </c>
      <c r="M248" s="52">
        <v>0</v>
      </c>
      <c r="N248" s="52">
        <v>0</v>
      </c>
      <c r="O248" s="52">
        <v>0</v>
      </c>
      <c r="P248" s="52">
        <v>0</v>
      </c>
      <c r="Q248" s="52">
        <v>0</v>
      </c>
      <c r="R248" s="52">
        <v>0</v>
      </c>
      <c r="S248" s="52">
        <v>0</v>
      </c>
      <c r="T248" s="52">
        <v>0</v>
      </c>
      <c r="U248" s="52">
        <v>0</v>
      </c>
      <c r="V248" s="52">
        <v>0</v>
      </c>
      <c r="W248" s="52">
        <v>0</v>
      </c>
      <c r="X248" s="52">
        <v>0</v>
      </c>
      <c r="Y248" s="52">
        <v>0</v>
      </c>
      <c r="Z248" s="52">
        <v>0</v>
      </c>
      <c r="AA248" s="52">
        <v>0</v>
      </c>
      <c r="AB248" s="52">
        <v>0</v>
      </c>
      <c r="AC248" s="52">
        <v>0</v>
      </c>
      <c r="AD248" s="52">
        <v>0</v>
      </c>
      <c r="AE248" s="52">
        <v>0</v>
      </c>
      <c r="AF248" s="52">
        <v>0</v>
      </c>
      <c r="AG248" s="52">
        <v>0</v>
      </c>
      <c r="AH248" s="52">
        <v>0</v>
      </c>
      <c r="AI248" s="52">
        <v>0</v>
      </c>
      <c r="AJ248" s="52">
        <v>0</v>
      </c>
      <c r="AK248" s="52">
        <v>0</v>
      </c>
      <c r="AL248" s="52">
        <v>0</v>
      </c>
      <c r="AM248" s="52">
        <v>0</v>
      </c>
      <c r="AN248" s="52">
        <v>0</v>
      </c>
      <c r="AO248" s="52">
        <v>0</v>
      </c>
      <c r="AP248" s="52">
        <v>0</v>
      </c>
      <c r="AQ248" s="52">
        <v>0</v>
      </c>
      <c r="AR248" s="52">
        <v>0</v>
      </c>
      <c r="AS248" s="52">
        <v>0</v>
      </c>
      <c r="AT248" s="52">
        <v>0</v>
      </c>
      <c r="AU248" s="52">
        <v>0</v>
      </c>
      <c r="AV248" s="52">
        <v>0</v>
      </c>
      <c r="AW248" s="52">
        <v>0</v>
      </c>
      <c r="AX248" s="52">
        <v>0</v>
      </c>
      <c r="AY248" s="52">
        <v>0</v>
      </c>
      <c r="AZ248" s="52">
        <v>0</v>
      </c>
      <c r="BA248" s="52">
        <v>0</v>
      </c>
      <c r="BB248" s="52">
        <v>0</v>
      </c>
      <c r="BC248" s="52">
        <v>0</v>
      </c>
      <c r="BD248" s="52">
        <v>0</v>
      </c>
      <c r="BE248" s="52">
        <v>0</v>
      </c>
      <c r="BF248" s="52">
        <v>0</v>
      </c>
      <c r="BG248" s="52">
        <v>0</v>
      </c>
      <c r="BH248" s="52">
        <v>0</v>
      </c>
      <c r="BI248" s="52">
        <v>0</v>
      </c>
      <c r="BJ248" s="52">
        <v>0</v>
      </c>
      <c r="BK248" s="52">
        <v>0</v>
      </c>
      <c r="BL248" s="52">
        <v>0</v>
      </c>
      <c r="BM248" s="52">
        <v>0</v>
      </c>
      <c r="BN248" s="52">
        <v>0</v>
      </c>
      <c r="BO248" s="52">
        <v>0</v>
      </c>
      <c r="BP248" s="52">
        <v>0</v>
      </c>
      <c r="BQ248" s="52">
        <v>0</v>
      </c>
      <c r="BR248" s="52">
        <v>0</v>
      </c>
      <c r="BS248" s="52">
        <v>0</v>
      </c>
      <c r="BT248" s="52">
        <v>0</v>
      </c>
      <c r="BU248" s="52">
        <v>0</v>
      </c>
      <c r="BV248" s="52">
        <v>0</v>
      </c>
      <c r="BW248" s="52">
        <v>0</v>
      </c>
    </row>
    <row r="249" spans="1:75" x14ac:dyDescent="0.3">
      <c r="A249" s="8" t="s">
        <v>100</v>
      </c>
      <c r="B249" s="8" t="s">
        <v>9</v>
      </c>
      <c r="C249" s="8" t="s">
        <v>68</v>
      </c>
      <c r="D249" s="52">
        <v>0</v>
      </c>
      <c r="E249" s="52">
        <v>0</v>
      </c>
      <c r="F249" s="52">
        <v>0</v>
      </c>
      <c r="G249" s="52">
        <v>0</v>
      </c>
      <c r="H249" s="52">
        <v>0</v>
      </c>
      <c r="I249" s="52">
        <v>0</v>
      </c>
      <c r="J249" s="52">
        <v>0</v>
      </c>
      <c r="K249" s="52">
        <v>0</v>
      </c>
      <c r="L249" s="52">
        <v>0</v>
      </c>
      <c r="M249" s="52">
        <v>0</v>
      </c>
      <c r="N249" s="52">
        <v>0</v>
      </c>
      <c r="O249" s="52">
        <v>0</v>
      </c>
      <c r="P249" s="52">
        <v>0</v>
      </c>
      <c r="Q249" s="52">
        <v>0</v>
      </c>
      <c r="R249" s="52">
        <v>0</v>
      </c>
      <c r="S249" s="52">
        <v>0</v>
      </c>
      <c r="T249" s="52">
        <v>0</v>
      </c>
      <c r="U249" s="52">
        <v>0</v>
      </c>
      <c r="V249" s="52">
        <v>0</v>
      </c>
      <c r="W249" s="52">
        <v>0</v>
      </c>
      <c r="X249" s="52">
        <v>0</v>
      </c>
      <c r="Y249" s="52">
        <v>0</v>
      </c>
      <c r="Z249" s="52">
        <v>0</v>
      </c>
      <c r="AA249" s="52">
        <v>0</v>
      </c>
      <c r="AB249" s="52">
        <v>0</v>
      </c>
      <c r="AC249" s="52">
        <v>0</v>
      </c>
      <c r="AD249" s="52">
        <v>0</v>
      </c>
      <c r="AE249" s="52">
        <v>0</v>
      </c>
      <c r="AF249" s="52">
        <v>0</v>
      </c>
      <c r="AG249" s="52">
        <v>0</v>
      </c>
      <c r="AH249" s="52">
        <v>0</v>
      </c>
      <c r="AI249" s="52">
        <v>0</v>
      </c>
      <c r="AJ249" s="52">
        <v>0</v>
      </c>
      <c r="AK249" s="52">
        <v>0</v>
      </c>
      <c r="AL249" s="52">
        <v>0</v>
      </c>
      <c r="AM249" s="52">
        <v>0</v>
      </c>
      <c r="AN249" s="52">
        <v>0</v>
      </c>
      <c r="AO249" s="52">
        <v>0</v>
      </c>
      <c r="AP249" s="52">
        <v>0</v>
      </c>
      <c r="AQ249" s="52">
        <v>0</v>
      </c>
      <c r="AR249" s="52">
        <v>0</v>
      </c>
      <c r="AS249" s="52">
        <v>0</v>
      </c>
      <c r="AT249" s="52">
        <v>0</v>
      </c>
      <c r="AU249" s="52">
        <v>0</v>
      </c>
      <c r="AV249" s="52">
        <v>0</v>
      </c>
      <c r="AW249" s="52">
        <v>0</v>
      </c>
      <c r="AX249" s="52">
        <v>0</v>
      </c>
      <c r="AY249" s="52">
        <v>0</v>
      </c>
      <c r="AZ249" s="52">
        <v>0</v>
      </c>
      <c r="BA249" s="52">
        <v>0</v>
      </c>
      <c r="BB249" s="52">
        <v>0</v>
      </c>
      <c r="BC249" s="52">
        <v>0</v>
      </c>
      <c r="BD249" s="52">
        <v>0</v>
      </c>
      <c r="BE249" s="52">
        <v>0</v>
      </c>
      <c r="BF249" s="52">
        <v>0</v>
      </c>
      <c r="BG249" s="52">
        <v>0</v>
      </c>
      <c r="BH249" s="52">
        <v>0</v>
      </c>
      <c r="BI249" s="52">
        <v>0</v>
      </c>
      <c r="BJ249" s="52">
        <v>0</v>
      </c>
      <c r="BK249" s="52">
        <v>0</v>
      </c>
      <c r="BL249" s="52">
        <v>0</v>
      </c>
      <c r="BM249" s="52">
        <v>0</v>
      </c>
      <c r="BN249" s="52">
        <v>0</v>
      </c>
      <c r="BO249" s="52">
        <v>0</v>
      </c>
      <c r="BP249" s="52">
        <v>0</v>
      </c>
      <c r="BQ249" s="52">
        <v>0</v>
      </c>
      <c r="BR249" s="52">
        <v>0</v>
      </c>
      <c r="BS249" s="52">
        <v>0</v>
      </c>
      <c r="BT249" s="52">
        <v>0</v>
      </c>
      <c r="BU249" s="52">
        <v>0</v>
      </c>
      <c r="BV249" s="52">
        <v>0</v>
      </c>
      <c r="BW249" s="52">
        <v>0</v>
      </c>
    </row>
    <row r="250" spans="1:75" x14ac:dyDescent="0.3">
      <c r="A250" s="8" t="s">
        <v>100</v>
      </c>
      <c r="B250" s="8" t="s">
        <v>9</v>
      </c>
      <c r="C250" s="8" t="s">
        <v>69</v>
      </c>
      <c r="D250" s="52">
        <v>0</v>
      </c>
      <c r="E250" s="52">
        <v>0</v>
      </c>
      <c r="F250" s="52">
        <v>0</v>
      </c>
      <c r="G250" s="52">
        <v>0</v>
      </c>
      <c r="H250" s="52">
        <v>0</v>
      </c>
      <c r="I250" s="52">
        <v>0</v>
      </c>
      <c r="J250" s="52">
        <v>0</v>
      </c>
      <c r="K250" s="52">
        <v>0</v>
      </c>
      <c r="L250" s="52">
        <v>0</v>
      </c>
      <c r="M250" s="52">
        <v>0</v>
      </c>
      <c r="N250" s="52">
        <v>0</v>
      </c>
      <c r="O250" s="52">
        <v>0</v>
      </c>
      <c r="P250" s="52">
        <v>0</v>
      </c>
      <c r="Q250" s="52">
        <v>0</v>
      </c>
      <c r="R250" s="52">
        <v>0</v>
      </c>
      <c r="S250" s="52">
        <v>0</v>
      </c>
      <c r="T250" s="52">
        <v>0</v>
      </c>
      <c r="U250" s="52">
        <v>0</v>
      </c>
      <c r="V250" s="52">
        <v>0</v>
      </c>
      <c r="W250" s="52">
        <v>0</v>
      </c>
      <c r="X250" s="52">
        <v>0</v>
      </c>
      <c r="Y250" s="52">
        <v>0</v>
      </c>
      <c r="Z250" s="52">
        <v>0</v>
      </c>
      <c r="AA250" s="52">
        <v>0</v>
      </c>
      <c r="AB250" s="52">
        <v>0</v>
      </c>
      <c r="AC250" s="52">
        <v>0</v>
      </c>
      <c r="AD250" s="52">
        <v>0</v>
      </c>
      <c r="AE250" s="52">
        <v>0</v>
      </c>
      <c r="AF250" s="52">
        <v>0</v>
      </c>
      <c r="AG250" s="52">
        <v>0</v>
      </c>
      <c r="AH250" s="52">
        <v>0</v>
      </c>
      <c r="AI250" s="52">
        <v>0</v>
      </c>
      <c r="AJ250" s="52">
        <v>0</v>
      </c>
      <c r="AK250" s="52">
        <v>0</v>
      </c>
      <c r="AL250" s="52">
        <v>0</v>
      </c>
      <c r="AM250" s="52">
        <v>0</v>
      </c>
      <c r="AN250" s="52">
        <v>0</v>
      </c>
      <c r="AO250" s="52">
        <v>0</v>
      </c>
      <c r="AP250" s="52">
        <v>0</v>
      </c>
      <c r="AQ250" s="52">
        <v>0</v>
      </c>
      <c r="AR250" s="52">
        <v>0</v>
      </c>
      <c r="AS250" s="52">
        <v>0</v>
      </c>
      <c r="AT250" s="52">
        <v>0</v>
      </c>
      <c r="AU250" s="52">
        <v>0</v>
      </c>
      <c r="AV250" s="52">
        <v>0</v>
      </c>
      <c r="AW250" s="52">
        <v>0</v>
      </c>
      <c r="AX250" s="52">
        <v>0</v>
      </c>
      <c r="AY250" s="52">
        <v>0</v>
      </c>
      <c r="AZ250" s="52">
        <v>0</v>
      </c>
      <c r="BA250" s="52">
        <v>0</v>
      </c>
      <c r="BB250" s="52">
        <v>0</v>
      </c>
      <c r="BC250" s="52">
        <v>0</v>
      </c>
      <c r="BD250" s="52">
        <v>0</v>
      </c>
      <c r="BE250" s="52">
        <v>0</v>
      </c>
      <c r="BF250" s="52">
        <v>0</v>
      </c>
      <c r="BG250" s="52">
        <v>0</v>
      </c>
      <c r="BH250" s="52">
        <v>0</v>
      </c>
      <c r="BI250" s="52">
        <v>0</v>
      </c>
      <c r="BJ250" s="52">
        <v>0</v>
      </c>
      <c r="BK250" s="52">
        <v>0</v>
      </c>
      <c r="BL250" s="52">
        <v>0</v>
      </c>
      <c r="BM250" s="52">
        <v>0</v>
      </c>
      <c r="BN250" s="52">
        <v>0</v>
      </c>
      <c r="BO250" s="52">
        <v>0</v>
      </c>
      <c r="BP250" s="52">
        <v>0</v>
      </c>
      <c r="BQ250" s="52">
        <v>0</v>
      </c>
      <c r="BR250" s="52">
        <v>0</v>
      </c>
      <c r="BS250" s="52">
        <v>0</v>
      </c>
      <c r="BT250" s="52">
        <v>0</v>
      </c>
      <c r="BU250" s="52">
        <v>0</v>
      </c>
      <c r="BV250" s="52">
        <v>0</v>
      </c>
      <c r="BW250" s="52">
        <v>0</v>
      </c>
    </row>
    <row r="251" spans="1:75" x14ac:dyDescent="0.3">
      <c r="A251" s="8" t="s">
        <v>100</v>
      </c>
      <c r="B251" s="8" t="s">
        <v>9</v>
      </c>
      <c r="C251" s="8" t="s">
        <v>27</v>
      </c>
      <c r="D251" s="52">
        <v>13200</v>
      </c>
      <c r="E251" s="52">
        <v>46199.999999999993</v>
      </c>
      <c r="F251" s="52">
        <v>19325.864992806564</v>
      </c>
      <c r="G251" s="52">
        <v>5399.9999999999991</v>
      </c>
      <c r="H251" s="52">
        <v>18900</v>
      </c>
      <c r="I251" s="52">
        <v>4110.1350071934412</v>
      </c>
      <c r="J251" s="52">
        <v>9000</v>
      </c>
      <c r="K251" s="52">
        <v>45000</v>
      </c>
      <c r="L251" s="52">
        <v>16019.305812104349</v>
      </c>
      <c r="M251" s="52">
        <v>3599.9999999999995</v>
      </c>
      <c r="N251" s="52">
        <v>15600</v>
      </c>
      <c r="O251" s="52">
        <v>2710.2941878956558</v>
      </c>
      <c r="P251" s="52">
        <v>12600</v>
      </c>
      <c r="Q251" s="52">
        <v>44100</v>
      </c>
      <c r="R251" s="52">
        <v>18900</v>
      </c>
      <c r="S251" s="52">
        <v>4500</v>
      </c>
      <c r="T251" s="52">
        <v>19500</v>
      </c>
      <c r="U251" s="52">
        <v>2179.2000000000062</v>
      </c>
      <c r="V251" s="52">
        <v>11400</v>
      </c>
      <c r="W251" s="52">
        <v>39900</v>
      </c>
      <c r="X251" s="52">
        <v>4078.9319371727875</v>
      </c>
      <c r="Y251" s="52">
        <v>4950</v>
      </c>
      <c r="Z251" s="52">
        <v>23099.999999999996</v>
      </c>
      <c r="AA251" s="52">
        <v>2755.0680628272339</v>
      </c>
      <c r="AB251" s="52">
        <v>13200</v>
      </c>
      <c r="AC251" s="52">
        <v>46199.999999999993</v>
      </c>
      <c r="AD251" s="52">
        <v>0</v>
      </c>
      <c r="AE251" s="52">
        <v>4050</v>
      </c>
      <c r="AF251" s="52">
        <v>12884.399999999994</v>
      </c>
      <c r="AG251" s="52">
        <v>0</v>
      </c>
      <c r="AH251" s="52">
        <v>12600</v>
      </c>
      <c r="AI251" s="52">
        <v>22818.6</v>
      </c>
      <c r="AJ251" s="52">
        <v>0</v>
      </c>
      <c r="AK251" s="52">
        <v>4050</v>
      </c>
      <c r="AL251" s="52">
        <v>9779.4000000000015</v>
      </c>
      <c r="AM251" s="52">
        <v>0</v>
      </c>
      <c r="AN251" s="52">
        <v>16500</v>
      </c>
      <c r="AO251" s="52">
        <v>27357.924837895309</v>
      </c>
      <c r="AP251" s="52">
        <v>0</v>
      </c>
      <c r="AQ251" s="52">
        <v>1119.6885388680146</v>
      </c>
      <c r="AR251" s="52">
        <v>5911.9866232365912</v>
      </c>
      <c r="AS251" s="52">
        <v>0</v>
      </c>
      <c r="AT251" s="52">
        <v>13200</v>
      </c>
      <c r="AU251" s="52">
        <v>37689.599999999999</v>
      </c>
      <c r="AV251" s="52">
        <v>0</v>
      </c>
      <c r="AW251" s="52">
        <v>0</v>
      </c>
      <c r="AX251" s="52">
        <v>0</v>
      </c>
      <c r="AY251" s="52">
        <v>0</v>
      </c>
      <c r="AZ251" s="52">
        <v>15000</v>
      </c>
      <c r="BA251" s="52">
        <v>36000</v>
      </c>
      <c r="BB251" s="52">
        <v>0</v>
      </c>
      <c r="BC251" s="52">
        <v>3371.9999999999968</v>
      </c>
      <c r="BD251" s="52">
        <v>19500</v>
      </c>
      <c r="BE251" s="52">
        <v>0</v>
      </c>
      <c r="BF251" s="52">
        <v>9900</v>
      </c>
      <c r="BG251" s="52">
        <v>46199.999999999993</v>
      </c>
      <c r="BH251" s="52">
        <v>11356.800000000003</v>
      </c>
      <c r="BI251" s="52">
        <v>4050</v>
      </c>
      <c r="BJ251" s="52">
        <v>17550</v>
      </c>
      <c r="BK251" s="52">
        <v>0</v>
      </c>
      <c r="BL251" s="52">
        <v>6300</v>
      </c>
      <c r="BM251" s="52">
        <v>47250</v>
      </c>
      <c r="BN251" s="52">
        <v>22050</v>
      </c>
      <c r="BO251" s="52">
        <v>4050</v>
      </c>
      <c r="BP251" s="52">
        <v>17550</v>
      </c>
      <c r="BQ251" s="52">
        <v>1296.0000000000018</v>
      </c>
      <c r="BR251" s="52">
        <v>10200</v>
      </c>
      <c r="BS251" s="52">
        <v>35699.999999999993</v>
      </c>
      <c r="BT251" s="52">
        <v>12139.75437624316</v>
      </c>
      <c r="BU251" s="52">
        <v>8400</v>
      </c>
      <c r="BV251" s="52">
        <v>27300</v>
      </c>
      <c r="BW251" s="52">
        <v>8039.4456237568402</v>
      </c>
    </row>
    <row r="252" spans="1:75" x14ac:dyDescent="0.3">
      <c r="A252" s="8" t="s">
        <v>100</v>
      </c>
      <c r="B252" s="8" t="s">
        <v>9</v>
      </c>
      <c r="C252" s="8" t="s">
        <v>144</v>
      </c>
      <c r="D252" s="52">
        <v>17600</v>
      </c>
      <c r="E252" s="52">
        <v>40092.864833121777</v>
      </c>
      <c r="F252" s="52">
        <v>0</v>
      </c>
      <c r="G252" s="52">
        <v>7200</v>
      </c>
      <c r="H252" s="52">
        <v>0</v>
      </c>
      <c r="I252" s="52">
        <v>0</v>
      </c>
      <c r="J252" s="52">
        <v>0</v>
      </c>
      <c r="K252" s="52">
        <v>0</v>
      </c>
      <c r="L252" s="52">
        <v>0</v>
      </c>
      <c r="M252" s="52">
        <v>0</v>
      </c>
      <c r="N252" s="52">
        <v>0</v>
      </c>
      <c r="O252" s="52">
        <v>0</v>
      </c>
      <c r="P252" s="52">
        <v>16800</v>
      </c>
      <c r="Q252" s="52">
        <v>0</v>
      </c>
      <c r="R252" s="52">
        <v>0</v>
      </c>
      <c r="S252" s="52">
        <v>6000</v>
      </c>
      <c r="T252" s="52">
        <v>0</v>
      </c>
      <c r="U252" s="52">
        <v>0</v>
      </c>
      <c r="V252" s="52">
        <v>15200.000000000002</v>
      </c>
      <c r="W252" s="52">
        <v>4917.3783770160644</v>
      </c>
      <c r="X252" s="52">
        <v>0</v>
      </c>
      <c r="Y252" s="52">
        <v>6271.1266206270211</v>
      </c>
      <c r="Z252" s="52">
        <v>0</v>
      </c>
      <c r="AA252" s="52">
        <v>0</v>
      </c>
      <c r="AB252" s="52">
        <v>4543.7749886320844</v>
      </c>
      <c r="AC252" s="52">
        <v>0</v>
      </c>
      <c r="AD252" s="52">
        <v>0</v>
      </c>
      <c r="AE252" s="52">
        <v>1394.1127806030258</v>
      </c>
      <c r="AF252" s="52">
        <v>0</v>
      </c>
      <c r="AG252" s="52">
        <v>0</v>
      </c>
      <c r="AH252" s="52">
        <v>16800</v>
      </c>
      <c r="AI252" s="52">
        <v>0</v>
      </c>
      <c r="AJ252" s="52">
        <v>0</v>
      </c>
      <c r="AK252" s="52">
        <v>5400</v>
      </c>
      <c r="AL252" s="52">
        <v>0</v>
      </c>
      <c r="AM252" s="52">
        <v>0</v>
      </c>
      <c r="AN252" s="52">
        <v>22000</v>
      </c>
      <c r="AO252" s="52">
        <v>0</v>
      </c>
      <c r="AP252" s="52">
        <v>0</v>
      </c>
      <c r="AQ252" s="52">
        <v>5400</v>
      </c>
      <c r="AR252" s="52">
        <v>0</v>
      </c>
      <c r="AS252" s="52">
        <v>0</v>
      </c>
      <c r="AT252" s="52">
        <v>17600</v>
      </c>
      <c r="AU252" s="52">
        <v>8788.1184085501936</v>
      </c>
      <c r="AV252" s="52">
        <v>0</v>
      </c>
      <c r="AW252" s="52">
        <v>5400</v>
      </c>
      <c r="AX252" s="52">
        <v>0</v>
      </c>
      <c r="AY252" s="52">
        <v>0</v>
      </c>
      <c r="AZ252" s="52">
        <v>11715.870846278251</v>
      </c>
      <c r="BA252" s="52">
        <v>0</v>
      </c>
      <c r="BB252" s="52">
        <v>0</v>
      </c>
      <c r="BC252" s="52">
        <v>3514.7612538834751</v>
      </c>
      <c r="BD252" s="52">
        <v>0</v>
      </c>
      <c r="BE252" s="52">
        <v>0</v>
      </c>
      <c r="BF252" s="52">
        <v>13200.000000000002</v>
      </c>
      <c r="BG252" s="52">
        <v>0</v>
      </c>
      <c r="BH252" s="52">
        <v>0</v>
      </c>
      <c r="BI252" s="52">
        <v>5400</v>
      </c>
      <c r="BJ252" s="52">
        <v>0</v>
      </c>
      <c r="BK252" s="52">
        <v>0</v>
      </c>
      <c r="BL252" s="52">
        <v>8400</v>
      </c>
      <c r="BM252" s="52">
        <v>0</v>
      </c>
      <c r="BN252" s="52">
        <v>0</v>
      </c>
      <c r="BO252" s="52">
        <v>5400</v>
      </c>
      <c r="BP252" s="52">
        <v>0</v>
      </c>
      <c r="BQ252" s="52">
        <v>0</v>
      </c>
      <c r="BR252" s="52">
        <v>13600.000000000002</v>
      </c>
      <c r="BS252" s="52">
        <v>23521.835418214203</v>
      </c>
      <c r="BT252" s="52">
        <v>0</v>
      </c>
      <c r="BU252" s="52">
        <v>11200.000000000002</v>
      </c>
      <c r="BV252" s="52">
        <v>9458.0476730738319</v>
      </c>
      <c r="BW252" s="52">
        <v>0</v>
      </c>
    </row>
    <row r="253" spans="1:75" x14ac:dyDescent="0.3">
      <c r="A253" s="8" t="s">
        <v>100</v>
      </c>
      <c r="B253" s="8" t="s">
        <v>9</v>
      </c>
      <c r="C253" s="8" t="s">
        <v>145</v>
      </c>
      <c r="D253" s="52">
        <v>13932.618143224063</v>
      </c>
      <c r="E253" s="52">
        <v>0</v>
      </c>
      <c r="F253" s="52">
        <v>0</v>
      </c>
      <c r="G253" s="52">
        <v>5699.7074222280262</v>
      </c>
      <c r="H253" s="52">
        <v>0</v>
      </c>
      <c r="I253" s="52">
        <v>0</v>
      </c>
      <c r="J253" s="52">
        <v>0</v>
      </c>
      <c r="K253" s="52">
        <v>0</v>
      </c>
      <c r="L253" s="52">
        <v>0</v>
      </c>
      <c r="M253" s="52">
        <v>0</v>
      </c>
      <c r="N253" s="52">
        <v>0</v>
      </c>
      <c r="O253" s="52">
        <v>0</v>
      </c>
      <c r="P253" s="52">
        <v>6172.0944336241064</v>
      </c>
      <c r="Q253" s="52">
        <v>0</v>
      </c>
      <c r="R253" s="52">
        <v>0</v>
      </c>
      <c r="S253" s="52">
        <v>2204.3194405800382</v>
      </c>
      <c r="T253" s="52">
        <v>0</v>
      </c>
      <c r="U253" s="52">
        <v>0</v>
      </c>
      <c r="V253" s="52">
        <v>10278.714659520041</v>
      </c>
      <c r="W253" s="52">
        <v>0</v>
      </c>
      <c r="X253" s="52">
        <v>0</v>
      </c>
      <c r="Y253" s="52">
        <v>0</v>
      </c>
      <c r="Z253" s="52">
        <v>0</v>
      </c>
      <c r="AA253" s="52">
        <v>0</v>
      </c>
      <c r="AB253" s="52">
        <v>0</v>
      </c>
      <c r="AC253" s="52">
        <v>0</v>
      </c>
      <c r="AD253" s="52">
        <v>0</v>
      </c>
      <c r="AE253" s="52">
        <v>0</v>
      </c>
      <c r="AF253" s="52">
        <v>0</v>
      </c>
      <c r="AG253" s="52">
        <v>0</v>
      </c>
      <c r="AH253" s="52">
        <v>884.1601614720114</v>
      </c>
      <c r="AI253" s="52">
        <v>0</v>
      </c>
      <c r="AJ253" s="52">
        <v>0</v>
      </c>
      <c r="AK253" s="52">
        <v>284.19433761600368</v>
      </c>
      <c r="AL253" s="52">
        <v>0</v>
      </c>
      <c r="AM253" s="52">
        <v>0</v>
      </c>
      <c r="AN253" s="52">
        <v>9383.8227829499992</v>
      </c>
      <c r="AO253" s="52">
        <v>0</v>
      </c>
      <c r="AP253" s="52">
        <v>0</v>
      </c>
      <c r="AQ253" s="52">
        <v>2303.3019558149995</v>
      </c>
      <c r="AR253" s="52">
        <v>0</v>
      </c>
      <c r="AS253" s="52">
        <v>0</v>
      </c>
      <c r="AT253" s="52">
        <v>9654.1288959280064</v>
      </c>
      <c r="AU253" s="52">
        <v>0</v>
      </c>
      <c r="AV253" s="52">
        <v>0</v>
      </c>
      <c r="AW253" s="52">
        <v>0</v>
      </c>
      <c r="AX253" s="52">
        <v>0</v>
      </c>
      <c r="AY253" s="52">
        <v>0</v>
      </c>
      <c r="AZ253" s="52">
        <v>19201.922037108121</v>
      </c>
      <c r="BA253" s="52">
        <v>0</v>
      </c>
      <c r="BB253" s="52">
        <v>0</v>
      </c>
      <c r="BC253" s="52">
        <v>5760.5766111324365</v>
      </c>
      <c r="BD253" s="52">
        <v>0</v>
      </c>
      <c r="BE253" s="52">
        <v>0</v>
      </c>
      <c r="BF253" s="52">
        <v>9856.3212277200237</v>
      </c>
      <c r="BG253" s="52">
        <v>0</v>
      </c>
      <c r="BH253" s="52">
        <v>0</v>
      </c>
      <c r="BI253" s="52">
        <v>4032.131411340009</v>
      </c>
      <c r="BJ253" s="52">
        <v>0</v>
      </c>
      <c r="BK253" s="52">
        <v>0</v>
      </c>
      <c r="BL253" s="52">
        <v>4472.5953113100431</v>
      </c>
      <c r="BM253" s="52">
        <v>0</v>
      </c>
      <c r="BN253" s="52">
        <v>0</v>
      </c>
      <c r="BO253" s="52">
        <v>722.08713146400123</v>
      </c>
      <c r="BP253" s="52">
        <v>0</v>
      </c>
      <c r="BQ253" s="52">
        <v>0</v>
      </c>
      <c r="BR253" s="52">
        <v>13600.000000000002</v>
      </c>
      <c r="BS253" s="52">
        <v>0</v>
      </c>
      <c r="BT253" s="52">
        <v>0</v>
      </c>
      <c r="BU253" s="52">
        <v>6710.0800369680592</v>
      </c>
      <c r="BV253" s="52">
        <v>0</v>
      </c>
      <c r="BW253" s="52">
        <v>0</v>
      </c>
    </row>
    <row r="254" spans="1:75" x14ac:dyDescent="0.3">
      <c r="A254" s="8" t="s">
        <v>100</v>
      </c>
      <c r="B254" s="8" t="s">
        <v>9</v>
      </c>
      <c r="C254" s="8" t="s">
        <v>146</v>
      </c>
      <c r="D254" s="52">
        <v>17600</v>
      </c>
      <c r="E254" s="52">
        <v>61600</v>
      </c>
      <c r="F254" s="52">
        <v>0</v>
      </c>
      <c r="G254" s="52">
        <v>7200</v>
      </c>
      <c r="H254" s="52">
        <v>3820.6641688740001</v>
      </c>
      <c r="I254" s="52">
        <v>0</v>
      </c>
      <c r="J254" s="52">
        <v>12000</v>
      </c>
      <c r="K254" s="52">
        <v>30834.433730699984</v>
      </c>
      <c r="L254" s="52">
        <v>0</v>
      </c>
      <c r="M254" s="52">
        <v>4800.0000000000009</v>
      </c>
      <c r="N254" s="52">
        <v>10269.540723520035</v>
      </c>
      <c r="O254" s="52">
        <v>0</v>
      </c>
      <c r="P254" s="52">
        <v>16800</v>
      </c>
      <c r="Q254" s="52">
        <v>39436.086025350516</v>
      </c>
      <c r="R254" s="52">
        <v>0</v>
      </c>
      <c r="S254" s="52">
        <v>2687.4506320199698</v>
      </c>
      <c r="T254" s="52">
        <v>0</v>
      </c>
      <c r="U254" s="52">
        <v>0</v>
      </c>
      <c r="V254" s="52">
        <v>15200.000000000002</v>
      </c>
      <c r="W254" s="52">
        <v>53200</v>
      </c>
      <c r="X254" s="52">
        <v>0</v>
      </c>
      <c r="Y254" s="52">
        <v>6600.0000000000009</v>
      </c>
      <c r="Z254" s="52">
        <v>0</v>
      </c>
      <c r="AA254" s="52">
        <v>0</v>
      </c>
      <c r="AB254" s="52">
        <v>17600</v>
      </c>
      <c r="AC254" s="52">
        <v>0</v>
      </c>
      <c r="AD254" s="52">
        <v>0</v>
      </c>
      <c r="AE254" s="52">
        <v>5400</v>
      </c>
      <c r="AF254" s="52">
        <v>0</v>
      </c>
      <c r="AG254" s="52">
        <v>0</v>
      </c>
      <c r="AH254" s="52">
        <v>16800</v>
      </c>
      <c r="AI254" s="52">
        <v>45146.716830642217</v>
      </c>
      <c r="AJ254" s="52">
        <v>0</v>
      </c>
      <c r="AK254" s="52">
        <v>5400</v>
      </c>
      <c r="AL254" s="52">
        <v>19348.592927418093</v>
      </c>
      <c r="AM254" s="52">
        <v>0</v>
      </c>
      <c r="AN254" s="52">
        <v>22000</v>
      </c>
      <c r="AO254" s="52">
        <v>39925.815762400816</v>
      </c>
      <c r="AP254" s="52">
        <v>0</v>
      </c>
      <c r="AQ254" s="52">
        <v>5400</v>
      </c>
      <c r="AR254" s="52">
        <v>19055.502977509481</v>
      </c>
      <c r="AS254" s="52">
        <v>0</v>
      </c>
      <c r="AT254" s="52">
        <v>17600</v>
      </c>
      <c r="AU254" s="52">
        <v>57200</v>
      </c>
      <c r="AV254" s="52">
        <v>0</v>
      </c>
      <c r="AW254" s="52">
        <v>3582.0269166059934</v>
      </c>
      <c r="AX254" s="52">
        <v>0</v>
      </c>
      <c r="AY254" s="52">
        <v>0</v>
      </c>
      <c r="AZ254" s="52">
        <v>14411.166805813626</v>
      </c>
      <c r="BA254" s="52">
        <v>33116.779646880095</v>
      </c>
      <c r="BB254" s="52">
        <v>0</v>
      </c>
      <c r="BC254" s="52">
        <v>2779.2272678741201</v>
      </c>
      <c r="BD254" s="52">
        <v>420.32987022001646</v>
      </c>
      <c r="BE254" s="52">
        <v>0</v>
      </c>
      <c r="BF254" s="52">
        <v>7343.9879349816902</v>
      </c>
      <c r="BG254" s="52">
        <v>54587.617383068238</v>
      </c>
      <c r="BH254" s="52">
        <v>0</v>
      </c>
      <c r="BI254" s="52">
        <v>0</v>
      </c>
      <c r="BJ254" s="52">
        <v>0</v>
      </c>
      <c r="BK254" s="52">
        <v>0</v>
      </c>
      <c r="BL254" s="52">
        <v>8400</v>
      </c>
      <c r="BM254" s="52">
        <v>24921.003759120191</v>
      </c>
      <c r="BN254" s="52">
        <v>0</v>
      </c>
      <c r="BO254" s="52">
        <v>5400</v>
      </c>
      <c r="BP254" s="52">
        <v>2799.3602006370361</v>
      </c>
      <c r="BQ254" s="52">
        <v>0</v>
      </c>
      <c r="BR254" s="52">
        <v>13600.000000000002</v>
      </c>
      <c r="BS254" s="52">
        <v>47600</v>
      </c>
      <c r="BT254" s="52">
        <v>0</v>
      </c>
      <c r="BU254" s="52">
        <v>11200.000000000002</v>
      </c>
      <c r="BV254" s="52">
        <v>0</v>
      </c>
      <c r="BW254" s="52">
        <v>0</v>
      </c>
    </row>
    <row r="255" spans="1:75" x14ac:dyDescent="0.3">
      <c r="A255" s="8" t="s">
        <v>100</v>
      </c>
      <c r="B255" s="8" t="s">
        <v>9</v>
      </c>
      <c r="C255" s="8" t="s">
        <v>28</v>
      </c>
      <c r="D255" s="52">
        <v>17600</v>
      </c>
      <c r="E255" s="52">
        <v>61600</v>
      </c>
      <c r="F255" s="52">
        <v>26400.000000000004</v>
      </c>
      <c r="G255" s="52">
        <v>7200</v>
      </c>
      <c r="H255" s="52">
        <v>25200.000000000004</v>
      </c>
      <c r="I255" s="52">
        <v>10800</v>
      </c>
      <c r="J255" s="52">
        <v>12000</v>
      </c>
      <c r="K255" s="52">
        <v>60000</v>
      </c>
      <c r="L255" s="52">
        <v>24000</v>
      </c>
      <c r="M255" s="52">
        <v>4800.0000000000009</v>
      </c>
      <c r="N255" s="52">
        <v>20800</v>
      </c>
      <c r="O255" s="52">
        <v>12800</v>
      </c>
      <c r="P255" s="52">
        <v>16800</v>
      </c>
      <c r="Q255" s="52">
        <v>58800.000000000007</v>
      </c>
      <c r="R255" s="52">
        <v>25200.000000000004</v>
      </c>
      <c r="S255" s="52">
        <v>6000</v>
      </c>
      <c r="T255" s="52">
        <v>26000</v>
      </c>
      <c r="U255" s="52">
        <v>16000</v>
      </c>
      <c r="V255" s="52">
        <v>15200.000000000002</v>
      </c>
      <c r="W255" s="52">
        <v>53200</v>
      </c>
      <c r="X255" s="52">
        <v>22800</v>
      </c>
      <c r="Y255" s="52">
        <v>6600.0000000000009</v>
      </c>
      <c r="Z255" s="52">
        <v>30800</v>
      </c>
      <c r="AA255" s="52">
        <v>15400</v>
      </c>
      <c r="AB255" s="52">
        <v>17600</v>
      </c>
      <c r="AC255" s="52">
        <v>61600</v>
      </c>
      <c r="AD255" s="52">
        <v>26400.000000000004</v>
      </c>
      <c r="AE255" s="52">
        <v>5400</v>
      </c>
      <c r="AF255" s="52">
        <v>23400.000000000004</v>
      </c>
      <c r="AG255" s="52">
        <v>14400</v>
      </c>
      <c r="AH255" s="52">
        <v>16800</v>
      </c>
      <c r="AI255" s="52">
        <v>58800.000000000007</v>
      </c>
      <c r="AJ255" s="52">
        <v>25200.000000000004</v>
      </c>
      <c r="AK255" s="52">
        <v>5400</v>
      </c>
      <c r="AL255" s="52">
        <v>25200.000000000004</v>
      </c>
      <c r="AM255" s="52">
        <v>12600.000000000002</v>
      </c>
      <c r="AN255" s="52">
        <v>22000</v>
      </c>
      <c r="AO255" s="52">
        <v>52800.000000000007</v>
      </c>
      <c r="AP255" s="52">
        <v>30800</v>
      </c>
      <c r="AQ255" s="52">
        <v>5400</v>
      </c>
      <c r="AR255" s="52">
        <v>25200.000000000004</v>
      </c>
      <c r="AS255" s="52">
        <v>12600.000000000002</v>
      </c>
      <c r="AT255" s="52">
        <v>17600</v>
      </c>
      <c r="AU255" s="52">
        <v>57200</v>
      </c>
      <c r="AV255" s="52">
        <v>30800</v>
      </c>
      <c r="AW255" s="52">
        <v>5400</v>
      </c>
      <c r="AX255" s="52">
        <v>25200.000000000004</v>
      </c>
      <c r="AY255" s="52">
        <v>12600.000000000002</v>
      </c>
      <c r="AZ255" s="52">
        <v>20000</v>
      </c>
      <c r="BA255" s="52">
        <v>48000</v>
      </c>
      <c r="BB255" s="52">
        <v>28000</v>
      </c>
      <c r="BC255" s="52">
        <v>6000</v>
      </c>
      <c r="BD255" s="52">
        <v>26000</v>
      </c>
      <c r="BE255" s="52">
        <v>16000</v>
      </c>
      <c r="BF255" s="52">
        <v>13200.000000000002</v>
      </c>
      <c r="BG255" s="52">
        <v>61600</v>
      </c>
      <c r="BH255" s="52">
        <v>30800</v>
      </c>
      <c r="BI255" s="52">
        <v>5400</v>
      </c>
      <c r="BJ255" s="52">
        <v>23400.000000000004</v>
      </c>
      <c r="BK255" s="52">
        <v>14400</v>
      </c>
      <c r="BL255" s="52">
        <v>8400</v>
      </c>
      <c r="BM255" s="52">
        <v>63000</v>
      </c>
      <c r="BN255" s="52">
        <v>29400.000000000004</v>
      </c>
      <c r="BO255" s="52">
        <v>5400</v>
      </c>
      <c r="BP255" s="52">
        <v>23400.000000000004</v>
      </c>
      <c r="BQ255" s="52">
        <v>14400</v>
      </c>
      <c r="BR255" s="52">
        <v>13600.000000000002</v>
      </c>
      <c r="BS255" s="52">
        <v>47600</v>
      </c>
      <c r="BT255" s="52">
        <v>20400.000000000004</v>
      </c>
      <c r="BU255" s="52">
        <v>11200.000000000002</v>
      </c>
      <c r="BV255" s="52">
        <v>36400</v>
      </c>
      <c r="BW255" s="52">
        <v>19600</v>
      </c>
    </row>
    <row r="256" spans="1:75" x14ac:dyDescent="0.3">
      <c r="A256" s="8" t="s">
        <v>100</v>
      </c>
      <c r="B256" s="8" t="s">
        <v>10</v>
      </c>
      <c r="C256" s="8" t="s">
        <v>60</v>
      </c>
      <c r="D256" s="52">
        <v>67900.800000000003</v>
      </c>
      <c r="E256" s="52">
        <v>237652.80000000002</v>
      </c>
      <c r="F256" s="52">
        <v>101851.20000000001</v>
      </c>
      <c r="G256" s="52">
        <v>27777.600000000002</v>
      </c>
      <c r="H256" s="52">
        <v>97221.6</v>
      </c>
      <c r="I256" s="52">
        <v>41666.400000000001</v>
      </c>
      <c r="J256" s="52">
        <v>46296.000000000007</v>
      </c>
      <c r="K256" s="52">
        <v>231480.00000000003</v>
      </c>
      <c r="L256" s="52">
        <v>92592.000000000015</v>
      </c>
      <c r="M256" s="52">
        <v>18518.400000000001</v>
      </c>
      <c r="N256" s="52">
        <v>80246.400000000009</v>
      </c>
      <c r="O256" s="52">
        <v>49382.400000000001</v>
      </c>
      <c r="P256" s="52">
        <v>64814.400000000009</v>
      </c>
      <c r="Q256" s="52">
        <v>226850.4</v>
      </c>
      <c r="R256" s="52">
        <v>97221.6</v>
      </c>
      <c r="S256" s="52">
        <v>23148.000000000004</v>
      </c>
      <c r="T256" s="52">
        <v>100308</v>
      </c>
      <c r="U256" s="52">
        <v>61728.000000000007</v>
      </c>
      <c r="V256" s="52">
        <v>58641.600000000006</v>
      </c>
      <c r="W256" s="52">
        <v>205245.60000000003</v>
      </c>
      <c r="X256" s="52">
        <v>87962.400000000009</v>
      </c>
      <c r="Y256" s="52">
        <v>25462.800000000003</v>
      </c>
      <c r="Z256" s="52">
        <v>118826.40000000001</v>
      </c>
      <c r="AA256" s="52">
        <v>59413.200000000004</v>
      </c>
      <c r="AB256" s="52">
        <v>67900.800000000003</v>
      </c>
      <c r="AC256" s="52">
        <v>237652.80000000002</v>
      </c>
      <c r="AD256" s="52">
        <v>101851.20000000001</v>
      </c>
      <c r="AE256" s="52">
        <v>20833.2</v>
      </c>
      <c r="AF256" s="52">
        <v>90277.200000000012</v>
      </c>
      <c r="AG256" s="52">
        <v>55555.200000000004</v>
      </c>
      <c r="AH256" s="52">
        <v>64814.400000000009</v>
      </c>
      <c r="AI256" s="52">
        <v>226850.4</v>
      </c>
      <c r="AJ256" s="52">
        <v>97221.6</v>
      </c>
      <c r="AK256" s="52">
        <v>20833.2</v>
      </c>
      <c r="AL256" s="52">
        <v>97221.6</v>
      </c>
      <c r="AM256" s="52">
        <v>48610.8</v>
      </c>
      <c r="AN256" s="52">
        <v>84876</v>
      </c>
      <c r="AO256" s="52">
        <v>203702.40000000002</v>
      </c>
      <c r="AP256" s="52">
        <v>118826.40000000001</v>
      </c>
      <c r="AQ256" s="52">
        <v>20833.2</v>
      </c>
      <c r="AR256" s="52">
        <v>97221.6</v>
      </c>
      <c r="AS256" s="52">
        <v>48610.8</v>
      </c>
      <c r="AT256" s="52">
        <v>67900.800000000003</v>
      </c>
      <c r="AU256" s="52">
        <v>220677.6</v>
      </c>
      <c r="AV256" s="52">
        <v>118826.40000000001</v>
      </c>
      <c r="AW256" s="52">
        <v>20833.2</v>
      </c>
      <c r="AX256" s="52">
        <v>97221.6</v>
      </c>
      <c r="AY256" s="52">
        <v>48610.8</v>
      </c>
      <c r="AZ256" s="52">
        <v>77160.000000000015</v>
      </c>
      <c r="BA256" s="52">
        <v>185184.00000000003</v>
      </c>
      <c r="BB256" s="52">
        <v>108024.00000000001</v>
      </c>
      <c r="BC256" s="52">
        <v>23148.000000000004</v>
      </c>
      <c r="BD256" s="52">
        <v>100308</v>
      </c>
      <c r="BE256" s="52">
        <v>61728.000000000007</v>
      </c>
      <c r="BF256" s="52">
        <v>50925.600000000006</v>
      </c>
      <c r="BG256" s="52">
        <v>237652.80000000002</v>
      </c>
      <c r="BH256" s="52">
        <v>118826.40000000001</v>
      </c>
      <c r="BI256" s="52">
        <v>20833.2</v>
      </c>
      <c r="BJ256" s="52">
        <v>90277.200000000012</v>
      </c>
      <c r="BK256" s="52">
        <v>55555.200000000004</v>
      </c>
      <c r="BL256" s="52">
        <v>32407.200000000004</v>
      </c>
      <c r="BM256" s="52">
        <v>243054.00000000003</v>
      </c>
      <c r="BN256" s="52">
        <v>113425.2</v>
      </c>
      <c r="BO256" s="52">
        <v>20833.2</v>
      </c>
      <c r="BP256" s="52">
        <v>90277.200000000012</v>
      </c>
      <c r="BQ256" s="52">
        <v>55555.200000000004</v>
      </c>
      <c r="BR256" s="52">
        <v>52468.800000000003</v>
      </c>
      <c r="BS256" s="52">
        <v>183640.80000000002</v>
      </c>
      <c r="BT256" s="52">
        <v>78703.200000000012</v>
      </c>
      <c r="BU256" s="52">
        <v>43209.599999999999</v>
      </c>
      <c r="BV256" s="52">
        <v>140431.20000000001</v>
      </c>
      <c r="BW256" s="52">
        <v>75616.800000000017</v>
      </c>
    </row>
    <row r="257" spans="1:75" x14ac:dyDescent="0.3">
      <c r="A257" s="8" t="s">
        <v>100</v>
      </c>
      <c r="B257" s="8" t="s">
        <v>10</v>
      </c>
      <c r="C257" s="8" t="s">
        <v>150</v>
      </c>
      <c r="D257" s="52">
        <v>20697.599999999999</v>
      </c>
      <c r="E257" s="52">
        <v>72441.599999999991</v>
      </c>
      <c r="F257" s="52">
        <v>31046.399999999994</v>
      </c>
      <c r="G257" s="52">
        <v>0</v>
      </c>
      <c r="H257" s="52">
        <v>0</v>
      </c>
      <c r="I257" s="52">
        <v>0</v>
      </c>
      <c r="J257" s="52">
        <v>14111.999999999998</v>
      </c>
      <c r="K257" s="52">
        <v>70559.999999999985</v>
      </c>
      <c r="L257" s="52">
        <v>28223.999999999996</v>
      </c>
      <c r="M257" s="52">
        <v>5644.7999999999993</v>
      </c>
      <c r="N257" s="52">
        <v>24460.799999999996</v>
      </c>
      <c r="O257" s="52">
        <v>15052.799999999997</v>
      </c>
      <c r="P257" s="52">
        <v>19756.8</v>
      </c>
      <c r="Q257" s="52">
        <v>69148.799999999988</v>
      </c>
      <c r="R257" s="52">
        <v>29635.199999999993</v>
      </c>
      <c r="S257" s="52">
        <v>7055.9999999999991</v>
      </c>
      <c r="T257" s="52">
        <v>30575.999999999996</v>
      </c>
      <c r="U257" s="52">
        <v>18815.999999999996</v>
      </c>
      <c r="V257" s="52">
        <v>17875.199999999997</v>
      </c>
      <c r="W257" s="52">
        <v>62563.19999999999</v>
      </c>
      <c r="X257" s="52">
        <v>26812.799999999996</v>
      </c>
      <c r="Y257" s="52">
        <v>0</v>
      </c>
      <c r="Z257" s="52">
        <v>0</v>
      </c>
      <c r="AA257" s="52">
        <v>0</v>
      </c>
      <c r="AB257" s="52">
        <v>20697.599999999999</v>
      </c>
      <c r="AC257" s="52">
        <v>72441.599999999991</v>
      </c>
      <c r="AD257" s="52">
        <v>31046.399999999994</v>
      </c>
      <c r="AE257" s="52">
        <v>6350.3999999999987</v>
      </c>
      <c r="AF257" s="52">
        <v>27518.399999999998</v>
      </c>
      <c r="AG257" s="52">
        <v>16934.399999999998</v>
      </c>
      <c r="AH257" s="52">
        <v>19756.8</v>
      </c>
      <c r="AI257" s="52">
        <v>69148.799999999988</v>
      </c>
      <c r="AJ257" s="52">
        <v>29635.199999999993</v>
      </c>
      <c r="AK257" s="52">
        <v>0</v>
      </c>
      <c r="AL257" s="52">
        <v>0</v>
      </c>
      <c r="AM257" s="52">
        <v>0</v>
      </c>
      <c r="AN257" s="52">
        <v>25871.999999999996</v>
      </c>
      <c r="AO257" s="52">
        <v>62092.799999999988</v>
      </c>
      <c r="AP257" s="52">
        <v>36220.799999999996</v>
      </c>
      <c r="AQ257" s="52">
        <v>6350.3999999999978</v>
      </c>
      <c r="AR257" s="52">
        <v>29635.199999999986</v>
      </c>
      <c r="AS257" s="52">
        <v>14817.599999999993</v>
      </c>
      <c r="AT257" s="52">
        <v>20697.599999999999</v>
      </c>
      <c r="AU257" s="52">
        <v>67267.199999999983</v>
      </c>
      <c r="AV257" s="52">
        <v>36220.799999999996</v>
      </c>
      <c r="AW257" s="52">
        <v>0</v>
      </c>
      <c r="AX257" s="52">
        <v>0</v>
      </c>
      <c r="AY257" s="52">
        <v>0</v>
      </c>
      <c r="AZ257" s="52">
        <v>23519.999999999996</v>
      </c>
      <c r="BA257" s="52">
        <v>56447.999999999993</v>
      </c>
      <c r="BB257" s="52">
        <v>32928</v>
      </c>
      <c r="BC257" s="52">
        <v>0</v>
      </c>
      <c r="BD257" s="52">
        <v>0</v>
      </c>
      <c r="BE257" s="52">
        <v>0</v>
      </c>
      <c r="BF257" s="52">
        <v>15523.199999999997</v>
      </c>
      <c r="BG257" s="52">
        <v>72441.599999999991</v>
      </c>
      <c r="BH257" s="52">
        <v>36220.799999999996</v>
      </c>
      <c r="BI257" s="52">
        <v>6350.3999999999987</v>
      </c>
      <c r="BJ257" s="52">
        <v>27518.399999999998</v>
      </c>
      <c r="BK257" s="52">
        <v>16934.399999999998</v>
      </c>
      <c r="BL257" s="52">
        <v>9878.4</v>
      </c>
      <c r="BM257" s="52">
        <v>74088</v>
      </c>
      <c r="BN257" s="52">
        <v>34574.399999999994</v>
      </c>
      <c r="BO257" s="52">
        <v>6350.3999999999987</v>
      </c>
      <c r="BP257" s="52">
        <v>27518.399999999998</v>
      </c>
      <c r="BQ257" s="52">
        <v>16934.399999999998</v>
      </c>
      <c r="BR257" s="52">
        <v>37266.86550218401</v>
      </c>
      <c r="BS257" s="52">
        <v>55977.599999999991</v>
      </c>
      <c r="BT257" s="52">
        <v>23990.399999999998</v>
      </c>
      <c r="BU257" s="52">
        <v>23336.480036968045</v>
      </c>
      <c r="BV257" s="52">
        <v>42806.399999999994</v>
      </c>
      <c r="BW257" s="52">
        <v>23049.599999999999</v>
      </c>
    </row>
    <row r="258" spans="1:75" x14ac:dyDescent="0.3">
      <c r="A258" s="8" t="s">
        <v>100</v>
      </c>
      <c r="B258" s="8" t="s">
        <v>10</v>
      </c>
      <c r="C258" s="8" t="s">
        <v>61</v>
      </c>
      <c r="D258" s="52">
        <v>0</v>
      </c>
      <c r="E258" s="52">
        <v>0</v>
      </c>
      <c r="F258" s="52">
        <v>0</v>
      </c>
      <c r="G258" s="52">
        <v>0</v>
      </c>
      <c r="H258" s="52">
        <v>0</v>
      </c>
      <c r="I258" s="52">
        <v>0</v>
      </c>
      <c r="J258" s="52">
        <v>0</v>
      </c>
      <c r="K258" s="52">
        <v>0</v>
      </c>
      <c r="L258" s="52">
        <v>0</v>
      </c>
      <c r="M258" s="52">
        <v>0</v>
      </c>
      <c r="N258" s="52">
        <v>0</v>
      </c>
      <c r="O258" s="52">
        <v>0</v>
      </c>
      <c r="P258" s="52">
        <v>0</v>
      </c>
      <c r="Q258" s="52">
        <v>0</v>
      </c>
      <c r="R258" s="52">
        <v>0</v>
      </c>
      <c r="S258" s="52">
        <v>0</v>
      </c>
      <c r="T258" s="52">
        <v>0</v>
      </c>
      <c r="U258" s="52">
        <v>0</v>
      </c>
      <c r="V258" s="52">
        <v>0</v>
      </c>
      <c r="W258" s="52">
        <v>0</v>
      </c>
      <c r="X258" s="52">
        <v>0</v>
      </c>
      <c r="Y258" s="52">
        <v>0</v>
      </c>
      <c r="Z258" s="52">
        <v>0</v>
      </c>
      <c r="AA258" s="52">
        <v>0</v>
      </c>
      <c r="AB258" s="52">
        <v>0</v>
      </c>
      <c r="AC258" s="52">
        <v>0</v>
      </c>
      <c r="AD258" s="52">
        <v>0</v>
      </c>
      <c r="AE258" s="52">
        <v>0</v>
      </c>
      <c r="AF258" s="52">
        <v>0</v>
      </c>
      <c r="AG258" s="52">
        <v>0</v>
      </c>
      <c r="AH258" s="52">
        <v>6824.1599999999989</v>
      </c>
      <c r="AI258" s="52">
        <v>23884.559999999998</v>
      </c>
      <c r="AJ258" s="52">
        <v>10236.239999999998</v>
      </c>
      <c r="AK258" s="52">
        <v>2193.4799999999996</v>
      </c>
      <c r="AL258" s="52">
        <v>10236.239999999998</v>
      </c>
      <c r="AM258" s="52">
        <v>5118.119999999999</v>
      </c>
      <c r="AN258" s="52">
        <v>0</v>
      </c>
      <c r="AO258" s="52">
        <v>0</v>
      </c>
      <c r="AP258" s="52">
        <v>0</v>
      </c>
      <c r="AQ258" s="52">
        <v>0</v>
      </c>
      <c r="AR258" s="52">
        <v>0</v>
      </c>
      <c r="AS258" s="52">
        <v>0</v>
      </c>
      <c r="AT258" s="52">
        <v>0</v>
      </c>
      <c r="AU258" s="52">
        <v>0</v>
      </c>
      <c r="AV258" s="52">
        <v>0</v>
      </c>
      <c r="AW258" s="52">
        <v>0</v>
      </c>
      <c r="AX258" s="52">
        <v>0</v>
      </c>
      <c r="AY258" s="52">
        <v>0</v>
      </c>
      <c r="AZ258" s="52">
        <v>0</v>
      </c>
      <c r="BA258" s="52">
        <v>0</v>
      </c>
      <c r="BB258" s="52">
        <v>0</v>
      </c>
      <c r="BC258" s="52">
        <v>0</v>
      </c>
      <c r="BD258" s="52">
        <v>0</v>
      </c>
      <c r="BE258" s="52">
        <v>0</v>
      </c>
      <c r="BF258" s="52">
        <v>0</v>
      </c>
      <c r="BG258" s="52">
        <v>0</v>
      </c>
      <c r="BH258" s="52">
        <v>0</v>
      </c>
      <c r="BI258" s="52">
        <v>0</v>
      </c>
      <c r="BJ258" s="52">
        <v>0</v>
      </c>
      <c r="BK258" s="52">
        <v>0</v>
      </c>
      <c r="BL258" s="52">
        <v>4602.7953113100357</v>
      </c>
      <c r="BM258" s="52">
        <v>25590.6</v>
      </c>
      <c r="BN258" s="52">
        <v>11942.279999999999</v>
      </c>
      <c r="BO258" s="52">
        <v>0</v>
      </c>
      <c r="BP258" s="52">
        <v>0</v>
      </c>
      <c r="BQ258" s="52">
        <v>0</v>
      </c>
      <c r="BR258" s="52">
        <v>13810.800000000001</v>
      </c>
      <c r="BS258" s="52">
        <v>19335.119999999995</v>
      </c>
      <c r="BT258" s="52">
        <v>8286.4799999999977</v>
      </c>
      <c r="BU258" s="52">
        <v>11373.6</v>
      </c>
      <c r="BV258" s="52">
        <v>14785.679999999998</v>
      </c>
      <c r="BW258" s="52">
        <v>7961.5199999999995</v>
      </c>
    </row>
    <row r="259" spans="1:75" x14ac:dyDescent="0.3">
      <c r="A259" s="8" t="s">
        <v>100</v>
      </c>
      <c r="B259" s="8" t="s">
        <v>10</v>
      </c>
      <c r="C259" s="8" t="s">
        <v>152</v>
      </c>
      <c r="D259" s="52">
        <v>0</v>
      </c>
      <c r="E259" s="52">
        <v>0</v>
      </c>
      <c r="F259" s="52">
        <v>0</v>
      </c>
      <c r="G259" s="52">
        <v>0</v>
      </c>
      <c r="H259" s="52">
        <v>0</v>
      </c>
      <c r="I259" s="52">
        <v>0</v>
      </c>
      <c r="J259" s="52">
        <v>3609.5999999999995</v>
      </c>
      <c r="K259" s="52">
        <v>18048</v>
      </c>
      <c r="L259" s="52">
        <v>7219.1999999999989</v>
      </c>
      <c r="M259" s="52">
        <v>0</v>
      </c>
      <c r="N259" s="52">
        <v>0</v>
      </c>
      <c r="O259" s="52">
        <v>0</v>
      </c>
      <c r="P259" s="52">
        <v>0</v>
      </c>
      <c r="Q259" s="52">
        <v>0</v>
      </c>
      <c r="R259" s="52">
        <v>0</v>
      </c>
      <c r="S259" s="52">
        <v>0</v>
      </c>
      <c r="T259" s="52">
        <v>0</v>
      </c>
      <c r="U259" s="52">
        <v>0</v>
      </c>
      <c r="V259" s="52">
        <v>6509.1146595200335</v>
      </c>
      <c r="W259" s="52">
        <v>16002.56</v>
      </c>
      <c r="X259" s="52">
        <v>6858.2399999999989</v>
      </c>
      <c r="Y259" s="52">
        <v>1985.2799999999979</v>
      </c>
      <c r="Z259" s="52">
        <v>9264.6399999999885</v>
      </c>
      <c r="AA259" s="52">
        <v>4632.3199999999988</v>
      </c>
      <c r="AB259" s="52">
        <v>7014.9026343440019</v>
      </c>
      <c r="AC259" s="52">
        <v>18529.279999999872</v>
      </c>
      <c r="AD259" s="52">
        <v>7941.1199999999453</v>
      </c>
      <c r="AE259" s="52">
        <v>0</v>
      </c>
      <c r="AF259" s="52">
        <v>0</v>
      </c>
      <c r="AG259" s="52">
        <v>0</v>
      </c>
      <c r="AH259" s="52">
        <v>0</v>
      </c>
      <c r="AI259" s="52">
        <v>0</v>
      </c>
      <c r="AJ259" s="52">
        <v>0</v>
      </c>
      <c r="AK259" s="52">
        <v>0</v>
      </c>
      <c r="AL259" s="52">
        <v>0</v>
      </c>
      <c r="AM259" s="52">
        <v>0</v>
      </c>
      <c r="AN259" s="52">
        <v>6617.5999999999995</v>
      </c>
      <c r="AO259" s="52">
        <v>15882.239999999998</v>
      </c>
      <c r="AP259" s="52">
        <v>9264.6399999999976</v>
      </c>
      <c r="AQ259" s="52">
        <v>0</v>
      </c>
      <c r="AR259" s="52">
        <v>0</v>
      </c>
      <c r="AS259" s="52">
        <v>0</v>
      </c>
      <c r="AT259" s="52">
        <v>9926.9288959279729</v>
      </c>
      <c r="AU259" s="52">
        <v>17205.759999999998</v>
      </c>
      <c r="AV259" s="52">
        <v>9264.6399999999976</v>
      </c>
      <c r="AW259" s="52">
        <v>1624.3199999999997</v>
      </c>
      <c r="AX259" s="52">
        <v>7580.1599999999989</v>
      </c>
      <c r="AY259" s="52">
        <v>3790.0799999999995</v>
      </c>
      <c r="AZ259" s="52">
        <v>0</v>
      </c>
      <c r="BA259" s="52">
        <v>0</v>
      </c>
      <c r="BB259" s="52">
        <v>0</v>
      </c>
      <c r="BC259" s="52">
        <v>0</v>
      </c>
      <c r="BD259" s="52">
        <v>0</v>
      </c>
      <c r="BE259" s="52">
        <v>0</v>
      </c>
      <c r="BF259" s="52">
        <v>0</v>
      </c>
      <c r="BG259" s="52">
        <v>0</v>
      </c>
      <c r="BH259" s="52">
        <v>0</v>
      </c>
      <c r="BI259" s="52">
        <v>0</v>
      </c>
      <c r="BJ259" s="52">
        <v>0</v>
      </c>
      <c r="BK259" s="52">
        <v>0</v>
      </c>
      <c r="BL259" s="52">
        <v>0</v>
      </c>
      <c r="BM259" s="52">
        <v>0</v>
      </c>
      <c r="BN259" s="52">
        <v>0</v>
      </c>
      <c r="BO259" s="52">
        <v>0</v>
      </c>
      <c r="BP259" s="52">
        <v>0</v>
      </c>
      <c r="BQ259" s="52">
        <v>0</v>
      </c>
      <c r="BR259" s="52">
        <v>0</v>
      </c>
      <c r="BS259" s="52">
        <v>0</v>
      </c>
      <c r="BT259" s="52">
        <v>0</v>
      </c>
      <c r="BU259" s="52">
        <v>0</v>
      </c>
      <c r="BV259" s="52">
        <v>0</v>
      </c>
      <c r="BW259" s="52">
        <v>0</v>
      </c>
    </row>
    <row r="260" spans="1:75" x14ac:dyDescent="0.3">
      <c r="A260" s="8" t="s">
        <v>100</v>
      </c>
      <c r="B260" s="8" t="s">
        <v>10</v>
      </c>
      <c r="C260" s="8" t="s">
        <v>151</v>
      </c>
      <c r="D260" s="52">
        <v>6842.880000000001</v>
      </c>
      <c r="E260" s="52">
        <v>27815.837628963989</v>
      </c>
      <c r="F260" s="52">
        <v>10264.320000000002</v>
      </c>
      <c r="G260" s="52">
        <v>0</v>
      </c>
      <c r="H260" s="52">
        <v>0</v>
      </c>
      <c r="I260" s="52">
        <v>0</v>
      </c>
      <c r="J260" s="52">
        <v>11664.000000000002</v>
      </c>
      <c r="K260" s="52">
        <v>56226.433730700133</v>
      </c>
      <c r="L260" s="52">
        <v>9331.2000000000007</v>
      </c>
      <c r="M260" s="52">
        <v>3317.0458770479854</v>
      </c>
      <c r="N260" s="52">
        <v>9687.1407235200459</v>
      </c>
      <c r="O260" s="52">
        <v>4976.6400000000003</v>
      </c>
      <c r="P260" s="52">
        <v>9275.1382303439823</v>
      </c>
      <c r="Q260" s="52">
        <v>37789.68602535018</v>
      </c>
      <c r="R260" s="52">
        <v>9797.760000000002</v>
      </c>
      <c r="S260" s="52">
        <v>0</v>
      </c>
      <c r="T260" s="52">
        <v>0</v>
      </c>
      <c r="U260" s="52">
        <v>0</v>
      </c>
      <c r="V260" s="52">
        <v>14774.400000000001</v>
      </c>
      <c r="W260" s="52">
        <v>51710.400000000009</v>
      </c>
      <c r="X260" s="52">
        <v>8864.6400000000012</v>
      </c>
      <c r="Y260" s="52">
        <v>4101.0466206270203</v>
      </c>
      <c r="Z260" s="52">
        <v>11975.04</v>
      </c>
      <c r="AA260" s="52">
        <v>5987.52</v>
      </c>
      <c r="AB260" s="52">
        <v>17107.2</v>
      </c>
      <c r="AC260" s="52">
        <v>59875.200000000004</v>
      </c>
      <c r="AD260" s="52">
        <v>10264.320000000002</v>
      </c>
      <c r="AE260" s="52">
        <v>5248.8</v>
      </c>
      <c r="AF260" s="52">
        <v>18262.752262560058</v>
      </c>
      <c r="AG260" s="52">
        <v>5598.7199999999966</v>
      </c>
      <c r="AH260" s="52">
        <v>16329.600000000002</v>
      </c>
      <c r="AI260" s="52">
        <v>36053.119203645751</v>
      </c>
      <c r="AJ260" s="52">
        <v>9797.760000000002</v>
      </c>
      <c r="AK260" s="52">
        <v>2560.3415058060077</v>
      </c>
      <c r="AL260" s="52">
        <v>15451.336801562464</v>
      </c>
      <c r="AM260" s="52">
        <v>4898.880000000001</v>
      </c>
      <c r="AN260" s="52">
        <v>21384</v>
      </c>
      <c r="AO260" s="52">
        <v>50410.265246352108</v>
      </c>
      <c r="AP260" s="52">
        <v>11975.04</v>
      </c>
      <c r="AQ260" s="52">
        <v>0</v>
      </c>
      <c r="AR260" s="52">
        <v>0</v>
      </c>
      <c r="AS260" s="52">
        <v>0</v>
      </c>
      <c r="AT260" s="52">
        <v>17107.2</v>
      </c>
      <c r="AU260" s="52">
        <v>55598.400000000009</v>
      </c>
      <c r="AV260" s="52">
        <v>11975.04</v>
      </c>
      <c r="AW260" s="52">
        <v>2099.52</v>
      </c>
      <c r="AX260" s="52">
        <v>13255.400971345449</v>
      </c>
      <c r="AY260" s="52">
        <v>4898.880000000001</v>
      </c>
      <c r="AZ260" s="52">
        <v>19440</v>
      </c>
      <c r="BA260" s="52">
        <v>31772.779646880022</v>
      </c>
      <c r="BB260" s="52">
        <v>10886.400000000001</v>
      </c>
      <c r="BC260" s="52">
        <v>4383.8772261300292</v>
      </c>
      <c r="BD260" s="52">
        <v>10108.800000000001</v>
      </c>
      <c r="BE260" s="52">
        <v>6220.8</v>
      </c>
      <c r="BF260" s="52">
        <v>0</v>
      </c>
      <c r="BG260" s="52">
        <v>0</v>
      </c>
      <c r="BH260" s="52">
        <v>0</v>
      </c>
      <c r="BI260" s="52">
        <v>0</v>
      </c>
      <c r="BJ260" s="52">
        <v>0</v>
      </c>
      <c r="BK260" s="52">
        <v>0</v>
      </c>
      <c r="BL260" s="52">
        <v>8164.8000000000011</v>
      </c>
      <c r="BM260" s="52">
        <v>24494.400000000001</v>
      </c>
      <c r="BN260" s="52">
        <v>11430.720000000001</v>
      </c>
      <c r="BO260" s="52">
        <v>2099.52</v>
      </c>
      <c r="BP260" s="52">
        <v>9097.9200000000019</v>
      </c>
      <c r="BQ260" s="52">
        <v>5598.7200000000012</v>
      </c>
      <c r="BR260" s="52">
        <v>13219.2</v>
      </c>
      <c r="BS260" s="52">
        <v>38649.115418214125</v>
      </c>
      <c r="BT260" s="52">
        <v>7931.52</v>
      </c>
      <c r="BU260" s="52">
        <v>0</v>
      </c>
      <c r="BV260" s="52">
        <v>0</v>
      </c>
      <c r="BW260" s="52">
        <v>0</v>
      </c>
    </row>
    <row r="261" spans="1:75" x14ac:dyDescent="0.3">
      <c r="A261" s="8" t="s">
        <v>100</v>
      </c>
      <c r="B261" s="8" t="s">
        <v>10</v>
      </c>
      <c r="C261" s="8" t="s">
        <v>62</v>
      </c>
      <c r="D261" s="52">
        <v>44000</v>
      </c>
      <c r="E261" s="52">
        <v>154000</v>
      </c>
      <c r="F261" s="52">
        <v>66000</v>
      </c>
      <c r="G261" s="52">
        <v>18000</v>
      </c>
      <c r="H261" s="52">
        <v>63000</v>
      </c>
      <c r="I261" s="52">
        <v>27000</v>
      </c>
      <c r="J261" s="52">
        <v>30000</v>
      </c>
      <c r="K261" s="52">
        <v>150000</v>
      </c>
      <c r="L261" s="52">
        <v>60000</v>
      </c>
      <c r="M261" s="52">
        <v>12000</v>
      </c>
      <c r="N261" s="52">
        <v>52000</v>
      </c>
      <c r="O261" s="52">
        <v>32000</v>
      </c>
      <c r="P261" s="52">
        <v>42000</v>
      </c>
      <c r="Q261" s="52">
        <v>147000</v>
      </c>
      <c r="R261" s="52">
        <v>63000</v>
      </c>
      <c r="S261" s="52">
        <v>15000</v>
      </c>
      <c r="T261" s="52">
        <v>65000</v>
      </c>
      <c r="U261" s="52">
        <v>40000</v>
      </c>
      <c r="V261" s="52">
        <v>38000</v>
      </c>
      <c r="W261" s="52">
        <v>133000</v>
      </c>
      <c r="X261" s="52">
        <v>57000</v>
      </c>
      <c r="Y261" s="52">
        <v>16500</v>
      </c>
      <c r="Z261" s="52">
        <v>77000</v>
      </c>
      <c r="AA261" s="52">
        <v>38500</v>
      </c>
      <c r="AB261" s="52">
        <v>44000</v>
      </c>
      <c r="AC261" s="52">
        <v>154000</v>
      </c>
      <c r="AD261" s="52">
        <v>66000</v>
      </c>
      <c r="AE261" s="52">
        <v>13500</v>
      </c>
      <c r="AF261" s="52">
        <v>58500</v>
      </c>
      <c r="AG261" s="52">
        <v>36000</v>
      </c>
      <c r="AH261" s="52">
        <v>42000</v>
      </c>
      <c r="AI261" s="52">
        <v>147000</v>
      </c>
      <c r="AJ261" s="52">
        <v>63000</v>
      </c>
      <c r="AK261" s="52">
        <v>13500</v>
      </c>
      <c r="AL261" s="52">
        <v>63000</v>
      </c>
      <c r="AM261" s="52">
        <v>31500</v>
      </c>
      <c r="AN261" s="52">
        <v>55000</v>
      </c>
      <c r="AO261" s="52">
        <v>132000</v>
      </c>
      <c r="AP261" s="52">
        <v>77000</v>
      </c>
      <c r="AQ261" s="52">
        <v>13500</v>
      </c>
      <c r="AR261" s="52">
        <v>63000</v>
      </c>
      <c r="AS261" s="52">
        <v>31500</v>
      </c>
      <c r="AT261" s="52">
        <v>44000</v>
      </c>
      <c r="AU261" s="52">
        <v>143000</v>
      </c>
      <c r="AV261" s="52">
        <v>77000</v>
      </c>
      <c r="AW261" s="52">
        <v>13500</v>
      </c>
      <c r="AX261" s="52">
        <v>63000</v>
      </c>
      <c r="AY261" s="52">
        <v>31500</v>
      </c>
      <c r="AZ261" s="52">
        <v>50000</v>
      </c>
      <c r="BA261" s="52">
        <v>120000</v>
      </c>
      <c r="BB261" s="52">
        <v>70000</v>
      </c>
      <c r="BC261" s="52">
        <v>15000</v>
      </c>
      <c r="BD261" s="52">
        <v>65000</v>
      </c>
      <c r="BE261" s="52">
        <v>40000</v>
      </c>
      <c r="BF261" s="52">
        <v>33000</v>
      </c>
      <c r="BG261" s="52">
        <v>154000</v>
      </c>
      <c r="BH261" s="52">
        <v>77000</v>
      </c>
      <c r="BI261" s="52">
        <v>13500</v>
      </c>
      <c r="BJ261" s="52">
        <v>58500</v>
      </c>
      <c r="BK261" s="52">
        <v>36000</v>
      </c>
      <c r="BL261" s="52">
        <v>21000</v>
      </c>
      <c r="BM261" s="52">
        <v>157500</v>
      </c>
      <c r="BN261" s="52">
        <v>73500</v>
      </c>
      <c r="BO261" s="52">
        <v>13500</v>
      </c>
      <c r="BP261" s="52">
        <v>58500</v>
      </c>
      <c r="BQ261" s="52">
        <v>33951.542336160652</v>
      </c>
      <c r="BR261" s="52">
        <v>34000</v>
      </c>
      <c r="BS261" s="52">
        <v>119000</v>
      </c>
      <c r="BT261" s="52">
        <v>51000</v>
      </c>
      <c r="BU261" s="52">
        <v>28000</v>
      </c>
      <c r="BV261" s="52">
        <v>91000</v>
      </c>
      <c r="BW261" s="52">
        <v>31371.180172514109</v>
      </c>
    </row>
    <row r="262" spans="1:75" x14ac:dyDescent="0.3">
      <c r="A262" s="8" t="s">
        <v>100</v>
      </c>
      <c r="B262" s="8" t="s">
        <v>10</v>
      </c>
      <c r="C262" s="8" t="s">
        <v>63</v>
      </c>
      <c r="D262" s="52">
        <v>44000</v>
      </c>
      <c r="E262" s="52">
        <v>154000</v>
      </c>
      <c r="F262" s="52">
        <v>34406.874980807988</v>
      </c>
      <c r="G262" s="52">
        <v>18000</v>
      </c>
      <c r="H262" s="52">
        <v>63000</v>
      </c>
      <c r="I262" s="52">
        <v>14075.539764875997</v>
      </c>
      <c r="J262" s="52">
        <v>30000</v>
      </c>
      <c r="K262" s="52">
        <v>150000</v>
      </c>
      <c r="L262" s="52">
        <v>12000</v>
      </c>
      <c r="M262" s="52">
        <v>12000</v>
      </c>
      <c r="N262" s="52">
        <v>52000</v>
      </c>
      <c r="O262" s="52">
        <v>6400</v>
      </c>
      <c r="P262" s="52">
        <v>42000</v>
      </c>
      <c r="Q262" s="52">
        <v>147000</v>
      </c>
      <c r="R262" s="52">
        <v>12600.000000000002</v>
      </c>
      <c r="S262" s="52">
        <v>15000</v>
      </c>
      <c r="T262" s="52">
        <v>64720.425495509502</v>
      </c>
      <c r="U262" s="52">
        <v>8000</v>
      </c>
      <c r="V262" s="52">
        <v>38000</v>
      </c>
      <c r="W262" s="52">
        <v>133000</v>
      </c>
      <c r="X262" s="52">
        <v>11400</v>
      </c>
      <c r="Y262" s="52">
        <v>16500</v>
      </c>
      <c r="Z262" s="52">
        <v>52240.146497770162</v>
      </c>
      <c r="AA262" s="52">
        <v>7700</v>
      </c>
      <c r="AB262" s="52">
        <v>44000</v>
      </c>
      <c r="AC262" s="52">
        <v>154000</v>
      </c>
      <c r="AD262" s="52">
        <v>13200.000000000002</v>
      </c>
      <c r="AE262" s="52">
        <v>0</v>
      </c>
      <c r="AF262" s="52">
        <v>0</v>
      </c>
      <c r="AG262" s="52">
        <v>0</v>
      </c>
      <c r="AH262" s="52">
        <v>42000</v>
      </c>
      <c r="AI262" s="52">
        <v>147000</v>
      </c>
      <c r="AJ262" s="52">
        <v>25660.177478079306</v>
      </c>
      <c r="AK262" s="52">
        <v>13500</v>
      </c>
      <c r="AL262" s="52">
        <v>63000</v>
      </c>
      <c r="AM262" s="52">
        <v>12830.088739039653</v>
      </c>
      <c r="AN262" s="52">
        <v>55000</v>
      </c>
      <c r="AO262" s="52">
        <v>132000</v>
      </c>
      <c r="AP262" s="52">
        <v>60801.264785337989</v>
      </c>
      <c r="AQ262" s="52">
        <v>13500</v>
      </c>
      <c r="AR262" s="52">
        <v>63000</v>
      </c>
      <c r="AS262" s="52">
        <v>20824.146201159037</v>
      </c>
      <c r="AT262" s="52">
        <v>44000</v>
      </c>
      <c r="AU262" s="52">
        <v>143000</v>
      </c>
      <c r="AV262" s="52">
        <v>15400</v>
      </c>
      <c r="AW262" s="52">
        <v>13500</v>
      </c>
      <c r="AX262" s="52">
        <v>63000</v>
      </c>
      <c r="AY262" s="52">
        <v>6300.0000000000009</v>
      </c>
      <c r="AZ262" s="52">
        <v>50000</v>
      </c>
      <c r="BA262" s="52">
        <v>120000</v>
      </c>
      <c r="BB262" s="52">
        <v>47901.380220934509</v>
      </c>
      <c r="BC262" s="52">
        <v>15000</v>
      </c>
      <c r="BD262" s="52">
        <v>65000</v>
      </c>
      <c r="BE262" s="52">
        <v>27372.217269105433</v>
      </c>
      <c r="BF262" s="52">
        <v>33000</v>
      </c>
      <c r="BG262" s="52">
        <v>154000</v>
      </c>
      <c r="BH262" s="52">
        <v>19759.081996808109</v>
      </c>
      <c r="BI262" s="52">
        <v>13500</v>
      </c>
      <c r="BJ262" s="52">
        <v>58203.055457927992</v>
      </c>
      <c r="BK262" s="52">
        <v>7200</v>
      </c>
      <c r="BL262" s="52">
        <v>21000</v>
      </c>
      <c r="BM262" s="52">
        <v>157500</v>
      </c>
      <c r="BN262" s="52">
        <v>14700.000000000002</v>
      </c>
      <c r="BO262" s="52">
        <v>13500</v>
      </c>
      <c r="BP262" s="52">
        <v>51546.240200637047</v>
      </c>
      <c r="BQ262" s="52">
        <v>7200</v>
      </c>
      <c r="BR262" s="52">
        <v>34000</v>
      </c>
      <c r="BS262" s="52">
        <v>119000</v>
      </c>
      <c r="BT262" s="52">
        <v>15550.524620868</v>
      </c>
      <c r="BU262" s="52">
        <v>28000</v>
      </c>
      <c r="BV262" s="52">
        <v>89451.428473073858</v>
      </c>
      <c r="BW262" s="52">
        <v>9800</v>
      </c>
    </row>
    <row r="263" spans="1:75" x14ac:dyDescent="0.3">
      <c r="A263" s="8" t="s">
        <v>100</v>
      </c>
      <c r="B263" s="8" t="s">
        <v>10</v>
      </c>
      <c r="C263" s="8" t="s">
        <v>64</v>
      </c>
      <c r="D263" s="52">
        <v>43286.718019335996</v>
      </c>
      <c r="E263" s="52">
        <v>154000</v>
      </c>
      <c r="F263" s="52">
        <v>13200.000000000002</v>
      </c>
      <c r="G263" s="52">
        <v>0</v>
      </c>
      <c r="H263" s="52">
        <v>0</v>
      </c>
      <c r="I263" s="52">
        <v>0</v>
      </c>
      <c r="J263" s="52">
        <v>30000</v>
      </c>
      <c r="K263" s="52">
        <v>150000</v>
      </c>
      <c r="L263" s="52">
        <v>12000</v>
      </c>
      <c r="M263" s="52">
        <v>0</v>
      </c>
      <c r="N263" s="52">
        <v>0</v>
      </c>
      <c r="O263" s="52">
        <v>0</v>
      </c>
      <c r="P263" s="52">
        <v>42000</v>
      </c>
      <c r="Q263" s="52">
        <v>147000</v>
      </c>
      <c r="R263" s="52">
        <v>12600.000000000002</v>
      </c>
      <c r="S263" s="52">
        <v>0</v>
      </c>
      <c r="T263" s="52">
        <v>0</v>
      </c>
      <c r="U263" s="52">
        <v>0</v>
      </c>
      <c r="V263" s="52">
        <v>0</v>
      </c>
      <c r="W263" s="52">
        <v>0</v>
      </c>
      <c r="X263" s="52">
        <v>0</v>
      </c>
      <c r="Y263" s="52">
        <v>0</v>
      </c>
      <c r="Z263" s="52">
        <v>0</v>
      </c>
      <c r="AA263" s="52">
        <v>0</v>
      </c>
      <c r="AB263" s="52">
        <v>0</v>
      </c>
      <c r="AC263" s="52">
        <v>0</v>
      </c>
      <c r="AD263" s="52">
        <v>0</v>
      </c>
      <c r="AE263" s="52">
        <v>0</v>
      </c>
      <c r="AF263" s="52">
        <v>0</v>
      </c>
      <c r="AG263" s="52">
        <v>0</v>
      </c>
      <c r="AH263" s="52">
        <v>42000</v>
      </c>
      <c r="AI263" s="52">
        <v>147000</v>
      </c>
      <c r="AJ263" s="52">
        <v>12600.000000000002</v>
      </c>
      <c r="AK263" s="52">
        <v>0</v>
      </c>
      <c r="AL263" s="52">
        <v>0</v>
      </c>
      <c r="AM263" s="52">
        <v>0</v>
      </c>
      <c r="AN263" s="52">
        <v>55000</v>
      </c>
      <c r="AO263" s="52">
        <v>132000</v>
      </c>
      <c r="AP263" s="52">
        <v>15400</v>
      </c>
      <c r="AQ263" s="52">
        <v>0</v>
      </c>
      <c r="AR263" s="52">
        <v>0</v>
      </c>
      <c r="AS263" s="52">
        <v>0</v>
      </c>
      <c r="AT263" s="52">
        <v>0</v>
      </c>
      <c r="AU263" s="52">
        <v>0</v>
      </c>
      <c r="AV263" s="52">
        <v>0</v>
      </c>
      <c r="AW263" s="52">
        <v>0</v>
      </c>
      <c r="AX263" s="52">
        <v>0</v>
      </c>
      <c r="AY263" s="52">
        <v>0</v>
      </c>
      <c r="AZ263" s="52">
        <v>50000</v>
      </c>
      <c r="BA263" s="52">
        <v>120000</v>
      </c>
      <c r="BB263" s="52">
        <v>13999.999999999987</v>
      </c>
      <c r="BC263" s="52">
        <v>0</v>
      </c>
      <c r="BD263" s="52">
        <v>0</v>
      </c>
      <c r="BE263" s="52">
        <v>0</v>
      </c>
      <c r="BF263" s="52">
        <v>28918.104333420033</v>
      </c>
      <c r="BG263" s="52">
        <v>146755.24159440803</v>
      </c>
      <c r="BH263" s="52">
        <v>15400</v>
      </c>
      <c r="BI263" s="52">
        <v>0</v>
      </c>
      <c r="BJ263" s="52">
        <v>0</v>
      </c>
      <c r="BK263" s="52">
        <v>0</v>
      </c>
      <c r="BL263" s="52">
        <v>21000</v>
      </c>
      <c r="BM263" s="52">
        <v>137786.60689058388</v>
      </c>
      <c r="BN263" s="52">
        <v>14700.000000000002</v>
      </c>
      <c r="BO263" s="52">
        <v>0</v>
      </c>
      <c r="BP263" s="52">
        <v>0</v>
      </c>
      <c r="BQ263" s="52">
        <v>0</v>
      </c>
      <c r="BR263" s="52">
        <v>34000</v>
      </c>
      <c r="BS263" s="52">
        <v>119000</v>
      </c>
      <c r="BT263" s="52">
        <v>10200.000000000002</v>
      </c>
      <c r="BU263" s="52">
        <v>0</v>
      </c>
      <c r="BV263" s="52">
        <v>0</v>
      </c>
      <c r="BW263" s="52">
        <v>0</v>
      </c>
    </row>
    <row r="264" spans="1:75" x14ac:dyDescent="0.3">
      <c r="A264" s="8" t="s">
        <v>100</v>
      </c>
      <c r="B264" s="8" t="s">
        <v>10</v>
      </c>
      <c r="C264" s="8" t="s">
        <v>65</v>
      </c>
      <c r="D264" s="52">
        <v>58739.999999999993</v>
      </c>
      <c r="E264" s="52">
        <v>205590</v>
      </c>
      <c r="F264" s="52">
        <v>88110</v>
      </c>
      <c r="G264" s="52">
        <v>24030</v>
      </c>
      <c r="H264" s="52">
        <v>84105</v>
      </c>
      <c r="I264" s="52">
        <v>36045</v>
      </c>
      <c r="J264" s="52">
        <v>40050</v>
      </c>
      <c r="K264" s="52">
        <v>200250</v>
      </c>
      <c r="L264" s="52">
        <v>80100</v>
      </c>
      <c r="M264" s="52">
        <v>16020</v>
      </c>
      <c r="N264" s="52">
        <v>69420</v>
      </c>
      <c r="O264" s="52">
        <v>42720</v>
      </c>
      <c r="P264" s="52">
        <v>56070</v>
      </c>
      <c r="Q264" s="52">
        <v>196245</v>
      </c>
      <c r="R264" s="52">
        <v>84105</v>
      </c>
      <c r="S264" s="52">
        <v>20025</v>
      </c>
      <c r="T264" s="52">
        <v>86774.999999999985</v>
      </c>
      <c r="U264" s="52">
        <v>53400</v>
      </c>
      <c r="V264" s="52">
        <v>50730</v>
      </c>
      <c r="W264" s="52">
        <v>177555</v>
      </c>
      <c r="X264" s="52">
        <v>76095</v>
      </c>
      <c r="Y264" s="52">
        <v>22027.5</v>
      </c>
      <c r="Z264" s="52">
        <v>102795</v>
      </c>
      <c r="AA264" s="52">
        <v>51397.5</v>
      </c>
      <c r="AB264" s="52">
        <v>58739.999999999993</v>
      </c>
      <c r="AC264" s="52">
        <v>205590</v>
      </c>
      <c r="AD264" s="52">
        <v>88110</v>
      </c>
      <c r="AE264" s="52">
        <v>18022.5</v>
      </c>
      <c r="AF264" s="52">
        <v>78097.5</v>
      </c>
      <c r="AG264" s="52">
        <v>48060</v>
      </c>
      <c r="AH264" s="52">
        <v>56070</v>
      </c>
      <c r="AI264" s="52">
        <v>196245</v>
      </c>
      <c r="AJ264" s="52">
        <v>84105</v>
      </c>
      <c r="AK264" s="52">
        <v>18022.5</v>
      </c>
      <c r="AL264" s="52">
        <v>84105</v>
      </c>
      <c r="AM264" s="52">
        <v>42052.5</v>
      </c>
      <c r="AN264" s="52">
        <v>73425</v>
      </c>
      <c r="AO264" s="52">
        <v>176220</v>
      </c>
      <c r="AP264" s="52">
        <v>102795</v>
      </c>
      <c r="AQ264" s="52">
        <v>18022.5</v>
      </c>
      <c r="AR264" s="52">
        <v>84105</v>
      </c>
      <c r="AS264" s="52">
        <v>42052.5</v>
      </c>
      <c r="AT264" s="52">
        <v>58739.999999999993</v>
      </c>
      <c r="AU264" s="52">
        <v>190905</v>
      </c>
      <c r="AV264" s="52">
        <v>102795</v>
      </c>
      <c r="AW264" s="52">
        <v>18022.5</v>
      </c>
      <c r="AX264" s="52">
        <v>84105</v>
      </c>
      <c r="AY264" s="52">
        <v>42052.5</v>
      </c>
      <c r="AZ264" s="52">
        <v>66750</v>
      </c>
      <c r="BA264" s="52">
        <v>160200</v>
      </c>
      <c r="BB264" s="52">
        <v>93450</v>
      </c>
      <c r="BC264" s="52">
        <v>20025</v>
      </c>
      <c r="BD264" s="52">
        <v>86774.999999999985</v>
      </c>
      <c r="BE264" s="52">
        <v>53400</v>
      </c>
      <c r="BF264" s="52">
        <v>44055</v>
      </c>
      <c r="BG264" s="52">
        <v>205590</v>
      </c>
      <c r="BH264" s="52">
        <v>102795</v>
      </c>
      <c r="BI264" s="52">
        <v>18022.5</v>
      </c>
      <c r="BJ264" s="52">
        <v>78097.5</v>
      </c>
      <c r="BK264" s="52">
        <v>48060</v>
      </c>
      <c r="BL264" s="52">
        <v>28035</v>
      </c>
      <c r="BM264" s="52">
        <v>210262.5</v>
      </c>
      <c r="BN264" s="52">
        <v>98122.5</v>
      </c>
      <c r="BO264" s="52">
        <v>18022.5</v>
      </c>
      <c r="BP264" s="52">
        <v>78097.5</v>
      </c>
      <c r="BQ264" s="52">
        <v>48060</v>
      </c>
      <c r="BR264" s="52">
        <v>45390</v>
      </c>
      <c r="BS264" s="52">
        <v>158865</v>
      </c>
      <c r="BT264" s="52">
        <v>68085</v>
      </c>
      <c r="BU264" s="52">
        <v>37379.999999999993</v>
      </c>
      <c r="BV264" s="52">
        <v>121485</v>
      </c>
      <c r="BW264" s="52">
        <v>65414.999999999993</v>
      </c>
    </row>
    <row r="265" spans="1:75" x14ac:dyDescent="0.3">
      <c r="A265" s="8" t="s">
        <v>100</v>
      </c>
      <c r="B265" s="8" t="s">
        <v>10</v>
      </c>
      <c r="C265" s="8" t="s">
        <v>66</v>
      </c>
      <c r="D265" s="52">
        <v>0</v>
      </c>
      <c r="E265" s="52">
        <v>0</v>
      </c>
      <c r="F265" s="52">
        <v>0</v>
      </c>
      <c r="G265" s="52">
        <v>0</v>
      </c>
      <c r="H265" s="52">
        <v>0</v>
      </c>
      <c r="I265" s="52">
        <v>0</v>
      </c>
      <c r="J265" s="52">
        <v>0</v>
      </c>
      <c r="K265" s="52">
        <v>0</v>
      </c>
      <c r="L265" s="52">
        <v>0</v>
      </c>
      <c r="M265" s="52">
        <v>0</v>
      </c>
      <c r="N265" s="52">
        <v>0</v>
      </c>
      <c r="O265" s="52">
        <v>0</v>
      </c>
      <c r="P265" s="52">
        <v>0</v>
      </c>
      <c r="Q265" s="52">
        <v>0</v>
      </c>
      <c r="R265" s="52">
        <v>0</v>
      </c>
      <c r="S265" s="52">
        <v>0</v>
      </c>
      <c r="T265" s="52">
        <v>0</v>
      </c>
      <c r="U265" s="52">
        <v>0</v>
      </c>
      <c r="V265" s="52">
        <v>0</v>
      </c>
      <c r="W265" s="52">
        <v>0</v>
      </c>
      <c r="X265" s="52">
        <v>0</v>
      </c>
      <c r="Y265" s="52">
        <v>0</v>
      </c>
      <c r="Z265" s="52">
        <v>0</v>
      </c>
      <c r="AA265" s="52">
        <v>0</v>
      </c>
      <c r="AB265" s="52">
        <v>0</v>
      </c>
      <c r="AC265" s="52">
        <v>0</v>
      </c>
      <c r="AD265" s="52">
        <v>0</v>
      </c>
      <c r="AE265" s="52">
        <v>0</v>
      </c>
      <c r="AF265" s="52">
        <v>0</v>
      </c>
      <c r="AG265" s="52">
        <v>0</v>
      </c>
      <c r="AH265" s="52">
        <v>0</v>
      </c>
      <c r="AI265" s="52">
        <v>0</v>
      </c>
      <c r="AJ265" s="52">
        <v>0</v>
      </c>
      <c r="AK265" s="52">
        <v>0</v>
      </c>
      <c r="AL265" s="52">
        <v>0</v>
      </c>
      <c r="AM265" s="52">
        <v>0</v>
      </c>
      <c r="AN265" s="52">
        <v>0</v>
      </c>
      <c r="AO265" s="52">
        <v>0</v>
      </c>
      <c r="AP265" s="52">
        <v>0</v>
      </c>
      <c r="AQ265" s="52">
        <v>0</v>
      </c>
      <c r="AR265" s="52">
        <v>0</v>
      </c>
      <c r="AS265" s="52">
        <v>0</v>
      </c>
      <c r="AT265" s="52">
        <v>0</v>
      </c>
      <c r="AU265" s="52">
        <v>0</v>
      </c>
      <c r="AV265" s="52">
        <v>0</v>
      </c>
      <c r="AW265" s="52">
        <v>0</v>
      </c>
      <c r="AX265" s="52">
        <v>0</v>
      </c>
      <c r="AY265" s="52">
        <v>0</v>
      </c>
      <c r="AZ265" s="52">
        <v>0</v>
      </c>
      <c r="BA265" s="52">
        <v>0</v>
      </c>
      <c r="BB265" s="52">
        <v>0</v>
      </c>
      <c r="BC265" s="52">
        <v>0</v>
      </c>
      <c r="BD265" s="52">
        <v>0</v>
      </c>
      <c r="BE265" s="52">
        <v>0</v>
      </c>
      <c r="BF265" s="52">
        <v>0</v>
      </c>
      <c r="BG265" s="52">
        <v>0</v>
      </c>
      <c r="BH265" s="52">
        <v>0</v>
      </c>
      <c r="BI265" s="52">
        <v>0</v>
      </c>
      <c r="BJ265" s="52">
        <v>0</v>
      </c>
      <c r="BK265" s="52">
        <v>0</v>
      </c>
      <c r="BL265" s="52">
        <v>0</v>
      </c>
      <c r="BM265" s="52">
        <v>0</v>
      </c>
      <c r="BN265" s="52">
        <v>0</v>
      </c>
      <c r="BO265" s="52">
        <v>0</v>
      </c>
      <c r="BP265" s="52">
        <v>0</v>
      </c>
      <c r="BQ265" s="52">
        <v>0</v>
      </c>
      <c r="BR265" s="52">
        <v>0</v>
      </c>
      <c r="BS265" s="52">
        <v>0</v>
      </c>
      <c r="BT265" s="52">
        <v>0</v>
      </c>
      <c r="BU265" s="52">
        <v>0</v>
      </c>
      <c r="BV265" s="52">
        <v>0</v>
      </c>
      <c r="BW265" s="52">
        <v>0</v>
      </c>
    </row>
    <row r="266" spans="1:75" x14ac:dyDescent="0.3">
      <c r="A266" s="8" t="s">
        <v>100</v>
      </c>
      <c r="B266" s="8" t="s">
        <v>10</v>
      </c>
      <c r="C266" s="8" t="s">
        <v>67</v>
      </c>
      <c r="D266" s="52">
        <v>0</v>
      </c>
      <c r="E266" s="52">
        <v>0</v>
      </c>
      <c r="F266" s="52">
        <v>0</v>
      </c>
      <c r="G266" s="52">
        <v>0</v>
      </c>
      <c r="H266" s="52">
        <v>0</v>
      </c>
      <c r="I266" s="52">
        <v>0</v>
      </c>
      <c r="J266" s="52">
        <v>0</v>
      </c>
      <c r="K266" s="52">
        <v>0</v>
      </c>
      <c r="L266" s="52">
        <v>0</v>
      </c>
      <c r="M266" s="52">
        <v>0</v>
      </c>
      <c r="N266" s="52">
        <v>0</v>
      </c>
      <c r="O266" s="52">
        <v>0</v>
      </c>
      <c r="P266" s="52">
        <v>0</v>
      </c>
      <c r="Q266" s="52">
        <v>0</v>
      </c>
      <c r="R266" s="52">
        <v>0</v>
      </c>
      <c r="S266" s="52">
        <v>0</v>
      </c>
      <c r="T266" s="52">
        <v>0</v>
      </c>
      <c r="U266" s="52">
        <v>0</v>
      </c>
      <c r="V266" s="52">
        <v>0</v>
      </c>
      <c r="W266" s="52">
        <v>0</v>
      </c>
      <c r="X266" s="52">
        <v>0</v>
      </c>
      <c r="Y266" s="52">
        <v>0</v>
      </c>
      <c r="Z266" s="52">
        <v>0</v>
      </c>
      <c r="AA266" s="52">
        <v>0</v>
      </c>
      <c r="AB266" s="52">
        <v>0</v>
      </c>
      <c r="AC266" s="52">
        <v>0</v>
      </c>
      <c r="AD266" s="52">
        <v>0</v>
      </c>
      <c r="AE266" s="52">
        <v>0</v>
      </c>
      <c r="AF266" s="52">
        <v>0</v>
      </c>
      <c r="AG266" s="52">
        <v>0</v>
      </c>
      <c r="AH266" s="52">
        <v>0</v>
      </c>
      <c r="AI266" s="52">
        <v>0</v>
      </c>
      <c r="AJ266" s="52">
        <v>0</v>
      </c>
      <c r="AK266" s="52">
        <v>0</v>
      </c>
      <c r="AL266" s="52">
        <v>0</v>
      </c>
      <c r="AM266" s="52">
        <v>0</v>
      </c>
      <c r="AN266" s="52">
        <v>0</v>
      </c>
      <c r="AO266" s="52">
        <v>0</v>
      </c>
      <c r="AP266" s="52">
        <v>0</v>
      </c>
      <c r="AQ266" s="52">
        <v>0</v>
      </c>
      <c r="AR266" s="52">
        <v>0</v>
      </c>
      <c r="AS266" s="52">
        <v>0</v>
      </c>
      <c r="AT266" s="52">
        <v>0</v>
      </c>
      <c r="AU266" s="52">
        <v>0</v>
      </c>
      <c r="AV266" s="52">
        <v>0</v>
      </c>
      <c r="AW266" s="52">
        <v>0</v>
      </c>
      <c r="AX266" s="52">
        <v>0</v>
      </c>
      <c r="AY266" s="52">
        <v>0</v>
      </c>
      <c r="AZ266" s="52">
        <v>0</v>
      </c>
      <c r="BA266" s="52">
        <v>0</v>
      </c>
      <c r="BB266" s="52">
        <v>0</v>
      </c>
      <c r="BC266" s="52">
        <v>0</v>
      </c>
      <c r="BD266" s="52">
        <v>0</v>
      </c>
      <c r="BE266" s="52">
        <v>0</v>
      </c>
      <c r="BF266" s="52">
        <v>0</v>
      </c>
      <c r="BG266" s="52">
        <v>0</v>
      </c>
      <c r="BH266" s="52">
        <v>0</v>
      </c>
      <c r="BI266" s="52">
        <v>0</v>
      </c>
      <c r="BJ266" s="52">
        <v>0</v>
      </c>
      <c r="BK266" s="52">
        <v>0</v>
      </c>
      <c r="BL266" s="52">
        <v>0</v>
      </c>
      <c r="BM266" s="52">
        <v>0</v>
      </c>
      <c r="BN266" s="52">
        <v>0</v>
      </c>
      <c r="BO266" s="52">
        <v>0</v>
      </c>
      <c r="BP266" s="52">
        <v>0</v>
      </c>
      <c r="BQ266" s="52">
        <v>0</v>
      </c>
      <c r="BR266" s="52">
        <v>0</v>
      </c>
      <c r="BS266" s="52">
        <v>0</v>
      </c>
      <c r="BT266" s="52">
        <v>0</v>
      </c>
      <c r="BU266" s="52">
        <v>0</v>
      </c>
      <c r="BV266" s="52">
        <v>0</v>
      </c>
      <c r="BW266" s="52">
        <v>0</v>
      </c>
    </row>
    <row r="267" spans="1:75" x14ac:dyDescent="0.3">
      <c r="A267" s="8" t="s">
        <v>100</v>
      </c>
      <c r="B267" s="8" t="s">
        <v>10</v>
      </c>
      <c r="C267" s="8" t="s">
        <v>68</v>
      </c>
      <c r="D267" s="52">
        <v>35200</v>
      </c>
      <c r="E267" s="52">
        <v>32364.433559756682</v>
      </c>
      <c r="F267" s="52">
        <v>0</v>
      </c>
      <c r="G267" s="52">
        <v>14400</v>
      </c>
      <c r="H267" s="52">
        <v>13239.99554717319</v>
      </c>
      <c r="I267" s="52">
        <v>0</v>
      </c>
      <c r="J267" s="52">
        <v>0</v>
      </c>
      <c r="K267" s="52">
        <v>0</v>
      </c>
      <c r="L267" s="52">
        <v>0</v>
      </c>
      <c r="M267" s="52">
        <v>0</v>
      </c>
      <c r="N267" s="52">
        <v>0</v>
      </c>
      <c r="O267" s="52">
        <v>0</v>
      </c>
      <c r="P267" s="52">
        <v>0</v>
      </c>
      <c r="Q267" s="52">
        <v>0</v>
      </c>
      <c r="R267" s="52">
        <v>0</v>
      </c>
      <c r="S267" s="52">
        <v>0</v>
      </c>
      <c r="T267" s="52">
        <v>0</v>
      </c>
      <c r="U267" s="52">
        <v>0</v>
      </c>
      <c r="V267" s="52">
        <v>0</v>
      </c>
      <c r="W267" s="52">
        <v>0</v>
      </c>
      <c r="X267" s="52">
        <v>0</v>
      </c>
      <c r="Y267" s="52">
        <v>0</v>
      </c>
      <c r="Z267" s="52">
        <v>0</v>
      </c>
      <c r="AA267" s="52">
        <v>0</v>
      </c>
      <c r="AB267" s="52">
        <v>0</v>
      </c>
      <c r="AC267" s="52">
        <v>0</v>
      </c>
      <c r="AD267" s="52">
        <v>0</v>
      </c>
      <c r="AE267" s="52">
        <v>0</v>
      </c>
      <c r="AF267" s="52">
        <v>0</v>
      </c>
      <c r="AG267" s="52">
        <v>0</v>
      </c>
      <c r="AH267" s="52">
        <v>0</v>
      </c>
      <c r="AI267" s="52">
        <v>0</v>
      </c>
      <c r="AJ267" s="52">
        <v>0</v>
      </c>
      <c r="AK267" s="52">
        <v>0</v>
      </c>
      <c r="AL267" s="52">
        <v>0</v>
      </c>
      <c r="AM267" s="52">
        <v>0</v>
      </c>
      <c r="AN267" s="52">
        <v>0</v>
      </c>
      <c r="AO267" s="52">
        <v>0</v>
      </c>
      <c r="AP267" s="52">
        <v>0</v>
      </c>
      <c r="AQ267" s="52">
        <v>0</v>
      </c>
      <c r="AR267" s="52">
        <v>0</v>
      </c>
      <c r="AS267" s="52">
        <v>0</v>
      </c>
      <c r="AT267" s="52">
        <v>0</v>
      </c>
      <c r="AU267" s="52">
        <v>0</v>
      </c>
      <c r="AV267" s="52">
        <v>0</v>
      </c>
      <c r="AW267" s="52">
        <v>0</v>
      </c>
      <c r="AX267" s="52">
        <v>0</v>
      </c>
      <c r="AY267" s="52">
        <v>0</v>
      </c>
      <c r="AZ267" s="52">
        <v>0</v>
      </c>
      <c r="BA267" s="52">
        <v>0</v>
      </c>
      <c r="BB267" s="52">
        <v>0</v>
      </c>
      <c r="BC267" s="52">
        <v>0</v>
      </c>
      <c r="BD267" s="52">
        <v>0</v>
      </c>
      <c r="BE267" s="52">
        <v>0</v>
      </c>
      <c r="BF267" s="52">
        <v>0</v>
      </c>
      <c r="BG267" s="52">
        <v>0</v>
      </c>
      <c r="BH267" s="52">
        <v>0</v>
      </c>
      <c r="BI267" s="52">
        <v>0</v>
      </c>
      <c r="BJ267" s="52">
        <v>0</v>
      </c>
      <c r="BK267" s="52">
        <v>0</v>
      </c>
      <c r="BL267" s="52">
        <v>0</v>
      </c>
      <c r="BM267" s="52">
        <v>0</v>
      </c>
      <c r="BN267" s="52">
        <v>0</v>
      </c>
      <c r="BO267" s="52">
        <v>0</v>
      </c>
      <c r="BP267" s="52">
        <v>0</v>
      </c>
      <c r="BQ267" s="52">
        <v>0</v>
      </c>
      <c r="BR267" s="52">
        <v>0</v>
      </c>
      <c r="BS267" s="52">
        <v>0</v>
      </c>
      <c r="BT267" s="52">
        <v>0</v>
      </c>
      <c r="BU267" s="52">
        <v>0</v>
      </c>
      <c r="BV267" s="52">
        <v>0</v>
      </c>
      <c r="BW267" s="52">
        <v>0</v>
      </c>
    </row>
    <row r="268" spans="1:75" x14ac:dyDescent="0.3">
      <c r="A268" s="8" t="s">
        <v>100</v>
      </c>
      <c r="B268" s="8" t="s">
        <v>10</v>
      </c>
      <c r="C268" s="8" t="s">
        <v>69</v>
      </c>
      <c r="D268" s="52">
        <v>0</v>
      </c>
      <c r="E268" s="52">
        <v>0</v>
      </c>
      <c r="F268" s="52">
        <v>0</v>
      </c>
      <c r="G268" s="52">
        <v>0</v>
      </c>
      <c r="H268" s="52">
        <v>0</v>
      </c>
      <c r="I268" s="52">
        <v>0</v>
      </c>
      <c r="J268" s="52">
        <v>0</v>
      </c>
      <c r="K268" s="52">
        <v>0</v>
      </c>
      <c r="L268" s="52">
        <v>0</v>
      </c>
      <c r="M268" s="52">
        <v>0</v>
      </c>
      <c r="N268" s="52">
        <v>0</v>
      </c>
      <c r="O268" s="52">
        <v>0</v>
      </c>
      <c r="P268" s="52">
        <v>0</v>
      </c>
      <c r="Q268" s="52">
        <v>0</v>
      </c>
      <c r="R268" s="52">
        <v>0</v>
      </c>
      <c r="S268" s="52">
        <v>0</v>
      </c>
      <c r="T268" s="52">
        <v>0</v>
      </c>
      <c r="U268" s="52">
        <v>0</v>
      </c>
      <c r="V268" s="52">
        <v>0</v>
      </c>
      <c r="W268" s="52">
        <v>0</v>
      </c>
      <c r="X268" s="52">
        <v>0</v>
      </c>
      <c r="Y268" s="52">
        <v>0</v>
      </c>
      <c r="Z268" s="52">
        <v>0</v>
      </c>
      <c r="AA268" s="52">
        <v>0</v>
      </c>
      <c r="AB268" s="52">
        <v>0</v>
      </c>
      <c r="AC268" s="52">
        <v>0</v>
      </c>
      <c r="AD268" s="52">
        <v>0</v>
      </c>
      <c r="AE268" s="52">
        <v>0</v>
      </c>
      <c r="AF268" s="52">
        <v>0</v>
      </c>
      <c r="AG268" s="52">
        <v>0</v>
      </c>
      <c r="AH268" s="52">
        <v>0</v>
      </c>
      <c r="AI268" s="52">
        <v>0</v>
      </c>
      <c r="AJ268" s="52">
        <v>0</v>
      </c>
      <c r="AK268" s="52">
        <v>0</v>
      </c>
      <c r="AL268" s="52">
        <v>0</v>
      </c>
      <c r="AM268" s="52">
        <v>0</v>
      </c>
      <c r="AN268" s="52">
        <v>0</v>
      </c>
      <c r="AO268" s="52">
        <v>0</v>
      </c>
      <c r="AP268" s="52">
        <v>0</v>
      </c>
      <c r="AQ268" s="52">
        <v>0</v>
      </c>
      <c r="AR268" s="52">
        <v>0</v>
      </c>
      <c r="AS268" s="52">
        <v>0</v>
      </c>
      <c r="AT268" s="52">
        <v>0</v>
      </c>
      <c r="AU268" s="52">
        <v>0</v>
      </c>
      <c r="AV268" s="52">
        <v>0</v>
      </c>
      <c r="AW268" s="52">
        <v>0</v>
      </c>
      <c r="AX268" s="52">
        <v>0</v>
      </c>
      <c r="AY268" s="52">
        <v>0</v>
      </c>
      <c r="AZ268" s="52">
        <v>0</v>
      </c>
      <c r="BA268" s="52">
        <v>0</v>
      </c>
      <c r="BB268" s="52">
        <v>0</v>
      </c>
      <c r="BC268" s="52">
        <v>0</v>
      </c>
      <c r="BD268" s="52">
        <v>0</v>
      </c>
      <c r="BE268" s="52">
        <v>0</v>
      </c>
      <c r="BF268" s="52">
        <v>0</v>
      </c>
      <c r="BG268" s="52">
        <v>0</v>
      </c>
      <c r="BH268" s="52">
        <v>0</v>
      </c>
      <c r="BI268" s="52">
        <v>0</v>
      </c>
      <c r="BJ268" s="52">
        <v>0</v>
      </c>
      <c r="BK268" s="52">
        <v>0</v>
      </c>
      <c r="BL268" s="52">
        <v>0</v>
      </c>
      <c r="BM268" s="52">
        <v>0</v>
      </c>
      <c r="BN268" s="52">
        <v>0</v>
      </c>
      <c r="BO268" s="52">
        <v>0</v>
      </c>
      <c r="BP268" s="52">
        <v>0</v>
      </c>
      <c r="BQ268" s="52">
        <v>0</v>
      </c>
      <c r="BR268" s="52">
        <v>0</v>
      </c>
      <c r="BS268" s="52">
        <v>0</v>
      </c>
      <c r="BT268" s="52">
        <v>0</v>
      </c>
      <c r="BU268" s="52">
        <v>0</v>
      </c>
      <c r="BV268" s="52">
        <v>0</v>
      </c>
      <c r="BW268" s="52">
        <v>0</v>
      </c>
    </row>
    <row r="269" spans="1:75" x14ac:dyDescent="0.3">
      <c r="A269" s="8" t="s">
        <v>100</v>
      </c>
      <c r="B269" s="8" t="s">
        <v>10</v>
      </c>
      <c r="C269" s="8" t="s">
        <v>27</v>
      </c>
      <c r="D269" s="52">
        <v>13200</v>
      </c>
      <c r="E269" s="52">
        <v>46199.999999999993</v>
      </c>
      <c r="F269" s="52">
        <v>16632.000000000004</v>
      </c>
      <c r="G269" s="52">
        <v>5399.9999999999991</v>
      </c>
      <c r="H269" s="52">
        <v>18900</v>
      </c>
      <c r="I269" s="52">
        <v>6804.0000000000009</v>
      </c>
      <c r="J269" s="52">
        <v>9000</v>
      </c>
      <c r="K269" s="52">
        <v>45000</v>
      </c>
      <c r="L269" s="52">
        <v>18000</v>
      </c>
      <c r="M269" s="52">
        <v>3599.9999999999995</v>
      </c>
      <c r="N269" s="52">
        <v>15600</v>
      </c>
      <c r="O269" s="52">
        <v>9600</v>
      </c>
      <c r="P269" s="52">
        <v>12600</v>
      </c>
      <c r="Q269" s="52">
        <v>44100</v>
      </c>
      <c r="R269" s="52">
        <v>18900</v>
      </c>
      <c r="S269" s="52">
        <v>4500</v>
      </c>
      <c r="T269" s="52">
        <v>19500</v>
      </c>
      <c r="U269" s="52">
        <v>12000</v>
      </c>
      <c r="V269" s="52">
        <v>11400</v>
      </c>
      <c r="W269" s="52">
        <v>39900</v>
      </c>
      <c r="X269" s="52">
        <v>9493.633507853403</v>
      </c>
      <c r="Y269" s="52">
        <v>4950</v>
      </c>
      <c r="Z269" s="52">
        <v>23099.999999999996</v>
      </c>
      <c r="AA269" s="52">
        <v>6412.366492146597</v>
      </c>
      <c r="AB269" s="52">
        <v>13200</v>
      </c>
      <c r="AC269" s="52">
        <v>46199.999999999993</v>
      </c>
      <c r="AD269" s="52">
        <v>2180.3294117647079</v>
      </c>
      <c r="AE269" s="52">
        <v>4050</v>
      </c>
      <c r="AF269" s="52">
        <v>17550</v>
      </c>
      <c r="AG269" s="52">
        <v>1189.2705882352957</v>
      </c>
      <c r="AH269" s="52">
        <v>12600</v>
      </c>
      <c r="AI269" s="52">
        <v>29906.383874144383</v>
      </c>
      <c r="AJ269" s="52">
        <v>0</v>
      </c>
      <c r="AK269" s="52">
        <v>4050</v>
      </c>
      <c r="AL269" s="52">
        <v>7875.6161258556158</v>
      </c>
      <c r="AM269" s="52">
        <v>0</v>
      </c>
      <c r="AN269" s="52">
        <v>13810.222782949973</v>
      </c>
      <c r="AO269" s="52">
        <v>26431.406022989828</v>
      </c>
      <c r="AP269" s="52">
        <v>0</v>
      </c>
      <c r="AQ269" s="52">
        <v>3389.7819558149936</v>
      </c>
      <c r="AR269" s="52">
        <v>12614.989238245145</v>
      </c>
      <c r="AS269" s="52">
        <v>0</v>
      </c>
      <c r="AT269" s="52">
        <v>13200</v>
      </c>
      <c r="AU269" s="52">
        <v>42900</v>
      </c>
      <c r="AV269" s="52">
        <v>0</v>
      </c>
      <c r="AW269" s="52">
        <v>0</v>
      </c>
      <c r="AX269" s="52">
        <v>146.39999999999793</v>
      </c>
      <c r="AY269" s="52">
        <v>0</v>
      </c>
      <c r="AZ269" s="52">
        <v>15000</v>
      </c>
      <c r="BA269" s="52">
        <v>36000</v>
      </c>
      <c r="BB269" s="52">
        <v>4230.545454545455</v>
      </c>
      <c r="BC269" s="52">
        <v>4500</v>
      </c>
      <c r="BD269" s="52">
        <v>19500</v>
      </c>
      <c r="BE269" s="52">
        <v>2417.4545454545455</v>
      </c>
      <c r="BF269" s="52">
        <v>9900</v>
      </c>
      <c r="BG269" s="52">
        <v>46199.999999999993</v>
      </c>
      <c r="BH269" s="52">
        <v>23099.999999999996</v>
      </c>
      <c r="BI269" s="52">
        <v>4050</v>
      </c>
      <c r="BJ269" s="52">
        <v>10262.747661551999</v>
      </c>
      <c r="BK269" s="52">
        <v>4918.4523384479926</v>
      </c>
      <c r="BL269" s="52">
        <v>6300</v>
      </c>
      <c r="BM269" s="52">
        <v>47250</v>
      </c>
      <c r="BN269" s="52">
        <v>22050</v>
      </c>
      <c r="BO269" s="52">
        <v>4050</v>
      </c>
      <c r="BP269" s="52">
        <v>17550</v>
      </c>
      <c r="BQ269" s="52">
        <v>10799.999999999998</v>
      </c>
      <c r="BR269" s="52">
        <v>10200</v>
      </c>
      <c r="BS269" s="52">
        <v>35699.999999999993</v>
      </c>
      <c r="BT269" s="52">
        <v>15299.999999999998</v>
      </c>
      <c r="BU269" s="52">
        <v>8400</v>
      </c>
      <c r="BV269" s="52">
        <v>27300</v>
      </c>
      <c r="BW269" s="52">
        <v>14700</v>
      </c>
    </row>
    <row r="270" spans="1:75" x14ac:dyDescent="0.3">
      <c r="A270" s="8" t="s">
        <v>100</v>
      </c>
      <c r="B270" s="8" t="s">
        <v>10</v>
      </c>
      <c r="C270" s="8" t="s">
        <v>144</v>
      </c>
      <c r="D270" s="52">
        <v>17600</v>
      </c>
      <c r="E270" s="52">
        <v>61600</v>
      </c>
      <c r="F270" s="52">
        <v>0</v>
      </c>
      <c r="G270" s="52">
        <v>7200</v>
      </c>
      <c r="H270" s="52">
        <v>25200.000000000004</v>
      </c>
      <c r="I270" s="52">
        <v>0</v>
      </c>
      <c r="J270" s="52">
        <v>12000</v>
      </c>
      <c r="K270" s="52">
        <v>0</v>
      </c>
      <c r="L270" s="52">
        <v>0</v>
      </c>
      <c r="M270" s="52">
        <v>4800.0000000000009</v>
      </c>
      <c r="N270" s="52">
        <v>0</v>
      </c>
      <c r="O270" s="52">
        <v>0</v>
      </c>
      <c r="P270" s="52">
        <v>13272.465111672314</v>
      </c>
      <c r="Q270" s="52">
        <v>0</v>
      </c>
      <c r="R270" s="52">
        <v>0</v>
      </c>
      <c r="S270" s="52">
        <v>4740.1661113115406</v>
      </c>
      <c r="T270" s="52">
        <v>0</v>
      </c>
      <c r="U270" s="52">
        <v>0</v>
      </c>
      <c r="V270" s="52">
        <v>15200.000000000002</v>
      </c>
      <c r="W270" s="52">
        <v>28921.218377016128</v>
      </c>
      <c r="X270" s="52">
        <v>0</v>
      </c>
      <c r="Y270" s="52">
        <v>6600.0000000000009</v>
      </c>
      <c r="Z270" s="52">
        <v>0</v>
      </c>
      <c r="AA270" s="52">
        <v>0</v>
      </c>
      <c r="AB270" s="52">
        <v>17600</v>
      </c>
      <c r="AC270" s="52">
        <v>29651.941591473926</v>
      </c>
      <c r="AD270" s="52">
        <v>0</v>
      </c>
      <c r="AE270" s="52">
        <v>5400</v>
      </c>
      <c r="AF270" s="52">
        <v>0</v>
      </c>
      <c r="AG270" s="52">
        <v>0</v>
      </c>
      <c r="AH270" s="52">
        <v>16800</v>
      </c>
      <c r="AI270" s="52">
        <v>0</v>
      </c>
      <c r="AJ270" s="52">
        <v>0</v>
      </c>
      <c r="AK270" s="52">
        <v>5400</v>
      </c>
      <c r="AL270" s="52">
        <v>0</v>
      </c>
      <c r="AM270" s="52">
        <v>0</v>
      </c>
      <c r="AN270" s="52">
        <v>22000</v>
      </c>
      <c r="AO270" s="52">
        <v>12787.029330954283</v>
      </c>
      <c r="AP270" s="52">
        <v>0</v>
      </c>
      <c r="AQ270" s="52">
        <v>4094.0085388680245</v>
      </c>
      <c r="AR270" s="52">
        <v>6102.9003625009072</v>
      </c>
      <c r="AS270" s="52">
        <v>0</v>
      </c>
      <c r="AT270" s="52">
        <v>17600</v>
      </c>
      <c r="AU270" s="52">
        <v>44458.558408550183</v>
      </c>
      <c r="AV270" s="52">
        <v>0</v>
      </c>
      <c r="AW270" s="52">
        <v>5190.6869166060105</v>
      </c>
      <c r="AX270" s="52">
        <v>2734.412451046629</v>
      </c>
      <c r="AY270" s="52">
        <v>0</v>
      </c>
      <c r="AZ270" s="52">
        <v>11789.612307692312</v>
      </c>
      <c r="BA270" s="52">
        <v>0</v>
      </c>
      <c r="BB270" s="52">
        <v>0</v>
      </c>
      <c r="BC270" s="52">
        <v>3536.8836923076929</v>
      </c>
      <c r="BD270" s="52">
        <v>0</v>
      </c>
      <c r="BE270" s="52">
        <v>0</v>
      </c>
      <c r="BF270" s="52">
        <v>13200.000000000002</v>
      </c>
      <c r="BG270" s="52">
        <v>232.37578865998375</v>
      </c>
      <c r="BH270" s="52">
        <v>0</v>
      </c>
      <c r="BI270" s="52">
        <v>4032.131411340014</v>
      </c>
      <c r="BJ270" s="52">
        <v>0</v>
      </c>
      <c r="BK270" s="52">
        <v>0</v>
      </c>
      <c r="BL270" s="52">
        <v>8400</v>
      </c>
      <c r="BM270" s="52">
        <v>52019.95199999999</v>
      </c>
      <c r="BN270" s="52">
        <v>0</v>
      </c>
      <c r="BO270" s="52">
        <v>5400</v>
      </c>
      <c r="BP270" s="52">
        <v>0</v>
      </c>
      <c r="BQ270" s="52">
        <v>0</v>
      </c>
      <c r="BR270" s="52">
        <v>13600.000000000002</v>
      </c>
      <c r="BS270" s="52">
        <v>47600</v>
      </c>
      <c r="BT270" s="52">
        <v>0</v>
      </c>
      <c r="BU270" s="52">
        <v>11200.000000000002</v>
      </c>
      <c r="BV270" s="52">
        <v>8014.5391999999929</v>
      </c>
      <c r="BW270" s="52">
        <v>0</v>
      </c>
    </row>
    <row r="271" spans="1:75" x14ac:dyDescent="0.3">
      <c r="A271" s="8" t="s">
        <v>100</v>
      </c>
      <c r="B271" s="8" t="s">
        <v>10</v>
      </c>
      <c r="C271" s="8" t="s">
        <v>145</v>
      </c>
      <c r="D271" s="52">
        <v>17600</v>
      </c>
      <c r="E271" s="52">
        <v>7774.9677419353993</v>
      </c>
      <c r="F271" s="52">
        <v>0</v>
      </c>
      <c r="G271" s="52">
        <v>7200</v>
      </c>
      <c r="H271" s="52">
        <v>3180.6686217008451</v>
      </c>
      <c r="I271" s="52">
        <v>0</v>
      </c>
      <c r="J271" s="52">
        <v>8603.568956160072</v>
      </c>
      <c r="K271" s="52">
        <v>0</v>
      </c>
      <c r="L271" s="52">
        <v>0</v>
      </c>
      <c r="M271" s="52">
        <v>3441.4275824640281</v>
      </c>
      <c r="N271" s="52">
        <v>0</v>
      </c>
      <c r="O271" s="52">
        <v>0</v>
      </c>
      <c r="P271" s="52">
        <v>16754.091091607748</v>
      </c>
      <c r="Q271" s="52">
        <v>0</v>
      </c>
      <c r="R271" s="52">
        <v>0</v>
      </c>
      <c r="S271" s="52">
        <v>5983.6039612884815</v>
      </c>
      <c r="T271" s="52">
        <v>0</v>
      </c>
      <c r="U271" s="52">
        <v>0</v>
      </c>
      <c r="V271" s="52">
        <v>15200.000000000002</v>
      </c>
      <c r="W271" s="52">
        <v>0</v>
      </c>
      <c r="X271" s="52">
        <v>0</v>
      </c>
      <c r="Y271" s="52">
        <v>0</v>
      </c>
      <c r="Z271" s="52">
        <v>0</v>
      </c>
      <c r="AA271" s="52">
        <v>0</v>
      </c>
      <c r="AB271" s="52">
        <v>17600</v>
      </c>
      <c r="AC271" s="52">
        <v>2297.3559819503657</v>
      </c>
      <c r="AD271" s="52">
        <v>0</v>
      </c>
      <c r="AE271" s="52">
        <v>3143.7127806030257</v>
      </c>
      <c r="AF271" s="52">
        <v>0</v>
      </c>
      <c r="AG271" s="52">
        <v>0</v>
      </c>
      <c r="AH271" s="52">
        <v>5851.2932545200056</v>
      </c>
      <c r="AI271" s="52">
        <v>0</v>
      </c>
      <c r="AJ271" s="52">
        <v>0</v>
      </c>
      <c r="AK271" s="52">
        <v>1880.7728318100017</v>
      </c>
      <c r="AL271" s="52">
        <v>0</v>
      </c>
      <c r="AM271" s="52">
        <v>0</v>
      </c>
      <c r="AN271" s="52">
        <v>22000</v>
      </c>
      <c r="AO271" s="52">
        <v>0</v>
      </c>
      <c r="AP271" s="52">
        <v>0</v>
      </c>
      <c r="AQ271" s="52">
        <v>5400</v>
      </c>
      <c r="AR271" s="52">
        <v>0</v>
      </c>
      <c r="AS271" s="52">
        <v>0</v>
      </c>
      <c r="AT271" s="52">
        <v>17600</v>
      </c>
      <c r="AU271" s="52">
        <v>0</v>
      </c>
      <c r="AV271" s="52">
        <v>0</v>
      </c>
      <c r="AW271" s="52">
        <v>5400</v>
      </c>
      <c r="AX271" s="52">
        <v>0</v>
      </c>
      <c r="AY271" s="52">
        <v>0</v>
      </c>
      <c r="AZ271" s="52">
        <v>13539.347381507681</v>
      </c>
      <c r="BA271" s="52">
        <v>0</v>
      </c>
      <c r="BB271" s="52">
        <v>0</v>
      </c>
      <c r="BC271" s="52">
        <v>4061.8042144523051</v>
      </c>
      <c r="BD271" s="52">
        <v>0</v>
      </c>
      <c r="BE271" s="52">
        <v>0</v>
      </c>
      <c r="BF271" s="52">
        <v>12036.729599999995</v>
      </c>
      <c r="BG271" s="52">
        <v>0</v>
      </c>
      <c r="BH271" s="52">
        <v>0</v>
      </c>
      <c r="BI271" s="52">
        <v>0</v>
      </c>
      <c r="BJ271" s="52">
        <v>0</v>
      </c>
      <c r="BK271" s="52">
        <v>0</v>
      </c>
      <c r="BL271" s="52">
        <v>8400</v>
      </c>
      <c r="BM271" s="52">
        <v>4741.9448685359948</v>
      </c>
      <c r="BN271" s="52">
        <v>0</v>
      </c>
      <c r="BO271" s="52">
        <v>3871.367131464011</v>
      </c>
      <c r="BP271" s="52">
        <v>0</v>
      </c>
      <c r="BQ271" s="52">
        <v>0</v>
      </c>
      <c r="BR271" s="52">
        <v>0</v>
      </c>
      <c r="BS271" s="52">
        <v>0</v>
      </c>
      <c r="BT271" s="52">
        <v>0</v>
      </c>
      <c r="BU271" s="52">
        <v>0</v>
      </c>
      <c r="BV271" s="52">
        <v>0</v>
      </c>
      <c r="BW271" s="52">
        <v>0</v>
      </c>
    </row>
    <row r="272" spans="1:75" x14ac:dyDescent="0.3">
      <c r="A272" s="8" t="s">
        <v>100</v>
      </c>
      <c r="B272" s="8" t="s">
        <v>10</v>
      </c>
      <c r="C272" s="8" t="s">
        <v>146</v>
      </c>
      <c r="D272" s="52">
        <v>17600</v>
      </c>
      <c r="E272" s="52">
        <v>61600</v>
      </c>
      <c r="F272" s="52">
        <v>26400.000000000004</v>
      </c>
      <c r="G272" s="52">
        <v>7200</v>
      </c>
      <c r="H272" s="52">
        <v>25200.000000000004</v>
      </c>
      <c r="I272" s="52">
        <v>10800</v>
      </c>
      <c r="J272" s="52">
        <v>12000</v>
      </c>
      <c r="K272" s="52">
        <v>60000</v>
      </c>
      <c r="L272" s="52">
        <v>16878.118998839949</v>
      </c>
      <c r="M272" s="52">
        <v>4800.0000000000009</v>
      </c>
      <c r="N272" s="52">
        <v>20800</v>
      </c>
      <c r="O272" s="52">
        <v>3168.3278874879898</v>
      </c>
      <c r="P272" s="52">
        <v>16800</v>
      </c>
      <c r="Q272" s="52">
        <v>58800.000000000007</v>
      </c>
      <c r="R272" s="52">
        <v>17054.981927928024</v>
      </c>
      <c r="S272" s="52">
        <v>6000</v>
      </c>
      <c r="T272" s="52">
        <v>18516.085629920562</v>
      </c>
      <c r="U272" s="52">
        <v>4170.6810976000597</v>
      </c>
      <c r="V272" s="52">
        <v>15200.000000000002</v>
      </c>
      <c r="W272" s="52">
        <v>53200</v>
      </c>
      <c r="X272" s="52">
        <v>8482.2567137586702</v>
      </c>
      <c r="Y272" s="52">
        <v>6600.0000000000009</v>
      </c>
      <c r="Z272" s="52">
        <v>30800</v>
      </c>
      <c r="AA272" s="52">
        <v>5729.2435698194522</v>
      </c>
      <c r="AB272" s="52">
        <v>17600</v>
      </c>
      <c r="AC272" s="52">
        <v>61600</v>
      </c>
      <c r="AD272" s="52">
        <v>10471.590170603278</v>
      </c>
      <c r="AE272" s="52">
        <v>5400</v>
      </c>
      <c r="AF272" s="52">
        <v>23400.000000000004</v>
      </c>
      <c r="AG272" s="52">
        <v>977.40705558071193</v>
      </c>
      <c r="AH272" s="52">
        <v>16800</v>
      </c>
      <c r="AI272" s="52">
        <v>58800.000000000007</v>
      </c>
      <c r="AJ272" s="52">
        <v>14195.325377144747</v>
      </c>
      <c r="AK272" s="52">
        <v>5400</v>
      </c>
      <c r="AL272" s="52">
        <v>25200.000000000004</v>
      </c>
      <c r="AM272" s="52">
        <v>7097.6626885723736</v>
      </c>
      <c r="AN272" s="52">
        <v>22000</v>
      </c>
      <c r="AO272" s="52">
        <v>52800.000000000007</v>
      </c>
      <c r="AP272" s="52">
        <v>0</v>
      </c>
      <c r="AQ272" s="52">
        <v>5400</v>
      </c>
      <c r="AR272" s="52">
        <v>25200.000000000004</v>
      </c>
      <c r="AS272" s="52">
        <v>0</v>
      </c>
      <c r="AT272" s="52">
        <v>17600</v>
      </c>
      <c r="AU272" s="52">
        <v>57200</v>
      </c>
      <c r="AV272" s="52">
        <v>26238.306937919981</v>
      </c>
      <c r="AW272" s="52">
        <v>5400</v>
      </c>
      <c r="AX272" s="52">
        <v>25200.000000000004</v>
      </c>
      <c r="AY272" s="52">
        <v>10733.852838239991</v>
      </c>
      <c r="AZ272" s="52">
        <v>20000</v>
      </c>
      <c r="BA272" s="52">
        <v>48000</v>
      </c>
      <c r="BB272" s="52">
        <v>0</v>
      </c>
      <c r="BC272" s="52">
        <v>6000</v>
      </c>
      <c r="BD272" s="52">
        <v>20887.529870219976</v>
      </c>
      <c r="BE272" s="52">
        <v>0</v>
      </c>
      <c r="BF272" s="52">
        <v>13200.000000000002</v>
      </c>
      <c r="BG272" s="52">
        <v>61600</v>
      </c>
      <c r="BH272" s="52">
        <v>0</v>
      </c>
      <c r="BI272" s="52">
        <v>5400</v>
      </c>
      <c r="BJ272" s="52">
        <v>0</v>
      </c>
      <c r="BK272" s="52">
        <v>0</v>
      </c>
      <c r="BL272" s="52">
        <v>8400</v>
      </c>
      <c r="BM272" s="52">
        <v>63000</v>
      </c>
      <c r="BN272" s="52">
        <v>18020.545263042066</v>
      </c>
      <c r="BO272" s="52">
        <v>5400</v>
      </c>
      <c r="BP272" s="52">
        <v>23400.000000000004</v>
      </c>
      <c r="BQ272" s="52">
        <v>1267.264191503345</v>
      </c>
      <c r="BR272" s="52">
        <v>13600.000000000002</v>
      </c>
      <c r="BS272" s="52">
        <v>47600</v>
      </c>
      <c r="BT272" s="52">
        <v>20400.000000000004</v>
      </c>
      <c r="BU272" s="52">
        <v>11200.000000000002</v>
      </c>
      <c r="BV272" s="52">
        <v>36400</v>
      </c>
      <c r="BW272" s="52">
        <v>19600</v>
      </c>
    </row>
    <row r="273" spans="1:75" x14ac:dyDescent="0.3">
      <c r="A273" s="8" t="s">
        <v>100</v>
      </c>
      <c r="B273" s="8" t="s">
        <v>10</v>
      </c>
      <c r="C273" s="8" t="s">
        <v>28</v>
      </c>
      <c r="D273" s="52">
        <v>17600</v>
      </c>
      <c r="E273" s="52">
        <v>61600</v>
      </c>
      <c r="F273" s="52">
        <v>26400.000000000004</v>
      </c>
      <c r="G273" s="52">
        <v>7200</v>
      </c>
      <c r="H273" s="52">
        <v>25200.000000000004</v>
      </c>
      <c r="I273" s="52">
        <v>10800</v>
      </c>
      <c r="J273" s="52">
        <v>12000</v>
      </c>
      <c r="K273" s="52">
        <v>60000</v>
      </c>
      <c r="L273" s="52">
        <v>24000</v>
      </c>
      <c r="M273" s="52">
        <v>4800.0000000000009</v>
      </c>
      <c r="N273" s="52">
        <v>20800</v>
      </c>
      <c r="O273" s="52">
        <v>12800</v>
      </c>
      <c r="P273" s="52">
        <v>16800</v>
      </c>
      <c r="Q273" s="52">
        <v>58800.000000000007</v>
      </c>
      <c r="R273" s="52">
        <v>25200.000000000004</v>
      </c>
      <c r="S273" s="52">
        <v>6000</v>
      </c>
      <c r="T273" s="52">
        <v>26000</v>
      </c>
      <c r="U273" s="52">
        <v>16000</v>
      </c>
      <c r="V273" s="52">
        <v>15200.000000000002</v>
      </c>
      <c r="W273" s="52">
        <v>53200</v>
      </c>
      <c r="X273" s="52">
        <v>22800</v>
      </c>
      <c r="Y273" s="52">
        <v>6600.0000000000009</v>
      </c>
      <c r="Z273" s="52">
        <v>30800</v>
      </c>
      <c r="AA273" s="52">
        <v>15400</v>
      </c>
      <c r="AB273" s="52">
        <v>17600</v>
      </c>
      <c r="AC273" s="52">
        <v>61600</v>
      </c>
      <c r="AD273" s="52">
        <v>26400.000000000004</v>
      </c>
      <c r="AE273" s="52">
        <v>5400</v>
      </c>
      <c r="AF273" s="52">
        <v>23400.000000000004</v>
      </c>
      <c r="AG273" s="52">
        <v>14400</v>
      </c>
      <c r="AH273" s="52">
        <v>16800</v>
      </c>
      <c r="AI273" s="52">
        <v>58800.000000000007</v>
      </c>
      <c r="AJ273" s="52">
        <v>25200.000000000004</v>
      </c>
      <c r="AK273" s="52">
        <v>5400</v>
      </c>
      <c r="AL273" s="52">
        <v>25200.000000000004</v>
      </c>
      <c r="AM273" s="52">
        <v>12600.000000000002</v>
      </c>
      <c r="AN273" s="52">
        <v>22000</v>
      </c>
      <c r="AO273" s="52">
        <v>52800.000000000007</v>
      </c>
      <c r="AP273" s="52">
        <v>30800</v>
      </c>
      <c r="AQ273" s="52">
        <v>5400</v>
      </c>
      <c r="AR273" s="52">
        <v>25200.000000000004</v>
      </c>
      <c r="AS273" s="52">
        <v>12600.000000000002</v>
      </c>
      <c r="AT273" s="52">
        <v>17600</v>
      </c>
      <c r="AU273" s="52">
        <v>57200</v>
      </c>
      <c r="AV273" s="52">
        <v>30800</v>
      </c>
      <c r="AW273" s="52">
        <v>5400</v>
      </c>
      <c r="AX273" s="52">
        <v>25200.000000000004</v>
      </c>
      <c r="AY273" s="52">
        <v>12600.000000000002</v>
      </c>
      <c r="AZ273" s="52">
        <v>20000</v>
      </c>
      <c r="BA273" s="52">
        <v>48000</v>
      </c>
      <c r="BB273" s="52">
        <v>28000</v>
      </c>
      <c r="BC273" s="52">
        <v>6000</v>
      </c>
      <c r="BD273" s="52">
        <v>26000</v>
      </c>
      <c r="BE273" s="52">
        <v>16000</v>
      </c>
      <c r="BF273" s="52">
        <v>13200.000000000002</v>
      </c>
      <c r="BG273" s="52">
        <v>61600</v>
      </c>
      <c r="BH273" s="52">
        <v>30800</v>
      </c>
      <c r="BI273" s="52">
        <v>5400</v>
      </c>
      <c r="BJ273" s="52">
        <v>23400.000000000004</v>
      </c>
      <c r="BK273" s="52">
        <v>14400</v>
      </c>
      <c r="BL273" s="52">
        <v>8400</v>
      </c>
      <c r="BM273" s="52">
        <v>63000</v>
      </c>
      <c r="BN273" s="52">
        <v>29400.000000000004</v>
      </c>
      <c r="BO273" s="52">
        <v>5400</v>
      </c>
      <c r="BP273" s="52">
        <v>23400.000000000004</v>
      </c>
      <c r="BQ273" s="52">
        <v>14400</v>
      </c>
      <c r="BR273" s="52">
        <v>13600.000000000002</v>
      </c>
      <c r="BS273" s="52">
        <v>47600</v>
      </c>
      <c r="BT273" s="52">
        <v>20400.000000000004</v>
      </c>
      <c r="BU273" s="52">
        <v>11200.000000000002</v>
      </c>
      <c r="BV273" s="52">
        <v>36400</v>
      </c>
      <c r="BW273" s="52">
        <v>19600</v>
      </c>
    </row>
  </sheetData>
  <phoneticPr fontId="1" type="noConversion"/>
  <pageMargins left="0.75" right="0.75" top="1" bottom="1" header="0" footer="0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3">
    <tabColor indexed="47"/>
  </sheetPr>
  <dimension ref="A1:O46"/>
  <sheetViews>
    <sheetView showRowColHeaders="0" workbookViewId="0">
      <pane xSplit="3" ySplit="1" topLeftCell="D2" activePane="bottomRight" state="frozen"/>
      <selection pane="topRight"/>
      <selection pane="bottomLeft"/>
      <selection pane="bottomRight" activeCell="D2" sqref="D2"/>
    </sheetView>
  </sheetViews>
  <sheetFormatPr baseColWidth="10" defaultColWidth="11.44140625" defaultRowHeight="13.8" x14ac:dyDescent="0.3"/>
  <cols>
    <col min="1" max="2" width="4.5546875" style="8" bestFit="1" customWidth="1"/>
    <col min="3" max="3" width="15.33203125" style="8" bestFit="1" customWidth="1"/>
    <col min="4" max="15" width="4" style="6" bestFit="1" customWidth="1"/>
    <col min="16" max="16384" width="11.44140625" style="6"/>
  </cols>
  <sheetData>
    <row r="1" spans="1:15" s="9" customFormat="1" x14ac:dyDescent="0.3">
      <c r="A1" s="7" t="s">
        <v>165</v>
      </c>
      <c r="B1" s="7" t="s">
        <v>166</v>
      </c>
      <c r="C1" s="7" t="s">
        <v>168</v>
      </c>
      <c r="D1" s="53" t="s">
        <v>21</v>
      </c>
      <c r="E1" s="53" t="s">
        <v>29</v>
      </c>
      <c r="F1" s="53" t="s">
        <v>30</v>
      </c>
      <c r="G1" s="9" t="s">
        <v>31</v>
      </c>
      <c r="H1" s="9" t="s">
        <v>32</v>
      </c>
      <c r="I1" s="9" t="s">
        <v>33</v>
      </c>
      <c r="J1" s="9" t="s">
        <v>34</v>
      </c>
      <c r="K1" s="9" t="s">
        <v>35</v>
      </c>
      <c r="L1" s="9" t="s">
        <v>36</v>
      </c>
      <c r="M1" s="9" t="s">
        <v>37</v>
      </c>
      <c r="N1" s="9" t="s">
        <v>38</v>
      </c>
      <c r="O1" s="9" t="s">
        <v>22</v>
      </c>
    </row>
    <row r="2" spans="1:15" x14ac:dyDescent="0.3">
      <c r="A2" s="7" t="s">
        <v>89</v>
      </c>
      <c r="B2" s="7" t="s">
        <v>8</v>
      </c>
      <c r="C2" s="7" t="s">
        <v>147</v>
      </c>
      <c r="D2" s="52">
        <v>421.74213333333313</v>
      </c>
      <c r="E2" s="52">
        <v>468.71717333333231</v>
      </c>
      <c r="F2" s="52">
        <v>570.02725333333228</v>
      </c>
      <c r="G2" s="52">
        <v>600</v>
      </c>
      <c r="H2" s="52">
        <v>559.75886424242833</v>
      </c>
      <c r="I2" s="52">
        <v>518.52466424242846</v>
      </c>
      <c r="J2" s="52">
        <v>441.65469090909517</v>
      </c>
      <c r="K2" s="52">
        <v>343.45162666666818</v>
      </c>
      <c r="L2" s="52">
        <v>299.20416000000102</v>
      </c>
      <c r="M2" s="52">
        <v>200</v>
      </c>
      <c r="N2" s="52">
        <v>206.20756363636355</v>
      </c>
      <c r="O2" s="52">
        <v>500</v>
      </c>
    </row>
    <row r="3" spans="1:15" x14ac:dyDescent="0.3">
      <c r="A3" s="7" t="s">
        <v>89</v>
      </c>
      <c r="B3" s="7" t="s">
        <v>8</v>
      </c>
      <c r="C3" s="7" t="s">
        <v>148</v>
      </c>
      <c r="D3" s="52">
        <v>494.47125333333332</v>
      </c>
      <c r="E3" s="52">
        <v>472.80373333333318</v>
      </c>
      <c r="F3" s="52">
        <v>473.70269333333312</v>
      </c>
      <c r="G3" s="52">
        <v>437.78615999999971</v>
      </c>
      <c r="H3" s="52">
        <v>400.98464242423711</v>
      </c>
      <c r="I3" s="52">
        <v>412.90784242423712</v>
      </c>
      <c r="J3" s="52">
        <v>386.64758424242501</v>
      </c>
      <c r="K3" s="52">
        <v>338.08462545454626</v>
      </c>
      <c r="L3" s="52">
        <v>353.89582545454624</v>
      </c>
      <c r="M3" s="52">
        <v>320.55470545454625</v>
      </c>
      <c r="N3" s="52">
        <v>368.64430545454621</v>
      </c>
      <c r="O3" s="52">
        <v>500</v>
      </c>
    </row>
    <row r="4" spans="1:15" x14ac:dyDescent="0.3">
      <c r="A4" s="7" t="s">
        <v>89</v>
      </c>
      <c r="B4" s="7" t="s">
        <v>8</v>
      </c>
      <c r="C4" s="7" t="s">
        <v>149</v>
      </c>
      <c r="D4" s="52">
        <v>733.25107878787901</v>
      </c>
      <c r="E4" s="52">
        <v>662.47265454545584</v>
      </c>
      <c r="F4" s="52">
        <v>782.07610909091056</v>
      </c>
      <c r="G4" s="52">
        <v>698.99104727272766</v>
      </c>
      <c r="H4" s="52">
        <v>622.36938060606155</v>
      </c>
      <c r="I4" s="52">
        <v>568.70572606060648</v>
      </c>
      <c r="J4" s="52">
        <v>423.74586787878201</v>
      </c>
      <c r="K4" s="52">
        <v>340.74456969696831</v>
      </c>
      <c r="L4" s="52">
        <v>214.36438787878677</v>
      </c>
      <c r="M4" s="52">
        <v>200</v>
      </c>
      <c r="N4" s="52">
        <v>200</v>
      </c>
      <c r="O4" s="52">
        <v>500</v>
      </c>
    </row>
    <row r="5" spans="1:15" x14ac:dyDescent="0.3">
      <c r="A5" s="7" t="s">
        <v>89</v>
      </c>
      <c r="B5" s="7" t="s">
        <v>9</v>
      </c>
      <c r="C5" s="7" t="s">
        <v>147</v>
      </c>
      <c r="D5" s="52">
        <v>509.73813333333328</v>
      </c>
      <c r="E5" s="52">
        <v>570.0157706666688</v>
      </c>
      <c r="F5" s="52">
        <v>544.6394933333338</v>
      </c>
      <c r="G5" s="52">
        <v>600</v>
      </c>
      <c r="H5" s="52">
        <v>514.77230133333319</v>
      </c>
      <c r="I5" s="52">
        <v>470.37850399999888</v>
      </c>
      <c r="J5" s="52">
        <v>407.1695226666655</v>
      </c>
      <c r="K5" s="52">
        <v>271.46451999999783</v>
      </c>
      <c r="L5" s="52">
        <v>205.84809333333217</v>
      </c>
      <c r="M5" s="52">
        <v>217.89866133333203</v>
      </c>
      <c r="N5" s="52">
        <v>288.12301866666667</v>
      </c>
      <c r="O5" s="52">
        <v>500</v>
      </c>
    </row>
    <row r="6" spans="1:15" x14ac:dyDescent="0.3">
      <c r="A6" s="7" t="s">
        <v>89</v>
      </c>
      <c r="B6" s="7" t="s">
        <v>9</v>
      </c>
      <c r="C6" s="7" t="s">
        <v>148</v>
      </c>
      <c r="D6" s="52">
        <v>540.45525333333296</v>
      </c>
      <c r="E6" s="52">
        <v>516.7795039999969</v>
      </c>
      <c r="F6" s="52">
        <v>464.6842239999969</v>
      </c>
      <c r="G6" s="52">
        <v>439.46849066666346</v>
      </c>
      <c r="H6" s="52">
        <v>396.1479039999968</v>
      </c>
      <c r="I6" s="52">
        <v>405.09030399999682</v>
      </c>
      <c r="J6" s="52">
        <v>391.61027733333009</v>
      </c>
      <c r="K6" s="52">
        <v>362.14338400000156</v>
      </c>
      <c r="L6" s="52">
        <v>332.10178400000171</v>
      </c>
      <c r="M6" s="52">
        <v>353.59594400000174</v>
      </c>
      <c r="N6" s="52">
        <v>396.66666666666703</v>
      </c>
      <c r="O6" s="52">
        <v>500</v>
      </c>
    </row>
    <row r="7" spans="1:15" x14ac:dyDescent="0.3">
      <c r="A7" s="7" t="s">
        <v>89</v>
      </c>
      <c r="B7" s="7" t="s">
        <v>9</v>
      </c>
      <c r="C7" s="7" t="s">
        <v>149</v>
      </c>
      <c r="D7" s="52">
        <v>706.64430957575394</v>
      </c>
      <c r="E7" s="52">
        <v>690.49485503029939</v>
      </c>
      <c r="F7" s="52">
        <v>719.64879442424024</v>
      </c>
      <c r="G7" s="52">
        <v>619.12255199999845</v>
      </c>
      <c r="H7" s="52">
        <v>524.14888533333192</v>
      </c>
      <c r="I7" s="52">
        <v>509.39572727272775</v>
      </c>
      <c r="J7" s="52">
        <v>443.91821212121192</v>
      </c>
      <c r="K7" s="52">
        <v>383.38042424242479</v>
      </c>
      <c r="L7" s="52">
        <v>303.7095151515154</v>
      </c>
      <c r="M7" s="52">
        <v>293.93324242424274</v>
      </c>
      <c r="N7" s="52">
        <v>212.25987878787853</v>
      </c>
      <c r="O7" s="52">
        <v>500</v>
      </c>
    </row>
    <row r="8" spans="1:15" x14ac:dyDescent="0.3">
      <c r="A8" s="7" t="s">
        <v>89</v>
      </c>
      <c r="B8" s="7" t="s">
        <v>10</v>
      </c>
      <c r="C8" s="7" t="s">
        <v>147</v>
      </c>
      <c r="D8" s="52">
        <v>499.67442133333503</v>
      </c>
      <c r="E8" s="52">
        <v>510.12472533333477</v>
      </c>
      <c r="F8" s="52">
        <v>600</v>
      </c>
      <c r="G8" s="52">
        <v>559.82245333333321</v>
      </c>
      <c r="H8" s="52">
        <v>600</v>
      </c>
      <c r="I8" s="52">
        <v>562.39167999999995</v>
      </c>
      <c r="J8" s="52">
        <v>274.17188266666648</v>
      </c>
      <c r="K8" s="52">
        <v>237.46389066666691</v>
      </c>
      <c r="L8" s="52">
        <v>201.88554400000021</v>
      </c>
      <c r="M8" s="52">
        <v>200</v>
      </c>
      <c r="N8" s="52">
        <v>200</v>
      </c>
      <c r="O8" s="52">
        <v>500</v>
      </c>
    </row>
    <row r="9" spans="1:15" x14ac:dyDescent="0.3">
      <c r="A9" s="7" t="s">
        <v>89</v>
      </c>
      <c r="B9" s="7" t="s">
        <v>10</v>
      </c>
      <c r="C9" s="7" t="s">
        <v>148</v>
      </c>
      <c r="D9" s="52">
        <v>577.13792000000001</v>
      </c>
      <c r="E9" s="52">
        <v>600</v>
      </c>
      <c r="F9" s="52">
        <v>568.62214399999993</v>
      </c>
      <c r="G9" s="52">
        <v>511.9221973333332</v>
      </c>
      <c r="H9" s="52">
        <v>497.50154666666651</v>
      </c>
      <c r="I9" s="52">
        <v>306.23736000000127</v>
      </c>
      <c r="J9" s="52">
        <v>234.77775466666796</v>
      </c>
      <c r="K9" s="52">
        <v>212.88432000000009</v>
      </c>
      <c r="L9" s="52">
        <v>200</v>
      </c>
      <c r="M9" s="52">
        <v>200</v>
      </c>
      <c r="N9" s="52">
        <v>275.01439999999997</v>
      </c>
      <c r="O9" s="52">
        <v>500</v>
      </c>
    </row>
    <row r="10" spans="1:15" x14ac:dyDescent="0.3">
      <c r="A10" s="7" t="s">
        <v>89</v>
      </c>
      <c r="B10" s="7" t="s">
        <v>10</v>
      </c>
      <c r="C10" s="7" t="s">
        <v>149</v>
      </c>
      <c r="D10" s="52">
        <v>479.60772412121111</v>
      </c>
      <c r="E10" s="52">
        <v>420.4557221818178</v>
      </c>
      <c r="F10" s="52">
        <v>540.45469187878723</v>
      </c>
      <c r="G10" s="52">
        <v>557.52410399999951</v>
      </c>
      <c r="H10" s="52">
        <v>453.05184799999938</v>
      </c>
      <c r="I10" s="52">
        <v>532.57467830302824</v>
      </c>
      <c r="J10" s="52">
        <v>603.77261818181705</v>
      </c>
      <c r="K10" s="52">
        <v>465.7054242424241</v>
      </c>
      <c r="L10" s="52">
        <v>365.56996969696957</v>
      </c>
      <c r="M10" s="52">
        <v>200</v>
      </c>
      <c r="N10" s="52">
        <v>200</v>
      </c>
      <c r="O10" s="52">
        <v>500</v>
      </c>
    </row>
    <row r="11" spans="1:15" x14ac:dyDescent="0.3">
      <c r="A11" s="7" t="s">
        <v>102</v>
      </c>
      <c r="B11" s="7" t="s">
        <v>8</v>
      </c>
      <c r="C11" s="7" t="s">
        <v>147</v>
      </c>
      <c r="D11" s="52">
        <v>486.0303466666665</v>
      </c>
      <c r="E11" s="52">
        <v>513.61042000000111</v>
      </c>
      <c r="F11" s="52">
        <v>600</v>
      </c>
      <c r="G11" s="52">
        <v>600</v>
      </c>
      <c r="H11" s="52">
        <v>512.2059066666659</v>
      </c>
      <c r="I11" s="52">
        <v>532.07030666666583</v>
      </c>
      <c r="J11" s="52">
        <v>497.57106181818403</v>
      </c>
      <c r="K11" s="52">
        <v>340.21887515151661</v>
      </c>
      <c r="L11" s="52">
        <v>276.22580848484978</v>
      </c>
      <c r="M11" s="52">
        <v>233.24298848484972</v>
      </c>
      <c r="N11" s="52">
        <v>200</v>
      </c>
      <c r="O11" s="52">
        <v>500</v>
      </c>
    </row>
    <row r="12" spans="1:15" x14ac:dyDescent="0.3">
      <c r="A12" s="7" t="s">
        <v>102</v>
      </c>
      <c r="B12" s="7" t="s">
        <v>8</v>
      </c>
      <c r="C12" s="7" t="s">
        <v>148</v>
      </c>
      <c r="D12" s="52">
        <v>529.36774666666633</v>
      </c>
      <c r="E12" s="52">
        <v>497.72858666666616</v>
      </c>
      <c r="F12" s="52">
        <v>509.79594666666594</v>
      </c>
      <c r="G12" s="52">
        <v>464.65917666666576</v>
      </c>
      <c r="H12" s="52">
        <v>489.32162848485183</v>
      </c>
      <c r="I12" s="52">
        <v>431.71710848485179</v>
      </c>
      <c r="J12" s="52">
        <v>382.07206666666713</v>
      </c>
      <c r="K12" s="52">
        <v>328.97532000000041</v>
      </c>
      <c r="L12" s="52">
        <v>293.14622000000043</v>
      </c>
      <c r="M12" s="52">
        <v>273.20640000000009</v>
      </c>
      <c r="N12" s="52">
        <v>339.29600000000005</v>
      </c>
      <c r="O12" s="52">
        <v>500</v>
      </c>
    </row>
    <row r="13" spans="1:15" x14ac:dyDescent="0.3">
      <c r="A13" s="7" t="s">
        <v>102</v>
      </c>
      <c r="B13" s="7" t="s">
        <v>8</v>
      </c>
      <c r="C13" s="7" t="s">
        <v>149</v>
      </c>
      <c r="D13" s="52">
        <v>620.66879212121273</v>
      </c>
      <c r="E13" s="52">
        <v>568.2052412121202</v>
      </c>
      <c r="F13" s="52">
        <v>657.01869575757576</v>
      </c>
      <c r="G13" s="52">
        <v>634.38450666667075</v>
      </c>
      <c r="H13" s="52">
        <v>527.63178818181871</v>
      </c>
      <c r="I13" s="52">
        <v>520.79309363636389</v>
      </c>
      <c r="J13" s="52">
        <v>469.96336060605989</v>
      </c>
      <c r="K13" s="52">
        <v>438.71930969696962</v>
      </c>
      <c r="L13" s="52">
        <v>335.77362787878786</v>
      </c>
      <c r="M13" s="52">
        <v>200</v>
      </c>
      <c r="N13" s="52">
        <v>255.03411575757707</v>
      </c>
      <c r="O13" s="52">
        <v>500</v>
      </c>
    </row>
    <row r="14" spans="1:15" x14ac:dyDescent="0.3">
      <c r="A14" s="7" t="s">
        <v>102</v>
      </c>
      <c r="B14" s="7" t="s">
        <v>9</v>
      </c>
      <c r="C14" s="7" t="s">
        <v>147</v>
      </c>
      <c r="D14" s="52">
        <v>509.73813333333328</v>
      </c>
      <c r="E14" s="52">
        <v>537.95162133333315</v>
      </c>
      <c r="F14" s="52">
        <v>571.14817733333211</v>
      </c>
      <c r="G14" s="52">
        <v>580.36396399999819</v>
      </c>
      <c r="H14" s="52">
        <v>524.60451866666369</v>
      </c>
      <c r="I14" s="52">
        <v>479.89825866666365</v>
      </c>
      <c r="J14" s="52">
        <v>416.68927733333027</v>
      </c>
      <c r="K14" s="52">
        <v>375.61555799999707</v>
      </c>
      <c r="L14" s="52">
        <v>313.81323133332955</v>
      </c>
      <c r="M14" s="52">
        <v>248.60654933333291</v>
      </c>
      <c r="N14" s="52">
        <v>303.56323806060578</v>
      </c>
      <c r="O14" s="52">
        <v>500</v>
      </c>
    </row>
    <row r="15" spans="1:15" x14ac:dyDescent="0.3">
      <c r="A15" s="7" t="s">
        <v>102</v>
      </c>
      <c r="B15" s="7" t="s">
        <v>9</v>
      </c>
      <c r="C15" s="7" t="s">
        <v>148</v>
      </c>
      <c r="D15" s="52">
        <v>529.36774666666599</v>
      </c>
      <c r="E15" s="52">
        <v>526.59990666666556</v>
      </c>
      <c r="F15" s="52">
        <v>504.80854666666551</v>
      </c>
      <c r="G15" s="52">
        <v>452.96965666666517</v>
      </c>
      <c r="H15" s="52">
        <v>437.89725666666516</v>
      </c>
      <c r="I15" s="52">
        <v>437.46755666666513</v>
      </c>
      <c r="J15" s="52">
        <v>406.57126666666801</v>
      </c>
      <c r="K15" s="52">
        <v>424.248706666668</v>
      </c>
      <c r="L15" s="52">
        <v>394.44310666666797</v>
      </c>
      <c r="M15" s="52">
        <v>367.433066666667</v>
      </c>
      <c r="N15" s="52">
        <v>411.79590666666695</v>
      </c>
      <c r="O15" s="52">
        <v>500</v>
      </c>
    </row>
    <row r="16" spans="1:15" x14ac:dyDescent="0.3">
      <c r="A16" s="7" t="s">
        <v>102</v>
      </c>
      <c r="B16" s="7" t="s">
        <v>9</v>
      </c>
      <c r="C16" s="7" t="s">
        <v>149</v>
      </c>
      <c r="D16" s="52">
        <v>751.91511624242673</v>
      </c>
      <c r="E16" s="52">
        <v>708.34383503030529</v>
      </c>
      <c r="F16" s="52">
        <v>714.82958775757857</v>
      </c>
      <c r="G16" s="52">
        <v>604.78132200000357</v>
      </c>
      <c r="H16" s="52">
        <v>541.4872053333379</v>
      </c>
      <c r="I16" s="52">
        <v>482.57069260606403</v>
      </c>
      <c r="J16" s="52">
        <v>399.9046074545426</v>
      </c>
      <c r="K16" s="52">
        <v>496.71853624242135</v>
      </c>
      <c r="L16" s="52">
        <v>412.99752715151294</v>
      </c>
      <c r="M16" s="52">
        <v>272.88346109090958</v>
      </c>
      <c r="N16" s="52">
        <v>200</v>
      </c>
      <c r="O16" s="52">
        <v>500</v>
      </c>
    </row>
    <row r="17" spans="1:15" x14ac:dyDescent="0.3">
      <c r="A17" s="7" t="s">
        <v>102</v>
      </c>
      <c r="B17" s="7" t="s">
        <v>10</v>
      </c>
      <c r="C17" s="7" t="s">
        <v>147</v>
      </c>
      <c r="D17" s="52">
        <v>428.04421333333312</v>
      </c>
      <c r="E17" s="52">
        <v>451.55189200000029</v>
      </c>
      <c r="F17" s="52">
        <v>600</v>
      </c>
      <c r="G17" s="52">
        <v>577.03545333333341</v>
      </c>
      <c r="H17" s="52">
        <v>520.73934399999916</v>
      </c>
      <c r="I17" s="52">
        <v>335.45222141652908</v>
      </c>
      <c r="J17" s="52">
        <v>264.95593066666623</v>
      </c>
      <c r="K17" s="52">
        <v>243.61161599999957</v>
      </c>
      <c r="L17" s="52">
        <v>227.89003600000001</v>
      </c>
      <c r="M17" s="52">
        <v>200</v>
      </c>
      <c r="N17" s="52">
        <v>200</v>
      </c>
      <c r="O17" s="52">
        <v>500</v>
      </c>
    </row>
    <row r="18" spans="1:15" x14ac:dyDescent="0.3">
      <c r="A18" s="7" t="s">
        <v>102</v>
      </c>
      <c r="B18" s="7" t="s">
        <v>10</v>
      </c>
      <c r="C18" s="7" t="s">
        <v>148</v>
      </c>
      <c r="D18" s="52">
        <v>577.13792000000001</v>
      </c>
      <c r="E18" s="52">
        <v>552.17575199999976</v>
      </c>
      <c r="F18" s="52">
        <v>576.99229599999967</v>
      </c>
      <c r="G18" s="52">
        <v>520.29234933333305</v>
      </c>
      <c r="H18" s="52">
        <v>505.87169866666636</v>
      </c>
      <c r="I18" s="52">
        <v>389.84484355316653</v>
      </c>
      <c r="J18" s="52">
        <v>392.68431333333439</v>
      </c>
      <c r="K18" s="52">
        <v>273.00725466666705</v>
      </c>
      <c r="L18" s="52">
        <v>208.47626800000035</v>
      </c>
      <c r="M18" s="52">
        <v>200</v>
      </c>
      <c r="N18" s="52">
        <v>275.01439999999997</v>
      </c>
      <c r="O18" s="52">
        <v>500</v>
      </c>
    </row>
    <row r="19" spans="1:15" x14ac:dyDescent="0.3">
      <c r="A19" s="7" t="s">
        <v>102</v>
      </c>
      <c r="B19" s="7" t="s">
        <v>10</v>
      </c>
      <c r="C19" s="7" t="s">
        <v>149</v>
      </c>
      <c r="D19" s="52">
        <v>559.84753212121291</v>
      </c>
      <c r="E19" s="52">
        <v>549.38264351515124</v>
      </c>
      <c r="F19" s="52">
        <v>626.97995321212011</v>
      </c>
      <c r="G19" s="52">
        <v>707.53533866666567</v>
      </c>
      <c r="H19" s="52">
        <v>682.36145866666664</v>
      </c>
      <c r="I19" s="52">
        <v>800</v>
      </c>
      <c r="J19" s="52">
        <v>530.01123406060378</v>
      </c>
      <c r="K19" s="52">
        <v>412.04216424242446</v>
      </c>
      <c r="L19" s="52">
        <v>331.08920969696948</v>
      </c>
      <c r="M19" s="52">
        <v>200</v>
      </c>
      <c r="N19" s="52">
        <v>200</v>
      </c>
      <c r="O19" s="52">
        <v>500</v>
      </c>
    </row>
    <row r="20" spans="1:15" x14ac:dyDescent="0.3">
      <c r="A20" s="7" t="s">
        <v>103</v>
      </c>
      <c r="B20" s="7" t="s">
        <v>8</v>
      </c>
      <c r="C20" s="7" t="s">
        <v>147</v>
      </c>
      <c r="D20" s="52">
        <v>509.73813333333328</v>
      </c>
      <c r="E20" s="52">
        <v>571.55317333333323</v>
      </c>
      <c r="F20" s="52">
        <v>600</v>
      </c>
      <c r="G20" s="52">
        <v>579.88316783333335</v>
      </c>
      <c r="H20" s="52">
        <v>600</v>
      </c>
      <c r="I20" s="52">
        <v>558.10065279999992</v>
      </c>
      <c r="J20" s="52">
        <v>520.78758113333345</v>
      </c>
      <c r="K20" s="52">
        <v>338.96596199999851</v>
      </c>
      <c r="L20" s="52">
        <v>222.28064426666717</v>
      </c>
      <c r="M20" s="52">
        <v>200</v>
      </c>
      <c r="N20" s="52">
        <v>210.78460448636363</v>
      </c>
      <c r="O20" s="52">
        <v>500</v>
      </c>
    </row>
    <row r="21" spans="1:15" x14ac:dyDescent="0.3">
      <c r="A21" s="7" t="s">
        <v>103</v>
      </c>
      <c r="B21" s="7" t="s">
        <v>8</v>
      </c>
      <c r="C21" s="7" t="s">
        <v>148</v>
      </c>
      <c r="D21" s="52">
        <v>577.13792000000001</v>
      </c>
      <c r="E21" s="52">
        <v>569.0183575999996</v>
      </c>
      <c r="F21" s="52">
        <v>563.19619793333595</v>
      </c>
      <c r="G21" s="52">
        <v>501.93433126666929</v>
      </c>
      <c r="H21" s="52">
        <v>546.39577126666927</v>
      </c>
      <c r="I21" s="52">
        <v>527.30328726666937</v>
      </c>
      <c r="J21" s="52">
        <v>468.1654739333361</v>
      </c>
      <c r="K21" s="52">
        <v>415.06872726666938</v>
      </c>
      <c r="L21" s="52">
        <v>360.49425266666748</v>
      </c>
      <c r="M21" s="52">
        <v>327.15313266666743</v>
      </c>
      <c r="N21" s="52">
        <v>386.90043906666739</v>
      </c>
      <c r="O21" s="52">
        <v>500</v>
      </c>
    </row>
    <row r="22" spans="1:15" x14ac:dyDescent="0.3">
      <c r="A22" s="7" t="s">
        <v>103</v>
      </c>
      <c r="B22" s="7" t="s">
        <v>8</v>
      </c>
      <c r="C22" s="7" t="s">
        <v>149</v>
      </c>
      <c r="D22" s="52">
        <v>535.65927632121236</v>
      </c>
      <c r="E22" s="52">
        <v>441.23571047878818</v>
      </c>
      <c r="F22" s="52">
        <v>592.57155702423915</v>
      </c>
      <c r="G22" s="52">
        <v>584.92140737272382</v>
      </c>
      <c r="H22" s="52">
        <v>554.61637573938992</v>
      </c>
      <c r="I22" s="52">
        <v>455.34929179393515</v>
      </c>
      <c r="J22" s="52">
        <v>372.25636889696483</v>
      </c>
      <c r="K22" s="52">
        <v>332.82701178787528</v>
      </c>
      <c r="L22" s="52">
        <v>361.1159036121208</v>
      </c>
      <c r="M22" s="52">
        <v>200</v>
      </c>
      <c r="N22" s="52">
        <v>200</v>
      </c>
      <c r="O22" s="52">
        <v>500</v>
      </c>
    </row>
    <row r="23" spans="1:15" x14ac:dyDescent="0.3">
      <c r="A23" s="7" t="s">
        <v>103</v>
      </c>
      <c r="B23" s="7" t="s">
        <v>9</v>
      </c>
      <c r="C23" s="7" t="s">
        <v>147</v>
      </c>
      <c r="D23" s="52">
        <v>506.49148480000008</v>
      </c>
      <c r="E23" s="52">
        <v>532.96201280000014</v>
      </c>
      <c r="F23" s="52">
        <v>527.33948903333339</v>
      </c>
      <c r="G23" s="52">
        <v>600</v>
      </c>
      <c r="H23" s="52">
        <v>600</v>
      </c>
      <c r="I23" s="52">
        <v>552.35093980000011</v>
      </c>
      <c r="J23" s="52">
        <v>471.14195846666672</v>
      </c>
      <c r="K23" s="52">
        <v>268.09848333333167</v>
      </c>
      <c r="L23" s="52">
        <v>247.49584653333375</v>
      </c>
      <c r="M23" s="52">
        <v>208.70243226666673</v>
      </c>
      <c r="N23" s="52">
        <v>288.12301866666667</v>
      </c>
      <c r="O23" s="52">
        <v>500</v>
      </c>
    </row>
    <row r="24" spans="1:15" x14ac:dyDescent="0.3">
      <c r="A24" s="7" t="s">
        <v>103</v>
      </c>
      <c r="B24" s="7" t="s">
        <v>9</v>
      </c>
      <c r="C24" s="7" t="s">
        <v>148</v>
      </c>
      <c r="D24" s="52">
        <v>547.51506358333825</v>
      </c>
      <c r="E24" s="52">
        <v>556.06342718333804</v>
      </c>
      <c r="F24" s="52">
        <v>546.95215118333772</v>
      </c>
      <c r="G24" s="52">
        <v>555.50575118333779</v>
      </c>
      <c r="H24" s="52">
        <v>588.85183118333771</v>
      </c>
      <c r="I24" s="52">
        <v>573.08922018333772</v>
      </c>
      <c r="J24" s="52">
        <v>521.20107101667031</v>
      </c>
      <c r="K24" s="52">
        <v>462.21184435000367</v>
      </c>
      <c r="L24" s="52">
        <v>443.015079066667</v>
      </c>
      <c r="M24" s="52">
        <v>402.50923906666696</v>
      </c>
      <c r="N24" s="52">
        <v>427.07643906666698</v>
      </c>
      <c r="O24" s="52">
        <v>500</v>
      </c>
    </row>
    <row r="25" spans="1:15" x14ac:dyDescent="0.3">
      <c r="A25" s="7" t="s">
        <v>103</v>
      </c>
      <c r="B25" s="7" t="s">
        <v>9</v>
      </c>
      <c r="C25" s="7" t="s">
        <v>149</v>
      </c>
      <c r="D25" s="52">
        <v>617.51758127120752</v>
      </c>
      <c r="E25" s="52">
        <v>514.51135943030386</v>
      </c>
      <c r="F25" s="52">
        <v>707.1982188909094</v>
      </c>
      <c r="G25" s="52">
        <v>732.93597216666706</v>
      </c>
      <c r="H25" s="52">
        <v>800</v>
      </c>
      <c r="I25" s="52">
        <v>692.65910487272686</v>
      </c>
      <c r="J25" s="52">
        <v>637.77571222121219</v>
      </c>
      <c r="K25" s="52">
        <v>621.89273014242599</v>
      </c>
      <c r="L25" s="52">
        <v>604.06207288485143</v>
      </c>
      <c r="M25" s="52">
        <v>434.21143109091184</v>
      </c>
      <c r="N25" s="52">
        <v>298.53296265454719</v>
      </c>
      <c r="O25" s="52">
        <v>500</v>
      </c>
    </row>
    <row r="26" spans="1:15" x14ac:dyDescent="0.3">
      <c r="A26" s="8" t="s">
        <v>103</v>
      </c>
      <c r="B26" s="8" t="s">
        <v>10</v>
      </c>
      <c r="C26" s="8" t="s">
        <v>147</v>
      </c>
      <c r="D26" s="52">
        <v>496.94969600000002</v>
      </c>
      <c r="E26" s="52">
        <v>600</v>
      </c>
      <c r="F26" s="52">
        <v>567.36860799999988</v>
      </c>
      <c r="G26" s="52">
        <v>577.09139690000052</v>
      </c>
      <c r="H26" s="52">
        <v>600</v>
      </c>
      <c r="I26" s="52">
        <v>569.87285980000001</v>
      </c>
      <c r="J26" s="52">
        <v>498.06506246666663</v>
      </c>
      <c r="K26" s="52">
        <v>409.01710159999629</v>
      </c>
      <c r="L26" s="52">
        <v>312.78472893332918</v>
      </c>
      <c r="M26" s="52">
        <v>200</v>
      </c>
      <c r="N26" s="52">
        <v>200</v>
      </c>
      <c r="O26" s="52">
        <v>500</v>
      </c>
    </row>
    <row r="27" spans="1:15" x14ac:dyDescent="0.3">
      <c r="A27" s="8" t="s">
        <v>103</v>
      </c>
      <c r="B27" s="8" t="s">
        <v>10</v>
      </c>
      <c r="C27" s="8" t="s">
        <v>148</v>
      </c>
      <c r="D27" s="52">
        <v>513.93275159999962</v>
      </c>
      <c r="E27" s="52">
        <v>512.49018119999926</v>
      </c>
      <c r="F27" s="52">
        <v>509.9589443999991</v>
      </c>
      <c r="G27" s="52">
        <v>457.48740203333233</v>
      </c>
      <c r="H27" s="52">
        <v>480.86656656666577</v>
      </c>
      <c r="I27" s="52">
        <v>472.85403556666557</v>
      </c>
      <c r="J27" s="52">
        <v>415.00097439999797</v>
      </c>
      <c r="K27" s="52">
        <v>301.82936946666729</v>
      </c>
      <c r="L27" s="52">
        <v>237.29838280000058</v>
      </c>
      <c r="M27" s="52">
        <v>218.9969128000003</v>
      </c>
      <c r="N27" s="52">
        <v>275.01439999999997</v>
      </c>
      <c r="O27" s="52">
        <v>500</v>
      </c>
    </row>
    <row r="28" spans="1:15" x14ac:dyDescent="0.3">
      <c r="A28" s="8" t="s">
        <v>103</v>
      </c>
      <c r="B28" s="8" t="s">
        <v>10</v>
      </c>
      <c r="C28" s="8" t="s">
        <v>149</v>
      </c>
      <c r="D28" s="52">
        <v>536.10780985454653</v>
      </c>
      <c r="E28" s="52">
        <v>420.80876364848643</v>
      </c>
      <c r="F28" s="52">
        <v>744.90623654545482</v>
      </c>
      <c r="G28" s="52">
        <v>794.21870879999949</v>
      </c>
      <c r="H28" s="52">
        <v>567.04286836666631</v>
      </c>
      <c r="I28" s="52">
        <v>417.66277319091125</v>
      </c>
      <c r="J28" s="52">
        <v>330.08047144848786</v>
      </c>
      <c r="K28" s="52">
        <v>299.75947797576151</v>
      </c>
      <c r="L28" s="52">
        <v>236.36931476364038</v>
      </c>
      <c r="M28" s="52">
        <v>200</v>
      </c>
      <c r="N28" s="52">
        <v>200</v>
      </c>
      <c r="O28" s="52">
        <v>500</v>
      </c>
    </row>
    <row r="29" spans="1:15" x14ac:dyDescent="0.3">
      <c r="A29" s="8" t="s">
        <v>104</v>
      </c>
      <c r="B29" s="8" t="s">
        <v>8</v>
      </c>
      <c r="C29" s="8" t="s">
        <v>147</v>
      </c>
      <c r="D29" s="52">
        <v>358.91519220521263</v>
      </c>
      <c r="E29" s="52">
        <v>420.73023220521259</v>
      </c>
      <c r="F29" s="52">
        <v>522.04031220521256</v>
      </c>
      <c r="G29" s="52">
        <v>600</v>
      </c>
      <c r="H29" s="52">
        <v>600</v>
      </c>
      <c r="I29" s="52">
        <v>555.07022132799989</v>
      </c>
      <c r="J29" s="52">
        <v>487.41496253366643</v>
      </c>
      <c r="K29" s="52">
        <v>255.77661543666719</v>
      </c>
      <c r="L29" s="52">
        <v>211.31198578000001</v>
      </c>
      <c r="M29" s="52">
        <v>200</v>
      </c>
      <c r="N29" s="52">
        <v>264.40322782957674</v>
      </c>
      <c r="O29" s="52">
        <v>500</v>
      </c>
    </row>
    <row r="30" spans="1:15" x14ac:dyDescent="0.3">
      <c r="A30" s="8" t="s">
        <v>104</v>
      </c>
      <c r="B30" s="8" t="s">
        <v>8</v>
      </c>
      <c r="C30" s="8" t="s">
        <v>148</v>
      </c>
      <c r="D30" s="52">
        <v>527.44207324933313</v>
      </c>
      <c r="E30" s="52">
        <v>529.99148688533307</v>
      </c>
      <c r="F30" s="52">
        <v>515.50595092533285</v>
      </c>
      <c r="G30" s="52">
        <v>454.24408425866613</v>
      </c>
      <c r="H30" s="52">
        <v>449.20519024599986</v>
      </c>
      <c r="I30" s="52">
        <v>430.71338940600003</v>
      </c>
      <c r="J30" s="52">
        <v>429.43758008933349</v>
      </c>
      <c r="K30" s="52">
        <v>376.34083342266678</v>
      </c>
      <c r="L30" s="52">
        <v>305.48536675600008</v>
      </c>
      <c r="M30" s="52">
        <v>316.43864961600008</v>
      </c>
      <c r="N30" s="52">
        <v>365.87370792800004</v>
      </c>
      <c r="O30" s="52">
        <v>500</v>
      </c>
    </row>
    <row r="31" spans="1:15" x14ac:dyDescent="0.3">
      <c r="A31" s="8" t="s">
        <v>104</v>
      </c>
      <c r="B31" s="8" t="s">
        <v>8</v>
      </c>
      <c r="C31" s="8" t="s">
        <v>149</v>
      </c>
      <c r="D31" s="52">
        <v>800</v>
      </c>
      <c r="E31" s="52">
        <v>719.98237171175924</v>
      </c>
      <c r="F31" s="52">
        <v>793.67536140721404</v>
      </c>
      <c r="G31" s="52">
        <v>687.94869179424472</v>
      </c>
      <c r="H31" s="52">
        <v>624.80326580691064</v>
      </c>
      <c r="I31" s="52">
        <v>561.15820263745695</v>
      </c>
      <c r="J31" s="52">
        <v>375.71367543748698</v>
      </c>
      <c r="K31" s="52">
        <v>418.7557849587285</v>
      </c>
      <c r="L31" s="52">
        <v>309.37876613054726</v>
      </c>
      <c r="M31" s="52">
        <v>232.00054908242589</v>
      </c>
      <c r="N31" s="52">
        <v>200</v>
      </c>
      <c r="O31" s="52">
        <v>500</v>
      </c>
    </row>
    <row r="32" spans="1:15" x14ac:dyDescent="0.3">
      <c r="A32" s="8" t="s">
        <v>104</v>
      </c>
      <c r="B32" s="8" t="s">
        <v>9</v>
      </c>
      <c r="C32" s="8" t="s">
        <v>147</v>
      </c>
      <c r="D32" s="52">
        <v>464.77532498133365</v>
      </c>
      <c r="E32" s="52">
        <v>491.24585298133366</v>
      </c>
      <c r="F32" s="52">
        <v>534.59082666666666</v>
      </c>
      <c r="G32" s="52">
        <v>600</v>
      </c>
      <c r="H32" s="52">
        <v>600</v>
      </c>
      <c r="I32" s="52">
        <v>562.86976000000004</v>
      </c>
      <c r="J32" s="52">
        <v>431.15398343666612</v>
      </c>
      <c r="K32" s="52">
        <v>376.78522311333342</v>
      </c>
      <c r="L32" s="52">
        <v>403.27546311333339</v>
      </c>
      <c r="M32" s="52">
        <v>379.02680533333336</v>
      </c>
      <c r="N32" s="52">
        <v>446.78968533333335</v>
      </c>
      <c r="O32" s="52">
        <v>500</v>
      </c>
    </row>
    <row r="33" spans="1:15" x14ac:dyDescent="0.3">
      <c r="A33" s="8" t="s">
        <v>104</v>
      </c>
      <c r="B33" s="8" t="s">
        <v>9</v>
      </c>
      <c r="C33" s="8" t="s">
        <v>148</v>
      </c>
      <c r="D33" s="52">
        <v>527.44207324933313</v>
      </c>
      <c r="E33" s="52">
        <v>525.81836688533303</v>
      </c>
      <c r="F33" s="52">
        <v>549.72308688533303</v>
      </c>
      <c r="G33" s="52">
        <v>558.27668688533311</v>
      </c>
      <c r="H33" s="52">
        <v>591.62276688533314</v>
      </c>
      <c r="I33" s="52">
        <v>570.15016604533321</v>
      </c>
      <c r="J33" s="52">
        <v>538.77695018766656</v>
      </c>
      <c r="K33" s="52">
        <v>485.71016361633315</v>
      </c>
      <c r="L33" s="52">
        <v>423.26526688633299</v>
      </c>
      <c r="M33" s="52">
        <v>427.05382974633301</v>
      </c>
      <c r="N33" s="52">
        <v>455.05942321033291</v>
      </c>
      <c r="O33" s="52">
        <v>500</v>
      </c>
    </row>
    <row r="34" spans="1:15" x14ac:dyDescent="0.3">
      <c r="A34" s="8" t="s">
        <v>104</v>
      </c>
      <c r="B34" s="8" t="s">
        <v>9</v>
      </c>
      <c r="C34" s="8" t="s">
        <v>149</v>
      </c>
      <c r="D34" s="52">
        <v>694.13986722387904</v>
      </c>
      <c r="E34" s="52">
        <v>611.4044016357584</v>
      </c>
      <c r="F34" s="52">
        <v>629.29547450436485</v>
      </c>
      <c r="G34" s="52">
        <v>728.47690858812246</v>
      </c>
      <c r="H34" s="52">
        <v>798.65621486687144</v>
      </c>
      <c r="I34" s="52">
        <v>745.70763137759832</v>
      </c>
      <c r="J34" s="52">
        <v>618.81610064708332</v>
      </c>
      <c r="K34" s="52">
        <v>488.78546259896257</v>
      </c>
      <c r="L34" s="52">
        <v>481.37177884984862</v>
      </c>
      <c r="M34" s="52">
        <v>381.26774361990903</v>
      </c>
      <c r="N34" s="52">
        <v>208.03482413554556</v>
      </c>
      <c r="O34" s="52">
        <v>500</v>
      </c>
    </row>
    <row r="35" spans="1:15" x14ac:dyDescent="0.3">
      <c r="A35" s="8" t="s">
        <v>104</v>
      </c>
      <c r="B35" s="8" t="s">
        <v>10</v>
      </c>
      <c r="C35" s="8" t="s">
        <v>147</v>
      </c>
      <c r="D35" s="52">
        <v>464.77532498133348</v>
      </c>
      <c r="E35" s="52">
        <v>346.92177180800013</v>
      </c>
      <c r="F35" s="52">
        <v>510.29037980800018</v>
      </c>
      <c r="G35" s="52">
        <v>600</v>
      </c>
      <c r="H35" s="52">
        <v>585.13480393333271</v>
      </c>
      <c r="I35" s="52">
        <v>591.11148309333271</v>
      </c>
      <c r="J35" s="52">
        <v>490.29071317399928</v>
      </c>
      <c r="K35" s="52">
        <v>246.00954625999944</v>
      </c>
      <c r="L35" s="52">
        <v>200</v>
      </c>
      <c r="M35" s="52">
        <v>211.21341117019361</v>
      </c>
      <c r="N35" s="52">
        <v>200</v>
      </c>
      <c r="O35" s="52">
        <v>500</v>
      </c>
    </row>
    <row r="36" spans="1:15" x14ac:dyDescent="0.3">
      <c r="A36" s="8" t="s">
        <v>104</v>
      </c>
      <c r="B36" s="8" t="s">
        <v>10</v>
      </c>
      <c r="C36" s="8" t="s">
        <v>148</v>
      </c>
      <c r="D36" s="52">
        <v>502.81462685733322</v>
      </c>
      <c r="E36" s="52">
        <v>461.92821195733342</v>
      </c>
      <c r="F36" s="52">
        <v>460.1918599973331</v>
      </c>
      <c r="G36" s="52">
        <v>403.49191333066642</v>
      </c>
      <c r="H36" s="52">
        <v>389.2085368236676</v>
      </c>
      <c r="I36" s="52">
        <v>334.01443815166755</v>
      </c>
      <c r="J36" s="52">
        <v>293.40972873000084</v>
      </c>
      <c r="K36" s="52">
        <v>249.74095006333414</v>
      </c>
      <c r="L36" s="52">
        <v>200</v>
      </c>
      <c r="M36" s="52">
        <v>214.52120961599999</v>
      </c>
      <c r="N36" s="52">
        <v>301.59210792799996</v>
      </c>
      <c r="O36" s="52">
        <v>500</v>
      </c>
    </row>
    <row r="37" spans="1:15" x14ac:dyDescent="0.3">
      <c r="A37" s="8" t="s">
        <v>104</v>
      </c>
      <c r="B37" s="8" t="s">
        <v>10</v>
      </c>
      <c r="C37" s="8" t="s">
        <v>149</v>
      </c>
      <c r="D37" s="52">
        <v>572.00930353587898</v>
      </c>
      <c r="E37" s="52">
        <v>672.3769807738181</v>
      </c>
      <c r="F37" s="52">
        <v>763.36172885478697</v>
      </c>
      <c r="G37" s="52">
        <v>736.91577411733272</v>
      </c>
      <c r="H37" s="52">
        <v>680.43897076300254</v>
      </c>
      <c r="I37" s="52">
        <v>519.90898510736611</v>
      </c>
      <c r="J37" s="52">
        <v>398.57468228067836</v>
      </c>
      <c r="K37" s="52">
        <v>402.57442603861767</v>
      </c>
      <c r="L37" s="52">
        <v>315.19013448316321</v>
      </c>
      <c r="M37" s="52">
        <v>200</v>
      </c>
      <c r="N37" s="52">
        <v>200</v>
      </c>
      <c r="O37" s="52">
        <v>500</v>
      </c>
    </row>
    <row r="38" spans="1:15" x14ac:dyDescent="0.3">
      <c r="A38" s="8" t="s">
        <v>100</v>
      </c>
      <c r="B38" s="8" t="s">
        <v>8</v>
      </c>
      <c r="C38" s="8" t="s">
        <v>147</v>
      </c>
      <c r="D38" s="52">
        <v>306.68160792338722</v>
      </c>
      <c r="E38" s="52">
        <v>368.49664792338723</v>
      </c>
      <c r="F38" s="52">
        <v>469.8067279233872</v>
      </c>
      <c r="G38" s="52">
        <v>600</v>
      </c>
      <c r="H38" s="52">
        <v>392.19738211999925</v>
      </c>
      <c r="I38" s="52">
        <v>406.29100109686448</v>
      </c>
      <c r="J38" s="52">
        <v>279.6155868316535</v>
      </c>
      <c r="K38" s="52">
        <v>245.24535044296678</v>
      </c>
      <c r="L38" s="52">
        <v>200</v>
      </c>
      <c r="M38" s="52">
        <v>200</v>
      </c>
      <c r="N38" s="52">
        <v>290.98093575757679</v>
      </c>
      <c r="O38" s="52">
        <v>500</v>
      </c>
    </row>
    <row r="39" spans="1:15" x14ac:dyDescent="0.3">
      <c r="A39" s="8" t="s">
        <v>100</v>
      </c>
      <c r="B39" s="8" t="s">
        <v>8</v>
      </c>
      <c r="C39" s="8" t="s">
        <v>148</v>
      </c>
      <c r="D39" s="52">
        <v>526.52338384857319</v>
      </c>
      <c r="E39" s="52">
        <v>528.90398176462054</v>
      </c>
      <c r="F39" s="52">
        <v>500.94252084502023</v>
      </c>
      <c r="G39" s="52">
        <v>473.72518324452989</v>
      </c>
      <c r="H39" s="52">
        <v>441.51995657786324</v>
      </c>
      <c r="I39" s="52">
        <v>448.46282260403785</v>
      </c>
      <c r="J39" s="52">
        <v>371.32500927070447</v>
      </c>
      <c r="K39" s="52">
        <v>276.64943825577711</v>
      </c>
      <c r="L39" s="52">
        <v>274.69743929177713</v>
      </c>
      <c r="M39" s="52">
        <v>262.52200814258021</v>
      </c>
      <c r="N39" s="52">
        <v>339.29600000000005</v>
      </c>
      <c r="O39" s="52">
        <v>500</v>
      </c>
    </row>
    <row r="40" spans="1:15" x14ac:dyDescent="0.3">
      <c r="A40" s="8" t="s">
        <v>100</v>
      </c>
      <c r="B40" s="8" t="s">
        <v>8</v>
      </c>
      <c r="C40" s="8" t="s">
        <v>149</v>
      </c>
      <c r="D40" s="52">
        <v>769.15227368258536</v>
      </c>
      <c r="E40" s="52">
        <v>646.90173152411376</v>
      </c>
      <c r="F40" s="52">
        <v>720.49323657106834</v>
      </c>
      <c r="G40" s="52">
        <v>611.0212986175311</v>
      </c>
      <c r="H40" s="52">
        <v>631.504956528158</v>
      </c>
      <c r="I40" s="52">
        <v>546.51345845227706</v>
      </c>
      <c r="J40" s="52">
        <v>495.28859635385146</v>
      </c>
      <c r="K40" s="52">
        <v>410.50204144040094</v>
      </c>
      <c r="L40" s="52">
        <v>367.87857730551889</v>
      </c>
      <c r="M40" s="52">
        <v>264.69094929903656</v>
      </c>
      <c r="N40" s="52">
        <v>200</v>
      </c>
      <c r="O40" s="52">
        <v>500</v>
      </c>
    </row>
    <row r="41" spans="1:15" x14ac:dyDescent="0.3">
      <c r="A41" s="8" t="s">
        <v>100</v>
      </c>
      <c r="B41" s="8" t="s">
        <v>9</v>
      </c>
      <c r="C41" s="8" t="s">
        <v>147</v>
      </c>
      <c r="D41" s="52">
        <v>376.09525055626068</v>
      </c>
      <c r="E41" s="52">
        <v>458.56577855626068</v>
      </c>
      <c r="F41" s="52">
        <v>506.68283455626073</v>
      </c>
      <c r="G41" s="52">
        <v>556.79699123078376</v>
      </c>
      <c r="H41" s="52">
        <v>600</v>
      </c>
      <c r="I41" s="52">
        <v>544.86975999999981</v>
      </c>
      <c r="J41" s="52">
        <v>463.66077866666654</v>
      </c>
      <c r="K41" s="52">
        <v>386.38604797149924</v>
      </c>
      <c r="L41" s="52">
        <v>362.10751430429349</v>
      </c>
      <c r="M41" s="52">
        <v>330.29308230429348</v>
      </c>
      <c r="N41" s="52">
        <v>398.05596230429347</v>
      </c>
      <c r="O41" s="52">
        <v>500</v>
      </c>
    </row>
    <row r="42" spans="1:15" x14ac:dyDescent="0.3">
      <c r="A42" s="8" t="s">
        <v>100</v>
      </c>
      <c r="B42" s="8" t="s">
        <v>9</v>
      </c>
      <c r="C42" s="8" t="s">
        <v>148</v>
      </c>
      <c r="D42" s="52">
        <v>511.6968347818264</v>
      </c>
      <c r="E42" s="52">
        <v>524.2161947818264</v>
      </c>
      <c r="F42" s="52">
        <v>520.19953520114586</v>
      </c>
      <c r="G42" s="52">
        <v>494.49075300274569</v>
      </c>
      <c r="H42" s="52">
        <v>527.83683300274561</v>
      </c>
      <c r="I42" s="52">
        <v>532.88471800578566</v>
      </c>
      <c r="J42" s="52">
        <v>504.57427554323561</v>
      </c>
      <c r="K42" s="52">
        <v>490.07128589014224</v>
      </c>
      <c r="L42" s="52">
        <v>418.7213570626738</v>
      </c>
      <c r="M42" s="52">
        <v>393.92067493247373</v>
      </c>
      <c r="N42" s="52">
        <v>447.17226678989357</v>
      </c>
      <c r="O42" s="52">
        <v>500</v>
      </c>
    </row>
    <row r="43" spans="1:15" x14ac:dyDescent="0.3">
      <c r="A43" s="8" t="s">
        <v>100</v>
      </c>
      <c r="B43" s="8" t="s">
        <v>9</v>
      </c>
      <c r="C43" s="8" t="s">
        <v>149</v>
      </c>
      <c r="D43" s="52">
        <v>785.82963288687858</v>
      </c>
      <c r="E43" s="52">
        <v>672.47893016069077</v>
      </c>
      <c r="F43" s="52">
        <v>742.31579361074182</v>
      </c>
      <c r="G43" s="52">
        <v>647.52895004370976</v>
      </c>
      <c r="H43" s="52">
        <v>638.27124260782682</v>
      </c>
      <c r="I43" s="52">
        <v>512.53411901731306</v>
      </c>
      <c r="J43" s="52">
        <v>395.46862386198006</v>
      </c>
      <c r="K43" s="52">
        <v>299.39057060943287</v>
      </c>
      <c r="L43" s="52">
        <v>297.26508537723851</v>
      </c>
      <c r="M43" s="52">
        <v>233.20997038666604</v>
      </c>
      <c r="N43" s="52">
        <v>210.48800169369181</v>
      </c>
      <c r="O43" s="52">
        <v>500</v>
      </c>
    </row>
    <row r="44" spans="1:15" x14ac:dyDescent="0.3">
      <c r="A44" s="8" t="s">
        <v>100</v>
      </c>
      <c r="B44" s="8" t="s">
        <v>10</v>
      </c>
      <c r="C44" s="8" t="s">
        <v>147</v>
      </c>
      <c r="D44" s="52">
        <v>220.40479999999988</v>
      </c>
      <c r="E44" s="52">
        <v>323.45510399999989</v>
      </c>
      <c r="F44" s="52">
        <v>502.78160792338713</v>
      </c>
      <c r="G44" s="52">
        <v>600</v>
      </c>
      <c r="H44" s="52">
        <v>545.98575202842017</v>
      </c>
      <c r="I44" s="52">
        <v>508.37743202842012</v>
      </c>
      <c r="J44" s="52">
        <v>377.95650725400941</v>
      </c>
      <c r="K44" s="52">
        <v>200</v>
      </c>
      <c r="L44" s="52">
        <v>200</v>
      </c>
      <c r="M44" s="52">
        <v>200</v>
      </c>
      <c r="N44" s="52">
        <v>200</v>
      </c>
      <c r="O44" s="52">
        <v>500</v>
      </c>
    </row>
    <row r="45" spans="1:15" x14ac:dyDescent="0.3">
      <c r="A45" s="8" t="s">
        <v>100</v>
      </c>
      <c r="B45" s="8" t="s">
        <v>10</v>
      </c>
      <c r="C45" s="8" t="s">
        <v>148</v>
      </c>
      <c r="D45" s="52">
        <v>457.9524654545458</v>
      </c>
      <c r="E45" s="52">
        <v>441.17194899246545</v>
      </c>
      <c r="F45" s="52">
        <v>410.00177614947796</v>
      </c>
      <c r="G45" s="52">
        <v>375.30182948281134</v>
      </c>
      <c r="H45" s="52">
        <v>360.74428294096668</v>
      </c>
      <c r="I45" s="52">
        <v>351.66320931986667</v>
      </c>
      <c r="J45" s="52">
        <v>280.20360398653332</v>
      </c>
      <c r="K45" s="52">
        <v>236.53482531986663</v>
      </c>
      <c r="L45" s="52">
        <v>200</v>
      </c>
      <c r="M45" s="52">
        <v>200</v>
      </c>
      <c r="N45" s="52">
        <v>275.01439999999997</v>
      </c>
      <c r="O45" s="52">
        <v>500</v>
      </c>
    </row>
    <row r="46" spans="1:15" x14ac:dyDescent="0.3">
      <c r="A46" s="8" t="s">
        <v>100</v>
      </c>
      <c r="B46" s="8" t="s">
        <v>10</v>
      </c>
      <c r="C46" s="8" t="s">
        <v>149</v>
      </c>
      <c r="D46" s="52">
        <v>800</v>
      </c>
      <c r="E46" s="52">
        <v>689.8744382349264</v>
      </c>
      <c r="F46" s="52">
        <v>800</v>
      </c>
      <c r="G46" s="52">
        <v>696.67360576600561</v>
      </c>
      <c r="H46" s="52">
        <v>661.92431619214949</v>
      </c>
      <c r="I46" s="52">
        <v>535.87760656388923</v>
      </c>
      <c r="J46" s="52">
        <v>520.51497642920901</v>
      </c>
      <c r="K46" s="52">
        <v>419.01390915662432</v>
      </c>
      <c r="L46" s="52">
        <v>289.45551369696983</v>
      </c>
      <c r="M46" s="52">
        <v>200</v>
      </c>
      <c r="N46" s="52">
        <v>200</v>
      </c>
      <c r="O46" s="52">
        <v>500</v>
      </c>
    </row>
  </sheetData>
  <phoneticPr fontId="1" type="noConversion"/>
  <pageMargins left="0.75" right="0.75" top="1" bottom="1" header="0" footer="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5">
    <tabColor indexed="47"/>
  </sheetPr>
  <dimension ref="A1:O46"/>
  <sheetViews>
    <sheetView showRowColHeaders="0" workbookViewId="0">
      <pane xSplit="3" ySplit="1" topLeftCell="D2" activePane="bottomRight" state="frozen"/>
      <selection pane="topRight"/>
      <selection pane="bottomLeft"/>
      <selection pane="bottomRight" activeCell="D2" sqref="D2"/>
    </sheetView>
  </sheetViews>
  <sheetFormatPr baseColWidth="10" defaultColWidth="11.44140625" defaultRowHeight="13.8" x14ac:dyDescent="0.3"/>
  <cols>
    <col min="1" max="2" width="4.5546875" style="8" bestFit="1" customWidth="1"/>
    <col min="3" max="3" width="15.33203125" style="8" bestFit="1" customWidth="1"/>
    <col min="4" max="15" width="4" style="6" bestFit="1" customWidth="1"/>
    <col min="16" max="16384" width="11.44140625" style="6"/>
  </cols>
  <sheetData>
    <row r="1" spans="1:15" s="9" customFormat="1" x14ac:dyDescent="0.3">
      <c r="A1" s="7" t="s">
        <v>165</v>
      </c>
      <c r="B1" s="7" t="s">
        <v>166</v>
      </c>
      <c r="C1" s="7" t="s">
        <v>168</v>
      </c>
      <c r="D1" s="9" t="s">
        <v>21</v>
      </c>
      <c r="E1" s="9" t="s">
        <v>29</v>
      </c>
      <c r="F1" s="9" t="s">
        <v>30</v>
      </c>
      <c r="G1" s="9" t="s">
        <v>31</v>
      </c>
      <c r="H1" s="9" t="s">
        <v>32</v>
      </c>
      <c r="I1" s="9" t="s">
        <v>33</v>
      </c>
      <c r="J1" s="9" t="s">
        <v>34</v>
      </c>
      <c r="K1" s="9" t="s">
        <v>35</v>
      </c>
      <c r="L1" s="9" t="s">
        <v>36</v>
      </c>
      <c r="M1" s="9" t="s">
        <v>37</v>
      </c>
      <c r="N1" s="9" t="s">
        <v>38</v>
      </c>
      <c r="O1" s="9" t="s">
        <v>22</v>
      </c>
    </row>
    <row r="2" spans="1:15" x14ac:dyDescent="0.3">
      <c r="A2" s="7" t="s">
        <v>89</v>
      </c>
      <c r="B2" s="7" t="s">
        <v>8</v>
      </c>
      <c r="C2" s="7" t="s">
        <v>147</v>
      </c>
      <c r="D2" s="52">
        <v>40.322580645161281</v>
      </c>
      <c r="E2" s="52">
        <v>44.642857142857132</v>
      </c>
      <c r="F2" s="52">
        <v>40.322580645161281</v>
      </c>
      <c r="G2" s="52">
        <v>41.666666666666657</v>
      </c>
      <c r="H2" s="52">
        <v>40.322580645161274</v>
      </c>
      <c r="I2" s="52">
        <v>41.66666666666665</v>
      </c>
      <c r="J2" s="52">
        <v>40.322580645161274</v>
      </c>
      <c r="K2" s="52">
        <v>40.322580645161274</v>
      </c>
      <c r="L2" s="52">
        <v>41.66666666666665</v>
      </c>
      <c r="M2" s="52">
        <v>40.322580645161274</v>
      </c>
      <c r="N2" s="52">
        <v>40.833333333333321</v>
      </c>
      <c r="O2" s="52">
        <v>39.51612903225805</v>
      </c>
    </row>
    <row r="3" spans="1:15" x14ac:dyDescent="0.3">
      <c r="A3" s="7" t="s">
        <v>89</v>
      </c>
      <c r="B3" s="7" t="s">
        <v>8</v>
      </c>
      <c r="C3" s="7" t="s">
        <v>148</v>
      </c>
      <c r="D3" s="52">
        <v>40.322580645161274</v>
      </c>
      <c r="E3" s="52">
        <v>44.642857142857132</v>
      </c>
      <c r="F3" s="52">
        <v>40.322580645161274</v>
      </c>
      <c r="G3" s="52">
        <v>41.66666666666665</v>
      </c>
      <c r="H3" s="52">
        <v>40.322580645161274</v>
      </c>
      <c r="I3" s="52">
        <v>41.66666666666665</v>
      </c>
      <c r="J3" s="52">
        <v>40.322580645161274</v>
      </c>
      <c r="K3" s="52">
        <v>40.322580645161274</v>
      </c>
      <c r="L3" s="52">
        <v>41.66666666666665</v>
      </c>
      <c r="M3" s="52">
        <v>40.322580645161274</v>
      </c>
      <c r="N3" s="52">
        <v>41.66666666666665</v>
      </c>
      <c r="O3" s="52">
        <v>40.322580645161274</v>
      </c>
    </row>
    <row r="4" spans="1:15" x14ac:dyDescent="0.3">
      <c r="A4" s="7" t="s">
        <v>89</v>
      </c>
      <c r="B4" s="7" t="s">
        <v>8</v>
      </c>
      <c r="C4" s="7" t="s">
        <v>149</v>
      </c>
      <c r="D4" s="52">
        <v>20.161290322580633</v>
      </c>
      <c r="E4" s="52">
        <v>22.321428571428559</v>
      </c>
      <c r="F4" s="52">
        <v>20.161290322580633</v>
      </c>
      <c r="G4" s="52">
        <v>20.833333333333321</v>
      </c>
      <c r="H4" s="52">
        <v>20.161290322580633</v>
      </c>
      <c r="I4" s="52">
        <v>20.833333333333321</v>
      </c>
      <c r="J4" s="52">
        <v>20.161290322580633</v>
      </c>
      <c r="K4" s="52">
        <v>20.161290322580633</v>
      </c>
      <c r="L4" s="52">
        <v>20.833333333333321</v>
      </c>
      <c r="M4" s="52">
        <v>20.161290322580633</v>
      </c>
      <c r="N4" s="52">
        <v>20.416666666666657</v>
      </c>
      <c r="O4" s="52">
        <v>19.354838709677402</v>
      </c>
    </row>
    <row r="5" spans="1:15" x14ac:dyDescent="0.3">
      <c r="A5" s="7" t="s">
        <v>89</v>
      </c>
      <c r="B5" s="7" t="s">
        <v>9</v>
      </c>
      <c r="C5" s="7" t="s">
        <v>147</v>
      </c>
      <c r="D5" s="52">
        <v>41.935483870967701</v>
      </c>
      <c r="E5" s="52">
        <v>46.428571428571381</v>
      </c>
      <c r="F5" s="52">
        <v>41.935483870967701</v>
      </c>
      <c r="G5" s="52">
        <v>43.333333333333293</v>
      </c>
      <c r="H5" s="52">
        <v>41.935483870967701</v>
      </c>
      <c r="I5" s="52">
        <v>43.333333333333293</v>
      </c>
      <c r="J5" s="52">
        <v>41.935483870967701</v>
      </c>
      <c r="K5" s="52">
        <v>41.935483870967701</v>
      </c>
      <c r="L5" s="52">
        <v>43.333333333333293</v>
      </c>
      <c r="M5" s="52">
        <v>41.935483870967701</v>
      </c>
      <c r="N5" s="52">
        <v>43.333333333333293</v>
      </c>
      <c r="O5" s="52">
        <v>41.935483870967701</v>
      </c>
    </row>
    <row r="6" spans="1:15" x14ac:dyDescent="0.3">
      <c r="A6" s="7" t="s">
        <v>89</v>
      </c>
      <c r="B6" s="7" t="s">
        <v>9</v>
      </c>
      <c r="C6" s="7" t="s">
        <v>148</v>
      </c>
      <c r="D6" s="52">
        <v>41.935483870967701</v>
      </c>
      <c r="E6" s="52">
        <v>46.428571428571381</v>
      </c>
      <c r="F6" s="52">
        <v>41.935483870967701</v>
      </c>
      <c r="G6" s="52">
        <v>43.333333333333293</v>
      </c>
      <c r="H6" s="52">
        <v>41.935483870967701</v>
      </c>
      <c r="I6" s="52">
        <v>43.333333333333293</v>
      </c>
      <c r="J6" s="52">
        <v>41.935483870967701</v>
      </c>
      <c r="K6" s="52">
        <v>41.935483870967701</v>
      </c>
      <c r="L6" s="52">
        <v>43.333333333333293</v>
      </c>
      <c r="M6" s="52">
        <v>41.935483870967701</v>
      </c>
      <c r="N6" s="52">
        <v>43.333333333333293</v>
      </c>
      <c r="O6" s="52">
        <v>41.935483870967701</v>
      </c>
    </row>
    <row r="7" spans="1:15" x14ac:dyDescent="0.3">
      <c r="A7" s="7" t="s">
        <v>89</v>
      </c>
      <c r="B7" s="7" t="s">
        <v>9</v>
      </c>
      <c r="C7" s="7" t="s">
        <v>149</v>
      </c>
      <c r="D7" s="52">
        <v>20.967741935483868</v>
      </c>
      <c r="E7" s="52">
        <v>23.214285714285708</v>
      </c>
      <c r="F7" s="52">
        <v>20.967741935483868</v>
      </c>
      <c r="G7" s="52">
        <v>21.666666666666664</v>
      </c>
      <c r="H7" s="52">
        <v>20.967741935483865</v>
      </c>
      <c r="I7" s="52">
        <v>21.666666666666661</v>
      </c>
      <c r="J7" s="52">
        <v>20.967741935483865</v>
      </c>
      <c r="K7" s="52">
        <v>20.967741935483865</v>
      </c>
      <c r="L7" s="52">
        <v>21.666666666666661</v>
      </c>
      <c r="M7" s="52">
        <v>20.967741935483865</v>
      </c>
      <c r="N7" s="52">
        <v>21.666666666666661</v>
      </c>
      <c r="O7" s="52">
        <v>20.967741935483865</v>
      </c>
    </row>
    <row r="8" spans="1:15" x14ac:dyDescent="0.3">
      <c r="A8" s="7" t="s">
        <v>89</v>
      </c>
      <c r="B8" s="7" t="s">
        <v>10</v>
      </c>
      <c r="C8" s="7" t="s">
        <v>147</v>
      </c>
      <c r="D8" s="52">
        <v>32.661290322580648</v>
      </c>
      <c r="E8" s="52">
        <v>36.160714285714292</v>
      </c>
      <c r="F8" s="52">
        <v>32.661290322580648</v>
      </c>
      <c r="G8" s="52">
        <v>35.41666666666665</v>
      </c>
      <c r="H8" s="52">
        <v>34.274193548387089</v>
      </c>
      <c r="I8" s="52">
        <v>35.416666666666664</v>
      </c>
      <c r="J8" s="52">
        <v>34.274193548387103</v>
      </c>
      <c r="K8" s="52">
        <v>34.274193548387103</v>
      </c>
      <c r="L8" s="52">
        <v>35.416666666666664</v>
      </c>
      <c r="M8" s="52">
        <v>34.274193548387103</v>
      </c>
      <c r="N8" s="52">
        <v>27.083333333333329</v>
      </c>
      <c r="O8" s="52">
        <v>12.499999999999996</v>
      </c>
    </row>
    <row r="9" spans="1:15" x14ac:dyDescent="0.3">
      <c r="A9" s="7" t="s">
        <v>89</v>
      </c>
      <c r="B9" s="7" t="s">
        <v>10</v>
      </c>
      <c r="C9" s="7" t="s">
        <v>148</v>
      </c>
      <c r="D9" s="52">
        <v>34.274193548387096</v>
      </c>
      <c r="E9" s="52">
        <v>37.946428571428562</v>
      </c>
      <c r="F9" s="52">
        <v>34.274193548387103</v>
      </c>
      <c r="G9" s="52">
        <v>35.416666666666664</v>
      </c>
      <c r="H9" s="52">
        <v>34.274193548387103</v>
      </c>
      <c r="I9" s="52">
        <v>35.416666666666664</v>
      </c>
      <c r="J9" s="52">
        <v>34.274193548387103</v>
      </c>
      <c r="K9" s="52">
        <v>34.274193548387103</v>
      </c>
      <c r="L9" s="52">
        <v>35.416666666666664</v>
      </c>
      <c r="M9" s="52">
        <v>34.274193548387103</v>
      </c>
      <c r="N9" s="52">
        <v>27.083333333333329</v>
      </c>
      <c r="O9" s="52">
        <v>26.209677419354836</v>
      </c>
    </row>
    <row r="10" spans="1:15" x14ac:dyDescent="0.3">
      <c r="A10" s="7" t="s">
        <v>89</v>
      </c>
      <c r="B10" s="7" t="s">
        <v>10</v>
      </c>
      <c r="C10" s="7" t="s">
        <v>149</v>
      </c>
      <c r="D10" s="52">
        <v>12.500000000000002</v>
      </c>
      <c r="E10" s="52">
        <v>13.839285714285717</v>
      </c>
      <c r="F10" s="52">
        <v>12.500000000000002</v>
      </c>
      <c r="G10" s="52">
        <v>12.916666666666668</v>
      </c>
      <c r="H10" s="52">
        <v>12.500000000000002</v>
      </c>
      <c r="I10" s="52">
        <v>12.916666666666668</v>
      </c>
      <c r="J10" s="52">
        <v>12.500000000000002</v>
      </c>
      <c r="K10" s="52">
        <v>12.500000000000002</v>
      </c>
      <c r="L10" s="52">
        <v>12.916666666666668</v>
      </c>
      <c r="M10" s="52">
        <v>12.500000000000002</v>
      </c>
      <c r="N10" s="52">
        <v>12.916666666666663</v>
      </c>
      <c r="O10" s="52">
        <v>0</v>
      </c>
    </row>
    <row r="11" spans="1:15" x14ac:dyDescent="0.3">
      <c r="A11" s="7" t="s">
        <v>102</v>
      </c>
      <c r="B11" s="7" t="s">
        <v>8</v>
      </c>
      <c r="C11" s="7" t="s">
        <v>147</v>
      </c>
      <c r="D11" s="52">
        <v>40.322580645161288</v>
      </c>
      <c r="E11" s="52">
        <v>44.642857142857146</v>
      </c>
      <c r="F11" s="52">
        <v>40.322580645161288</v>
      </c>
      <c r="G11" s="52">
        <v>41.666666666666657</v>
      </c>
      <c r="H11" s="52">
        <v>41.93548387096773</v>
      </c>
      <c r="I11" s="52">
        <v>43.333333333333321</v>
      </c>
      <c r="J11" s="52">
        <v>41.93548387096773</v>
      </c>
      <c r="K11" s="52">
        <v>41.93548387096773</v>
      </c>
      <c r="L11" s="52">
        <v>43.333333333333321</v>
      </c>
      <c r="M11" s="52">
        <v>41.93548387096773</v>
      </c>
      <c r="N11" s="52">
        <v>43.333333333333321</v>
      </c>
      <c r="O11" s="52">
        <v>40.322580645161274</v>
      </c>
    </row>
    <row r="12" spans="1:15" x14ac:dyDescent="0.3">
      <c r="A12" s="7" t="s">
        <v>102</v>
      </c>
      <c r="B12" s="7" t="s">
        <v>8</v>
      </c>
      <c r="C12" s="7" t="s">
        <v>148</v>
      </c>
      <c r="D12" s="52">
        <v>41.93548387096773</v>
      </c>
      <c r="E12" s="52">
        <v>46.428571428571416</v>
      </c>
      <c r="F12" s="52">
        <v>41.93548387096773</v>
      </c>
      <c r="G12" s="52">
        <v>43.333333333333321</v>
      </c>
      <c r="H12" s="52">
        <v>41.93548387096773</v>
      </c>
      <c r="I12" s="52">
        <v>43.333333333333321</v>
      </c>
      <c r="J12" s="52">
        <v>41.93548387096773</v>
      </c>
      <c r="K12" s="52">
        <v>41.93548387096773</v>
      </c>
      <c r="L12" s="52">
        <v>43.333333333333321</v>
      </c>
      <c r="M12" s="52">
        <v>41.93548387096773</v>
      </c>
      <c r="N12" s="52">
        <v>43.333333333333321</v>
      </c>
      <c r="O12" s="52">
        <v>41.93548387096773</v>
      </c>
    </row>
    <row r="13" spans="1:15" x14ac:dyDescent="0.3">
      <c r="A13" s="7" t="s">
        <v>102</v>
      </c>
      <c r="B13" s="7" t="s">
        <v>8</v>
      </c>
      <c r="C13" s="7" t="s">
        <v>149</v>
      </c>
      <c r="D13" s="52">
        <v>20.161290322580641</v>
      </c>
      <c r="E13" s="52">
        <v>22.321428571428566</v>
      </c>
      <c r="F13" s="52">
        <v>20.161290322580641</v>
      </c>
      <c r="G13" s="52">
        <v>20.833333333333329</v>
      </c>
      <c r="H13" s="52">
        <v>20.161290322580641</v>
      </c>
      <c r="I13" s="52">
        <v>20.833333333333329</v>
      </c>
      <c r="J13" s="52">
        <v>20.161290322580641</v>
      </c>
      <c r="K13" s="52">
        <v>20.161290322580641</v>
      </c>
      <c r="L13" s="52">
        <v>20.833333333333329</v>
      </c>
      <c r="M13" s="52">
        <v>20.161290322580641</v>
      </c>
      <c r="N13" s="52">
        <v>20.833333333333318</v>
      </c>
      <c r="O13" s="52">
        <v>20.16129032258063</v>
      </c>
    </row>
    <row r="14" spans="1:15" x14ac:dyDescent="0.3">
      <c r="A14" s="7" t="s">
        <v>102</v>
      </c>
      <c r="B14" s="7" t="s">
        <v>9</v>
      </c>
      <c r="C14" s="7" t="s">
        <v>147</v>
      </c>
      <c r="D14" s="52">
        <v>41.935483870967744</v>
      </c>
      <c r="E14" s="52">
        <v>46.428571428571438</v>
      </c>
      <c r="F14" s="52">
        <v>41.935483870967744</v>
      </c>
      <c r="G14" s="52">
        <v>43.333333333333336</v>
      </c>
      <c r="H14" s="52">
        <v>41.935483870967744</v>
      </c>
      <c r="I14" s="52">
        <v>43.333333333333336</v>
      </c>
      <c r="J14" s="52">
        <v>41.935483870967744</v>
      </c>
      <c r="K14" s="52">
        <v>41.935483870967744</v>
      </c>
      <c r="L14" s="52">
        <v>43.333333333333336</v>
      </c>
      <c r="M14" s="52">
        <v>41.935483870967744</v>
      </c>
      <c r="N14" s="52">
        <v>43.333333333333336</v>
      </c>
      <c r="O14" s="52">
        <v>41.935483870967744</v>
      </c>
    </row>
    <row r="15" spans="1:15" x14ac:dyDescent="0.3">
      <c r="A15" s="7" t="s">
        <v>102</v>
      </c>
      <c r="B15" s="7" t="s">
        <v>9</v>
      </c>
      <c r="C15" s="7" t="s">
        <v>148</v>
      </c>
      <c r="D15" s="52">
        <v>41.935483870967737</v>
      </c>
      <c r="E15" s="52">
        <v>46.428571428571431</v>
      </c>
      <c r="F15" s="52">
        <v>41.935483870967737</v>
      </c>
      <c r="G15" s="52">
        <v>43.333333333333329</v>
      </c>
      <c r="H15" s="52">
        <v>41.935483870967737</v>
      </c>
      <c r="I15" s="52">
        <v>43.333333333333329</v>
      </c>
      <c r="J15" s="52">
        <v>41.935483870967737</v>
      </c>
      <c r="K15" s="52">
        <v>41.935483870967737</v>
      </c>
      <c r="L15" s="52">
        <v>43.333333333333329</v>
      </c>
      <c r="M15" s="52">
        <v>41.935483870967737</v>
      </c>
      <c r="N15" s="52">
        <v>43.333333333333329</v>
      </c>
      <c r="O15" s="52">
        <v>41.935483870967737</v>
      </c>
    </row>
    <row r="16" spans="1:15" x14ac:dyDescent="0.3">
      <c r="A16" s="7" t="s">
        <v>102</v>
      </c>
      <c r="B16" s="7" t="s">
        <v>9</v>
      </c>
      <c r="C16" s="7" t="s">
        <v>149</v>
      </c>
      <c r="D16" s="52">
        <v>20.967741935483872</v>
      </c>
      <c r="E16" s="52">
        <v>23.214285714285719</v>
      </c>
      <c r="F16" s="52">
        <v>20.967741935483872</v>
      </c>
      <c r="G16" s="52">
        <v>21.666666666666668</v>
      </c>
      <c r="H16" s="52">
        <v>20.967741935483872</v>
      </c>
      <c r="I16" s="52">
        <v>21.666666666666668</v>
      </c>
      <c r="J16" s="52">
        <v>20.967741935483872</v>
      </c>
      <c r="K16" s="52">
        <v>20.967741935483872</v>
      </c>
      <c r="L16" s="52">
        <v>21.666666666666668</v>
      </c>
      <c r="M16" s="52">
        <v>20.967741935483872</v>
      </c>
      <c r="N16" s="52">
        <v>21.666666666666668</v>
      </c>
      <c r="O16" s="52">
        <v>20.967741935483875</v>
      </c>
    </row>
    <row r="17" spans="1:15" x14ac:dyDescent="0.3">
      <c r="A17" s="7" t="s">
        <v>102</v>
      </c>
      <c r="B17" s="7" t="s">
        <v>10</v>
      </c>
      <c r="C17" s="7" t="s">
        <v>147</v>
      </c>
      <c r="D17" s="52">
        <v>26.209677419354836</v>
      </c>
      <c r="E17" s="52">
        <v>29.017857142857135</v>
      </c>
      <c r="F17" s="52">
        <v>26.209677419354836</v>
      </c>
      <c r="G17" s="52">
        <v>35.416666666666664</v>
      </c>
      <c r="H17" s="52">
        <v>34.274193548387096</v>
      </c>
      <c r="I17" s="52">
        <v>35.416666666666664</v>
      </c>
      <c r="J17" s="52">
        <v>34.274193548387096</v>
      </c>
      <c r="K17" s="52">
        <v>34.274193548387096</v>
      </c>
      <c r="L17" s="52">
        <v>35.416666666666664</v>
      </c>
      <c r="M17" s="52">
        <v>34.274193548387096</v>
      </c>
      <c r="N17" s="52">
        <v>27.083333333333329</v>
      </c>
      <c r="O17" s="52">
        <v>12.499999999999996</v>
      </c>
    </row>
    <row r="18" spans="1:15" x14ac:dyDescent="0.3">
      <c r="A18" s="7" t="s">
        <v>102</v>
      </c>
      <c r="B18" s="7" t="s">
        <v>10</v>
      </c>
      <c r="C18" s="7" t="s">
        <v>148</v>
      </c>
      <c r="D18" s="52">
        <v>34.274193548387096</v>
      </c>
      <c r="E18" s="52">
        <v>37.946428571428562</v>
      </c>
      <c r="F18" s="52">
        <v>34.274193548387096</v>
      </c>
      <c r="G18" s="52">
        <v>35.416666666666664</v>
      </c>
      <c r="H18" s="52">
        <v>34.274193548387096</v>
      </c>
      <c r="I18" s="52">
        <v>35.416666666666664</v>
      </c>
      <c r="J18" s="52">
        <v>34.274193548387096</v>
      </c>
      <c r="K18" s="52">
        <v>34.274193548387096</v>
      </c>
      <c r="L18" s="52">
        <v>35.416666666666664</v>
      </c>
      <c r="M18" s="52">
        <v>34.274193548387096</v>
      </c>
      <c r="N18" s="52">
        <v>27.083333333333329</v>
      </c>
      <c r="O18" s="52">
        <v>26.209677419354836</v>
      </c>
    </row>
    <row r="19" spans="1:15" x14ac:dyDescent="0.3">
      <c r="A19" s="7" t="s">
        <v>102</v>
      </c>
      <c r="B19" s="7" t="s">
        <v>10</v>
      </c>
      <c r="C19" s="7" t="s">
        <v>149</v>
      </c>
      <c r="D19" s="52">
        <v>12.499999999999996</v>
      </c>
      <c r="E19" s="52">
        <v>13.83928571428571</v>
      </c>
      <c r="F19" s="52">
        <v>12.499999999999995</v>
      </c>
      <c r="G19" s="52">
        <v>12.916666666666663</v>
      </c>
      <c r="H19" s="52">
        <v>12.499999999999996</v>
      </c>
      <c r="I19" s="52">
        <v>12.916666666666663</v>
      </c>
      <c r="J19" s="52">
        <v>12.500000000000002</v>
      </c>
      <c r="K19" s="52">
        <v>12.500000000000002</v>
      </c>
      <c r="L19" s="52">
        <v>12.916666666666668</v>
      </c>
      <c r="M19" s="52">
        <v>12.500000000000002</v>
      </c>
      <c r="N19" s="52">
        <v>12.916666666666666</v>
      </c>
      <c r="O19" s="52">
        <v>0</v>
      </c>
    </row>
    <row r="20" spans="1:15" x14ac:dyDescent="0.3">
      <c r="A20" s="7" t="s">
        <v>103</v>
      </c>
      <c r="B20" s="7" t="s">
        <v>8</v>
      </c>
      <c r="C20" s="7" t="s">
        <v>147</v>
      </c>
      <c r="D20" s="52">
        <v>41.129032258064512</v>
      </c>
      <c r="E20" s="52">
        <v>45.535714285714285</v>
      </c>
      <c r="F20" s="52">
        <v>41.129032258064512</v>
      </c>
      <c r="G20" s="52">
        <v>42.5</v>
      </c>
      <c r="H20" s="52">
        <v>41.12903225806452</v>
      </c>
      <c r="I20" s="52">
        <v>43.333333333333329</v>
      </c>
      <c r="J20" s="52">
        <v>41.935483870967737</v>
      </c>
      <c r="K20" s="52">
        <v>41.935483870967737</v>
      </c>
      <c r="L20" s="52">
        <v>43.333333333333329</v>
      </c>
      <c r="M20" s="52">
        <v>41.935483870967737</v>
      </c>
      <c r="N20" s="52">
        <v>41.666666666666679</v>
      </c>
      <c r="O20" s="52">
        <v>40.322580645161302</v>
      </c>
    </row>
    <row r="21" spans="1:15" x14ac:dyDescent="0.3">
      <c r="A21" s="7" t="s">
        <v>103</v>
      </c>
      <c r="B21" s="7" t="s">
        <v>8</v>
      </c>
      <c r="C21" s="7" t="s">
        <v>148</v>
      </c>
      <c r="D21" s="52">
        <v>41.935483870967737</v>
      </c>
      <c r="E21" s="52">
        <v>46.428571428571423</v>
      </c>
      <c r="F21" s="52">
        <v>41.935483870967737</v>
      </c>
      <c r="G21" s="52">
        <v>43.333333333333329</v>
      </c>
      <c r="H21" s="52">
        <v>41.935483870967737</v>
      </c>
      <c r="I21" s="52">
        <v>43.333333333333329</v>
      </c>
      <c r="J21" s="52">
        <v>41.935483870967737</v>
      </c>
      <c r="K21" s="52">
        <v>41.935483870967737</v>
      </c>
      <c r="L21" s="52">
        <v>43.333333333333329</v>
      </c>
      <c r="M21" s="52">
        <v>41.935483870967737</v>
      </c>
      <c r="N21" s="52">
        <v>43.333333333333329</v>
      </c>
      <c r="O21" s="52">
        <v>41.935483870967737</v>
      </c>
    </row>
    <row r="22" spans="1:15" x14ac:dyDescent="0.3">
      <c r="A22" s="7" t="s">
        <v>103</v>
      </c>
      <c r="B22" s="7" t="s">
        <v>8</v>
      </c>
      <c r="C22" s="7" t="s">
        <v>149</v>
      </c>
      <c r="D22" s="52">
        <v>20.161290322580641</v>
      </c>
      <c r="E22" s="52">
        <v>22.321428571428569</v>
      </c>
      <c r="F22" s="52">
        <v>20.161290322580641</v>
      </c>
      <c r="G22" s="52">
        <v>20.833333333333332</v>
      </c>
      <c r="H22" s="52">
        <v>20.161290322580641</v>
      </c>
      <c r="I22" s="52">
        <v>20.833333333333332</v>
      </c>
      <c r="J22" s="52">
        <v>20.161290322580641</v>
      </c>
      <c r="K22" s="52">
        <v>20.161290322580641</v>
      </c>
      <c r="L22" s="52">
        <v>20.833333333333332</v>
      </c>
      <c r="M22" s="52">
        <v>20.161290322580641</v>
      </c>
      <c r="N22" s="52">
        <v>20.833333333333336</v>
      </c>
      <c r="O22" s="52">
        <v>20.161290322580651</v>
      </c>
    </row>
    <row r="23" spans="1:15" x14ac:dyDescent="0.3">
      <c r="A23" s="7" t="s">
        <v>103</v>
      </c>
      <c r="B23" s="7" t="s">
        <v>9</v>
      </c>
      <c r="C23" s="7" t="s">
        <v>147</v>
      </c>
      <c r="D23" s="52">
        <v>40.322580645161274</v>
      </c>
      <c r="E23" s="52">
        <v>44.642857142857132</v>
      </c>
      <c r="F23" s="52">
        <v>40.322580645161274</v>
      </c>
      <c r="G23" s="52">
        <v>41.666666666666657</v>
      </c>
      <c r="H23" s="52">
        <v>40.322580645161288</v>
      </c>
      <c r="I23" s="52">
        <v>43.333333333333336</v>
      </c>
      <c r="J23" s="52">
        <v>41.935483870967744</v>
      </c>
      <c r="K23" s="52">
        <v>41.935483870967744</v>
      </c>
      <c r="L23" s="52">
        <v>43.333333333333336</v>
      </c>
      <c r="M23" s="52">
        <v>41.935483870967744</v>
      </c>
      <c r="N23" s="52">
        <v>43.333333333333336</v>
      </c>
      <c r="O23" s="52">
        <v>41.935483870967744</v>
      </c>
    </row>
    <row r="24" spans="1:15" x14ac:dyDescent="0.3">
      <c r="A24" s="7" t="s">
        <v>103</v>
      </c>
      <c r="B24" s="7" t="s">
        <v>9</v>
      </c>
      <c r="C24" s="7" t="s">
        <v>148</v>
      </c>
      <c r="D24" s="52">
        <v>41.935483870967737</v>
      </c>
      <c r="E24" s="52">
        <v>46.428571428571431</v>
      </c>
      <c r="F24" s="52">
        <v>41.935483870967737</v>
      </c>
      <c r="G24" s="52">
        <v>43.333333333333329</v>
      </c>
      <c r="H24" s="52">
        <v>41.935483870967737</v>
      </c>
      <c r="I24" s="52">
        <v>43.333333333333329</v>
      </c>
      <c r="J24" s="52">
        <v>41.935483870967737</v>
      </c>
      <c r="K24" s="52">
        <v>41.935483870967737</v>
      </c>
      <c r="L24" s="52">
        <v>43.333333333333329</v>
      </c>
      <c r="M24" s="52">
        <v>41.935483870967737</v>
      </c>
      <c r="N24" s="52">
        <v>43.333333333333329</v>
      </c>
      <c r="O24" s="52">
        <v>41.935483870967737</v>
      </c>
    </row>
    <row r="25" spans="1:15" x14ac:dyDescent="0.3">
      <c r="A25" s="7" t="s">
        <v>103</v>
      </c>
      <c r="B25" s="7" t="s">
        <v>9</v>
      </c>
      <c r="C25" s="7" t="s">
        <v>149</v>
      </c>
      <c r="D25" s="52">
        <v>20.161290322580644</v>
      </c>
      <c r="E25" s="52">
        <v>22.321428571428569</v>
      </c>
      <c r="F25" s="52">
        <v>20.161290322580644</v>
      </c>
      <c r="G25" s="52">
        <v>20.833333333333332</v>
      </c>
      <c r="H25" s="52">
        <v>20.161290322580644</v>
      </c>
      <c r="I25" s="52">
        <v>21.666666666666664</v>
      </c>
      <c r="J25" s="52">
        <v>20.967741935483868</v>
      </c>
      <c r="K25" s="52">
        <v>20.967741935483868</v>
      </c>
      <c r="L25" s="52">
        <v>21.666666666666664</v>
      </c>
      <c r="M25" s="52">
        <v>20.967741935483868</v>
      </c>
      <c r="N25" s="52">
        <v>21.666666666666664</v>
      </c>
      <c r="O25" s="52">
        <v>20.967741935483868</v>
      </c>
    </row>
    <row r="26" spans="1:15" x14ac:dyDescent="0.3">
      <c r="A26" s="8" t="s">
        <v>103</v>
      </c>
      <c r="B26" s="8" t="s">
        <v>10</v>
      </c>
      <c r="C26" s="8" t="s">
        <v>147</v>
      </c>
      <c r="D26" s="52">
        <v>32.661290322580641</v>
      </c>
      <c r="E26" s="52">
        <v>36.160714285714285</v>
      </c>
      <c r="F26" s="52">
        <v>32.661290322580655</v>
      </c>
      <c r="G26" s="52">
        <v>33.750000000000007</v>
      </c>
      <c r="H26" s="52">
        <v>32.661290322580655</v>
      </c>
      <c r="I26" s="52">
        <v>34.583333333333336</v>
      </c>
      <c r="J26" s="52">
        <v>33.467741935483872</v>
      </c>
      <c r="K26" s="52">
        <v>33.467741935483872</v>
      </c>
      <c r="L26" s="52">
        <v>34.583333333333336</v>
      </c>
      <c r="M26" s="52">
        <v>33.467741935483872</v>
      </c>
      <c r="N26" s="52">
        <v>34.583333333333336</v>
      </c>
      <c r="O26" s="52">
        <v>12.499999999999996</v>
      </c>
    </row>
    <row r="27" spans="1:15" x14ac:dyDescent="0.3">
      <c r="A27" s="8" t="s">
        <v>103</v>
      </c>
      <c r="B27" s="8" t="s">
        <v>10</v>
      </c>
      <c r="C27" s="8" t="s">
        <v>148</v>
      </c>
      <c r="D27" s="52">
        <v>33.467741935483865</v>
      </c>
      <c r="E27" s="52">
        <v>37.053571428571423</v>
      </c>
      <c r="F27" s="52">
        <v>33.467741935483865</v>
      </c>
      <c r="G27" s="52">
        <v>34.583333333333329</v>
      </c>
      <c r="H27" s="52">
        <v>33.467741935483865</v>
      </c>
      <c r="I27" s="52">
        <v>34.583333333333329</v>
      </c>
      <c r="J27" s="52">
        <v>33.467741935483865</v>
      </c>
      <c r="K27" s="52">
        <v>33.467741935483865</v>
      </c>
      <c r="L27" s="52">
        <v>34.583333333333329</v>
      </c>
      <c r="M27" s="52">
        <v>33.467741935483865</v>
      </c>
      <c r="N27" s="52">
        <v>34.583333333333329</v>
      </c>
      <c r="O27" s="52">
        <v>33.467741935483865</v>
      </c>
    </row>
    <row r="28" spans="1:15" x14ac:dyDescent="0.3">
      <c r="A28" s="8" t="s">
        <v>103</v>
      </c>
      <c r="B28" s="8" t="s">
        <v>10</v>
      </c>
      <c r="C28" s="8" t="s">
        <v>149</v>
      </c>
      <c r="D28" s="52">
        <v>12.500000000000004</v>
      </c>
      <c r="E28" s="52">
        <v>13.839285714285717</v>
      </c>
      <c r="F28" s="52">
        <v>12.500000000000004</v>
      </c>
      <c r="G28" s="52">
        <v>12.91666666666667</v>
      </c>
      <c r="H28" s="52">
        <v>12.500000000000004</v>
      </c>
      <c r="I28" s="52">
        <v>12.91666666666667</v>
      </c>
      <c r="J28" s="52">
        <v>12.500000000000004</v>
      </c>
      <c r="K28" s="52">
        <v>12.500000000000004</v>
      </c>
      <c r="L28" s="52">
        <v>12.91666666666667</v>
      </c>
      <c r="M28" s="52">
        <v>12.500000000000004</v>
      </c>
      <c r="N28" s="52">
        <v>12.916666666666668</v>
      </c>
      <c r="O28" s="52">
        <v>0</v>
      </c>
    </row>
    <row r="29" spans="1:15" x14ac:dyDescent="0.3">
      <c r="A29" s="8" t="s">
        <v>104</v>
      </c>
      <c r="B29" s="8" t="s">
        <v>8</v>
      </c>
      <c r="C29" s="8" t="s">
        <v>147</v>
      </c>
      <c r="D29" s="52">
        <v>41.12903225806452</v>
      </c>
      <c r="E29" s="52">
        <v>45.535714285714292</v>
      </c>
      <c r="F29" s="52">
        <v>41.12903225806452</v>
      </c>
      <c r="G29" s="52">
        <v>42.5</v>
      </c>
      <c r="H29" s="52">
        <v>41.129032258064512</v>
      </c>
      <c r="I29" s="52">
        <v>42.500000000000007</v>
      </c>
      <c r="J29" s="52">
        <v>41.129032258064534</v>
      </c>
      <c r="K29" s="52">
        <v>41.129032258064534</v>
      </c>
      <c r="L29" s="52">
        <v>42.500000000000007</v>
      </c>
      <c r="M29" s="52">
        <v>41.129032258064534</v>
      </c>
      <c r="N29" s="52">
        <v>41.666666666666664</v>
      </c>
      <c r="O29" s="52">
        <v>40.322580645161288</v>
      </c>
    </row>
    <row r="30" spans="1:15" x14ac:dyDescent="0.3">
      <c r="A30" s="8" t="s">
        <v>104</v>
      </c>
      <c r="B30" s="8" t="s">
        <v>8</v>
      </c>
      <c r="C30" s="8" t="s">
        <v>148</v>
      </c>
      <c r="D30" s="52">
        <v>41.129032258064505</v>
      </c>
      <c r="E30" s="52">
        <v>45.53571428571427</v>
      </c>
      <c r="F30" s="52">
        <v>41.129032258064505</v>
      </c>
      <c r="G30" s="52">
        <v>42.499999999999986</v>
      </c>
      <c r="H30" s="52">
        <v>41.129032258064505</v>
      </c>
      <c r="I30" s="52">
        <v>42.499999999999986</v>
      </c>
      <c r="J30" s="52">
        <v>41.129032258064505</v>
      </c>
      <c r="K30" s="52">
        <v>41.129032258064505</v>
      </c>
      <c r="L30" s="52">
        <v>42.499999999999986</v>
      </c>
      <c r="M30" s="52">
        <v>41.129032258064505</v>
      </c>
      <c r="N30" s="52">
        <v>42.499999999999986</v>
      </c>
      <c r="O30" s="52">
        <v>41.129032258064505</v>
      </c>
    </row>
    <row r="31" spans="1:15" x14ac:dyDescent="0.3">
      <c r="A31" s="8" t="s">
        <v>104</v>
      </c>
      <c r="B31" s="8" t="s">
        <v>8</v>
      </c>
      <c r="C31" s="8" t="s">
        <v>149</v>
      </c>
      <c r="D31" s="52">
        <v>19.354838709677423</v>
      </c>
      <c r="E31" s="52">
        <v>22.321428571428577</v>
      </c>
      <c r="F31" s="52">
        <v>20.161290322580648</v>
      </c>
      <c r="G31" s="52">
        <v>20.833333333333336</v>
      </c>
      <c r="H31" s="52">
        <v>20.161290322580648</v>
      </c>
      <c r="I31" s="52">
        <v>20.833333333333336</v>
      </c>
      <c r="J31" s="52">
        <v>20.161290322580648</v>
      </c>
      <c r="K31" s="52">
        <v>20.161290322580648</v>
      </c>
      <c r="L31" s="52">
        <v>20.833333333333336</v>
      </c>
      <c r="M31" s="52">
        <v>20.161290322580648</v>
      </c>
      <c r="N31" s="52">
        <v>20.833333333333336</v>
      </c>
      <c r="O31" s="52">
        <v>18.548387096774189</v>
      </c>
    </row>
    <row r="32" spans="1:15" x14ac:dyDescent="0.3">
      <c r="A32" s="8" t="s">
        <v>104</v>
      </c>
      <c r="B32" s="8" t="s">
        <v>9</v>
      </c>
      <c r="C32" s="8" t="s">
        <v>147</v>
      </c>
      <c r="D32" s="52">
        <v>41.935483870967751</v>
      </c>
      <c r="E32" s="52">
        <v>46.428571428571445</v>
      </c>
      <c r="F32" s="52">
        <v>41.935483870967751</v>
      </c>
      <c r="G32" s="52">
        <v>43.333333333333357</v>
      </c>
      <c r="H32" s="52">
        <v>41.935483870967751</v>
      </c>
      <c r="I32" s="52">
        <v>44.166666666666671</v>
      </c>
      <c r="J32" s="52">
        <v>42.741935483870975</v>
      </c>
      <c r="K32" s="52">
        <v>42.741935483870975</v>
      </c>
      <c r="L32" s="52">
        <v>44.166666666666671</v>
      </c>
      <c r="M32" s="52">
        <v>42.741935483870975</v>
      </c>
      <c r="N32" s="52">
        <v>44.166666666666671</v>
      </c>
      <c r="O32" s="52">
        <v>42.741935483870975</v>
      </c>
    </row>
    <row r="33" spans="1:15" x14ac:dyDescent="0.3">
      <c r="A33" s="8" t="s">
        <v>104</v>
      </c>
      <c r="B33" s="8" t="s">
        <v>9</v>
      </c>
      <c r="C33" s="8" t="s">
        <v>148</v>
      </c>
      <c r="D33" s="52">
        <v>42.741935483870975</v>
      </c>
      <c r="E33" s="52">
        <v>47.321428571428584</v>
      </c>
      <c r="F33" s="52">
        <v>42.741935483870975</v>
      </c>
      <c r="G33" s="52">
        <v>44.166666666666671</v>
      </c>
      <c r="H33" s="52">
        <v>42.741935483870975</v>
      </c>
      <c r="I33" s="52">
        <v>44.166666666666671</v>
      </c>
      <c r="J33" s="52">
        <v>42.741935483870975</v>
      </c>
      <c r="K33" s="52">
        <v>42.741935483870975</v>
      </c>
      <c r="L33" s="52">
        <v>44.166666666666671</v>
      </c>
      <c r="M33" s="52">
        <v>42.741935483870975</v>
      </c>
      <c r="N33" s="52">
        <v>44.166666666666671</v>
      </c>
      <c r="O33" s="52">
        <v>42.741935483870975</v>
      </c>
    </row>
    <row r="34" spans="1:15" x14ac:dyDescent="0.3">
      <c r="A34" s="8" t="s">
        <v>104</v>
      </c>
      <c r="B34" s="8" t="s">
        <v>9</v>
      </c>
      <c r="C34" s="8" t="s">
        <v>149</v>
      </c>
      <c r="D34" s="52">
        <v>20.967741935483875</v>
      </c>
      <c r="E34" s="52">
        <v>23.214285714285722</v>
      </c>
      <c r="F34" s="52">
        <v>20.967741935483875</v>
      </c>
      <c r="G34" s="52">
        <v>21.666666666666679</v>
      </c>
      <c r="H34" s="52">
        <v>20.967741935483875</v>
      </c>
      <c r="I34" s="52">
        <v>21.666666666666679</v>
      </c>
      <c r="J34" s="52">
        <v>20.967741935483875</v>
      </c>
      <c r="K34" s="52">
        <v>20.967741935483875</v>
      </c>
      <c r="L34" s="52">
        <v>21.666666666666679</v>
      </c>
      <c r="M34" s="52">
        <v>20.967741935483875</v>
      </c>
      <c r="N34" s="52">
        <v>21.666666666666679</v>
      </c>
      <c r="O34" s="52">
        <v>20.967741935483875</v>
      </c>
    </row>
    <row r="35" spans="1:15" x14ac:dyDescent="0.3">
      <c r="A35" s="8" t="s">
        <v>104</v>
      </c>
      <c r="B35" s="8" t="s">
        <v>10</v>
      </c>
      <c r="C35" s="8" t="s">
        <v>147</v>
      </c>
      <c r="D35" s="52">
        <v>32.661290322580648</v>
      </c>
      <c r="E35" s="52">
        <v>36.160714285714292</v>
      </c>
      <c r="F35" s="52">
        <v>32.661290322580648</v>
      </c>
      <c r="G35" s="52">
        <v>33.75</v>
      </c>
      <c r="H35" s="52">
        <v>32.661290322580648</v>
      </c>
      <c r="I35" s="52">
        <v>33.75</v>
      </c>
      <c r="J35" s="52">
        <v>32.661290322580648</v>
      </c>
      <c r="K35" s="52">
        <v>32.661290322580648</v>
      </c>
      <c r="L35" s="52">
        <v>33.75</v>
      </c>
      <c r="M35" s="52">
        <v>26.209677419354836</v>
      </c>
      <c r="N35" s="52">
        <v>27.083333333333336</v>
      </c>
      <c r="O35" s="52">
        <v>12.499999999999996</v>
      </c>
    </row>
    <row r="36" spans="1:15" x14ac:dyDescent="0.3">
      <c r="A36" s="8" t="s">
        <v>104</v>
      </c>
      <c r="B36" s="8" t="s">
        <v>10</v>
      </c>
      <c r="C36" s="8" t="s">
        <v>148</v>
      </c>
      <c r="D36" s="52">
        <v>32.661290322580641</v>
      </c>
      <c r="E36" s="52">
        <v>36.160714285714285</v>
      </c>
      <c r="F36" s="52">
        <v>32.661290322580641</v>
      </c>
      <c r="G36" s="52">
        <v>33.749999999999993</v>
      </c>
      <c r="H36" s="52">
        <v>32.661290322580641</v>
      </c>
      <c r="I36" s="52">
        <v>33.749999999999993</v>
      </c>
      <c r="J36" s="52">
        <v>32.661290322580641</v>
      </c>
      <c r="K36" s="52">
        <v>32.661290322580641</v>
      </c>
      <c r="L36" s="52">
        <v>33.749999999999993</v>
      </c>
      <c r="M36" s="52">
        <v>26.209677419354843</v>
      </c>
      <c r="N36" s="52">
        <v>27.083333333333343</v>
      </c>
      <c r="O36" s="52">
        <v>26.209677419354843</v>
      </c>
    </row>
    <row r="37" spans="1:15" x14ac:dyDescent="0.3">
      <c r="A37" s="8" t="s">
        <v>104</v>
      </c>
      <c r="B37" s="8" t="s">
        <v>10</v>
      </c>
      <c r="C37" s="8" t="s">
        <v>149</v>
      </c>
      <c r="D37" s="52">
        <v>12.499999999999996</v>
      </c>
      <c r="E37" s="52">
        <v>13.83928571428571</v>
      </c>
      <c r="F37" s="52">
        <v>12.499999999999996</v>
      </c>
      <c r="G37" s="52">
        <v>12.916666666666663</v>
      </c>
      <c r="H37" s="52">
        <v>12.499999999999996</v>
      </c>
      <c r="I37" s="52">
        <v>12.916666666666661</v>
      </c>
      <c r="J37" s="52">
        <v>12.499999999999996</v>
      </c>
      <c r="K37" s="52">
        <v>12.499999999999996</v>
      </c>
      <c r="L37" s="52">
        <v>12.916666666666663</v>
      </c>
      <c r="M37" s="52">
        <v>12.499999999999996</v>
      </c>
      <c r="N37" s="52">
        <v>12.916666666666666</v>
      </c>
      <c r="O37" s="52">
        <v>0</v>
      </c>
    </row>
    <row r="38" spans="1:15" x14ac:dyDescent="0.3">
      <c r="A38" s="8" t="s">
        <v>100</v>
      </c>
      <c r="B38" s="8" t="s">
        <v>8</v>
      </c>
      <c r="C38" s="8" t="s">
        <v>147</v>
      </c>
      <c r="D38" s="52">
        <v>41.935483870967744</v>
      </c>
      <c r="E38" s="52">
        <v>46.428571428571431</v>
      </c>
      <c r="F38" s="52">
        <v>41.935483870967744</v>
      </c>
      <c r="G38" s="52">
        <v>43.333333333333336</v>
      </c>
      <c r="H38" s="52">
        <v>41.935483870967737</v>
      </c>
      <c r="I38" s="52">
        <v>43.333333333333336</v>
      </c>
      <c r="J38" s="52">
        <v>41.935483870967737</v>
      </c>
      <c r="K38" s="52">
        <v>41.935483870967737</v>
      </c>
      <c r="L38" s="52">
        <v>43.333333333333336</v>
      </c>
      <c r="M38" s="52">
        <v>41.935483870967744</v>
      </c>
      <c r="N38" s="52">
        <v>41.666666666666664</v>
      </c>
      <c r="O38" s="52">
        <v>40.322580645161281</v>
      </c>
    </row>
    <row r="39" spans="1:15" x14ac:dyDescent="0.3">
      <c r="A39" s="8" t="s">
        <v>100</v>
      </c>
      <c r="B39" s="8" t="s">
        <v>8</v>
      </c>
      <c r="C39" s="8" t="s">
        <v>148</v>
      </c>
      <c r="D39" s="52">
        <v>41.935483870967737</v>
      </c>
      <c r="E39" s="52">
        <v>46.428571428571431</v>
      </c>
      <c r="F39" s="52">
        <v>41.935483870967737</v>
      </c>
      <c r="G39" s="52">
        <v>43.333333333333336</v>
      </c>
      <c r="H39" s="52">
        <v>41.935483870967737</v>
      </c>
      <c r="I39" s="52">
        <v>43.333333333333336</v>
      </c>
      <c r="J39" s="52">
        <v>41.935483870967737</v>
      </c>
      <c r="K39" s="52">
        <v>41.935483870967737</v>
      </c>
      <c r="L39" s="52">
        <v>43.333333333333336</v>
      </c>
      <c r="M39" s="52">
        <v>41.935483870967737</v>
      </c>
      <c r="N39" s="52">
        <v>43.333333333333336</v>
      </c>
      <c r="O39" s="52">
        <v>41.935483870967737</v>
      </c>
    </row>
    <row r="40" spans="1:15" x14ac:dyDescent="0.3">
      <c r="A40" s="8" t="s">
        <v>100</v>
      </c>
      <c r="B40" s="8" t="s">
        <v>8</v>
      </c>
      <c r="C40" s="8" t="s">
        <v>149</v>
      </c>
      <c r="D40" s="52">
        <v>20.161290322580641</v>
      </c>
      <c r="E40" s="52">
        <v>22.321428571428569</v>
      </c>
      <c r="F40" s="52">
        <v>20.161290322580641</v>
      </c>
      <c r="G40" s="52">
        <v>20.833333333333332</v>
      </c>
      <c r="H40" s="52">
        <v>20.161290322580641</v>
      </c>
      <c r="I40" s="52">
        <v>20.833333333333332</v>
      </c>
      <c r="J40" s="52">
        <v>20.161290322580641</v>
      </c>
      <c r="K40" s="52">
        <v>20.161290322580641</v>
      </c>
      <c r="L40" s="52">
        <v>20.833333333333332</v>
      </c>
      <c r="M40" s="52">
        <v>20.161290322580641</v>
      </c>
      <c r="N40" s="52">
        <v>20.833333333333332</v>
      </c>
      <c r="O40" s="52">
        <v>19.354838709677413</v>
      </c>
    </row>
    <row r="41" spans="1:15" x14ac:dyDescent="0.3">
      <c r="A41" s="8" t="s">
        <v>100</v>
      </c>
      <c r="B41" s="8" t="s">
        <v>9</v>
      </c>
      <c r="C41" s="8" t="s">
        <v>147</v>
      </c>
      <c r="D41" s="52">
        <v>43.548387096774192</v>
      </c>
      <c r="E41" s="52">
        <v>48.214285714285715</v>
      </c>
      <c r="F41" s="52">
        <v>43.548387096774192</v>
      </c>
      <c r="G41" s="52">
        <v>45.000000000000007</v>
      </c>
      <c r="H41" s="52">
        <v>43.548387096774192</v>
      </c>
      <c r="I41" s="52">
        <v>45.000000000000007</v>
      </c>
      <c r="J41" s="52">
        <v>43.548387096774192</v>
      </c>
      <c r="K41" s="52">
        <v>43.548387096774192</v>
      </c>
      <c r="L41" s="52">
        <v>45.000000000000007</v>
      </c>
      <c r="M41" s="52">
        <v>43.548387096774192</v>
      </c>
      <c r="N41" s="52">
        <v>45.000000000000007</v>
      </c>
      <c r="O41" s="52">
        <v>43.548387096774192</v>
      </c>
    </row>
    <row r="42" spans="1:15" x14ac:dyDescent="0.3">
      <c r="A42" s="8" t="s">
        <v>100</v>
      </c>
      <c r="B42" s="8" t="s">
        <v>9</v>
      </c>
      <c r="C42" s="8" t="s">
        <v>148</v>
      </c>
      <c r="D42" s="52">
        <v>43.548387096774192</v>
      </c>
      <c r="E42" s="52">
        <v>48.214285714285715</v>
      </c>
      <c r="F42" s="52">
        <v>43.548387096774192</v>
      </c>
      <c r="G42" s="52">
        <v>45.000000000000007</v>
      </c>
      <c r="H42" s="52">
        <v>43.548387096774192</v>
      </c>
      <c r="I42" s="52">
        <v>45.000000000000007</v>
      </c>
      <c r="J42" s="52">
        <v>43.548387096774192</v>
      </c>
      <c r="K42" s="52">
        <v>43.548387096774192</v>
      </c>
      <c r="L42" s="52">
        <v>45.000000000000007</v>
      </c>
      <c r="M42" s="52">
        <v>43.548387096774192</v>
      </c>
      <c r="N42" s="52">
        <v>45.000000000000007</v>
      </c>
      <c r="O42" s="52">
        <v>43.548387096774192</v>
      </c>
    </row>
    <row r="43" spans="1:15" x14ac:dyDescent="0.3">
      <c r="A43" s="8" t="s">
        <v>100</v>
      </c>
      <c r="B43" s="8" t="s">
        <v>9</v>
      </c>
      <c r="C43" s="8" t="s">
        <v>149</v>
      </c>
      <c r="D43" s="52">
        <v>21.774193548387096</v>
      </c>
      <c r="E43" s="52">
        <v>24.107142857142858</v>
      </c>
      <c r="F43" s="52">
        <v>21.774193548387096</v>
      </c>
      <c r="G43" s="52">
        <v>22.500000000000004</v>
      </c>
      <c r="H43" s="52">
        <v>21.774193548387096</v>
      </c>
      <c r="I43" s="52">
        <v>22.500000000000004</v>
      </c>
      <c r="J43" s="52">
        <v>21.774193548387096</v>
      </c>
      <c r="K43" s="52">
        <v>21.774193548387096</v>
      </c>
      <c r="L43" s="52">
        <v>22.500000000000004</v>
      </c>
      <c r="M43" s="52">
        <v>21.774193548387096</v>
      </c>
      <c r="N43" s="52">
        <v>22.500000000000004</v>
      </c>
      <c r="O43" s="52">
        <v>21.774193548387096</v>
      </c>
    </row>
    <row r="44" spans="1:15" x14ac:dyDescent="0.3">
      <c r="A44" s="8" t="s">
        <v>100</v>
      </c>
      <c r="B44" s="8" t="s">
        <v>10</v>
      </c>
      <c r="C44" s="8" t="s">
        <v>147</v>
      </c>
      <c r="D44" s="52">
        <v>32.661290322580655</v>
      </c>
      <c r="E44" s="52">
        <v>36.160714285714292</v>
      </c>
      <c r="F44" s="52">
        <v>32.661290322580655</v>
      </c>
      <c r="G44" s="52">
        <v>33.750000000000007</v>
      </c>
      <c r="H44" s="52">
        <v>32.661290322580655</v>
      </c>
      <c r="I44" s="52">
        <v>33.750000000000007</v>
      </c>
      <c r="J44" s="52">
        <v>32.661290322580655</v>
      </c>
      <c r="K44" s="52">
        <v>32.661290322580655</v>
      </c>
      <c r="L44" s="52">
        <v>33.750000000000007</v>
      </c>
      <c r="M44" s="52">
        <v>26.209677419354836</v>
      </c>
      <c r="N44" s="52">
        <v>26.666666666666661</v>
      </c>
      <c r="O44" s="52">
        <v>12.499999999999996</v>
      </c>
    </row>
    <row r="45" spans="1:15" x14ac:dyDescent="0.3">
      <c r="A45" s="8" t="s">
        <v>100</v>
      </c>
      <c r="B45" s="8" t="s">
        <v>10</v>
      </c>
      <c r="C45" s="8" t="s">
        <v>148</v>
      </c>
      <c r="D45" s="52">
        <v>32.661290322580655</v>
      </c>
      <c r="E45" s="52">
        <v>36.160714285714292</v>
      </c>
      <c r="F45" s="52">
        <v>32.661290322580655</v>
      </c>
      <c r="G45" s="52">
        <v>33.750000000000007</v>
      </c>
      <c r="H45" s="52">
        <v>32.661290322580655</v>
      </c>
      <c r="I45" s="52">
        <v>33.750000000000007</v>
      </c>
      <c r="J45" s="52">
        <v>32.661290322580655</v>
      </c>
      <c r="K45" s="52">
        <v>32.661290322580655</v>
      </c>
      <c r="L45" s="52">
        <v>33.750000000000007</v>
      </c>
      <c r="M45" s="52">
        <v>26.209677419354843</v>
      </c>
      <c r="N45" s="52">
        <v>26.666666666666661</v>
      </c>
      <c r="O45" s="52">
        <v>25.806451612903217</v>
      </c>
    </row>
    <row r="46" spans="1:15" x14ac:dyDescent="0.3">
      <c r="A46" s="8" t="s">
        <v>100</v>
      </c>
      <c r="B46" s="8" t="s">
        <v>10</v>
      </c>
      <c r="C46" s="8" t="s">
        <v>149</v>
      </c>
      <c r="D46" s="52">
        <v>4.4354838709677562</v>
      </c>
      <c r="E46" s="52">
        <v>13.83928571428571</v>
      </c>
      <c r="F46" s="52">
        <v>12.499999999999996</v>
      </c>
      <c r="G46" s="52">
        <v>12.916666666666668</v>
      </c>
      <c r="H46" s="52">
        <v>12.500000000000002</v>
      </c>
      <c r="I46" s="52">
        <v>12.916666666666668</v>
      </c>
      <c r="J46" s="52">
        <v>12.500000000000002</v>
      </c>
      <c r="K46" s="52">
        <v>12.500000000000002</v>
      </c>
      <c r="L46" s="52">
        <v>12.916666666666668</v>
      </c>
      <c r="M46" s="52">
        <v>12.500000000000002</v>
      </c>
      <c r="N46" s="52">
        <v>12.499999999999996</v>
      </c>
      <c r="O46" s="52">
        <v>0</v>
      </c>
    </row>
  </sheetData>
  <phoneticPr fontId="1" type="noConversion"/>
  <pageMargins left="0.75" right="0.75" top="1" bottom="1" header="0" footer="0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6">
    <tabColor indexed="47"/>
  </sheetPr>
  <dimension ref="A1:BX198"/>
  <sheetViews>
    <sheetView showRowColHeaders="0" workbookViewId="0">
      <pane xSplit="4" ySplit="3" topLeftCell="E4" activePane="bottomRight" state="frozen"/>
      <selection pane="topRight"/>
      <selection pane="bottomLeft"/>
      <selection pane="bottomRight" activeCell="E4" sqref="E4"/>
    </sheetView>
  </sheetViews>
  <sheetFormatPr baseColWidth="10" defaultColWidth="11.44140625" defaultRowHeight="13.8" x14ac:dyDescent="0.3"/>
  <cols>
    <col min="1" max="2" width="4.5546875" style="8" bestFit="1" customWidth="1"/>
    <col min="3" max="4" width="7" style="8" bestFit="1" customWidth="1"/>
    <col min="5" max="76" width="8.33203125" style="6" bestFit="1" customWidth="1"/>
    <col min="77" max="16384" width="11.44140625" style="6"/>
  </cols>
  <sheetData>
    <row r="1" spans="1:76" s="9" customFormat="1" x14ac:dyDescent="0.3">
      <c r="A1" s="7" t="s">
        <v>165</v>
      </c>
      <c r="B1" s="7" t="s">
        <v>166</v>
      </c>
      <c r="C1" s="7" t="s">
        <v>169</v>
      </c>
      <c r="D1" s="7" t="s">
        <v>169</v>
      </c>
      <c r="E1" s="53" t="s">
        <v>21</v>
      </c>
      <c r="F1" s="53" t="s">
        <v>21</v>
      </c>
      <c r="G1" s="9" t="s">
        <v>21</v>
      </c>
      <c r="H1" s="9" t="s">
        <v>21</v>
      </c>
      <c r="I1" s="9" t="s">
        <v>21</v>
      </c>
      <c r="J1" s="9" t="s">
        <v>21</v>
      </c>
      <c r="K1" s="9" t="s">
        <v>29</v>
      </c>
      <c r="L1" s="9" t="s">
        <v>29</v>
      </c>
      <c r="M1" s="9" t="s">
        <v>29</v>
      </c>
      <c r="N1" s="9" t="s">
        <v>29</v>
      </c>
      <c r="O1" s="9" t="s">
        <v>29</v>
      </c>
      <c r="P1" s="9" t="s">
        <v>29</v>
      </c>
      <c r="Q1" s="9" t="s">
        <v>30</v>
      </c>
      <c r="R1" s="9" t="s">
        <v>30</v>
      </c>
      <c r="S1" s="9" t="s">
        <v>30</v>
      </c>
      <c r="T1" s="9" t="s">
        <v>30</v>
      </c>
      <c r="U1" s="9" t="s">
        <v>30</v>
      </c>
      <c r="V1" s="9" t="s">
        <v>30</v>
      </c>
      <c r="W1" s="9" t="s">
        <v>31</v>
      </c>
      <c r="X1" s="9" t="s">
        <v>31</v>
      </c>
      <c r="Y1" s="9" t="s">
        <v>31</v>
      </c>
      <c r="Z1" s="9" t="s">
        <v>31</v>
      </c>
      <c r="AA1" s="9" t="s">
        <v>31</v>
      </c>
      <c r="AB1" s="9" t="s">
        <v>31</v>
      </c>
      <c r="AC1" s="9" t="s">
        <v>32</v>
      </c>
      <c r="AD1" s="9" t="s">
        <v>32</v>
      </c>
      <c r="AE1" s="9" t="s">
        <v>32</v>
      </c>
      <c r="AF1" s="9" t="s">
        <v>32</v>
      </c>
      <c r="AG1" s="9" t="s">
        <v>32</v>
      </c>
      <c r="AH1" s="9" t="s">
        <v>32</v>
      </c>
      <c r="AI1" s="9" t="s">
        <v>33</v>
      </c>
      <c r="AJ1" s="9" t="s">
        <v>33</v>
      </c>
      <c r="AK1" s="9" t="s">
        <v>33</v>
      </c>
      <c r="AL1" s="9" t="s">
        <v>33</v>
      </c>
      <c r="AM1" s="9" t="s">
        <v>33</v>
      </c>
      <c r="AN1" s="9" t="s">
        <v>33</v>
      </c>
      <c r="AO1" s="9" t="s">
        <v>34</v>
      </c>
      <c r="AP1" s="9" t="s">
        <v>34</v>
      </c>
      <c r="AQ1" s="9" t="s">
        <v>34</v>
      </c>
      <c r="AR1" s="9" t="s">
        <v>34</v>
      </c>
      <c r="AS1" s="9" t="s">
        <v>34</v>
      </c>
      <c r="AT1" s="9" t="s">
        <v>34</v>
      </c>
      <c r="AU1" s="9" t="s">
        <v>35</v>
      </c>
      <c r="AV1" s="9" t="s">
        <v>35</v>
      </c>
      <c r="AW1" s="9" t="s">
        <v>35</v>
      </c>
      <c r="AX1" s="9" t="s">
        <v>35</v>
      </c>
      <c r="AY1" s="9" t="s">
        <v>35</v>
      </c>
      <c r="AZ1" s="9" t="s">
        <v>35</v>
      </c>
      <c r="BA1" s="9" t="s">
        <v>36</v>
      </c>
      <c r="BB1" s="9" t="s">
        <v>36</v>
      </c>
      <c r="BC1" s="9" t="s">
        <v>36</v>
      </c>
      <c r="BD1" s="9" t="s">
        <v>36</v>
      </c>
      <c r="BE1" s="9" t="s">
        <v>36</v>
      </c>
      <c r="BF1" s="9" t="s">
        <v>36</v>
      </c>
      <c r="BG1" s="9" t="s">
        <v>37</v>
      </c>
      <c r="BH1" s="9" t="s">
        <v>37</v>
      </c>
      <c r="BI1" s="9" t="s">
        <v>37</v>
      </c>
      <c r="BJ1" s="9" t="s">
        <v>37</v>
      </c>
      <c r="BK1" s="9" t="s">
        <v>37</v>
      </c>
      <c r="BL1" s="9" t="s">
        <v>37</v>
      </c>
      <c r="BM1" s="9" t="s">
        <v>38</v>
      </c>
      <c r="BN1" s="9" t="s">
        <v>38</v>
      </c>
      <c r="BO1" s="9" t="s">
        <v>38</v>
      </c>
      <c r="BP1" s="9" t="s">
        <v>38</v>
      </c>
      <c r="BQ1" s="9" t="s">
        <v>38</v>
      </c>
      <c r="BR1" s="9" t="s">
        <v>38</v>
      </c>
      <c r="BS1" s="9" t="s">
        <v>22</v>
      </c>
      <c r="BT1" s="9" t="s">
        <v>22</v>
      </c>
      <c r="BU1" s="9" t="s">
        <v>22</v>
      </c>
      <c r="BV1" s="9" t="s">
        <v>22</v>
      </c>
      <c r="BW1" s="9" t="s">
        <v>22</v>
      </c>
      <c r="BX1" s="9" t="s">
        <v>22</v>
      </c>
    </row>
    <row r="2" spans="1:76" s="9" customFormat="1" x14ac:dyDescent="0.3">
      <c r="A2" s="7"/>
      <c r="B2" s="7"/>
      <c r="C2" s="7"/>
      <c r="D2" s="7"/>
      <c r="E2" s="53" t="s">
        <v>156</v>
      </c>
      <c r="F2" s="53" t="s">
        <v>156</v>
      </c>
      <c r="G2" s="9" t="s">
        <v>156</v>
      </c>
      <c r="H2" s="9" t="s">
        <v>39</v>
      </c>
      <c r="I2" s="9" t="s">
        <v>39</v>
      </c>
      <c r="J2" s="9" t="s">
        <v>39</v>
      </c>
      <c r="K2" s="9" t="s">
        <v>156</v>
      </c>
      <c r="L2" s="9" t="s">
        <v>156</v>
      </c>
      <c r="M2" s="9" t="s">
        <v>156</v>
      </c>
      <c r="N2" s="9" t="s">
        <v>39</v>
      </c>
      <c r="O2" s="9" t="s">
        <v>39</v>
      </c>
      <c r="P2" s="9" t="s">
        <v>39</v>
      </c>
      <c r="Q2" s="9" t="s">
        <v>156</v>
      </c>
      <c r="R2" s="9" t="s">
        <v>156</v>
      </c>
      <c r="S2" s="9" t="s">
        <v>156</v>
      </c>
      <c r="T2" s="9" t="s">
        <v>39</v>
      </c>
      <c r="U2" s="9" t="s">
        <v>39</v>
      </c>
      <c r="V2" s="9" t="s">
        <v>39</v>
      </c>
      <c r="W2" s="9" t="s">
        <v>156</v>
      </c>
      <c r="X2" s="9" t="s">
        <v>156</v>
      </c>
      <c r="Y2" s="9" t="s">
        <v>156</v>
      </c>
      <c r="Z2" s="9" t="s">
        <v>39</v>
      </c>
      <c r="AA2" s="9" t="s">
        <v>39</v>
      </c>
      <c r="AB2" s="9" t="s">
        <v>39</v>
      </c>
      <c r="AC2" s="9" t="s">
        <v>156</v>
      </c>
      <c r="AD2" s="9" t="s">
        <v>156</v>
      </c>
      <c r="AE2" s="9" t="s">
        <v>156</v>
      </c>
      <c r="AF2" s="9" t="s">
        <v>39</v>
      </c>
      <c r="AG2" s="9" t="s">
        <v>39</v>
      </c>
      <c r="AH2" s="9" t="s">
        <v>39</v>
      </c>
      <c r="AI2" s="9" t="s">
        <v>156</v>
      </c>
      <c r="AJ2" s="9" t="s">
        <v>156</v>
      </c>
      <c r="AK2" s="9" t="s">
        <v>156</v>
      </c>
      <c r="AL2" s="9" t="s">
        <v>39</v>
      </c>
      <c r="AM2" s="9" t="s">
        <v>39</v>
      </c>
      <c r="AN2" s="9" t="s">
        <v>39</v>
      </c>
      <c r="AO2" s="9" t="s">
        <v>156</v>
      </c>
      <c r="AP2" s="9" t="s">
        <v>156</v>
      </c>
      <c r="AQ2" s="9" t="s">
        <v>156</v>
      </c>
      <c r="AR2" s="9" t="s">
        <v>39</v>
      </c>
      <c r="AS2" s="9" t="s">
        <v>39</v>
      </c>
      <c r="AT2" s="9" t="s">
        <v>39</v>
      </c>
      <c r="AU2" s="9" t="s">
        <v>156</v>
      </c>
      <c r="AV2" s="9" t="s">
        <v>156</v>
      </c>
      <c r="AW2" s="9" t="s">
        <v>156</v>
      </c>
      <c r="AX2" s="9" t="s">
        <v>39</v>
      </c>
      <c r="AY2" s="9" t="s">
        <v>39</v>
      </c>
      <c r="AZ2" s="9" t="s">
        <v>39</v>
      </c>
      <c r="BA2" s="9" t="s">
        <v>156</v>
      </c>
      <c r="BB2" s="9" t="s">
        <v>156</v>
      </c>
      <c r="BC2" s="9" t="s">
        <v>156</v>
      </c>
      <c r="BD2" s="9" t="s">
        <v>39</v>
      </c>
      <c r="BE2" s="9" t="s">
        <v>39</v>
      </c>
      <c r="BF2" s="9" t="s">
        <v>39</v>
      </c>
      <c r="BG2" s="9" t="s">
        <v>156</v>
      </c>
      <c r="BH2" s="9" t="s">
        <v>156</v>
      </c>
      <c r="BI2" s="9" t="s">
        <v>156</v>
      </c>
      <c r="BJ2" s="9" t="s">
        <v>39</v>
      </c>
      <c r="BK2" s="9" t="s">
        <v>39</v>
      </c>
      <c r="BL2" s="9" t="s">
        <v>39</v>
      </c>
      <c r="BM2" s="9" t="s">
        <v>156</v>
      </c>
      <c r="BN2" s="9" t="s">
        <v>156</v>
      </c>
      <c r="BO2" s="9" t="s">
        <v>156</v>
      </c>
      <c r="BP2" s="9" t="s">
        <v>39</v>
      </c>
      <c r="BQ2" s="9" t="s">
        <v>39</v>
      </c>
      <c r="BR2" s="9" t="s">
        <v>39</v>
      </c>
      <c r="BS2" s="9" t="s">
        <v>156</v>
      </c>
      <c r="BT2" s="9" t="s">
        <v>156</v>
      </c>
      <c r="BU2" s="9" t="s">
        <v>156</v>
      </c>
      <c r="BV2" s="9" t="s">
        <v>39</v>
      </c>
      <c r="BW2" s="9" t="s">
        <v>39</v>
      </c>
      <c r="BX2" s="9" t="s">
        <v>39</v>
      </c>
    </row>
    <row r="3" spans="1:76" s="9" customFormat="1" x14ac:dyDescent="0.3">
      <c r="A3" s="7"/>
      <c r="B3" s="7"/>
      <c r="C3" s="7"/>
      <c r="D3" s="7"/>
      <c r="E3" s="53" t="s">
        <v>26</v>
      </c>
      <c r="F3" s="53" t="s">
        <v>56</v>
      </c>
      <c r="G3" s="9" t="s">
        <v>57</v>
      </c>
      <c r="H3" s="9" t="s">
        <v>26</v>
      </c>
      <c r="I3" s="9" t="s">
        <v>56</v>
      </c>
      <c r="J3" s="9" t="s">
        <v>57</v>
      </c>
      <c r="K3" s="9" t="s">
        <v>26</v>
      </c>
      <c r="L3" s="9" t="s">
        <v>56</v>
      </c>
      <c r="M3" s="9" t="s">
        <v>57</v>
      </c>
      <c r="N3" s="9" t="s">
        <v>26</v>
      </c>
      <c r="O3" s="9" t="s">
        <v>56</v>
      </c>
      <c r="P3" s="9" t="s">
        <v>57</v>
      </c>
      <c r="Q3" s="9" t="s">
        <v>26</v>
      </c>
      <c r="R3" s="9" t="s">
        <v>56</v>
      </c>
      <c r="S3" s="9" t="s">
        <v>57</v>
      </c>
      <c r="T3" s="9" t="s">
        <v>26</v>
      </c>
      <c r="U3" s="9" t="s">
        <v>56</v>
      </c>
      <c r="V3" s="9" t="s">
        <v>57</v>
      </c>
      <c r="W3" s="9" t="s">
        <v>26</v>
      </c>
      <c r="X3" s="9" t="s">
        <v>56</v>
      </c>
      <c r="Y3" s="9" t="s">
        <v>57</v>
      </c>
      <c r="Z3" s="9" t="s">
        <v>26</v>
      </c>
      <c r="AA3" s="9" t="s">
        <v>56</v>
      </c>
      <c r="AB3" s="9" t="s">
        <v>57</v>
      </c>
      <c r="AC3" s="9" t="s">
        <v>26</v>
      </c>
      <c r="AD3" s="9" t="s">
        <v>56</v>
      </c>
      <c r="AE3" s="9" t="s">
        <v>57</v>
      </c>
      <c r="AF3" s="9" t="s">
        <v>26</v>
      </c>
      <c r="AG3" s="9" t="s">
        <v>56</v>
      </c>
      <c r="AH3" s="9" t="s">
        <v>57</v>
      </c>
      <c r="AI3" s="9" t="s">
        <v>26</v>
      </c>
      <c r="AJ3" s="9" t="s">
        <v>56</v>
      </c>
      <c r="AK3" s="9" t="s">
        <v>57</v>
      </c>
      <c r="AL3" s="9" t="s">
        <v>26</v>
      </c>
      <c r="AM3" s="9" t="s">
        <v>56</v>
      </c>
      <c r="AN3" s="9" t="s">
        <v>57</v>
      </c>
      <c r="AO3" s="9" t="s">
        <v>26</v>
      </c>
      <c r="AP3" s="9" t="s">
        <v>56</v>
      </c>
      <c r="AQ3" s="9" t="s">
        <v>57</v>
      </c>
      <c r="AR3" s="9" t="s">
        <v>26</v>
      </c>
      <c r="AS3" s="9" t="s">
        <v>56</v>
      </c>
      <c r="AT3" s="9" t="s">
        <v>57</v>
      </c>
      <c r="AU3" s="9" t="s">
        <v>26</v>
      </c>
      <c r="AV3" s="9" t="s">
        <v>56</v>
      </c>
      <c r="AW3" s="9" t="s">
        <v>57</v>
      </c>
      <c r="AX3" s="9" t="s">
        <v>26</v>
      </c>
      <c r="AY3" s="9" t="s">
        <v>56</v>
      </c>
      <c r="AZ3" s="9" t="s">
        <v>57</v>
      </c>
      <c r="BA3" s="9" t="s">
        <v>26</v>
      </c>
      <c r="BB3" s="9" t="s">
        <v>56</v>
      </c>
      <c r="BC3" s="9" t="s">
        <v>57</v>
      </c>
      <c r="BD3" s="9" t="s">
        <v>26</v>
      </c>
      <c r="BE3" s="9" t="s">
        <v>56</v>
      </c>
      <c r="BF3" s="9" t="s">
        <v>57</v>
      </c>
      <c r="BG3" s="9" t="s">
        <v>26</v>
      </c>
      <c r="BH3" s="9" t="s">
        <v>56</v>
      </c>
      <c r="BI3" s="9" t="s">
        <v>57</v>
      </c>
      <c r="BJ3" s="9" t="s">
        <v>26</v>
      </c>
      <c r="BK3" s="9" t="s">
        <v>56</v>
      </c>
      <c r="BL3" s="9" t="s">
        <v>57</v>
      </c>
      <c r="BM3" s="9" t="s">
        <v>26</v>
      </c>
      <c r="BN3" s="9" t="s">
        <v>56</v>
      </c>
      <c r="BO3" s="9" t="s">
        <v>57</v>
      </c>
      <c r="BP3" s="9" t="s">
        <v>26</v>
      </c>
      <c r="BQ3" s="9" t="s">
        <v>56</v>
      </c>
      <c r="BR3" s="9" t="s">
        <v>57</v>
      </c>
      <c r="BS3" s="9" t="s">
        <v>26</v>
      </c>
      <c r="BT3" s="9" t="s">
        <v>56</v>
      </c>
      <c r="BU3" s="9" t="s">
        <v>57</v>
      </c>
      <c r="BV3" s="9" t="s">
        <v>26</v>
      </c>
      <c r="BW3" s="9" t="s">
        <v>56</v>
      </c>
      <c r="BX3" s="9" t="s">
        <v>57</v>
      </c>
    </row>
    <row r="4" spans="1:76" x14ac:dyDescent="0.3">
      <c r="A4" s="7" t="s">
        <v>89</v>
      </c>
      <c r="B4" s="7" t="s">
        <v>8</v>
      </c>
      <c r="C4" s="7" t="s">
        <v>108</v>
      </c>
      <c r="D4" s="7" t="s">
        <v>111</v>
      </c>
      <c r="E4" s="54">
        <v>389.16113530465958</v>
      </c>
      <c r="F4" s="54">
        <v>371.29306810035854</v>
      </c>
      <c r="G4" s="54">
        <v>500.01854863147634</v>
      </c>
      <c r="H4" s="54">
        <v>552.95456362007189</v>
      </c>
      <c r="I4" s="54">
        <v>523.20710663082457</v>
      </c>
      <c r="J4" s="54">
        <v>514.7761594982079</v>
      </c>
      <c r="K4" s="54">
        <v>365.83105376344105</v>
      </c>
      <c r="L4" s="54">
        <v>382.25903315412182</v>
      </c>
      <c r="M4" s="54">
        <v>498.04321517064045</v>
      </c>
      <c r="N4" s="54">
        <v>484.71993996415773</v>
      </c>
      <c r="O4" s="54">
        <v>503.87114695340517</v>
      </c>
      <c r="P4" s="54">
        <v>506.38439169393814</v>
      </c>
      <c r="Q4" s="54">
        <v>337.41832078853065</v>
      </c>
      <c r="R4" s="54">
        <v>355.63991487455218</v>
      </c>
      <c r="S4" s="54">
        <v>480.01224731182799</v>
      </c>
      <c r="T4" s="54">
        <v>492.58668458781375</v>
      </c>
      <c r="U4" s="54">
        <v>491.44388082437285</v>
      </c>
      <c r="V4" s="54">
        <v>497.68770609319012</v>
      </c>
      <c r="W4" s="54">
        <v>549.34759856630831</v>
      </c>
      <c r="X4" s="54">
        <v>549.65835493572729</v>
      </c>
      <c r="Y4" s="54">
        <v>491.25704059468165</v>
      </c>
      <c r="Z4" s="54">
        <v>550.72596684587813</v>
      </c>
      <c r="AA4" s="54">
        <v>530.21367114695363</v>
      </c>
      <c r="AB4" s="54">
        <v>491.52275296027324</v>
      </c>
      <c r="AC4" s="54">
        <v>524.84914636901988</v>
      </c>
      <c r="AD4" s="54">
        <v>561.95271326164891</v>
      </c>
      <c r="AE4" s="54">
        <v>490.81015770609304</v>
      </c>
      <c r="AF4" s="54">
        <v>512.31382916471864</v>
      </c>
      <c r="AG4" s="54">
        <v>537.03082437275975</v>
      </c>
      <c r="AH4" s="54">
        <v>474.24488620071691</v>
      </c>
      <c r="AI4" s="54">
        <v>409.71490143369181</v>
      </c>
      <c r="AJ4" s="54">
        <v>371.98260941043083</v>
      </c>
      <c r="AK4" s="54">
        <v>454.36985483870961</v>
      </c>
      <c r="AL4" s="54">
        <v>459.08663799283175</v>
      </c>
      <c r="AM4" s="54">
        <v>449.64953673835151</v>
      </c>
      <c r="AN4" s="54">
        <v>464.20788888888899</v>
      </c>
      <c r="AO4" s="54">
        <v>395.29034886028217</v>
      </c>
      <c r="AP4" s="54">
        <v>388.81486469534087</v>
      </c>
      <c r="AQ4" s="54">
        <v>446.91194354838728</v>
      </c>
      <c r="AR4" s="54">
        <v>473.83368577784489</v>
      </c>
      <c r="AS4" s="54">
        <v>464.81441845878169</v>
      </c>
      <c r="AT4" s="54">
        <v>458.47762813620085</v>
      </c>
      <c r="AU4" s="54">
        <v>536.19995364939734</v>
      </c>
      <c r="AV4" s="54">
        <v>566.45925179211474</v>
      </c>
      <c r="AW4" s="54">
        <v>483.37415501792134</v>
      </c>
      <c r="AX4" s="54">
        <v>493.94417593497388</v>
      </c>
      <c r="AY4" s="54">
        <v>482.70380286738356</v>
      </c>
      <c r="AZ4" s="54">
        <v>484.16131899641601</v>
      </c>
      <c r="BA4" s="54">
        <v>384.6689283154119</v>
      </c>
      <c r="BB4" s="54">
        <v>360.05861469534062</v>
      </c>
      <c r="BC4" s="54">
        <v>431.64410074244739</v>
      </c>
      <c r="BD4" s="54">
        <v>520.53874103942667</v>
      </c>
      <c r="BE4" s="54">
        <v>519.7099695340504</v>
      </c>
      <c r="BF4" s="54">
        <v>481.5104964157706</v>
      </c>
      <c r="BG4" s="54">
        <v>524.53339605734777</v>
      </c>
      <c r="BH4" s="54">
        <v>548.18370161290341</v>
      </c>
      <c r="BI4" s="54">
        <v>432.47234576712066</v>
      </c>
      <c r="BJ4" s="54">
        <v>468.45657706093192</v>
      </c>
      <c r="BK4" s="54">
        <v>495.00211469534048</v>
      </c>
      <c r="BL4" s="54">
        <v>481.77651601801654</v>
      </c>
      <c r="BM4" s="54">
        <v>322.45633960573474</v>
      </c>
      <c r="BN4" s="54">
        <v>346.409292494841</v>
      </c>
      <c r="BO4" s="54">
        <v>454.81354001571162</v>
      </c>
      <c r="BP4" s="54">
        <v>473.37691039426511</v>
      </c>
      <c r="BQ4" s="54">
        <v>494.25932206473357</v>
      </c>
      <c r="BR4" s="54">
        <v>495.90330345657208</v>
      </c>
      <c r="BS4" s="54">
        <v>351.54342114695345</v>
      </c>
      <c r="BT4" s="54">
        <v>358.19388790438978</v>
      </c>
      <c r="BU4" s="54">
        <v>484.30918100358423</v>
      </c>
      <c r="BV4" s="54">
        <v>555.39437544802865</v>
      </c>
      <c r="BW4" s="54">
        <v>524.96671953405018</v>
      </c>
      <c r="BX4" s="54">
        <v>527.11936041620947</v>
      </c>
    </row>
    <row r="5" spans="1:76" x14ac:dyDescent="0.3">
      <c r="A5" s="7" t="s">
        <v>89</v>
      </c>
      <c r="B5" s="7" t="s">
        <v>8</v>
      </c>
      <c r="C5" s="7" t="s">
        <v>108</v>
      </c>
      <c r="D5" s="7" t="s">
        <v>115</v>
      </c>
      <c r="E5" s="54">
        <v>511.39886469534048</v>
      </c>
      <c r="F5" s="54">
        <v>498.92693189964143</v>
      </c>
      <c r="G5" s="54">
        <v>569.29872409579673</v>
      </c>
      <c r="H5" s="54">
        <v>491.08543637992796</v>
      </c>
      <c r="I5" s="54">
        <v>505.67289336917543</v>
      </c>
      <c r="J5" s="54">
        <v>545.54384050179226</v>
      </c>
      <c r="K5" s="54">
        <v>484.84894623655947</v>
      </c>
      <c r="L5" s="54">
        <v>521.2209668458778</v>
      </c>
      <c r="M5" s="54">
        <v>569.76374135109836</v>
      </c>
      <c r="N5" s="54">
        <v>392.12006003584207</v>
      </c>
      <c r="O5" s="54">
        <v>447.62885304659483</v>
      </c>
      <c r="P5" s="54">
        <v>531.9625648278012</v>
      </c>
      <c r="Q5" s="54">
        <v>445.96167921146957</v>
      </c>
      <c r="R5" s="54">
        <v>492.96008512544785</v>
      </c>
      <c r="S5" s="54">
        <v>544.52775268817197</v>
      </c>
      <c r="T5" s="54">
        <v>408.1133154121863</v>
      </c>
      <c r="U5" s="54">
        <v>489.43611917562714</v>
      </c>
      <c r="V5" s="54">
        <v>521.21229390681003</v>
      </c>
      <c r="W5" s="54">
        <v>483.75240143369183</v>
      </c>
      <c r="X5" s="54">
        <v>494.5608330341995</v>
      </c>
      <c r="Y5" s="54">
        <v>560.67175521683657</v>
      </c>
      <c r="Z5" s="54">
        <v>584.39403315412153</v>
      </c>
      <c r="AA5" s="54">
        <v>566.54632885304636</v>
      </c>
      <c r="AB5" s="54">
        <v>597.70604285124512</v>
      </c>
      <c r="AC5" s="54">
        <v>446.7560710222844</v>
      </c>
      <c r="AD5" s="54">
        <v>513.38728673835112</v>
      </c>
      <c r="AE5" s="54">
        <v>505.56984229390679</v>
      </c>
      <c r="AF5" s="54">
        <v>449.37138822658551</v>
      </c>
      <c r="AG5" s="54">
        <v>498.46917562724013</v>
      </c>
      <c r="AH5" s="54">
        <v>487.79511379928306</v>
      </c>
      <c r="AI5" s="54">
        <v>553.18509856630828</v>
      </c>
      <c r="AJ5" s="54">
        <v>528.77126814058943</v>
      </c>
      <c r="AK5" s="54">
        <v>507.17014516129024</v>
      </c>
      <c r="AL5" s="54">
        <v>362.05336200716886</v>
      </c>
      <c r="AM5" s="54">
        <v>392.59046326164861</v>
      </c>
      <c r="AN5" s="54">
        <v>472.41211111111102</v>
      </c>
      <c r="AO5" s="54">
        <v>528.52035585107831</v>
      </c>
      <c r="AP5" s="54">
        <v>531.1051353046596</v>
      </c>
      <c r="AQ5" s="54">
        <v>492.00805645161296</v>
      </c>
      <c r="AR5" s="54">
        <v>409.89701893351514</v>
      </c>
      <c r="AS5" s="54">
        <v>377.6655815412189</v>
      </c>
      <c r="AT5" s="54">
        <v>460.76237186379922</v>
      </c>
      <c r="AU5" s="54">
        <v>462.9073190778754</v>
      </c>
      <c r="AV5" s="54">
        <v>518.54074820788526</v>
      </c>
      <c r="AW5" s="54">
        <v>500.18584498207883</v>
      </c>
      <c r="AX5" s="54">
        <v>491.99582406502594</v>
      </c>
      <c r="AY5" s="54">
        <v>452.31619713261637</v>
      </c>
      <c r="AZ5" s="54">
        <v>543.09868100358403</v>
      </c>
      <c r="BA5" s="54">
        <v>591.85107168458705</v>
      </c>
      <c r="BB5" s="54">
        <v>565.56138530465944</v>
      </c>
      <c r="BC5" s="54">
        <v>545.47018497183819</v>
      </c>
      <c r="BD5" s="54">
        <v>495.06125896057341</v>
      </c>
      <c r="BE5" s="54">
        <v>565.27003046594996</v>
      </c>
      <c r="BF5" s="54">
        <v>537.7095035842292</v>
      </c>
      <c r="BG5" s="54">
        <v>481.56660394265225</v>
      </c>
      <c r="BH5" s="54">
        <v>523.89629838709652</v>
      </c>
      <c r="BI5" s="54">
        <v>455.01880467535784</v>
      </c>
      <c r="BJ5" s="54">
        <v>472.24342293906818</v>
      </c>
      <c r="BK5" s="54">
        <v>525.2978853046593</v>
      </c>
      <c r="BL5" s="54">
        <v>539.63463442446152</v>
      </c>
      <c r="BM5" s="54">
        <v>415.54366039426526</v>
      </c>
      <c r="BN5" s="54">
        <v>473.7307075051591</v>
      </c>
      <c r="BO5" s="54">
        <v>504.04043258702802</v>
      </c>
      <c r="BP5" s="54">
        <v>415.0830896057347</v>
      </c>
      <c r="BQ5" s="54">
        <v>471.62067793526654</v>
      </c>
      <c r="BR5" s="54">
        <v>556.23066914616777</v>
      </c>
      <c r="BS5" s="54">
        <v>541.19657885304639</v>
      </c>
      <c r="BT5" s="54">
        <v>513.58367053716927</v>
      </c>
      <c r="BU5" s="54">
        <v>579.87081899641566</v>
      </c>
      <c r="BV5" s="54">
        <v>496.04562455197134</v>
      </c>
      <c r="BW5" s="54">
        <v>499.7532804659499</v>
      </c>
      <c r="BX5" s="54">
        <v>570.3296191756275</v>
      </c>
    </row>
    <row r="6" spans="1:76" x14ac:dyDescent="0.3">
      <c r="A6" s="7" t="s">
        <v>89</v>
      </c>
      <c r="B6" s="7" t="s">
        <v>8</v>
      </c>
      <c r="C6" s="7" t="s">
        <v>109</v>
      </c>
      <c r="D6" s="7" t="s">
        <v>110</v>
      </c>
      <c r="E6" s="54">
        <v>-26.576317204301205</v>
      </c>
      <c r="F6" s="54">
        <v>65.740860215053772</v>
      </c>
      <c r="G6" s="54">
        <v>203.41576979472143</v>
      </c>
      <c r="H6" s="54">
        <v>73.595672043010538</v>
      </c>
      <c r="I6" s="54">
        <v>151.7064784946237</v>
      </c>
      <c r="J6" s="54">
        <v>265.43069892473102</v>
      </c>
      <c r="K6" s="54">
        <v>20.472258064515913</v>
      </c>
      <c r="L6" s="54">
        <v>113.88739247311797</v>
      </c>
      <c r="M6" s="54">
        <v>226.82095021037861</v>
      </c>
      <c r="N6" s="54">
        <v>58.621478494623403</v>
      </c>
      <c r="O6" s="54">
        <v>154.98817204301062</v>
      </c>
      <c r="P6" s="54">
        <v>253.49436418887339</v>
      </c>
      <c r="Q6" s="54">
        <v>30.857473118279579</v>
      </c>
      <c r="R6" s="54">
        <v>118.23642473118279</v>
      </c>
      <c r="S6" s="54">
        <v>229.4183870967741</v>
      </c>
      <c r="T6" s="54">
        <v>93.160752688171812</v>
      </c>
      <c r="U6" s="54">
        <v>150.13099462365597</v>
      </c>
      <c r="V6" s="54">
        <v>264.92365591397851</v>
      </c>
      <c r="W6" s="54">
        <v>57.759139784946179</v>
      </c>
      <c r="X6" s="54">
        <v>131.97622459374293</v>
      </c>
      <c r="Y6" s="54">
        <v>39.923453667736638</v>
      </c>
      <c r="Z6" s="54">
        <v>-149.39739247311823</v>
      </c>
      <c r="AA6" s="54">
        <v>-68.689811827956859</v>
      </c>
      <c r="AB6" s="54">
        <v>-38.436626977425114</v>
      </c>
      <c r="AC6" s="54">
        <v>41.898582281439722</v>
      </c>
      <c r="AD6" s="54">
        <v>141.79795698924713</v>
      </c>
      <c r="AE6" s="54">
        <v>255.07462365591383</v>
      </c>
      <c r="AF6" s="54">
        <v>188.02325970079448</v>
      </c>
      <c r="AG6" s="54">
        <v>288.29462365591382</v>
      </c>
      <c r="AH6" s="54">
        <v>296.18922043010753</v>
      </c>
      <c r="AI6" s="54">
        <v>63.665860215053826</v>
      </c>
      <c r="AJ6" s="54">
        <v>116.62926870748302</v>
      </c>
      <c r="AK6" s="54">
        <v>222.59790322580653</v>
      </c>
      <c r="AL6" s="54">
        <v>103.90279569892481</v>
      </c>
      <c r="AM6" s="54">
        <v>154.70454301075276</v>
      </c>
      <c r="AN6" s="54">
        <v>255.84333333333319</v>
      </c>
      <c r="AO6" s="54">
        <v>33.699094865541568</v>
      </c>
      <c r="AP6" s="54">
        <v>118.01631720430106</v>
      </c>
      <c r="AQ6" s="54">
        <v>189.85362903225811</v>
      </c>
      <c r="AR6" s="54">
        <v>70.311245403176017</v>
      </c>
      <c r="AS6" s="54">
        <v>157.45357526881719</v>
      </c>
      <c r="AT6" s="54">
        <v>230.68438172043005</v>
      </c>
      <c r="AU6" s="54">
        <v>42.158780547409513</v>
      </c>
      <c r="AV6" s="54">
        <v>132.88857526881691</v>
      </c>
      <c r="AW6" s="54">
        <v>227.85051075268825</v>
      </c>
      <c r="AX6" s="54">
        <v>-33.436408710770472</v>
      </c>
      <c r="AY6" s="54">
        <v>57.831720430107538</v>
      </c>
      <c r="AZ6" s="54">
        <v>129.31139784946234</v>
      </c>
      <c r="BA6" s="54">
        <v>-64.593010752688414</v>
      </c>
      <c r="BB6" s="54">
        <v>-8.7061827956989024</v>
      </c>
      <c r="BC6" s="54">
        <v>68.137945468509827</v>
      </c>
      <c r="BD6" s="54">
        <v>1.7471236559136738</v>
      </c>
      <c r="BE6" s="54">
        <v>51.386720430107502</v>
      </c>
      <c r="BF6" s="54">
        <v>117.67284946236556</v>
      </c>
      <c r="BG6" s="54">
        <v>33.362634408602212</v>
      </c>
      <c r="BH6" s="54">
        <v>127.12346774193529</v>
      </c>
      <c r="BI6" s="54">
        <v>224.02365496241305</v>
      </c>
      <c r="BJ6" s="54">
        <v>-63.303763440860195</v>
      </c>
      <c r="BK6" s="54">
        <v>52.56881720430107</v>
      </c>
      <c r="BL6" s="54">
        <v>128.75080550004748</v>
      </c>
      <c r="BM6" s="54">
        <v>-34.833736559140014</v>
      </c>
      <c r="BN6" s="54">
        <v>72.72276963180191</v>
      </c>
      <c r="BO6" s="54">
        <v>195.68352997495953</v>
      </c>
      <c r="BP6" s="54">
        <v>-91.473763440860338</v>
      </c>
      <c r="BQ6" s="54">
        <v>10.648011567285787</v>
      </c>
      <c r="BR6" s="54">
        <v>103.98159449108846</v>
      </c>
      <c r="BS6" s="54">
        <v>-5.5523118279570127</v>
      </c>
      <c r="BT6" s="54">
        <v>73.951333542801251</v>
      </c>
      <c r="BU6" s="54">
        <v>208.91360215053734</v>
      </c>
      <c r="BV6" s="54">
        <v>84.307768817203922</v>
      </c>
      <c r="BW6" s="54">
        <v>152.39422043010765</v>
      </c>
      <c r="BX6" s="54">
        <v>249.42783135835066</v>
      </c>
    </row>
    <row r="7" spans="1:76" x14ac:dyDescent="0.3">
      <c r="A7" s="7" t="s">
        <v>89</v>
      </c>
      <c r="B7" s="7" t="s">
        <v>8</v>
      </c>
      <c r="C7" s="7" t="s">
        <v>109</v>
      </c>
      <c r="D7" s="7" t="s">
        <v>115</v>
      </c>
      <c r="E7" s="54">
        <v>320.30631720430102</v>
      </c>
      <c r="F7" s="54">
        <v>271.13913978494628</v>
      </c>
      <c r="G7" s="54">
        <v>233.01423020527866</v>
      </c>
      <c r="H7" s="54">
        <v>291.8743279569893</v>
      </c>
      <c r="I7" s="54">
        <v>264.5035215053764</v>
      </c>
      <c r="J7" s="54">
        <v>207.82930107526875</v>
      </c>
      <c r="K7" s="54">
        <v>299.36774193548388</v>
      </c>
      <c r="L7" s="54">
        <v>239.62260752688192</v>
      </c>
      <c r="M7" s="54">
        <v>219.80904978962124</v>
      </c>
      <c r="N7" s="54">
        <v>320.4485215053765</v>
      </c>
      <c r="O7" s="54">
        <v>261.41182795698927</v>
      </c>
      <c r="P7" s="54">
        <v>217.28563581112658</v>
      </c>
      <c r="Q7" s="54">
        <v>301.48252688172028</v>
      </c>
      <c r="R7" s="54">
        <v>246.71357526881721</v>
      </c>
      <c r="S7" s="54">
        <v>223.50161290322589</v>
      </c>
      <c r="T7" s="54">
        <v>297.8392473118281</v>
      </c>
      <c r="U7" s="54">
        <v>280.95900537634401</v>
      </c>
      <c r="V7" s="54">
        <v>213.07634408602149</v>
      </c>
      <c r="W7" s="54">
        <v>302.24086021505394</v>
      </c>
      <c r="X7" s="54">
        <v>258.46377540625707</v>
      </c>
      <c r="Y7" s="54">
        <v>119.54654633226447</v>
      </c>
      <c r="Z7" s="54">
        <v>60.407392473118108</v>
      </c>
      <c r="AA7" s="54">
        <v>18.839811827956797</v>
      </c>
      <c r="AB7" s="54">
        <v>30.056626977425061</v>
      </c>
      <c r="AC7" s="54">
        <v>318.67141771856012</v>
      </c>
      <c r="AD7" s="54">
        <v>249.1220430107528</v>
      </c>
      <c r="AE7" s="54">
        <v>219.88537634408601</v>
      </c>
      <c r="AF7" s="54">
        <v>236.28674029920549</v>
      </c>
      <c r="AG7" s="54">
        <v>170.10537634408607</v>
      </c>
      <c r="AH7" s="54">
        <v>200.48077956989241</v>
      </c>
      <c r="AI7" s="54">
        <v>261.23413978494625</v>
      </c>
      <c r="AJ7" s="54">
        <v>245.72073129251692</v>
      </c>
      <c r="AK7" s="54">
        <v>234.94209677419354</v>
      </c>
      <c r="AL7" s="54">
        <v>301.21720430107524</v>
      </c>
      <c r="AM7" s="54">
        <v>282.06545698924737</v>
      </c>
      <c r="AN7" s="54">
        <v>228.11666666666653</v>
      </c>
      <c r="AO7" s="54">
        <v>283.0509051344585</v>
      </c>
      <c r="AP7" s="54">
        <v>235.29368279569886</v>
      </c>
      <c r="AQ7" s="54">
        <v>256.37637096774182</v>
      </c>
      <c r="AR7" s="54">
        <v>323.59875459682399</v>
      </c>
      <c r="AS7" s="54">
        <v>268.03642473118282</v>
      </c>
      <c r="AT7" s="54">
        <v>244.58561827956981</v>
      </c>
      <c r="AU7" s="54">
        <v>315.23121945259038</v>
      </c>
      <c r="AV7" s="54">
        <v>253.06142473118308</v>
      </c>
      <c r="AW7" s="54">
        <v>240.69948924731156</v>
      </c>
      <c r="AX7" s="54">
        <v>209.65640871077039</v>
      </c>
      <c r="AY7" s="54">
        <v>151.24827956989239</v>
      </c>
      <c r="AZ7" s="54">
        <v>125.88860215053765</v>
      </c>
      <c r="BA7" s="54">
        <v>163.67301075268847</v>
      </c>
      <c r="BB7" s="54">
        <v>138.08618279569896</v>
      </c>
      <c r="BC7" s="54">
        <v>152.13205453149016</v>
      </c>
      <c r="BD7" s="54">
        <v>172.62287634408625</v>
      </c>
      <c r="BE7" s="54">
        <v>157.6732795698924</v>
      </c>
      <c r="BF7" s="54">
        <v>133.5071505376344</v>
      </c>
      <c r="BG7" s="54">
        <v>313.13736559139784</v>
      </c>
      <c r="BH7" s="54">
        <v>252.36653225806484</v>
      </c>
      <c r="BI7" s="54">
        <v>246.6563450375867</v>
      </c>
      <c r="BJ7" s="54">
        <v>239.10376344086015</v>
      </c>
      <c r="BK7" s="54">
        <v>163.03118279569895</v>
      </c>
      <c r="BL7" s="54">
        <v>126.90919449995252</v>
      </c>
      <c r="BM7" s="54">
        <v>344.48373655913997</v>
      </c>
      <c r="BN7" s="54">
        <v>277.99723036819813</v>
      </c>
      <c r="BO7" s="54">
        <v>250.65647002504045</v>
      </c>
      <c r="BP7" s="54">
        <v>241.15376344086025</v>
      </c>
      <c r="BQ7" s="54">
        <v>177.74198843271415</v>
      </c>
      <c r="BR7" s="54">
        <v>137.39840550891148</v>
      </c>
      <c r="BS7" s="54">
        <v>295.37231182795699</v>
      </c>
      <c r="BT7" s="54">
        <v>260.71866645719876</v>
      </c>
      <c r="BU7" s="54">
        <v>224.94639784946258</v>
      </c>
      <c r="BV7" s="54">
        <v>284.86223118279599</v>
      </c>
      <c r="BW7" s="54">
        <v>261.73577956989249</v>
      </c>
      <c r="BX7" s="54">
        <v>186.63318904981475</v>
      </c>
    </row>
    <row r="8" spans="1:76" x14ac:dyDescent="0.3">
      <c r="A8" s="7" t="s">
        <v>89</v>
      </c>
      <c r="B8" s="7" t="s">
        <v>8</v>
      </c>
      <c r="C8" s="7" t="s">
        <v>110</v>
      </c>
      <c r="D8" s="7" t="s">
        <v>111</v>
      </c>
      <c r="E8" s="54">
        <v>301.12797939068116</v>
      </c>
      <c r="F8" s="54">
        <v>200.67186379928282</v>
      </c>
      <c r="G8" s="54">
        <v>136.65356182795696</v>
      </c>
      <c r="H8" s="54">
        <v>324.68062275985665</v>
      </c>
      <c r="I8" s="54">
        <v>232.23403673835131</v>
      </c>
      <c r="J8" s="54">
        <v>97.653181003584109</v>
      </c>
      <c r="K8" s="54">
        <v>252.76989247311855</v>
      </c>
      <c r="L8" s="54">
        <v>144.23268369175656</v>
      </c>
      <c r="M8" s="54">
        <v>110.67510226741462</v>
      </c>
      <c r="N8" s="54">
        <v>355.16987007168478</v>
      </c>
      <c r="O8" s="54">
        <v>239.40770609318983</v>
      </c>
      <c r="P8" s="54">
        <v>112.77749922081948</v>
      </c>
      <c r="Q8" s="54">
        <v>246.73785842293915</v>
      </c>
      <c r="R8" s="54">
        <v>142.62892025089602</v>
      </c>
      <c r="S8" s="54">
        <v>111.34650537634406</v>
      </c>
      <c r="T8" s="54">
        <v>314.68163082437297</v>
      </c>
      <c r="U8" s="54">
        <v>233.78048835125443</v>
      </c>
      <c r="V8" s="54">
        <v>101.63458781362</v>
      </c>
      <c r="W8" s="54">
        <v>343.24480286738333</v>
      </c>
      <c r="X8" s="54">
        <v>259.55596531651651</v>
      </c>
      <c r="Y8" s="54">
        <v>142.16868713524389</v>
      </c>
      <c r="Z8" s="54">
        <v>234.64231630824384</v>
      </c>
      <c r="AA8" s="54">
        <v>147.79540770609302</v>
      </c>
      <c r="AB8" s="54">
        <v>102.93851240406093</v>
      </c>
      <c r="AC8" s="54">
        <v>366.00504421848234</v>
      </c>
      <c r="AD8" s="54">
        <v>246.03557347670258</v>
      </c>
      <c r="AE8" s="54">
        <v>115.1216845878138</v>
      </c>
      <c r="AF8" s="54">
        <v>203.85517862708434</v>
      </c>
      <c r="AG8" s="54">
        <v>85.938351254480466</v>
      </c>
      <c r="AH8" s="54">
        <v>72.099977598566227</v>
      </c>
      <c r="AI8" s="54">
        <v>195.34269713261642</v>
      </c>
      <c r="AJ8" s="54">
        <v>138.28008219954646</v>
      </c>
      <c r="AK8" s="54">
        <v>124.14879032258064</v>
      </c>
      <c r="AL8" s="54">
        <v>309.26272401433664</v>
      </c>
      <c r="AM8" s="54">
        <v>245.58317652329742</v>
      </c>
      <c r="AN8" s="54">
        <v>118.54722222222213</v>
      </c>
      <c r="AO8" s="54">
        <v>231.98733416397999</v>
      </c>
      <c r="AP8" s="54">
        <v>138.27202060931887</v>
      </c>
      <c r="AQ8" s="54">
        <v>162.53286290322578</v>
      </c>
      <c r="AR8" s="54">
        <v>337.03366032885441</v>
      </c>
      <c r="AS8" s="54">
        <v>247.77941308243712</v>
      </c>
      <c r="AT8" s="54">
        <v>148.03949372759863</v>
      </c>
      <c r="AU8" s="54">
        <v>363.4467517921147</v>
      </c>
      <c r="AV8" s="54">
        <v>255.17524641577083</v>
      </c>
      <c r="AW8" s="54">
        <v>145.79943996415756</v>
      </c>
      <c r="AX8" s="54">
        <v>287.3551481300525</v>
      </c>
      <c r="AY8" s="54">
        <v>194.99539426523305</v>
      </c>
      <c r="AZ8" s="54">
        <v>96.381362007168406</v>
      </c>
      <c r="BA8" s="54">
        <v>163.75514336917595</v>
      </c>
      <c r="BB8" s="54">
        <v>105.50327060931896</v>
      </c>
      <c r="BC8" s="54">
        <v>121.62126280081931</v>
      </c>
      <c r="BD8" s="54">
        <v>251.34876792114724</v>
      </c>
      <c r="BE8" s="54">
        <v>181.02456093189966</v>
      </c>
      <c r="BF8" s="54">
        <v>110.0245071684588</v>
      </c>
      <c r="BG8" s="54">
        <v>352.58570788530477</v>
      </c>
      <c r="BH8" s="54">
        <v>244.970846774194</v>
      </c>
      <c r="BI8" s="54">
        <v>140.38676864275078</v>
      </c>
      <c r="BJ8" s="54">
        <v>321.44184587813629</v>
      </c>
      <c r="BK8" s="54">
        <v>185.76577060931899</v>
      </c>
      <c r="BL8" s="54">
        <v>97.488928140958549</v>
      </c>
      <c r="BM8" s="54">
        <v>323.7435707885308</v>
      </c>
      <c r="BN8" s="54">
        <v>197.1174150103181</v>
      </c>
      <c r="BO8" s="54">
        <v>154.38700900967251</v>
      </c>
      <c r="BP8" s="54">
        <v>365.80017921146958</v>
      </c>
      <c r="BQ8" s="54">
        <v>243.71210587053315</v>
      </c>
      <c r="BR8" s="54">
        <v>122.5794821279521</v>
      </c>
      <c r="BS8" s="54">
        <v>234.07665770609333</v>
      </c>
      <c r="BT8" s="54">
        <v>173.68699756784423</v>
      </c>
      <c r="BU8" s="54">
        <v>113.24613799283179</v>
      </c>
      <c r="BV8" s="54">
        <v>312.123499103943</v>
      </c>
      <c r="BW8" s="54">
        <v>233.03081093189971</v>
      </c>
      <c r="BX8" s="54">
        <v>87.789621004316089</v>
      </c>
    </row>
    <row r="9" spans="1:76" x14ac:dyDescent="0.3">
      <c r="A9" s="7" t="s">
        <v>89</v>
      </c>
      <c r="B9" s="7" t="s">
        <v>8</v>
      </c>
      <c r="C9" s="7" t="s">
        <v>110</v>
      </c>
      <c r="D9" s="7" t="s">
        <v>115</v>
      </c>
      <c r="E9" s="54">
        <v>226.82570340501806</v>
      </c>
      <c r="F9" s="54">
        <v>147.88899641577058</v>
      </c>
      <c r="G9" s="54">
        <v>53.634935239491696</v>
      </c>
      <c r="H9" s="54">
        <v>157.78504928315428</v>
      </c>
      <c r="I9" s="54">
        <v>100.48244175627229</v>
      </c>
      <c r="J9" s="54">
        <v>5.8375179211469508</v>
      </c>
      <c r="K9" s="54">
        <v>189.34236559139805</v>
      </c>
      <c r="L9" s="54">
        <v>102.80470878136228</v>
      </c>
      <c r="M9" s="54">
        <v>33.128891421224878</v>
      </c>
      <c r="N9" s="54">
        <v>184.32160842293933</v>
      </c>
      <c r="O9" s="54">
        <v>96.780465949820709</v>
      </c>
      <c r="P9" s="54">
        <v>18.109908446314329</v>
      </c>
      <c r="Q9" s="54">
        <v>185.55961469534054</v>
      </c>
      <c r="R9" s="54">
        <v>105.35750448028669</v>
      </c>
      <c r="S9" s="54">
        <v>34.291881720430069</v>
      </c>
      <c r="T9" s="54">
        <v>151.97912186379946</v>
      </c>
      <c r="U9" s="54">
        <v>112.24050627240145</v>
      </c>
      <c r="V9" s="54">
        <v>9.5890681003584213</v>
      </c>
      <c r="W9" s="54">
        <v>172.61433691756278</v>
      </c>
      <c r="X9" s="54">
        <v>106.32107130729995</v>
      </c>
      <c r="Y9" s="54">
        <v>59.735970720974699</v>
      </c>
      <c r="Z9" s="54">
        <v>114.97029121863834</v>
      </c>
      <c r="AA9" s="54">
        <v>46.904780465949699</v>
      </c>
      <c r="AB9" s="54">
        <v>39.256064806995951</v>
      </c>
      <c r="AC9" s="54">
        <v>191.49832067165363</v>
      </c>
      <c r="AD9" s="54">
        <v>95.182383512544931</v>
      </c>
      <c r="AE9" s="54">
        <v>19.052939068100461</v>
      </c>
      <c r="AF9" s="54">
        <v>63.512863682406277</v>
      </c>
      <c r="AG9" s="54">
        <v>-30.743727598566139</v>
      </c>
      <c r="AH9" s="54">
        <v>-14.440757168458829</v>
      </c>
      <c r="AI9" s="54">
        <v>142.3231630824373</v>
      </c>
      <c r="AJ9" s="54">
        <v>105.49918650793644</v>
      </c>
      <c r="AK9" s="54">
        <v>45.329112903225834</v>
      </c>
      <c r="AL9" s="54">
        <v>148.86007168458781</v>
      </c>
      <c r="AM9" s="54">
        <v>110.69136648745514</v>
      </c>
      <c r="AN9" s="54">
        <v>24.156111111111155</v>
      </c>
      <c r="AO9" s="54">
        <v>171.85105599020144</v>
      </c>
      <c r="AP9" s="54">
        <v>97.854296594982017</v>
      </c>
      <c r="AQ9" s="54">
        <v>75.99076612903221</v>
      </c>
      <c r="AR9" s="54">
        <v>180.57688036296128</v>
      </c>
      <c r="AS9" s="54">
        <v>99.964162186379937</v>
      </c>
      <c r="AT9" s="54">
        <v>47.714887992831635</v>
      </c>
      <c r="AU9" s="54">
        <v>189.07475602802225</v>
      </c>
      <c r="AV9" s="54">
        <v>102.26332885304679</v>
      </c>
      <c r="AW9" s="54">
        <v>46.541070788530313</v>
      </c>
      <c r="AX9" s="54">
        <v>156.48914349589882</v>
      </c>
      <c r="AY9" s="54">
        <v>71.916326164874533</v>
      </c>
      <c r="AZ9" s="54">
        <v>19.270035842293922</v>
      </c>
      <c r="BA9" s="54">
        <v>141.4118458781366</v>
      </c>
      <c r="BB9" s="54">
        <v>96.410546594982165</v>
      </c>
      <c r="BC9" s="54">
        <v>67.352396953405119</v>
      </c>
      <c r="BD9" s="54">
        <v>114.20835573476728</v>
      </c>
      <c r="BE9" s="54">
        <v>79.422159498207861</v>
      </c>
      <c r="BF9" s="54">
        <v>30.168342293906857</v>
      </c>
      <c r="BG9" s="54">
        <v>192.07692652329754</v>
      </c>
      <c r="BH9" s="54">
        <v>104.68262096774217</v>
      </c>
      <c r="BI9" s="54">
        <v>52.425735877184579</v>
      </c>
      <c r="BJ9" s="54">
        <v>191.05439068100361</v>
      </c>
      <c r="BK9" s="54">
        <v>82.403046594982101</v>
      </c>
      <c r="BL9" s="54">
        <v>20.230726916611317</v>
      </c>
      <c r="BM9" s="54">
        <v>247.07269265233012</v>
      </c>
      <c r="BN9" s="54">
        <v>148.97010209623107</v>
      </c>
      <c r="BO9" s="54">
        <v>69.262548362547307</v>
      </c>
      <c r="BP9" s="54">
        <v>206.50605734767046</v>
      </c>
      <c r="BQ9" s="54">
        <v>113.17065317149999</v>
      </c>
      <c r="BR9" s="54">
        <v>39.608139760396789</v>
      </c>
      <c r="BS9" s="54">
        <v>199.69103046594995</v>
      </c>
      <c r="BT9" s="54">
        <v>136.8367775333985</v>
      </c>
      <c r="BU9" s="54">
        <v>45.507464157706458</v>
      </c>
      <c r="BV9" s="54">
        <v>147.75426971326212</v>
      </c>
      <c r="BW9" s="54">
        <v>98.293409498207978</v>
      </c>
      <c r="BX9" s="54">
        <v>-0.29178964596554557</v>
      </c>
    </row>
    <row r="10" spans="1:76" x14ac:dyDescent="0.3">
      <c r="A10" s="7" t="s">
        <v>89</v>
      </c>
      <c r="B10" s="7" t="s">
        <v>8</v>
      </c>
      <c r="C10" s="7" t="s">
        <v>111</v>
      </c>
      <c r="D10" s="7" t="s">
        <v>112</v>
      </c>
      <c r="E10" s="54">
        <v>441.47</v>
      </c>
      <c r="F10" s="54">
        <v>398.32</v>
      </c>
      <c r="G10" s="54">
        <v>298.77</v>
      </c>
      <c r="H10" s="54">
        <v>369.73000000000013</v>
      </c>
      <c r="I10" s="54">
        <v>318.99000000000012</v>
      </c>
      <c r="J10" s="54">
        <v>261.94000000000005</v>
      </c>
      <c r="K10" s="54">
        <v>415.36000000000018</v>
      </c>
      <c r="L10" s="54">
        <v>381.69000000000011</v>
      </c>
      <c r="M10" s="54">
        <v>288.57</v>
      </c>
      <c r="N10" s="54">
        <v>356.13000000000005</v>
      </c>
      <c r="O10" s="54">
        <v>318.79999999999995</v>
      </c>
      <c r="P10" s="54">
        <v>264.42000000000007</v>
      </c>
      <c r="Q10" s="54">
        <v>402.86</v>
      </c>
      <c r="R10" s="54">
        <v>370.24999999999994</v>
      </c>
      <c r="S10" s="54">
        <v>282.28000000000009</v>
      </c>
      <c r="T10" s="54">
        <v>344.20000000000005</v>
      </c>
      <c r="U10" s="54">
        <v>304.11000000000013</v>
      </c>
      <c r="V10" s="54">
        <v>257.2000000000001</v>
      </c>
      <c r="W10" s="54">
        <v>375.2</v>
      </c>
      <c r="X10" s="54">
        <v>344.75999999999993</v>
      </c>
      <c r="Y10" s="54">
        <v>262.22999999999996</v>
      </c>
      <c r="Z10" s="54">
        <v>324.19</v>
      </c>
      <c r="AA10" s="54">
        <v>285.05</v>
      </c>
      <c r="AB10" s="54">
        <v>243.58000000000013</v>
      </c>
      <c r="AC10" s="54">
        <v>374.63</v>
      </c>
      <c r="AD10" s="54">
        <v>344.28000000000014</v>
      </c>
      <c r="AE10" s="54">
        <v>260.24</v>
      </c>
      <c r="AF10" s="54">
        <v>310.8900000000001</v>
      </c>
      <c r="AG10" s="54">
        <v>276.79999999999995</v>
      </c>
      <c r="AH10" s="54">
        <v>238.53000000000014</v>
      </c>
      <c r="AI10" s="54">
        <v>410.30000000000013</v>
      </c>
      <c r="AJ10" s="54">
        <v>372.84999999999991</v>
      </c>
      <c r="AK10" s="54">
        <v>277.66000000000003</v>
      </c>
      <c r="AL10" s="54">
        <v>330.07999999999993</v>
      </c>
      <c r="AM10" s="54">
        <v>298.42999999999995</v>
      </c>
      <c r="AN10" s="54">
        <v>251.2399999999999</v>
      </c>
      <c r="AO10" s="54">
        <v>418.45</v>
      </c>
      <c r="AP10" s="54">
        <v>381.89000000000004</v>
      </c>
      <c r="AQ10" s="54">
        <v>288.96999999999997</v>
      </c>
      <c r="AR10" s="54">
        <v>341.29000000000008</v>
      </c>
      <c r="AS10" s="54">
        <v>309.71000000000015</v>
      </c>
      <c r="AT10" s="54">
        <v>259.93</v>
      </c>
      <c r="AU10" s="54">
        <v>377.81</v>
      </c>
      <c r="AV10" s="54">
        <v>349.25000000000006</v>
      </c>
      <c r="AW10" s="54">
        <v>266.65000000000003</v>
      </c>
      <c r="AX10" s="54">
        <v>323.77999999999997</v>
      </c>
      <c r="AY10" s="54">
        <v>290.92000000000007</v>
      </c>
      <c r="AZ10" s="54">
        <v>244.7999999999999</v>
      </c>
      <c r="BA10" s="54">
        <v>400.91999999999996</v>
      </c>
      <c r="BB10" s="54">
        <v>370.61999999999995</v>
      </c>
      <c r="BC10" s="54">
        <v>279.73</v>
      </c>
      <c r="BD10" s="54">
        <v>325.63000000000011</v>
      </c>
      <c r="BE10" s="54">
        <v>290.94</v>
      </c>
      <c r="BF10" s="54">
        <v>248.82000000000005</v>
      </c>
      <c r="BG10" s="54">
        <v>388.70000000000005</v>
      </c>
      <c r="BH10" s="54">
        <v>355.71</v>
      </c>
      <c r="BI10" s="54">
        <v>264.5200000000001</v>
      </c>
      <c r="BJ10" s="54">
        <v>324.20000000000005</v>
      </c>
      <c r="BK10" s="54">
        <v>284.39999999999998</v>
      </c>
      <c r="BL10" s="54">
        <v>244.34</v>
      </c>
      <c r="BM10" s="54">
        <v>425.55000000000007</v>
      </c>
      <c r="BN10" s="54">
        <v>384.48000000000013</v>
      </c>
      <c r="BO10" s="54">
        <v>288.8599999999999</v>
      </c>
      <c r="BP10" s="54">
        <v>350.31999999999994</v>
      </c>
      <c r="BQ10" s="54">
        <v>311.60999999999996</v>
      </c>
      <c r="BR10" s="54">
        <v>258.62000000000006</v>
      </c>
      <c r="BS10" s="54">
        <v>445.38000000000011</v>
      </c>
      <c r="BT10" s="54">
        <v>400.53000000000003</v>
      </c>
      <c r="BU10" s="54">
        <v>301.33999999999992</v>
      </c>
      <c r="BV10" s="54">
        <v>366.03000000000009</v>
      </c>
      <c r="BW10" s="54">
        <v>321.07</v>
      </c>
      <c r="BX10" s="54">
        <v>261.93</v>
      </c>
    </row>
    <row r="11" spans="1:76" x14ac:dyDescent="0.3">
      <c r="A11" s="7" t="s">
        <v>89</v>
      </c>
      <c r="B11" s="7" t="s">
        <v>8</v>
      </c>
      <c r="C11" s="7" t="s">
        <v>111</v>
      </c>
      <c r="D11" s="7" t="s">
        <v>115</v>
      </c>
      <c r="E11" s="54">
        <v>-18.085709565412223</v>
      </c>
      <c r="F11" s="54">
        <v>-14.503167562724073</v>
      </c>
      <c r="G11" s="54">
        <v>-45.182274712854294</v>
      </c>
      <c r="H11" s="54">
        <v>-84.586602262544773</v>
      </c>
      <c r="I11" s="54">
        <v>-69.784441644265229</v>
      </c>
      <c r="J11" s="54">
        <v>-56.655099686379941</v>
      </c>
      <c r="K11" s="54">
        <v>-15.974408602150492</v>
      </c>
      <c r="L11" s="54">
        <v>-13.041895721326192</v>
      </c>
      <c r="M11" s="54">
        <v>-44.325270351215586</v>
      </c>
      <c r="N11" s="54">
        <v>-83.739962477598624</v>
      </c>
      <c r="O11" s="54">
        <v>-77.044466845878176</v>
      </c>
      <c r="P11" s="54">
        <v>-56.90350567827651</v>
      </c>
      <c r="Q11" s="54">
        <v>-15.041450492831565</v>
      </c>
      <c r="R11" s="54">
        <v>-10.124946796595147</v>
      </c>
      <c r="S11" s="54">
        <v>-43.872654569892418</v>
      </c>
      <c r="T11" s="54">
        <v>-82.691677867383518</v>
      </c>
      <c r="U11" s="54">
        <v>-61.932425515232921</v>
      </c>
      <c r="V11" s="54">
        <v>-56.329816308243743</v>
      </c>
      <c r="W11" s="54">
        <v>-85.067249103942586</v>
      </c>
      <c r="X11" s="54">
        <v>-82.481674842347815</v>
      </c>
      <c r="Y11" s="54">
        <v>-44.053451418796463</v>
      </c>
      <c r="Z11" s="54">
        <v>-60.423729278673896</v>
      </c>
      <c r="AA11" s="54">
        <v>-57.193544466845879</v>
      </c>
      <c r="AB11" s="54">
        <v>-34.894521647291121</v>
      </c>
      <c r="AC11" s="54">
        <v>-85.129412132811225</v>
      </c>
      <c r="AD11" s="54">
        <v>-82.385445788530461</v>
      </c>
      <c r="AE11" s="54">
        <v>-57.66134856630822</v>
      </c>
      <c r="AF11" s="54">
        <v>-79.774838880123156</v>
      </c>
      <c r="AG11" s="54">
        <v>-76.769265232974888</v>
      </c>
      <c r="AH11" s="54">
        <v>-55.893053875448075</v>
      </c>
      <c r="AI11" s="54">
        <v>-15.346813396057367</v>
      </c>
      <c r="AJ11" s="54">
        <v>-7.3006614937641823</v>
      </c>
      <c r="AK11" s="54">
        <v>-43.596159274193582</v>
      </c>
      <c r="AL11" s="54">
        <v>-81.644148745519729</v>
      </c>
      <c r="AM11" s="54">
        <v>-70.470960461469616</v>
      </c>
      <c r="AN11" s="54">
        <v>-55.974930555555467</v>
      </c>
      <c r="AO11" s="54">
        <v>-16.103791859836235</v>
      </c>
      <c r="AP11" s="54">
        <v>-13.02929043458767</v>
      </c>
      <c r="AQ11" s="54">
        <v>-44.589964717741907</v>
      </c>
      <c r="AR11" s="54">
        <v>-75.213377433313028</v>
      </c>
      <c r="AS11" s="54">
        <v>-79.889011536738337</v>
      </c>
      <c r="AT11" s="54">
        <v>-56.738517585125379</v>
      </c>
      <c r="AU11" s="54">
        <v>-85.348152849055168</v>
      </c>
      <c r="AV11" s="54">
        <v>-82.787032370071671</v>
      </c>
      <c r="AW11" s="54">
        <v>-56.218846886200716</v>
      </c>
      <c r="AX11" s="54">
        <v>-62.230109959358735</v>
      </c>
      <c r="AY11" s="54">
        <v>-67.934876792114736</v>
      </c>
      <c r="AZ11" s="54">
        <v>-45.785824372759798</v>
      </c>
      <c r="BA11" s="54">
        <v>3.7119198028674472</v>
      </c>
      <c r="BB11" s="54">
        <v>6.3683658154121137</v>
      </c>
      <c r="BC11" s="54">
        <v>-25.498991535458202</v>
      </c>
      <c r="BD11" s="54">
        <v>-71.436713149641619</v>
      </c>
      <c r="BE11" s="54">
        <v>-53.573730958781375</v>
      </c>
      <c r="BF11" s="54">
        <v>-46.139060259856592</v>
      </c>
      <c r="BG11" s="54">
        <v>-76.308372535842324</v>
      </c>
      <c r="BH11" s="54">
        <v>-74.594813508064632</v>
      </c>
      <c r="BI11" s="54">
        <v>-48.422428493830829</v>
      </c>
      <c r="BJ11" s="54">
        <v>-57.610360663082446</v>
      </c>
      <c r="BK11" s="54">
        <v>-54.301321684587791</v>
      </c>
      <c r="BL11" s="54">
        <v>-45.757534900640721</v>
      </c>
      <c r="BM11" s="54">
        <v>-17.035212253584177</v>
      </c>
      <c r="BN11" s="54">
        <v>-11.470807809275563</v>
      </c>
      <c r="BO11" s="54">
        <v>-44.544969359134882</v>
      </c>
      <c r="BP11" s="54">
        <v>-73.745568996415713</v>
      </c>
      <c r="BQ11" s="54">
        <v>-67.442076290458402</v>
      </c>
      <c r="BR11" s="54">
        <v>-46.906071509672522</v>
      </c>
      <c r="BS11" s="54">
        <v>3.4703617831540745</v>
      </c>
      <c r="BT11" s="54">
        <v>-5.9267903298537705</v>
      </c>
      <c r="BU11" s="54">
        <v>-36.648238127240162</v>
      </c>
      <c r="BV11" s="54">
        <v>-84.26148465501781</v>
      </c>
      <c r="BW11" s="54">
        <v>-71.924199708781387</v>
      </c>
      <c r="BX11" s="54">
        <v>-55.087355362171579</v>
      </c>
    </row>
    <row r="12" spans="1:76" x14ac:dyDescent="0.3">
      <c r="A12" s="7" t="s">
        <v>89</v>
      </c>
      <c r="B12" s="7" t="s">
        <v>8</v>
      </c>
      <c r="C12" s="7" t="s">
        <v>111</v>
      </c>
      <c r="D12" s="7" t="s">
        <v>118</v>
      </c>
      <c r="E12" s="54">
        <v>325.43482426075275</v>
      </c>
      <c r="F12" s="54">
        <v>289.82809946236563</v>
      </c>
      <c r="G12" s="54">
        <v>184.31438517228747</v>
      </c>
      <c r="H12" s="54">
        <v>222.76178864247308</v>
      </c>
      <c r="I12" s="54">
        <v>187.24558501344092</v>
      </c>
      <c r="J12" s="54">
        <v>145.20444018817201</v>
      </c>
      <c r="K12" s="54">
        <v>303.85535483870973</v>
      </c>
      <c r="L12" s="54">
        <v>276.15361256720439</v>
      </c>
      <c r="M12" s="54">
        <v>175.90358778927074</v>
      </c>
      <c r="N12" s="54">
        <v>211.36977251344092</v>
      </c>
      <c r="O12" s="54">
        <v>182.72331989247314</v>
      </c>
      <c r="P12" s="54">
        <v>147.22539659303413</v>
      </c>
      <c r="Q12" s="54">
        <v>293.47762970430114</v>
      </c>
      <c r="R12" s="54">
        <v>267.89378192204305</v>
      </c>
      <c r="S12" s="54">
        <v>170.67140725806451</v>
      </c>
      <c r="T12" s="54">
        <v>201.55999327956997</v>
      </c>
      <c r="U12" s="54">
        <v>178.93679469086021</v>
      </c>
      <c r="V12" s="54">
        <v>141.25211021505379</v>
      </c>
      <c r="W12" s="54">
        <v>227.25965053763431</v>
      </c>
      <c r="X12" s="54">
        <v>202.1759950945914</v>
      </c>
      <c r="Y12" s="54">
        <v>153.01917914872209</v>
      </c>
      <c r="Z12" s="54">
        <v>197.41201243279571</v>
      </c>
      <c r="AA12" s="54">
        <v>165.10262331989244</v>
      </c>
      <c r="AB12" s="54">
        <v>142.19578701162527</v>
      </c>
      <c r="AC12" s="54">
        <v>226.72360272031321</v>
      </c>
      <c r="AD12" s="54">
        <v>201.81373252688184</v>
      </c>
      <c r="AE12" s="54">
        <v>143.11319086021513</v>
      </c>
      <c r="AF12" s="54">
        <v>174.16384667192619</v>
      </c>
      <c r="AG12" s="54">
        <v>146.13844086021498</v>
      </c>
      <c r="AH12" s="54">
        <v>125.17791767473119</v>
      </c>
      <c r="AI12" s="54">
        <v>299.80441196236552</v>
      </c>
      <c r="AJ12" s="54">
        <v>271.86335310374153</v>
      </c>
      <c r="AK12" s="54">
        <v>166.79480443548388</v>
      </c>
      <c r="AL12" s="54">
        <v>189.83351075268817</v>
      </c>
      <c r="AM12" s="54">
        <v>168.84367372311848</v>
      </c>
      <c r="AN12" s="54">
        <v>136.25004166666665</v>
      </c>
      <c r="AO12" s="54">
        <v>306.48147488409825</v>
      </c>
      <c r="AP12" s="54">
        <v>276.33617573924749</v>
      </c>
      <c r="AQ12" s="54">
        <v>176.0947711693548</v>
      </c>
      <c r="AR12" s="54">
        <v>203.50072354001213</v>
      </c>
      <c r="AS12" s="54">
        <v>173.06284307795704</v>
      </c>
      <c r="AT12" s="54">
        <v>143.39563944892475</v>
      </c>
      <c r="AU12" s="54">
        <v>229.37485829056703</v>
      </c>
      <c r="AV12" s="54">
        <v>205.92153057795693</v>
      </c>
      <c r="AW12" s="54">
        <v>152.09244186827954</v>
      </c>
      <c r="AX12" s="54">
        <v>195.96943402438484</v>
      </c>
      <c r="AY12" s="54">
        <v>163.79407392473121</v>
      </c>
      <c r="AZ12" s="54">
        <v>136.72850537634406</v>
      </c>
      <c r="BA12" s="54">
        <v>303.03215188172049</v>
      </c>
      <c r="BB12" s="54">
        <v>278.11351948924744</v>
      </c>
      <c r="BC12" s="54">
        <v>179.46435507872505</v>
      </c>
      <c r="BD12" s="54">
        <v>192.06422211021513</v>
      </c>
      <c r="BE12" s="54">
        <v>172.42826142473123</v>
      </c>
      <c r="BF12" s="54">
        <v>140.03406384408601</v>
      </c>
      <c r="BG12" s="54">
        <v>244.32747647849462</v>
      </c>
      <c r="BH12" s="54">
        <v>216.48936189516132</v>
      </c>
      <c r="BI12" s="54">
        <v>152.40154290370157</v>
      </c>
      <c r="BJ12" s="54">
        <v>199.10878360215057</v>
      </c>
      <c r="BK12" s="54">
        <v>166.26920698924729</v>
      </c>
      <c r="BL12" s="54">
        <v>136.34297905961557</v>
      </c>
      <c r="BM12" s="54">
        <v>312.13512264784947</v>
      </c>
      <c r="BN12" s="54">
        <v>279.53751531443481</v>
      </c>
      <c r="BO12" s="54">
        <v>176.02551838451907</v>
      </c>
      <c r="BP12" s="54">
        <v>212.28265860215046</v>
      </c>
      <c r="BQ12" s="54">
        <v>182.19350422572501</v>
      </c>
      <c r="BR12" s="54">
        <v>148.14885709419656</v>
      </c>
      <c r="BS12" s="54">
        <v>341.78971706989245</v>
      </c>
      <c r="BT12" s="54">
        <v>296.90767580208785</v>
      </c>
      <c r="BU12" s="54">
        <v>191.68355712365593</v>
      </c>
      <c r="BV12" s="54">
        <v>219.71935920698925</v>
      </c>
      <c r="BW12" s="54">
        <v>187.78173017473131</v>
      </c>
      <c r="BX12" s="54">
        <v>146.13633678269699</v>
      </c>
    </row>
    <row r="13" spans="1:76" x14ac:dyDescent="0.3">
      <c r="A13" s="7" t="s">
        <v>89</v>
      </c>
      <c r="B13" s="7" t="s">
        <v>8</v>
      </c>
      <c r="C13" s="7" t="s">
        <v>115</v>
      </c>
      <c r="D13" s="7" t="s">
        <v>116</v>
      </c>
      <c r="E13" s="54">
        <v>384.05039191308242</v>
      </c>
      <c r="F13" s="54">
        <v>341.26263351254482</v>
      </c>
      <c r="G13" s="54">
        <v>250.33720494257093</v>
      </c>
      <c r="H13" s="54">
        <v>327.40407045250896</v>
      </c>
      <c r="I13" s="54">
        <v>274.97213832885302</v>
      </c>
      <c r="J13" s="54">
        <v>216.72251993727599</v>
      </c>
      <c r="K13" s="54">
        <v>358.17088172043032</v>
      </c>
      <c r="L13" s="54">
        <v>324.75612914426512</v>
      </c>
      <c r="M13" s="54">
        <v>240.22080407024316</v>
      </c>
      <c r="N13" s="54">
        <v>313.97474249551993</v>
      </c>
      <c r="O13" s="54">
        <v>276.23889336917551</v>
      </c>
      <c r="P13" s="54">
        <v>219.19020113565523</v>
      </c>
      <c r="Q13" s="54">
        <v>345.79679009856636</v>
      </c>
      <c r="R13" s="54">
        <v>313.01873935931889</v>
      </c>
      <c r="S13" s="54">
        <v>233.99753091397858</v>
      </c>
      <c r="T13" s="54">
        <v>302.13333557347676</v>
      </c>
      <c r="U13" s="54">
        <v>258.89373510304671</v>
      </c>
      <c r="V13" s="54">
        <v>212.03596326164865</v>
      </c>
      <c r="W13" s="54">
        <v>332.83344982078853</v>
      </c>
      <c r="X13" s="54">
        <v>302.63733496846947</v>
      </c>
      <c r="Y13" s="54">
        <v>214.48494028375941</v>
      </c>
      <c r="Z13" s="54">
        <v>278.1699958557349</v>
      </c>
      <c r="AA13" s="54">
        <v>239.36245889336917</v>
      </c>
      <c r="AB13" s="54">
        <v>194.46940432945826</v>
      </c>
      <c r="AC13" s="54">
        <v>332.29013242656214</v>
      </c>
      <c r="AD13" s="54">
        <v>302.15008915770602</v>
      </c>
      <c r="AE13" s="54">
        <v>215.26626971326169</v>
      </c>
      <c r="AF13" s="54">
        <v>269.07271777602483</v>
      </c>
      <c r="AG13" s="54">
        <v>235.23385304659493</v>
      </c>
      <c r="AH13" s="54">
        <v>193.74536077508975</v>
      </c>
      <c r="AI13" s="54">
        <v>353.11186267921136</v>
      </c>
      <c r="AJ13" s="54">
        <v>314.98888229875297</v>
      </c>
      <c r="AK13" s="54">
        <v>229.43773185483883</v>
      </c>
      <c r="AL13" s="54">
        <v>288.15682974910419</v>
      </c>
      <c r="AM13" s="54">
        <v>255.06344209229414</v>
      </c>
      <c r="AN13" s="54">
        <v>206.15398611111124</v>
      </c>
      <c r="AO13" s="54">
        <v>361.20950837196733</v>
      </c>
      <c r="AP13" s="54">
        <v>324.94860808691772</v>
      </c>
      <c r="AQ13" s="54">
        <v>240.6637429435483</v>
      </c>
      <c r="AR13" s="54">
        <v>297.80042548666262</v>
      </c>
      <c r="AS13" s="54">
        <v>267.94505230734768</v>
      </c>
      <c r="AT13" s="54">
        <v>214.7794535170251</v>
      </c>
      <c r="AU13" s="54">
        <v>335.43438056981103</v>
      </c>
      <c r="AV13" s="54">
        <v>307.07615647401434</v>
      </c>
      <c r="AW13" s="54">
        <v>230.41251937723993</v>
      </c>
      <c r="AX13" s="54">
        <v>278.13152199187164</v>
      </c>
      <c r="AY13" s="54">
        <v>247.23397535842295</v>
      </c>
      <c r="AZ13" s="54">
        <v>197.83716487455206</v>
      </c>
      <c r="BA13" s="54">
        <v>340.1546160394264</v>
      </c>
      <c r="BB13" s="54">
        <v>310.08082683691754</v>
      </c>
      <c r="BC13" s="54">
        <v>227.83654830709165</v>
      </c>
      <c r="BD13" s="54">
        <v>281.77659262992825</v>
      </c>
      <c r="BE13" s="54">
        <v>244.38124619175628</v>
      </c>
      <c r="BF13" s="54">
        <v>201.82731205197135</v>
      </c>
      <c r="BG13" s="54">
        <v>344.24417450716851</v>
      </c>
      <c r="BH13" s="54">
        <v>311.73621270161277</v>
      </c>
      <c r="BI13" s="54">
        <v>217.59148569876618</v>
      </c>
      <c r="BJ13" s="54">
        <v>277.61707213261656</v>
      </c>
      <c r="BK13" s="54">
        <v>238.15026433691776</v>
      </c>
      <c r="BL13" s="54">
        <v>197.38300698012813</v>
      </c>
      <c r="BM13" s="54">
        <v>368.31829245071691</v>
      </c>
      <c r="BN13" s="54">
        <v>327.16216156185516</v>
      </c>
      <c r="BO13" s="54">
        <v>240.54749387182704</v>
      </c>
      <c r="BP13" s="54">
        <v>306.31111379928313</v>
      </c>
      <c r="BQ13" s="54">
        <v>267.30816525809178</v>
      </c>
      <c r="BR13" s="54">
        <v>211.53571430193452</v>
      </c>
      <c r="BS13" s="54">
        <v>383.55142764336938</v>
      </c>
      <c r="BT13" s="54">
        <v>341.70210806597055</v>
      </c>
      <c r="BU13" s="54">
        <v>251.1361476254481</v>
      </c>
      <c r="BV13" s="54">
        <v>323.73154693100383</v>
      </c>
      <c r="BW13" s="54">
        <v>277.4280899417563</v>
      </c>
      <c r="BX13" s="54">
        <v>216.39922107243436</v>
      </c>
    </row>
    <row r="14" spans="1:76" x14ac:dyDescent="0.3">
      <c r="A14" s="7" t="s">
        <v>89</v>
      </c>
      <c r="B14" s="7" t="s">
        <v>8</v>
      </c>
      <c r="C14" s="7" t="s">
        <v>115</v>
      </c>
      <c r="D14" s="7" t="s">
        <v>117</v>
      </c>
      <c r="E14" s="54">
        <v>414.92478382616468</v>
      </c>
      <c r="F14" s="54">
        <v>363.86926702508958</v>
      </c>
      <c r="G14" s="54">
        <v>261.65840988514157</v>
      </c>
      <c r="H14" s="54">
        <v>359.0241409050181</v>
      </c>
      <c r="I14" s="54">
        <v>294.75227665770643</v>
      </c>
      <c r="J14" s="54">
        <v>223.89303987455202</v>
      </c>
      <c r="K14" s="54">
        <v>384.05376344086028</v>
      </c>
      <c r="L14" s="54">
        <v>344.1602582885306</v>
      </c>
      <c r="M14" s="54">
        <v>249.58560814048613</v>
      </c>
      <c r="N14" s="54">
        <v>343.04548499103959</v>
      </c>
      <c r="O14" s="54">
        <v>297.43778673835129</v>
      </c>
      <c r="P14" s="54">
        <v>226.84440227131054</v>
      </c>
      <c r="Q14" s="54">
        <v>369.30558019713254</v>
      </c>
      <c r="R14" s="54">
        <v>329.83747871863756</v>
      </c>
      <c r="S14" s="54">
        <v>242.17106182795712</v>
      </c>
      <c r="T14" s="54">
        <v>328.9066711469535</v>
      </c>
      <c r="U14" s="54">
        <v>274.49947020609324</v>
      </c>
      <c r="V14" s="54">
        <v>218.31192652329756</v>
      </c>
      <c r="W14" s="54">
        <v>365.50689964157692</v>
      </c>
      <c r="X14" s="54">
        <v>329.46666993693907</v>
      </c>
      <c r="Y14" s="54">
        <v>219.18588056751864</v>
      </c>
      <c r="Z14" s="54">
        <v>296.98799171146948</v>
      </c>
      <c r="AA14" s="54">
        <v>250.68491778673851</v>
      </c>
      <c r="AB14" s="54">
        <v>194.07480865891657</v>
      </c>
      <c r="AC14" s="54">
        <v>364.8762648531245</v>
      </c>
      <c r="AD14" s="54">
        <v>328.87617831541218</v>
      </c>
      <c r="AE14" s="54">
        <v>222.34053942652343</v>
      </c>
      <c r="AF14" s="54">
        <v>289.43343555204916</v>
      </c>
      <c r="AG14" s="54">
        <v>249.02770609319003</v>
      </c>
      <c r="AH14" s="54">
        <v>196.66672155017918</v>
      </c>
      <c r="AI14" s="54">
        <v>377.98372535842304</v>
      </c>
      <c r="AJ14" s="54">
        <v>331.69776459750568</v>
      </c>
      <c r="AK14" s="54">
        <v>236.74746370967736</v>
      </c>
      <c r="AL14" s="54">
        <v>312.24965949820785</v>
      </c>
      <c r="AM14" s="54">
        <v>271.38288418458757</v>
      </c>
      <c r="AN14" s="54">
        <v>211.3159722222222</v>
      </c>
      <c r="AO14" s="54">
        <v>387.65901674393444</v>
      </c>
      <c r="AP14" s="54">
        <v>344.38521617383498</v>
      </c>
      <c r="AQ14" s="54">
        <v>250.15148588709678</v>
      </c>
      <c r="AR14" s="54">
        <v>322.56885097332531</v>
      </c>
      <c r="AS14" s="54">
        <v>288.12210461469533</v>
      </c>
      <c r="AT14" s="54">
        <v>221.6149070340503</v>
      </c>
      <c r="AU14" s="54">
        <v>368.62076113962195</v>
      </c>
      <c r="AV14" s="54">
        <v>334.75231294802876</v>
      </c>
      <c r="AW14" s="54">
        <v>234.14503875448011</v>
      </c>
      <c r="AX14" s="54">
        <v>297.23904398374356</v>
      </c>
      <c r="AY14" s="54">
        <v>261.7319507168454</v>
      </c>
      <c r="AZ14" s="54">
        <v>199.83432974910386</v>
      </c>
      <c r="BA14" s="54">
        <v>359.57323207885293</v>
      </c>
      <c r="BB14" s="54">
        <v>323.66565367383515</v>
      </c>
      <c r="BC14" s="54">
        <v>231.88909661418333</v>
      </c>
      <c r="BD14" s="54">
        <v>303.0491852598567</v>
      </c>
      <c r="BE14" s="54">
        <v>256.01049238351249</v>
      </c>
      <c r="BF14" s="54">
        <v>204.5986241039426</v>
      </c>
      <c r="BG14" s="54">
        <v>377.52834901433687</v>
      </c>
      <c r="BH14" s="54">
        <v>338.90442540322584</v>
      </c>
      <c r="BI14" s="54">
        <v>223.56697139753234</v>
      </c>
      <c r="BJ14" s="54">
        <v>295.87414426523304</v>
      </c>
      <c r="BK14" s="54">
        <v>248.78052867383494</v>
      </c>
      <c r="BL14" s="54">
        <v>199.29401396025636</v>
      </c>
      <c r="BM14" s="54">
        <v>396.19658490143371</v>
      </c>
      <c r="BN14" s="54">
        <v>346.74032312371025</v>
      </c>
      <c r="BO14" s="54">
        <v>250.0069877436537</v>
      </c>
      <c r="BP14" s="54">
        <v>332.36622759856635</v>
      </c>
      <c r="BQ14" s="54">
        <v>285.32833051618331</v>
      </c>
      <c r="BR14" s="54">
        <v>216.17542860386908</v>
      </c>
      <c r="BS14" s="54">
        <v>410.79885528673833</v>
      </c>
      <c r="BT14" s="54">
        <v>362.98021613194175</v>
      </c>
      <c r="BU14" s="54">
        <v>261.20029525089603</v>
      </c>
      <c r="BV14" s="54">
        <v>354.6390938620072</v>
      </c>
      <c r="BW14" s="54">
        <v>298.00017988351215</v>
      </c>
      <c r="BX14" s="54">
        <v>223.25444214486879</v>
      </c>
    </row>
    <row r="15" spans="1:76" x14ac:dyDescent="0.3">
      <c r="A15" s="7" t="s">
        <v>89</v>
      </c>
      <c r="B15" s="7" t="s">
        <v>8</v>
      </c>
      <c r="C15" s="7" t="s">
        <v>116</v>
      </c>
      <c r="D15" s="7" t="s">
        <v>117</v>
      </c>
      <c r="E15" s="54">
        <v>-57.419608086917485</v>
      </c>
      <c r="F15" s="54">
        <v>-57.057366487455297</v>
      </c>
      <c r="G15" s="54">
        <v>-48.432795057429033</v>
      </c>
      <c r="H15" s="54">
        <v>-42.32592954749115</v>
      </c>
      <c r="I15" s="54">
        <v>-44.017861671147074</v>
      </c>
      <c r="J15" s="54">
        <v>-45.217480062723972</v>
      </c>
      <c r="K15" s="54">
        <v>-57.189118279569854</v>
      </c>
      <c r="L15" s="54">
        <v>-56.933870855734867</v>
      </c>
      <c r="M15" s="54">
        <v>-48.349195929756839</v>
      </c>
      <c r="N15" s="54">
        <v>-42.15525750448024</v>
      </c>
      <c r="O15" s="54">
        <v>-42.561106630824462</v>
      </c>
      <c r="P15" s="54">
        <v>-45.229798864344751</v>
      </c>
      <c r="Q15" s="54">
        <v>-57.063209901433765</v>
      </c>
      <c r="R15" s="54">
        <v>-57.231260640681072</v>
      </c>
      <c r="S15" s="54">
        <v>-48.282469086021521</v>
      </c>
      <c r="T15" s="54">
        <v>-42.066664426523289</v>
      </c>
      <c r="U15" s="54">
        <v>-45.216264896953405</v>
      </c>
      <c r="V15" s="54">
        <v>-45.164036738351228</v>
      </c>
      <c r="W15" s="54">
        <v>-42.36655017921143</v>
      </c>
      <c r="X15" s="54">
        <v>-42.122665031530502</v>
      </c>
      <c r="Y15" s="54">
        <v>-47.745059716240654</v>
      </c>
      <c r="Z15" s="54">
        <v>-46.020004144265101</v>
      </c>
      <c r="AA15" s="54">
        <v>-45.687541106630761</v>
      </c>
      <c r="AB15" s="54">
        <v>-49.11059567054177</v>
      </c>
      <c r="AC15" s="54">
        <v>-42.339867573437886</v>
      </c>
      <c r="AD15" s="54">
        <v>-42.129910842294116</v>
      </c>
      <c r="AE15" s="54">
        <v>-44.973730286738345</v>
      </c>
      <c r="AF15" s="54">
        <v>-41.817282223975297</v>
      </c>
      <c r="AG15" s="54">
        <v>-41.566146953404996</v>
      </c>
      <c r="AH15" s="54">
        <v>-44.784639224910272</v>
      </c>
      <c r="AI15" s="54">
        <v>-57.188137320788535</v>
      </c>
      <c r="AJ15" s="54">
        <v>-57.861117701247132</v>
      </c>
      <c r="AK15" s="54">
        <v>-48.222268145161287</v>
      </c>
      <c r="AL15" s="54">
        <v>-41.923170250895978</v>
      </c>
      <c r="AM15" s="54">
        <v>-43.366557907705825</v>
      </c>
      <c r="AN15" s="54">
        <v>-45.086013888888886</v>
      </c>
      <c r="AO15" s="54">
        <v>-57.240491628032686</v>
      </c>
      <c r="AP15" s="54">
        <v>-56.941391913082342</v>
      </c>
      <c r="AQ15" s="54">
        <v>-48.306257056451642</v>
      </c>
      <c r="AR15" s="54">
        <v>-43.489574513337459</v>
      </c>
      <c r="AS15" s="54">
        <v>-41.764947692652377</v>
      </c>
      <c r="AT15" s="54">
        <v>-45.150546482974896</v>
      </c>
      <c r="AU15" s="54">
        <v>-42.375619430188969</v>
      </c>
      <c r="AV15" s="54">
        <v>-42.173843525985632</v>
      </c>
      <c r="AW15" s="54">
        <v>-52.937480622759601</v>
      </c>
      <c r="AX15" s="54">
        <v>-45.648478008128322</v>
      </c>
      <c r="AY15" s="54">
        <v>-43.686024641577113</v>
      </c>
      <c r="AZ15" s="54">
        <v>-46.962835125447967</v>
      </c>
      <c r="BA15" s="54">
        <v>-60.765383960573629</v>
      </c>
      <c r="BB15" s="54">
        <v>-60.539173163082658</v>
      </c>
      <c r="BC15" s="54">
        <v>-51.893451692908378</v>
      </c>
      <c r="BD15" s="54">
        <v>-43.853407370071707</v>
      </c>
      <c r="BE15" s="54">
        <v>-46.558753808243701</v>
      </c>
      <c r="BF15" s="54">
        <v>-46.992687948028689</v>
      </c>
      <c r="BG15" s="54">
        <v>-44.455825492831558</v>
      </c>
      <c r="BH15" s="54">
        <v>-43.973787298387194</v>
      </c>
      <c r="BI15" s="54">
        <v>-46.92851430123379</v>
      </c>
      <c r="BJ15" s="54">
        <v>-46.582927867383496</v>
      </c>
      <c r="BK15" s="54">
        <v>-46.249735663082213</v>
      </c>
      <c r="BL15" s="54">
        <v>-46.956993019871888</v>
      </c>
      <c r="BM15" s="54">
        <v>-57.231707549283193</v>
      </c>
      <c r="BN15" s="54">
        <v>-57.317838438144975</v>
      </c>
      <c r="BO15" s="54">
        <v>-48.312506128172949</v>
      </c>
      <c r="BP15" s="54">
        <v>-44.008886200716859</v>
      </c>
      <c r="BQ15" s="54">
        <v>-44.301834741908408</v>
      </c>
      <c r="BR15" s="54">
        <v>-47.084285698065557</v>
      </c>
      <c r="BS15" s="54">
        <v>-61.828572356630751</v>
      </c>
      <c r="BT15" s="54">
        <v>-58.827891934029488</v>
      </c>
      <c r="BU15" s="54">
        <v>-50.203852374551936</v>
      </c>
      <c r="BV15" s="54">
        <v>-42.29845306899638</v>
      </c>
      <c r="BW15" s="54">
        <v>-43.641910058243695</v>
      </c>
      <c r="BX15" s="54">
        <v>-45.530778927565628</v>
      </c>
    </row>
    <row r="16" spans="1:76" x14ac:dyDescent="0.3">
      <c r="A16" s="7" t="s">
        <v>89</v>
      </c>
      <c r="B16" s="7" t="s">
        <v>8</v>
      </c>
      <c r="C16" s="7" t="s">
        <v>117</v>
      </c>
      <c r="D16" s="7" t="s">
        <v>118</v>
      </c>
      <c r="E16" s="54">
        <v>116.03517573924726</v>
      </c>
      <c r="F16" s="54">
        <v>108.49190053763435</v>
      </c>
      <c r="G16" s="54">
        <v>114.45561482771249</v>
      </c>
      <c r="H16" s="54">
        <v>146.96821135752691</v>
      </c>
      <c r="I16" s="54">
        <v>131.74441498655921</v>
      </c>
      <c r="J16" s="54">
        <v>116.73555981182793</v>
      </c>
      <c r="K16" s="54">
        <v>111.50464516129044</v>
      </c>
      <c r="L16" s="54">
        <v>105.53638743279569</v>
      </c>
      <c r="M16" s="54">
        <v>112.66641221072926</v>
      </c>
      <c r="N16" s="54">
        <v>144.76022748655913</v>
      </c>
      <c r="O16" s="54">
        <v>136.07668010752684</v>
      </c>
      <c r="P16" s="54">
        <v>117.19460340696585</v>
      </c>
      <c r="Q16" s="54">
        <v>109.38237029569886</v>
      </c>
      <c r="R16" s="54">
        <v>102.35621807795692</v>
      </c>
      <c r="S16" s="54">
        <v>111.60859274193547</v>
      </c>
      <c r="T16" s="54">
        <v>142.64000672043008</v>
      </c>
      <c r="U16" s="54">
        <v>125.17320530913989</v>
      </c>
      <c r="V16" s="54">
        <v>115.94788978494618</v>
      </c>
      <c r="W16" s="54">
        <v>147.94034946236567</v>
      </c>
      <c r="X16" s="54">
        <v>142.58400490540868</v>
      </c>
      <c r="Y16" s="54">
        <v>109.21082085127787</v>
      </c>
      <c r="Z16" s="54">
        <v>126.77798756720438</v>
      </c>
      <c r="AA16" s="54">
        <v>119.94737668010758</v>
      </c>
      <c r="AB16" s="54">
        <v>101.38421298837474</v>
      </c>
      <c r="AC16" s="54">
        <v>147.90639727968667</v>
      </c>
      <c r="AD16" s="54">
        <v>142.46626747311819</v>
      </c>
      <c r="AE16" s="54">
        <v>117.12680913978491</v>
      </c>
      <c r="AF16" s="54">
        <v>136.72615332807391</v>
      </c>
      <c r="AG16" s="54">
        <v>130.66155913978506</v>
      </c>
      <c r="AH16" s="54">
        <v>113.35208232526894</v>
      </c>
      <c r="AI16" s="54">
        <v>110.49558803763438</v>
      </c>
      <c r="AJ16" s="54">
        <v>100.98664689625846</v>
      </c>
      <c r="AK16" s="54">
        <v>110.86519556451613</v>
      </c>
      <c r="AL16" s="54">
        <v>140.24648924731187</v>
      </c>
      <c r="AM16" s="54">
        <v>129.58632627688149</v>
      </c>
      <c r="AN16" s="54">
        <v>114.98995833333336</v>
      </c>
      <c r="AO16" s="54">
        <v>111.96852511590171</v>
      </c>
      <c r="AP16" s="54">
        <v>105.55382426075255</v>
      </c>
      <c r="AQ16" s="54">
        <v>112.87522883064516</v>
      </c>
      <c r="AR16" s="54">
        <v>137.78927645998783</v>
      </c>
      <c r="AS16" s="54">
        <v>136.647156922043</v>
      </c>
      <c r="AT16" s="54">
        <v>116.53436055107535</v>
      </c>
      <c r="AU16" s="54">
        <v>148.43514170943305</v>
      </c>
      <c r="AV16" s="54">
        <v>143.32846942204301</v>
      </c>
      <c r="AW16" s="54">
        <v>114.55755813172053</v>
      </c>
      <c r="AX16" s="54">
        <v>127.81056597561525</v>
      </c>
      <c r="AY16" s="54">
        <v>127.12592607526885</v>
      </c>
      <c r="AZ16" s="54">
        <v>108.07149462365595</v>
      </c>
      <c r="BA16" s="54">
        <v>97.88784811827955</v>
      </c>
      <c r="BB16" s="54">
        <v>92.506480510752496</v>
      </c>
      <c r="BC16" s="54">
        <v>100.26564492127498</v>
      </c>
      <c r="BD16" s="54">
        <v>133.56577788978495</v>
      </c>
      <c r="BE16" s="54">
        <v>118.51173857526875</v>
      </c>
      <c r="BF16" s="54">
        <v>108.78593615591392</v>
      </c>
      <c r="BG16" s="54">
        <v>144.37252352150543</v>
      </c>
      <c r="BH16" s="54">
        <v>139.22063810483886</v>
      </c>
      <c r="BI16" s="54">
        <v>112.11845709629853</v>
      </c>
      <c r="BJ16" s="54">
        <v>125.09121639784948</v>
      </c>
      <c r="BK16" s="54">
        <v>118.13079301075268</v>
      </c>
      <c r="BL16" s="54">
        <v>107.99702094038443</v>
      </c>
      <c r="BM16" s="54">
        <v>113.4148773521505</v>
      </c>
      <c r="BN16" s="54">
        <v>104.94248468556522</v>
      </c>
      <c r="BO16" s="54">
        <v>112.83448161548093</v>
      </c>
      <c r="BP16" s="54">
        <v>138.0373413978495</v>
      </c>
      <c r="BQ16" s="54">
        <v>129.41649577427506</v>
      </c>
      <c r="BR16" s="54">
        <v>110.4711429058035</v>
      </c>
      <c r="BS16" s="54">
        <v>103.59028293010752</v>
      </c>
      <c r="BT16" s="54">
        <v>103.62232419791218</v>
      </c>
      <c r="BU16" s="54">
        <v>109.65644287634402</v>
      </c>
      <c r="BV16" s="54">
        <v>146.31064079301069</v>
      </c>
      <c r="BW16" s="54">
        <v>133.28826982526866</v>
      </c>
      <c r="BX16" s="54">
        <v>115.79366321730311</v>
      </c>
    </row>
    <row r="17" spans="1:76" x14ac:dyDescent="0.3">
      <c r="A17" s="7" t="s">
        <v>89</v>
      </c>
      <c r="B17" s="7" t="s">
        <v>9</v>
      </c>
      <c r="C17" s="7" t="s">
        <v>108</v>
      </c>
      <c r="D17" s="7" t="s">
        <v>111</v>
      </c>
      <c r="E17" s="54">
        <v>389.16113530465958</v>
      </c>
      <c r="F17" s="54">
        <v>407.28024247163773</v>
      </c>
      <c r="G17" s="54">
        <v>500.01854863147611</v>
      </c>
      <c r="H17" s="54">
        <v>552.95456362007167</v>
      </c>
      <c r="I17" s="54">
        <v>544.86800985663115</v>
      </c>
      <c r="J17" s="54">
        <v>514.77615949820813</v>
      </c>
      <c r="K17" s="54">
        <v>406.37829390680992</v>
      </c>
      <c r="L17" s="54">
        <v>413.25585035842295</v>
      </c>
      <c r="M17" s="54">
        <v>506.74559946236576</v>
      </c>
      <c r="N17" s="54">
        <v>561.92252060931901</v>
      </c>
      <c r="O17" s="54">
        <v>544.23874551971369</v>
      </c>
      <c r="P17" s="54">
        <v>490.92522759856649</v>
      </c>
      <c r="Q17" s="54">
        <v>359.71401971326202</v>
      </c>
      <c r="R17" s="54">
        <v>376.11518369175667</v>
      </c>
      <c r="S17" s="54">
        <v>427.56143894630605</v>
      </c>
      <c r="T17" s="54">
        <v>485.37593189964178</v>
      </c>
      <c r="U17" s="54">
        <v>503.84818189964142</v>
      </c>
      <c r="V17" s="54">
        <v>485.74069701082243</v>
      </c>
      <c r="W17" s="54">
        <v>549.34759856630831</v>
      </c>
      <c r="X17" s="54">
        <v>569.41999641577047</v>
      </c>
      <c r="Y17" s="54">
        <v>482.71110878886844</v>
      </c>
      <c r="Z17" s="54">
        <v>567.80983781361999</v>
      </c>
      <c r="AA17" s="54">
        <v>517.19001523297493</v>
      </c>
      <c r="AB17" s="54">
        <v>499.17524409352797</v>
      </c>
      <c r="AC17" s="54">
        <v>520.97106003584258</v>
      </c>
      <c r="AD17" s="54">
        <v>559.24791309297927</v>
      </c>
      <c r="AE17" s="54">
        <v>490.81015770609326</v>
      </c>
      <c r="AF17" s="54">
        <v>508.43574283154135</v>
      </c>
      <c r="AG17" s="54">
        <v>534.32602420409034</v>
      </c>
      <c r="AH17" s="54">
        <v>474.24488620071691</v>
      </c>
      <c r="AI17" s="54">
        <v>409.71490143369203</v>
      </c>
      <c r="AJ17" s="54">
        <v>392.45265769209794</v>
      </c>
      <c r="AK17" s="54">
        <v>445.49351075268828</v>
      </c>
      <c r="AL17" s="54">
        <v>364.34194056019663</v>
      </c>
      <c r="AM17" s="54">
        <v>344.54606091790453</v>
      </c>
      <c r="AN17" s="54">
        <v>432.03405376344085</v>
      </c>
      <c r="AO17" s="54">
        <v>404.34072132616495</v>
      </c>
      <c r="AP17" s="54">
        <v>406.69692399804512</v>
      </c>
      <c r="AQ17" s="54">
        <v>437.95263172043008</v>
      </c>
      <c r="AR17" s="54">
        <v>332.58240949820794</v>
      </c>
      <c r="AS17" s="54">
        <v>303.77556541218655</v>
      </c>
      <c r="AT17" s="54">
        <v>420.00594354838717</v>
      </c>
      <c r="AU17" s="54">
        <v>547.62654211469555</v>
      </c>
      <c r="AV17" s="54">
        <v>559.22421757901611</v>
      </c>
      <c r="AW17" s="54">
        <v>478.29531989247329</v>
      </c>
      <c r="AX17" s="54">
        <v>508.51030286738364</v>
      </c>
      <c r="AY17" s="54">
        <v>511.46664157706101</v>
      </c>
      <c r="AZ17" s="54">
        <v>484.16131899641601</v>
      </c>
      <c r="BA17" s="54">
        <v>400.72596057347698</v>
      </c>
      <c r="BB17" s="54">
        <v>420.70604121863806</v>
      </c>
      <c r="BC17" s="54">
        <v>437.83068548387115</v>
      </c>
      <c r="BD17" s="54">
        <v>566.86028942652354</v>
      </c>
      <c r="BE17" s="54">
        <v>530.20012007168509</v>
      </c>
      <c r="BF17" s="54">
        <v>481.5104964157706</v>
      </c>
      <c r="BG17" s="54">
        <v>408.78393369175626</v>
      </c>
      <c r="BH17" s="54">
        <v>397.39620340501824</v>
      </c>
      <c r="BI17" s="54">
        <v>467.81673146826552</v>
      </c>
      <c r="BJ17" s="54">
        <v>567.80324372759856</v>
      </c>
      <c r="BK17" s="54">
        <v>517.61863082437287</v>
      </c>
      <c r="BL17" s="54">
        <v>504.42108809908979</v>
      </c>
      <c r="BM17" s="54">
        <v>322.45633960573474</v>
      </c>
      <c r="BN17" s="54">
        <v>337.10384229390678</v>
      </c>
      <c r="BO17" s="54">
        <v>474.25802334659005</v>
      </c>
      <c r="BP17" s="54">
        <v>488.55110394265267</v>
      </c>
      <c r="BQ17" s="54">
        <v>497.78863888888901</v>
      </c>
      <c r="BR17" s="54">
        <v>469.37944270142884</v>
      </c>
      <c r="BS17" s="54">
        <v>365.52191577060955</v>
      </c>
      <c r="BT17" s="54">
        <v>366.59639157706113</v>
      </c>
      <c r="BU17" s="54">
        <v>477.6501235856345</v>
      </c>
      <c r="BV17" s="54">
        <v>555.39437544802888</v>
      </c>
      <c r="BW17" s="54">
        <v>551.75679838709698</v>
      </c>
      <c r="BX17" s="54">
        <v>514.74304032258078</v>
      </c>
    </row>
    <row r="18" spans="1:76" x14ac:dyDescent="0.3">
      <c r="A18" s="7" t="s">
        <v>89</v>
      </c>
      <c r="B18" s="7" t="s">
        <v>9</v>
      </c>
      <c r="C18" s="7" t="s">
        <v>108</v>
      </c>
      <c r="D18" s="7" t="s">
        <v>115</v>
      </c>
      <c r="E18" s="54">
        <v>511.39886469534048</v>
      </c>
      <c r="F18" s="54">
        <v>579.57975752836228</v>
      </c>
      <c r="G18" s="54">
        <v>569.2987240957965</v>
      </c>
      <c r="H18" s="54">
        <v>491.08543637992818</v>
      </c>
      <c r="I18" s="54">
        <v>571.85199014336945</v>
      </c>
      <c r="J18" s="54">
        <v>545.54384050179249</v>
      </c>
      <c r="K18" s="54">
        <v>546.40170609319</v>
      </c>
      <c r="L18" s="54">
        <v>606.864149641577</v>
      </c>
      <c r="M18" s="54">
        <v>582.97440053763455</v>
      </c>
      <c r="N18" s="54">
        <v>509.31747939068094</v>
      </c>
      <c r="O18" s="54">
        <v>570.96125448028693</v>
      </c>
      <c r="P18" s="54">
        <v>508.49477240143392</v>
      </c>
      <c r="Q18" s="54">
        <v>423.6659802867382</v>
      </c>
      <c r="R18" s="54">
        <v>472.48481630824335</v>
      </c>
      <c r="S18" s="54">
        <v>464.90477464592692</v>
      </c>
      <c r="T18" s="54">
        <v>415.32406810035803</v>
      </c>
      <c r="U18" s="54">
        <v>477.03181810035858</v>
      </c>
      <c r="V18" s="54">
        <v>541.28551658141055</v>
      </c>
      <c r="W18" s="54">
        <v>483.75240143369183</v>
      </c>
      <c r="X18" s="54">
        <v>524.56000358422932</v>
      </c>
      <c r="Y18" s="54">
        <v>496.7689959231738</v>
      </c>
      <c r="Z18" s="54">
        <v>567.31016218637967</v>
      </c>
      <c r="AA18" s="54">
        <v>579.56998476702506</v>
      </c>
      <c r="AB18" s="54">
        <v>566.30486061851411</v>
      </c>
      <c r="AC18" s="54">
        <v>440.86893996415768</v>
      </c>
      <c r="AD18" s="54">
        <v>509.28126337760915</v>
      </c>
      <c r="AE18" s="54">
        <v>505.56984229390679</v>
      </c>
      <c r="AF18" s="54">
        <v>443.48425716845895</v>
      </c>
      <c r="AG18" s="54">
        <v>494.36315226649776</v>
      </c>
      <c r="AH18" s="54">
        <v>487.79511379928306</v>
      </c>
      <c r="AI18" s="54">
        <v>553.18509856630828</v>
      </c>
      <c r="AJ18" s="54">
        <v>591.31202611742674</v>
      </c>
      <c r="AK18" s="54">
        <v>516.0464892473118</v>
      </c>
      <c r="AL18" s="54">
        <v>511.54742240275277</v>
      </c>
      <c r="AM18" s="54">
        <v>543.85862289162026</v>
      </c>
      <c r="AN18" s="54">
        <v>504.58594623655915</v>
      </c>
      <c r="AO18" s="54">
        <v>542.25927867383518</v>
      </c>
      <c r="AP18" s="54">
        <v>585.73898509286403</v>
      </c>
      <c r="AQ18" s="54">
        <v>478.40736827956999</v>
      </c>
      <c r="AR18" s="54">
        <v>497.73759050179223</v>
      </c>
      <c r="AS18" s="54">
        <v>515.9044345878134</v>
      </c>
      <c r="AT18" s="54">
        <v>499.2340564516129</v>
      </c>
      <c r="AU18" s="54">
        <v>480.25345788530461</v>
      </c>
      <c r="AV18" s="54">
        <v>507.55760060280198</v>
      </c>
      <c r="AW18" s="54">
        <v>488.56468010752718</v>
      </c>
      <c r="AX18" s="54">
        <v>477.42969713261641</v>
      </c>
      <c r="AY18" s="54">
        <v>540.19335842293901</v>
      </c>
      <c r="AZ18" s="54">
        <v>543.09868100358403</v>
      </c>
      <c r="BA18" s="54">
        <v>580.93403942652321</v>
      </c>
      <c r="BB18" s="54">
        <v>621.55395878136187</v>
      </c>
      <c r="BC18" s="54">
        <v>519.56931451612911</v>
      </c>
      <c r="BD18" s="54">
        <v>565.37971057347636</v>
      </c>
      <c r="BE18" s="54">
        <v>597.31987992831546</v>
      </c>
      <c r="BF18" s="54">
        <v>537.7095035842292</v>
      </c>
      <c r="BG18" s="54">
        <v>597.31606630824376</v>
      </c>
      <c r="BH18" s="54">
        <v>667.04379659498227</v>
      </c>
      <c r="BI18" s="54">
        <v>570.25459596536291</v>
      </c>
      <c r="BJ18" s="54">
        <v>567.29675627240135</v>
      </c>
      <c r="BK18" s="54">
        <v>580.44136917562719</v>
      </c>
      <c r="BL18" s="54">
        <v>574.0102393345386</v>
      </c>
      <c r="BM18" s="54">
        <v>415.54366039426526</v>
      </c>
      <c r="BN18" s="54">
        <v>483.03615770609309</v>
      </c>
      <c r="BO18" s="54">
        <v>533.55814103697139</v>
      </c>
      <c r="BP18" s="54">
        <v>399.90889605734759</v>
      </c>
      <c r="BQ18" s="54">
        <v>468.09136111111104</v>
      </c>
      <c r="BR18" s="54">
        <v>477.75672168213276</v>
      </c>
      <c r="BS18" s="54">
        <v>527.21808422939057</v>
      </c>
      <c r="BT18" s="54">
        <v>615.84360842293881</v>
      </c>
      <c r="BU18" s="54">
        <v>569.76203327710914</v>
      </c>
      <c r="BV18" s="54">
        <v>496.04562455197112</v>
      </c>
      <c r="BW18" s="54">
        <v>581.60320161290292</v>
      </c>
      <c r="BX18" s="54">
        <v>545.49695967741957</v>
      </c>
    </row>
    <row r="19" spans="1:76" x14ac:dyDescent="0.3">
      <c r="A19" s="7" t="s">
        <v>89</v>
      </c>
      <c r="B19" s="7" t="s">
        <v>9</v>
      </c>
      <c r="C19" s="7" t="s">
        <v>109</v>
      </c>
      <c r="D19" s="7" t="s">
        <v>110</v>
      </c>
      <c r="E19" s="54">
        <v>-26.576317204301205</v>
      </c>
      <c r="F19" s="54">
        <v>76.204805296366644</v>
      </c>
      <c r="G19" s="54">
        <v>203.41576979472143</v>
      </c>
      <c r="H19" s="54">
        <v>73.595672043010211</v>
      </c>
      <c r="I19" s="54">
        <v>147.92841397849455</v>
      </c>
      <c r="J19" s="54">
        <v>265.43069892473125</v>
      </c>
      <c r="K19" s="54">
        <v>49.016344086020624</v>
      </c>
      <c r="L19" s="54">
        <v>113.65771505376354</v>
      </c>
      <c r="M19" s="54">
        <v>232.947177419355</v>
      </c>
      <c r="N19" s="54">
        <v>112.96986559139765</v>
      </c>
      <c r="O19" s="54">
        <v>147.94731182795684</v>
      </c>
      <c r="P19" s="54">
        <v>242.61155913978527</v>
      </c>
      <c r="Q19" s="54">
        <v>10.276827956989365</v>
      </c>
      <c r="R19" s="54">
        <v>109.39771505376316</v>
      </c>
      <c r="S19" s="54">
        <v>192.49453283223704</v>
      </c>
      <c r="T19" s="54">
        <v>-56.690860215053654</v>
      </c>
      <c r="U19" s="54">
        <v>42.31163978494579</v>
      </c>
      <c r="V19" s="54">
        <v>100.27937154191446</v>
      </c>
      <c r="W19" s="54">
        <v>57.759139784946065</v>
      </c>
      <c r="X19" s="54">
        <v>145.88784946236532</v>
      </c>
      <c r="Y19" s="54">
        <v>242.15285185497936</v>
      </c>
      <c r="Z19" s="54">
        <v>38.525188172042981</v>
      </c>
      <c r="AA19" s="54">
        <v>54.716639784946118</v>
      </c>
      <c r="AB19" s="54">
        <v>142.84653465067842</v>
      </c>
      <c r="AC19" s="54">
        <v>39.168521505376305</v>
      </c>
      <c r="AD19" s="54">
        <v>139.89385578747627</v>
      </c>
      <c r="AE19" s="54">
        <v>255.07462365591405</v>
      </c>
      <c r="AF19" s="54">
        <v>185.29319892473117</v>
      </c>
      <c r="AG19" s="54">
        <v>286.39052245414297</v>
      </c>
      <c r="AH19" s="54">
        <v>296.18922043010753</v>
      </c>
      <c r="AI19" s="54">
        <v>63.665860215053939</v>
      </c>
      <c r="AJ19" s="54">
        <v>113.05891144905267</v>
      </c>
      <c r="AK19" s="54">
        <v>230.79145161290327</v>
      </c>
      <c r="AL19" s="54">
        <v>226.73595093587861</v>
      </c>
      <c r="AM19" s="54">
        <v>260.24584693292366</v>
      </c>
      <c r="AN19" s="54">
        <v>285.54225806451615</v>
      </c>
      <c r="AO19" s="54">
        <v>40.070295698924731</v>
      </c>
      <c r="AP19" s="54">
        <v>114.89735337243401</v>
      </c>
      <c r="AQ19" s="54">
        <v>183.5465322580645</v>
      </c>
      <c r="AR19" s="54">
        <v>20.89319892473118</v>
      </c>
      <c r="AS19" s="54">
        <v>18.141747311827938</v>
      </c>
      <c r="AT19" s="54">
        <v>85.273629032257986</v>
      </c>
      <c r="AU19" s="54">
        <v>50.202768817204536</v>
      </c>
      <c r="AV19" s="54">
        <v>127.79532013685201</v>
      </c>
      <c r="AW19" s="54">
        <v>228.29943548387098</v>
      </c>
      <c r="AX19" s="54">
        <v>-2.2232795698926555</v>
      </c>
      <c r="AY19" s="54">
        <v>52.814946236559138</v>
      </c>
      <c r="AZ19" s="54">
        <v>129.31139784946234</v>
      </c>
      <c r="BA19" s="54">
        <v>-76.093655913978324</v>
      </c>
      <c r="BB19" s="54">
        <v>11.629731182795645</v>
      </c>
      <c r="BC19" s="54">
        <v>49.688790322580665</v>
      </c>
      <c r="BD19" s="54">
        <v>34.356155913978448</v>
      </c>
      <c r="BE19" s="54">
        <v>49.5570430107527</v>
      </c>
      <c r="BF19" s="54">
        <v>117.67284946236556</v>
      </c>
      <c r="BG19" s="54">
        <v>-40.714784946236819</v>
      </c>
      <c r="BH19" s="54">
        <v>-11.855456989247282</v>
      </c>
      <c r="BI19" s="54">
        <v>107.77295175563827</v>
      </c>
      <c r="BJ19" s="54">
        <v>38.496236559139582</v>
      </c>
      <c r="BK19" s="54">
        <v>56.598494623656073</v>
      </c>
      <c r="BL19" s="54">
        <v>144.69193025026183</v>
      </c>
      <c r="BM19" s="54">
        <v>-34.833736559140014</v>
      </c>
      <c r="BN19" s="54">
        <v>57.425376344086068</v>
      </c>
      <c r="BO19" s="54">
        <v>209.37188466637213</v>
      </c>
      <c r="BP19" s="54">
        <v>75.442365591397831</v>
      </c>
      <c r="BQ19" s="54">
        <v>152.61083333333337</v>
      </c>
      <c r="BR19" s="54">
        <v>241.54349756959803</v>
      </c>
      <c r="BS19" s="54">
        <v>-18.45553763440877</v>
      </c>
      <c r="BT19" s="54">
        <v>45.392446236559138</v>
      </c>
      <c r="BU19" s="54">
        <v>204.2258180476486</v>
      </c>
      <c r="BV19" s="54">
        <v>84.307768817204149</v>
      </c>
      <c r="BW19" s="54">
        <v>147.72153225806451</v>
      </c>
      <c r="BX19" s="54">
        <v>265.43169354838716</v>
      </c>
    </row>
    <row r="20" spans="1:76" x14ac:dyDescent="0.3">
      <c r="A20" s="7" t="s">
        <v>89</v>
      </c>
      <c r="B20" s="7" t="s">
        <v>9</v>
      </c>
      <c r="C20" s="7" t="s">
        <v>109</v>
      </c>
      <c r="D20" s="7" t="s">
        <v>115</v>
      </c>
      <c r="E20" s="54">
        <v>320.30631720430125</v>
      </c>
      <c r="F20" s="54">
        <v>260.67519470363322</v>
      </c>
      <c r="G20" s="54">
        <v>233.01423020527866</v>
      </c>
      <c r="H20" s="54">
        <v>291.87432795698976</v>
      </c>
      <c r="I20" s="54">
        <v>268.28158602150529</v>
      </c>
      <c r="J20" s="54">
        <v>207.82930107526875</v>
      </c>
      <c r="K20" s="54">
        <v>270.82365591397917</v>
      </c>
      <c r="L20" s="54">
        <v>239.85228494623635</v>
      </c>
      <c r="M20" s="54">
        <v>213.68282258064508</v>
      </c>
      <c r="N20" s="54">
        <v>266.10013440860223</v>
      </c>
      <c r="O20" s="54">
        <v>268.45268817204305</v>
      </c>
      <c r="P20" s="54">
        <v>228.1684408602147</v>
      </c>
      <c r="Q20" s="54">
        <v>322.0631720430107</v>
      </c>
      <c r="R20" s="54">
        <v>255.55228494623682</v>
      </c>
      <c r="S20" s="54">
        <v>260.4254671677628</v>
      </c>
      <c r="T20" s="54">
        <v>212.49086021505371</v>
      </c>
      <c r="U20" s="54">
        <v>153.57836021505423</v>
      </c>
      <c r="V20" s="54">
        <v>142.52062845808544</v>
      </c>
      <c r="W20" s="54">
        <v>302.24086021505394</v>
      </c>
      <c r="X20" s="54">
        <v>244.55215053763447</v>
      </c>
      <c r="Y20" s="54">
        <v>230.81714814502052</v>
      </c>
      <c r="Z20" s="54">
        <v>137.28481182795704</v>
      </c>
      <c r="AA20" s="54">
        <v>160.23336021505386</v>
      </c>
      <c r="AB20" s="54">
        <v>113.57346534932167</v>
      </c>
      <c r="AC20" s="54">
        <v>321.40147849462352</v>
      </c>
      <c r="AD20" s="54">
        <v>251.02614421252366</v>
      </c>
      <c r="AE20" s="54">
        <v>219.88537634408601</v>
      </c>
      <c r="AF20" s="54">
        <v>239.01680107526869</v>
      </c>
      <c r="AG20" s="54">
        <v>172.00947754585692</v>
      </c>
      <c r="AH20" s="54">
        <v>200.48077956989241</v>
      </c>
      <c r="AI20" s="54">
        <v>261.23413978494602</v>
      </c>
      <c r="AJ20" s="54">
        <v>249.29108855094717</v>
      </c>
      <c r="AK20" s="54">
        <v>226.7485483870968</v>
      </c>
      <c r="AL20" s="54">
        <v>178.38404906412143</v>
      </c>
      <c r="AM20" s="54">
        <v>176.52415306707636</v>
      </c>
      <c r="AN20" s="54">
        <v>198.41774193548378</v>
      </c>
      <c r="AO20" s="54">
        <v>276.67970430107533</v>
      </c>
      <c r="AP20" s="54">
        <v>238.41264662756578</v>
      </c>
      <c r="AQ20" s="54">
        <v>262.6834677419356</v>
      </c>
      <c r="AR20" s="54">
        <v>137.81680107526873</v>
      </c>
      <c r="AS20" s="54">
        <v>172.14825268817191</v>
      </c>
      <c r="AT20" s="54">
        <v>154.79637096774201</v>
      </c>
      <c r="AU20" s="54">
        <v>307.18723118279547</v>
      </c>
      <c r="AV20" s="54">
        <v>258.15467986314775</v>
      </c>
      <c r="AW20" s="54">
        <v>240.2505645161288</v>
      </c>
      <c r="AX20" s="54">
        <v>178.44327956989258</v>
      </c>
      <c r="AY20" s="54">
        <v>156.2650537634409</v>
      </c>
      <c r="AZ20" s="54">
        <v>125.88860215053765</v>
      </c>
      <c r="BA20" s="54">
        <v>175.17365591397837</v>
      </c>
      <c r="BB20" s="54">
        <v>117.7502688172043</v>
      </c>
      <c r="BC20" s="54">
        <v>170.58120967741931</v>
      </c>
      <c r="BD20" s="54">
        <v>140.01384408602146</v>
      </c>
      <c r="BE20" s="54">
        <v>159.50295698924734</v>
      </c>
      <c r="BF20" s="54">
        <v>133.5071505376344</v>
      </c>
      <c r="BG20" s="54">
        <v>152.01478494623677</v>
      </c>
      <c r="BH20" s="54">
        <v>156.14545698924732</v>
      </c>
      <c r="BI20" s="54">
        <v>127.70704824436174</v>
      </c>
      <c r="BJ20" s="54">
        <v>137.30376344086037</v>
      </c>
      <c r="BK20" s="54">
        <v>159.00150537634394</v>
      </c>
      <c r="BL20" s="54">
        <v>110.96806974973816</v>
      </c>
      <c r="BM20" s="54">
        <v>344.4837365591398</v>
      </c>
      <c r="BN20" s="54">
        <v>293.29462365591377</v>
      </c>
      <c r="BO20" s="54">
        <v>236.96811533362782</v>
      </c>
      <c r="BP20" s="54">
        <v>309.43763440860204</v>
      </c>
      <c r="BQ20" s="54">
        <v>270.97916666666657</v>
      </c>
      <c r="BR20" s="54">
        <v>235.03650243040198</v>
      </c>
      <c r="BS20" s="54">
        <v>308.27553763440886</v>
      </c>
      <c r="BT20" s="54">
        <v>289.27755376344089</v>
      </c>
      <c r="BU20" s="54">
        <v>229.6341819523513</v>
      </c>
      <c r="BV20" s="54">
        <v>284.86223118279577</v>
      </c>
      <c r="BW20" s="54">
        <v>266.4084677419354</v>
      </c>
      <c r="BX20" s="54">
        <v>207.83830645161294</v>
      </c>
    </row>
    <row r="21" spans="1:76" x14ac:dyDescent="0.3">
      <c r="A21" s="7" t="s">
        <v>89</v>
      </c>
      <c r="B21" s="7" t="s">
        <v>9</v>
      </c>
      <c r="C21" s="7" t="s">
        <v>110</v>
      </c>
      <c r="D21" s="7" t="s">
        <v>111</v>
      </c>
      <c r="E21" s="54">
        <v>301.12797939068093</v>
      </c>
      <c r="F21" s="54">
        <v>175.35351505672438</v>
      </c>
      <c r="G21" s="54">
        <v>136.65356182795708</v>
      </c>
      <c r="H21" s="54">
        <v>324.6806227598571</v>
      </c>
      <c r="I21" s="54">
        <v>224.04823028673815</v>
      </c>
      <c r="J21" s="54">
        <v>97.653181003583995</v>
      </c>
      <c r="K21" s="54">
        <v>212.51541218638059</v>
      </c>
      <c r="L21" s="54">
        <v>128.89504928315444</v>
      </c>
      <c r="M21" s="54">
        <v>102.03555107526874</v>
      </c>
      <c r="N21" s="54">
        <v>278.52470878136228</v>
      </c>
      <c r="O21" s="54">
        <v>224.15250896057336</v>
      </c>
      <c r="P21" s="54">
        <v>128.12504480286714</v>
      </c>
      <c r="Q21" s="54">
        <v>297.84646057347675</v>
      </c>
      <c r="R21" s="54">
        <v>175.47838261648818</v>
      </c>
      <c r="S21" s="54">
        <v>163.41860754428095</v>
      </c>
      <c r="T21" s="54">
        <v>329.10313620071685</v>
      </c>
      <c r="U21" s="54">
        <v>208.97188620071705</v>
      </c>
      <c r="V21" s="54">
        <v>128.77909141524856</v>
      </c>
      <c r="W21" s="54">
        <v>343.24480286738378</v>
      </c>
      <c r="X21" s="54">
        <v>239.93700716845879</v>
      </c>
      <c r="Y21" s="54">
        <v>130.28107430708013</v>
      </c>
      <c r="Z21" s="54">
        <v>200.47457437275983</v>
      </c>
      <c r="AA21" s="54">
        <v>173.84271953405027</v>
      </c>
      <c r="AB21" s="54">
        <v>78.134053697761047</v>
      </c>
      <c r="AC21" s="54">
        <v>369.85512992831525</v>
      </c>
      <c r="AD21" s="54">
        <v>248.72084440227704</v>
      </c>
      <c r="AE21" s="54">
        <v>115.12168458781358</v>
      </c>
      <c r="AF21" s="54">
        <v>207.70526433691748</v>
      </c>
      <c r="AG21" s="54">
        <v>88.623622180054923</v>
      </c>
      <c r="AH21" s="54">
        <v>72.09997759856634</v>
      </c>
      <c r="AI21" s="54">
        <v>195.34269713261619</v>
      </c>
      <c r="AJ21" s="54">
        <v>130.54430813961415</v>
      </c>
      <c r="AK21" s="54">
        <v>103.80147849462374</v>
      </c>
      <c r="AL21" s="54">
        <v>20.651864064786807</v>
      </c>
      <c r="AM21" s="54">
        <v>-25.743998311998805</v>
      </c>
      <c r="AN21" s="54">
        <v>44.794892473118296</v>
      </c>
      <c r="AO21" s="54">
        <v>223.00230734767013</v>
      </c>
      <c r="AP21" s="54">
        <v>131.51426564027369</v>
      </c>
      <c r="AQ21" s="54">
        <v>171.42748655913985</v>
      </c>
      <c r="AR21" s="54">
        <v>98.171931003584234</v>
      </c>
      <c r="AS21" s="54">
        <v>102.73711917562723</v>
      </c>
      <c r="AT21" s="54">
        <v>124.98286290322591</v>
      </c>
      <c r="AU21" s="54">
        <v>352.10266577060901</v>
      </c>
      <c r="AV21" s="54">
        <v>262.35804211469559</v>
      </c>
      <c r="AW21" s="54">
        <v>146.77211021505366</v>
      </c>
      <c r="AX21" s="54">
        <v>258.22289426523315</v>
      </c>
      <c r="AY21" s="54">
        <v>184.12571684587797</v>
      </c>
      <c r="AZ21" s="54">
        <v>96.381362007168406</v>
      </c>
      <c r="BA21" s="54">
        <v>193.85707885304637</v>
      </c>
      <c r="BB21" s="54">
        <v>91.024417562723954</v>
      </c>
      <c r="BC21" s="54">
        <v>161.52237903225807</v>
      </c>
      <c r="BD21" s="54">
        <v>205.36167114695348</v>
      </c>
      <c r="BE21" s="54">
        <v>177.06025985663075</v>
      </c>
      <c r="BF21" s="54">
        <v>110.0245071684588</v>
      </c>
      <c r="BG21" s="54">
        <v>152.38463261648772</v>
      </c>
      <c r="BH21" s="54">
        <v>103.64984318996406</v>
      </c>
      <c r="BI21" s="54">
        <v>90.090068036920542</v>
      </c>
      <c r="BJ21" s="54">
        <v>200.50851254480295</v>
      </c>
      <c r="BK21" s="54">
        <v>171.63673835125437</v>
      </c>
      <c r="BL21" s="54">
        <v>75.007854775271838</v>
      </c>
      <c r="BM21" s="54">
        <v>323.74357078853058</v>
      </c>
      <c r="BN21" s="54">
        <v>209.22831541218633</v>
      </c>
      <c r="BO21" s="54">
        <v>135.08291906024473</v>
      </c>
      <c r="BP21" s="54">
        <v>335.45179211469531</v>
      </c>
      <c r="BQ21" s="54">
        <v>236.65347222222221</v>
      </c>
      <c r="BR21" s="54">
        <v>133.62808035056696</v>
      </c>
      <c r="BS21" s="54">
        <v>266.11966845878163</v>
      </c>
      <c r="BT21" s="54">
        <v>177.80696684587815</v>
      </c>
      <c r="BU21" s="54">
        <v>119.85711557382884</v>
      </c>
      <c r="BV21" s="54">
        <v>312.123499103943</v>
      </c>
      <c r="BW21" s="54">
        <v>222.90665322580639</v>
      </c>
      <c r="BX21" s="54">
        <v>97.658669354838693</v>
      </c>
    </row>
    <row r="22" spans="1:76" x14ac:dyDescent="0.3">
      <c r="A22" s="7" t="s">
        <v>89</v>
      </c>
      <c r="B22" s="7" t="s">
        <v>9</v>
      </c>
      <c r="C22" s="7" t="s">
        <v>110</v>
      </c>
      <c r="D22" s="7" t="s">
        <v>115</v>
      </c>
      <c r="E22" s="54">
        <v>226.82570340501806</v>
      </c>
      <c r="F22" s="54">
        <v>135.68106048757221</v>
      </c>
      <c r="G22" s="54">
        <v>53.634935239491696</v>
      </c>
      <c r="H22" s="54">
        <v>157.78504928315473</v>
      </c>
      <c r="I22" s="54">
        <v>104.89018369175629</v>
      </c>
      <c r="J22" s="54">
        <v>5.8375179211467287</v>
      </c>
      <c r="K22" s="54">
        <v>156.04093189964252</v>
      </c>
      <c r="L22" s="54">
        <v>103.07266577060913</v>
      </c>
      <c r="M22" s="54">
        <v>25.98162634408596</v>
      </c>
      <c r="N22" s="54">
        <v>120.91515681003607</v>
      </c>
      <c r="O22" s="54">
        <v>104.9948028673835</v>
      </c>
      <c r="P22" s="54">
        <v>30.806514336917388</v>
      </c>
      <c r="Q22" s="54">
        <v>209.57036738351255</v>
      </c>
      <c r="R22" s="54">
        <v>115.66933243727628</v>
      </c>
      <c r="S22" s="54">
        <v>77.369711695723382</v>
      </c>
      <c r="T22" s="54">
        <v>170.00600358422935</v>
      </c>
      <c r="U22" s="54">
        <v>81.229753584229897</v>
      </c>
      <c r="V22" s="54">
        <v>44.874066534433041</v>
      </c>
      <c r="W22" s="54">
        <v>172.61433691756289</v>
      </c>
      <c r="X22" s="54">
        <v>90.090842293907073</v>
      </c>
      <c r="Y22" s="54">
        <v>32.801672835857218</v>
      </c>
      <c r="Z22" s="54">
        <v>72.260613799283163</v>
      </c>
      <c r="AA22" s="54">
        <v>79.463920250896209</v>
      </c>
      <c r="AB22" s="54">
        <v>4.2923762408751953</v>
      </c>
      <c r="AC22" s="54">
        <v>194.68339157706095</v>
      </c>
      <c r="AD22" s="54">
        <v>97.403834914611025</v>
      </c>
      <c r="AE22" s="54">
        <v>19.052939068100351</v>
      </c>
      <c r="AF22" s="54">
        <v>66.697934587813592</v>
      </c>
      <c r="AG22" s="54">
        <v>-28.522276196500162</v>
      </c>
      <c r="AH22" s="54">
        <v>-14.440757168458829</v>
      </c>
      <c r="AI22" s="54">
        <v>142.32316308243708</v>
      </c>
      <c r="AJ22" s="54">
        <v>109.6646033094385</v>
      </c>
      <c r="AK22" s="54">
        <v>35.769973118279673</v>
      </c>
      <c r="AL22" s="54">
        <v>5.5547239081417121</v>
      </c>
      <c r="AM22" s="54">
        <v>-12.440154755077648</v>
      </c>
      <c r="AN22" s="54">
        <v>-10.492634408602154</v>
      </c>
      <c r="AO22" s="54">
        <v>164.41798835125454</v>
      </c>
      <c r="AP22" s="54">
        <v>101.49308773216026</v>
      </c>
      <c r="AQ22" s="54">
        <v>83.349045698924868</v>
      </c>
      <c r="AR22" s="54">
        <v>81.431267921146969</v>
      </c>
      <c r="AS22" s="54">
        <v>105.69462813620068</v>
      </c>
      <c r="AT22" s="54">
        <v>60.560766129032388</v>
      </c>
      <c r="AU22" s="54">
        <v>179.69010304659471</v>
      </c>
      <c r="AV22" s="54">
        <v>108.20545984033924</v>
      </c>
      <c r="AW22" s="54">
        <v>46.017325268817189</v>
      </c>
      <c r="AX22" s="54">
        <v>120.07382616487483</v>
      </c>
      <c r="AY22" s="54">
        <v>77.76922939068109</v>
      </c>
      <c r="AZ22" s="54">
        <v>19.270035842293922</v>
      </c>
      <c r="BA22" s="54">
        <v>154.82926523297479</v>
      </c>
      <c r="BB22" s="54">
        <v>72.685313620071696</v>
      </c>
      <c r="BC22" s="54">
        <v>88.876411290322537</v>
      </c>
      <c r="BD22" s="54">
        <v>76.164484767025087</v>
      </c>
      <c r="BE22" s="54">
        <v>81.556783154121845</v>
      </c>
      <c r="BF22" s="54">
        <v>30.168342293906857</v>
      </c>
      <c r="BG22" s="54">
        <v>121.70058243727621</v>
      </c>
      <c r="BH22" s="54">
        <v>110.02469982078844</v>
      </c>
      <c r="BI22" s="54">
        <v>31.2515562850888</v>
      </c>
      <c r="BJ22" s="54">
        <v>72.287724014337144</v>
      </c>
      <c r="BK22" s="54">
        <v>77.701756272401283</v>
      </c>
      <c r="BL22" s="54">
        <v>1.6327480413612649</v>
      </c>
      <c r="BM22" s="54">
        <v>247.07269265232989</v>
      </c>
      <c r="BN22" s="54">
        <v>166.8170609318995</v>
      </c>
      <c r="BO22" s="54">
        <v>53.29280122256597</v>
      </c>
      <c r="BP22" s="54">
        <v>168.57057347670246</v>
      </c>
      <c r="BQ22" s="54">
        <v>104.3473611111111</v>
      </c>
      <c r="BR22" s="54">
        <v>35.919252835469038</v>
      </c>
      <c r="BS22" s="54">
        <v>214.74479390681034</v>
      </c>
      <c r="BT22" s="54">
        <v>170.15547939068099</v>
      </c>
      <c r="BU22" s="54">
        <v>50.97654561107656</v>
      </c>
      <c r="BV22" s="54">
        <v>147.75426971326189</v>
      </c>
      <c r="BW22" s="54">
        <v>103.74487903225815</v>
      </c>
      <c r="BX22" s="54">
        <v>5.8430241935483185</v>
      </c>
    </row>
    <row r="23" spans="1:76" x14ac:dyDescent="0.3">
      <c r="A23" s="7" t="s">
        <v>89</v>
      </c>
      <c r="B23" s="7" t="s">
        <v>9</v>
      </c>
      <c r="C23" s="7" t="s">
        <v>111</v>
      </c>
      <c r="D23" s="7" t="s">
        <v>112</v>
      </c>
      <c r="E23" s="54">
        <v>441.47</v>
      </c>
      <c r="F23" s="54">
        <v>398.32</v>
      </c>
      <c r="G23" s="54">
        <v>298.77</v>
      </c>
      <c r="H23" s="54">
        <v>369.73000000000013</v>
      </c>
      <c r="I23" s="54">
        <v>318.99000000000012</v>
      </c>
      <c r="J23" s="54">
        <v>261.94000000000005</v>
      </c>
      <c r="K23" s="54">
        <v>415.36000000000018</v>
      </c>
      <c r="L23" s="54">
        <v>381.69000000000011</v>
      </c>
      <c r="M23" s="54">
        <v>288.57</v>
      </c>
      <c r="N23" s="54">
        <v>356.13000000000005</v>
      </c>
      <c r="O23" s="54">
        <v>318.79999999999995</v>
      </c>
      <c r="P23" s="54">
        <v>264.42000000000007</v>
      </c>
      <c r="Q23" s="54">
        <v>402.86</v>
      </c>
      <c r="R23" s="54">
        <v>370.24999999999994</v>
      </c>
      <c r="S23" s="54">
        <v>282.28000000000009</v>
      </c>
      <c r="T23" s="54">
        <v>344.20000000000005</v>
      </c>
      <c r="U23" s="54">
        <v>304.11000000000013</v>
      </c>
      <c r="V23" s="54">
        <v>257.2000000000001</v>
      </c>
      <c r="W23" s="54">
        <v>375.2</v>
      </c>
      <c r="X23" s="54">
        <v>344.75999999999993</v>
      </c>
      <c r="Y23" s="54">
        <v>262.22999999999996</v>
      </c>
      <c r="Z23" s="54">
        <v>324.19</v>
      </c>
      <c r="AA23" s="54">
        <v>285.05</v>
      </c>
      <c r="AB23" s="54">
        <v>243.58000000000013</v>
      </c>
      <c r="AC23" s="54">
        <v>374.63</v>
      </c>
      <c r="AD23" s="54">
        <v>344.28000000000014</v>
      </c>
      <c r="AE23" s="54">
        <v>260.24</v>
      </c>
      <c r="AF23" s="54">
        <v>310.8900000000001</v>
      </c>
      <c r="AG23" s="54">
        <v>276.79999999999995</v>
      </c>
      <c r="AH23" s="54">
        <v>238.53000000000014</v>
      </c>
      <c r="AI23" s="54">
        <v>410.30000000000013</v>
      </c>
      <c r="AJ23" s="54">
        <v>372.84999999999991</v>
      </c>
      <c r="AK23" s="54">
        <v>277.66000000000003</v>
      </c>
      <c r="AL23" s="54">
        <v>330.07999999999993</v>
      </c>
      <c r="AM23" s="54">
        <v>298.42999999999995</v>
      </c>
      <c r="AN23" s="54">
        <v>251.2399999999999</v>
      </c>
      <c r="AO23" s="54">
        <v>418.45</v>
      </c>
      <c r="AP23" s="54">
        <v>381.89000000000004</v>
      </c>
      <c r="AQ23" s="54">
        <v>288.96999999999997</v>
      </c>
      <c r="AR23" s="54">
        <v>341.29000000000008</v>
      </c>
      <c r="AS23" s="54">
        <v>309.71000000000015</v>
      </c>
      <c r="AT23" s="54">
        <v>259.93</v>
      </c>
      <c r="AU23" s="54">
        <v>377.81</v>
      </c>
      <c r="AV23" s="54">
        <v>349.25000000000006</v>
      </c>
      <c r="AW23" s="54">
        <v>266.65000000000003</v>
      </c>
      <c r="AX23" s="54">
        <v>323.77999999999997</v>
      </c>
      <c r="AY23" s="54">
        <v>290.92000000000007</v>
      </c>
      <c r="AZ23" s="54">
        <v>244.7999999999999</v>
      </c>
      <c r="BA23" s="54">
        <v>400.91999999999996</v>
      </c>
      <c r="BB23" s="54">
        <v>370.61999999999995</v>
      </c>
      <c r="BC23" s="54">
        <v>279.73</v>
      </c>
      <c r="BD23" s="54">
        <v>325.63000000000011</v>
      </c>
      <c r="BE23" s="54">
        <v>290.94</v>
      </c>
      <c r="BF23" s="54">
        <v>248.82000000000005</v>
      </c>
      <c r="BG23" s="54">
        <v>388.70000000000005</v>
      </c>
      <c r="BH23" s="54">
        <v>355.71</v>
      </c>
      <c r="BI23" s="54">
        <v>264.5200000000001</v>
      </c>
      <c r="BJ23" s="54">
        <v>324.20000000000005</v>
      </c>
      <c r="BK23" s="54">
        <v>284.39999999999998</v>
      </c>
      <c r="BL23" s="54">
        <v>244.34</v>
      </c>
      <c r="BM23" s="54">
        <v>425.55000000000007</v>
      </c>
      <c r="BN23" s="54">
        <v>384.48000000000013</v>
      </c>
      <c r="BO23" s="54">
        <v>288.8599999999999</v>
      </c>
      <c r="BP23" s="54">
        <v>350.31999999999994</v>
      </c>
      <c r="BQ23" s="54">
        <v>311.60999999999996</v>
      </c>
      <c r="BR23" s="54">
        <v>258.62000000000006</v>
      </c>
      <c r="BS23" s="54">
        <v>445.38000000000011</v>
      </c>
      <c r="BT23" s="54">
        <v>400.53000000000003</v>
      </c>
      <c r="BU23" s="54">
        <v>301.33999999999992</v>
      </c>
      <c r="BV23" s="54">
        <v>366.03000000000009</v>
      </c>
      <c r="BW23" s="54">
        <v>321.07</v>
      </c>
      <c r="BX23" s="54">
        <v>261.93</v>
      </c>
    </row>
    <row r="24" spans="1:76" x14ac:dyDescent="0.3">
      <c r="A24" s="7" t="s">
        <v>89</v>
      </c>
      <c r="B24" s="7" t="s">
        <v>9</v>
      </c>
      <c r="C24" s="7" t="s">
        <v>111</v>
      </c>
      <c r="D24" s="7" t="s">
        <v>115</v>
      </c>
      <c r="E24" s="54">
        <v>-18.085709565412223</v>
      </c>
      <c r="F24" s="54">
        <v>-7.8351515447736553</v>
      </c>
      <c r="G24" s="54">
        <v>-45.182274712854408</v>
      </c>
      <c r="H24" s="54">
        <v>-84.586602262544773</v>
      </c>
      <c r="I24" s="54">
        <v>-61.362506160394183</v>
      </c>
      <c r="J24" s="54">
        <v>-56.655099686379941</v>
      </c>
      <c r="K24" s="54">
        <v>-15.791433691756174</v>
      </c>
      <c r="L24" s="54">
        <v>-3.2549064740143852</v>
      </c>
      <c r="M24" s="54">
        <v>-44.285999663978501</v>
      </c>
      <c r="N24" s="54">
        <v>-83.391575380824307</v>
      </c>
      <c r="O24" s="54">
        <v>-61.349215949820682</v>
      </c>
      <c r="P24" s="54">
        <v>-56.973267249104012</v>
      </c>
      <c r="Q24" s="54">
        <v>-28.976262320788649</v>
      </c>
      <c r="R24" s="54">
        <v>-22.921989807347941</v>
      </c>
      <c r="S24" s="54">
        <v>-44.109345943383119</v>
      </c>
      <c r="T24" s="54">
        <v>-78.184957437276054</v>
      </c>
      <c r="U24" s="54">
        <v>-69.685113687276029</v>
      </c>
      <c r="V24" s="54">
        <v>-46.831382233705753</v>
      </c>
      <c r="W24" s="54">
        <v>-85.067249103942586</v>
      </c>
      <c r="X24" s="54">
        <v>-82.392497759856582</v>
      </c>
      <c r="Y24" s="54">
        <v>-56.824416815032144</v>
      </c>
      <c r="Z24" s="54">
        <v>-71.101148633512693</v>
      </c>
      <c r="AA24" s="54">
        <v>-49.053759520609304</v>
      </c>
      <c r="AB24" s="54">
        <v>-45.61450138044443</v>
      </c>
      <c r="AC24" s="54">
        <v>-85.146912522401365</v>
      </c>
      <c r="AD24" s="54">
        <v>-82.397651565464969</v>
      </c>
      <c r="AE24" s="54">
        <v>-57.66134856630822</v>
      </c>
      <c r="AF24" s="54">
        <v>-79.792339269713295</v>
      </c>
      <c r="AG24" s="54">
        <v>-76.781471009909396</v>
      </c>
      <c r="AH24" s="54">
        <v>-55.893053875448075</v>
      </c>
      <c r="AI24" s="54">
        <v>-15.346813396057367</v>
      </c>
      <c r="AJ24" s="54">
        <v>0.65825989482004577</v>
      </c>
      <c r="AK24" s="54">
        <v>-38.048444220430078</v>
      </c>
      <c r="AL24" s="54">
        <v>-8.7413721093854146</v>
      </c>
      <c r="AM24" s="54">
        <v>6.7598828786910037</v>
      </c>
      <c r="AN24" s="54">
        <v>-35.866283602150496</v>
      </c>
      <c r="AO24" s="54">
        <v>-16.062950828853005</v>
      </c>
      <c r="AP24" s="54">
        <v>-6.0766002260508323</v>
      </c>
      <c r="AQ24" s="54">
        <v>-44.630394825268759</v>
      </c>
      <c r="AR24" s="54">
        <v>-0.28400593637989413</v>
      </c>
      <c r="AS24" s="54">
        <v>15.060271617383435</v>
      </c>
      <c r="AT24" s="54">
        <v>-32.693714717741962</v>
      </c>
      <c r="AU24" s="54">
        <v>-85.296588821684665</v>
      </c>
      <c r="AV24" s="54">
        <v>-82.819681441430376</v>
      </c>
      <c r="AW24" s="54">
        <v>-57.219574932795723</v>
      </c>
      <c r="AX24" s="54">
        <v>-71.333939292114849</v>
      </c>
      <c r="AY24" s="54">
        <v>-56.751650985663147</v>
      </c>
      <c r="AZ24" s="54">
        <v>-45.785824372759798</v>
      </c>
      <c r="BA24" s="54">
        <v>-5.0387253584229796</v>
      </c>
      <c r="BB24" s="54">
        <v>-2.3762757616487828</v>
      </c>
      <c r="BC24" s="54">
        <v>-34.294178427419332</v>
      </c>
      <c r="BD24" s="54">
        <v>-71.227680891577165</v>
      </c>
      <c r="BE24" s="54">
        <v>-49.495075044802775</v>
      </c>
      <c r="BF24" s="54">
        <v>-46.139060259856592</v>
      </c>
      <c r="BG24" s="54">
        <v>-3.9649585573475754</v>
      </c>
      <c r="BH24" s="54">
        <v>17.737372871863943</v>
      </c>
      <c r="BI24" s="54">
        <v>-32.867625309258798</v>
      </c>
      <c r="BJ24" s="54">
        <v>-71.102027329749134</v>
      </c>
      <c r="BK24" s="54">
        <v>-48.99664426523298</v>
      </c>
      <c r="BL24" s="54">
        <v>-45.655348203524014</v>
      </c>
      <c r="BM24" s="54">
        <v>-17.035212253584177</v>
      </c>
      <c r="BN24" s="54">
        <v>-5.6549014336918502</v>
      </c>
      <c r="BO24" s="54">
        <v>-44.457223495728336</v>
      </c>
      <c r="BP24" s="54">
        <v>-83.229439964157763</v>
      </c>
      <c r="BQ24" s="54">
        <v>-69.647899305555597</v>
      </c>
      <c r="BR24" s="54">
        <v>-56.578110592502618</v>
      </c>
      <c r="BS24" s="54">
        <v>-5.2661973566308085</v>
      </c>
      <c r="BT24" s="54">
        <v>16.48725526433692</v>
      </c>
      <c r="BU24" s="54">
        <v>-36.678288025335569</v>
      </c>
      <c r="BV24" s="54">
        <v>-84.261484655017924</v>
      </c>
      <c r="BW24" s="54">
        <v>-61.507998991935374</v>
      </c>
      <c r="BX24" s="54">
        <v>-56.654400201612944</v>
      </c>
    </row>
    <row r="25" spans="1:76" x14ac:dyDescent="0.3">
      <c r="A25" s="7" t="s">
        <v>89</v>
      </c>
      <c r="B25" s="7" t="s">
        <v>9</v>
      </c>
      <c r="C25" s="7" t="s">
        <v>111</v>
      </c>
      <c r="D25" s="7" t="s">
        <v>118</v>
      </c>
      <c r="E25" s="54">
        <v>325.43482426075275</v>
      </c>
      <c r="F25" s="54">
        <v>293.82890907313583</v>
      </c>
      <c r="G25" s="54">
        <v>184.31438517228759</v>
      </c>
      <c r="H25" s="54">
        <v>222.76178864247331</v>
      </c>
      <c r="I25" s="54">
        <v>192.29874630376352</v>
      </c>
      <c r="J25" s="54">
        <v>145.20444018817213</v>
      </c>
      <c r="K25" s="54">
        <v>303.9651397849463</v>
      </c>
      <c r="L25" s="54">
        <v>282.02580611559137</v>
      </c>
      <c r="M25" s="54">
        <v>175.92715020161287</v>
      </c>
      <c r="N25" s="54">
        <v>211.57880477150547</v>
      </c>
      <c r="O25" s="54">
        <v>192.14047043010763</v>
      </c>
      <c r="P25" s="54">
        <v>147.18353965053765</v>
      </c>
      <c r="Q25" s="54">
        <v>285.11674260752716</v>
      </c>
      <c r="R25" s="54">
        <v>260.21555611559143</v>
      </c>
      <c r="S25" s="54">
        <v>170.52939243397014</v>
      </c>
      <c r="T25" s="54">
        <v>204.26402553763444</v>
      </c>
      <c r="U25" s="54">
        <v>174.2851817876344</v>
      </c>
      <c r="V25" s="54">
        <v>146.95117065977658</v>
      </c>
      <c r="W25" s="54">
        <v>227.25965053763431</v>
      </c>
      <c r="X25" s="54">
        <v>202.229501344086</v>
      </c>
      <c r="Y25" s="54">
        <v>145.35659991098072</v>
      </c>
      <c r="Z25" s="54">
        <v>191.00556081989251</v>
      </c>
      <c r="AA25" s="54">
        <v>169.98649428763446</v>
      </c>
      <c r="AB25" s="54">
        <v>135.76379917173333</v>
      </c>
      <c r="AC25" s="54">
        <v>226.71310248655919</v>
      </c>
      <c r="AD25" s="54">
        <v>201.80640906072099</v>
      </c>
      <c r="AE25" s="54">
        <v>143.11319086021513</v>
      </c>
      <c r="AF25" s="54">
        <v>174.15334643817215</v>
      </c>
      <c r="AG25" s="54">
        <v>146.13111739405437</v>
      </c>
      <c r="AH25" s="54">
        <v>125.17791767473119</v>
      </c>
      <c r="AI25" s="54">
        <v>299.80441196236552</v>
      </c>
      <c r="AJ25" s="54">
        <v>276.63870593689199</v>
      </c>
      <c r="AK25" s="54">
        <v>170.12343346774196</v>
      </c>
      <c r="AL25" s="54">
        <v>233.5751767343688</v>
      </c>
      <c r="AM25" s="54">
        <v>215.18217972721465</v>
      </c>
      <c r="AN25" s="54">
        <v>148.31522983870971</v>
      </c>
      <c r="AO25" s="54">
        <v>306.50597950268809</v>
      </c>
      <c r="AP25" s="54">
        <v>280.50778986436973</v>
      </c>
      <c r="AQ25" s="54">
        <v>176.0705131048388</v>
      </c>
      <c r="AR25" s="54">
        <v>248.45834643817199</v>
      </c>
      <c r="AS25" s="54">
        <v>230.0324129704303</v>
      </c>
      <c r="AT25" s="54">
        <v>157.82252116935481</v>
      </c>
      <c r="AU25" s="54">
        <v>229.40579670698935</v>
      </c>
      <c r="AV25" s="54">
        <v>205.90194113514193</v>
      </c>
      <c r="AW25" s="54">
        <v>148.98700504032257</v>
      </c>
      <c r="AX25" s="54">
        <v>190.50713642473127</v>
      </c>
      <c r="AY25" s="54">
        <v>170.50400940860212</v>
      </c>
      <c r="AZ25" s="54">
        <v>136.72850537634406</v>
      </c>
      <c r="BA25" s="54">
        <v>297.78176478494635</v>
      </c>
      <c r="BB25" s="54">
        <v>272.86673454301069</v>
      </c>
      <c r="BC25" s="54">
        <v>174.18724294354848</v>
      </c>
      <c r="BD25" s="54">
        <v>192.18964146505391</v>
      </c>
      <c r="BE25" s="54">
        <v>174.87545497311839</v>
      </c>
      <c r="BF25" s="54">
        <v>140.03406384408601</v>
      </c>
      <c r="BG25" s="54">
        <v>287.73352486559145</v>
      </c>
      <c r="BH25" s="54">
        <v>271.8886737231183</v>
      </c>
      <c r="BI25" s="54">
        <v>161.73442481444476</v>
      </c>
      <c r="BJ25" s="54">
        <v>191.01378360215048</v>
      </c>
      <c r="BK25" s="54">
        <v>169.45201344086024</v>
      </c>
      <c r="BL25" s="54">
        <v>136.40429107788566</v>
      </c>
      <c r="BM25" s="54">
        <v>312.13512264784947</v>
      </c>
      <c r="BN25" s="54">
        <v>283.02705913978497</v>
      </c>
      <c r="BO25" s="54">
        <v>176.07816590256297</v>
      </c>
      <c r="BP25" s="54">
        <v>206.59233602150562</v>
      </c>
      <c r="BQ25" s="54">
        <v>180.87001041666673</v>
      </c>
      <c r="BR25" s="54">
        <v>142.34563364449849</v>
      </c>
      <c r="BS25" s="54">
        <v>336.54778158602159</v>
      </c>
      <c r="BT25" s="54">
        <v>310.35610315860242</v>
      </c>
      <c r="BU25" s="54">
        <v>191.66552718479878</v>
      </c>
      <c r="BV25" s="54">
        <v>219.71935920698948</v>
      </c>
      <c r="BW25" s="54">
        <v>194.03145060483885</v>
      </c>
      <c r="BX25" s="54">
        <v>145.19610987903241</v>
      </c>
    </row>
    <row r="26" spans="1:76" x14ac:dyDescent="0.3">
      <c r="A26" s="8" t="s">
        <v>89</v>
      </c>
      <c r="B26" s="8" t="s">
        <v>9</v>
      </c>
      <c r="C26" s="8" t="s">
        <v>115</v>
      </c>
      <c r="D26" s="8" t="s">
        <v>116</v>
      </c>
      <c r="E26" s="54">
        <v>384.05039191308242</v>
      </c>
      <c r="F26" s="54">
        <v>339.92903030895462</v>
      </c>
      <c r="G26" s="54">
        <v>250.33720494257074</v>
      </c>
      <c r="H26" s="54">
        <v>327.40407045250896</v>
      </c>
      <c r="I26" s="54">
        <v>273.28775123207885</v>
      </c>
      <c r="J26" s="54">
        <v>216.72251993727599</v>
      </c>
      <c r="K26" s="54">
        <v>358.13428673835148</v>
      </c>
      <c r="L26" s="54">
        <v>322.79873129480285</v>
      </c>
      <c r="M26" s="54">
        <v>240.21294993279585</v>
      </c>
      <c r="N26" s="54">
        <v>313.90506507616499</v>
      </c>
      <c r="O26" s="54">
        <v>273.09984318996408</v>
      </c>
      <c r="P26" s="54">
        <v>219.20415344982081</v>
      </c>
      <c r="Q26" s="54">
        <v>348.58375246415773</v>
      </c>
      <c r="R26" s="54">
        <v>315.57814796146943</v>
      </c>
      <c r="S26" s="54">
        <v>234.04486918867673</v>
      </c>
      <c r="T26" s="54">
        <v>301.23199148745528</v>
      </c>
      <c r="U26" s="54">
        <v>260.44427273745521</v>
      </c>
      <c r="V26" s="54">
        <v>210.13627644674116</v>
      </c>
      <c r="W26" s="54">
        <v>332.8334498207883</v>
      </c>
      <c r="X26" s="54">
        <v>302.6194995519711</v>
      </c>
      <c r="Y26" s="54">
        <v>217.03913336300639</v>
      </c>
      <c r="Z26" s="54">
        <v>280.3054797267024</v>
      </c>
      <c r="AA26" s="54">
        <v>237.73450190412194</v>
      </c>
      <c r="AB26" s="54">
        <v>196.61340027608887</v>
      </c>
      <c r="AC26" s="54">
        <v>332.29363250448029</v>
      </c>
      <c r="AD26" s="54">
        <v>302.152530313093</v>
      </c>
      <c r="AE26" s="54">
        <v>215.26626971326169</v>
      </c>
      <c r="AF26" s="54">
        <v>269.07621785394275</v>
      </c>
      <c r="AG26" s="54">
        <v>235.2362942019821</v>
      </c>
      <c r="AH26" s="54">
        <v>193.74536077508964</v>
      </c>
      <c r="AI26" s="54">
        <v>353.11186267921136</v>
      </c>
      <c r="AJ26" s="54">
        <v>313.39709802103613</v>
      </c>
      <c r="AK26" s="54">
        <v>228.32818884408601</v>
      </c>
      <c r="AL26" s="54">
        <v>273.57627442187703</v>
      </c>
      <c r="AM26" s="54">
        <v>239.61727342426164</v>
      </c>
      <c r="AN26" s="54">
        <v>202.13225672043001</v>
      </c>
      <c r="AO26" s="54">
        <v>361.20134016577055</v>
      </c>
      <c r="AP26" s="54">
        <v>323.55807004521012</v>
      </c>
      <c r="AQ26" s="54">
        <v>240.67182896505358</v>
      </c>
      <c r="AR26" s="54">
        <v>282.81455118727615</v>
      </c>
      <c r="AS26" s="54">
        <v>248.95519567652346</v>
      </c>
      <c r="AT26" s="54">
        <v>209.97049294354841</v>
      </c>
      <c r="AU26" s="54">
        <v>335.42406776433677</v>
      </c>
      <c r="AV26" s="54">
        <v>307.08268628828603</v>
      </c>
      <c r="AW26" s="54">
        <v>221.42766498655919</v>
      </c>
      <c r="AX26" s="54">
        <v>279.95228785842284</v>
      </c>
      <c r="AY26" s="54">
        <v>244.99733019713267</v>
      </c>
      <c r="AZ26" s="54">
        <v>197.83716487455206</v>
      </c>
      <c r="BA26" s="54">
        <v>341.90474507168454</v>
      </c>
      <c r="BB26" s="54">
        <v>311.82975515232971</v>
      </c>
      <c r="BC26" s="54">
        <v>229.59558568548388</v>
      </c>
      <c r="BD26" s="54">
        <v>281.73478617831529</v>
      </c>
      <c r="BE26" s="54">
        <v>243.5655150089604</v>
      </c>
      <c r="BF26" s="54">
        <v>201.82731205197135</v>
      </c>
      <c r="BG26" s="54">
        <v>329.7754917114695</v>
      </c>
      <c r="BH26" s="54">
        <v>293.26977542562747</v>
      </c>
      <c r="BI26" s="54">
        <v>214.48052506185178</v>
      </c>
      <c r="BJ26" s="54">
        <v>280.31540546594982</v>
      </c>
      <c r="BK26" s="54">
        <v>237.08932885304645</v>
      </c>
      <c r="BL26" s="54">
        <v>197.36256964070475</v>
      </c>
      <c r="BM26" s="54">
        <v>368.31829245071691</v>
      </c>
      <c r="BN26" s="54">
        <v>325.99898028673846</v>
      </c>
      <c r="BO26" s="54">
        <v>240.5299446991458</v>
      </c>
      <c r="BP26" s="54">
        <v>308.20788799283139</v>
      </c>
      <c r="BQ26" s="54">
        <v>267.74932986111111</v>
      </c>
      <c r="BR26" s="54">
        <v>213.47012211850048</v>
      </c>
      <c r="BS26" s="54">
        <v>385.29873947132631</v>
      </c>
      <c r="BT26" s="54">
        <v>337.21929894713253</v>
      </c>
      <c r="BU26" s="54">
        <v>251.14215760506718</v>
      </c>
      <c r="BV26" s="54">
        <v>323.73154693100361</v>
      </c>
      <c r="BW26" s="54">
        <v>275.34484979838703</v>
      </c>
      <c r="BX26" s="54">
        <v>216.71263004032261</v>
      </c>
    </row>
    <row r="27" spans="1:76" x14ac:dyDescent="0.3">
      <c r="A27" s="8" t="s">
        <v>89</v>
      </c>
      <c r="B27" s="8" t="s">
        <v>9</v>
      </c>
      <c r="C27" s="8" t="s">
        <v>115</v>
      </c>
      <c r="D27" s="8" t="s">
        <v>117</v>
      </c>
      <c r="E27" s="54">
        <v>414.92478382616468</v>
      </c>
      <c r="F27" s="54">
        <v>361.20206061790958</v>
      </c>
      <c r="G27" s="54">
        <v>261.65840988514179</v>
      </c>
      <c r="H27" s="54">
        <v>359.02414090501787</v>
      </c>
      <c r="I27" s="54">
        <v>291.3835024641578</v>
      </c>
      <c r="J27" s="54">
        <v>223.89303987455179</v>
      </c>
      <c r="K27" s="54">
        <v>383.98057347670255</v>
      </c>
      <c r="L27" s="54">
        <v>340.24546258960567</v>
      </c>
      <c r="M27" s="54">
        <v>249.56989986559131</v>
      </c>
      <c r="N27" s="54">
        <v>342.90613015232975</v>
      </c>
      <c r="O27" s="54">
        <v>291.15968637992819</v>
      </c>
      <c r="P27" s="54">
        <v>226.87230689964167</v>
      </c>
      <c r="Q27" s="54">
        <v>374.8795049283151</v>
      </c>
      <c r="R27" s="54">
        <v>334.95629592293909</v>
      </c>
      <c r="S27" s="54">
        <v>242.26573837735344</v>
      </c>
      <c r="T27" s="54">
        <v>327.10398297491025</v>
      </c>
      <c r="U27" s="54">
        <v>277.6005454749104</v>
      </c>
      <c r="V27" s="54">
        <v>214.51255289348236</v>
      </c>
      <c r="W27" s="54">
        <v>365.50689964157732</v>
      </c>
      <c r="X27" s="54">
        <v>329.43099910394278</v>
      </c>
      <c r="Y27" s="54">
        <v>224.29426672601284</v>
      </c>
      <c r="Z27" s="54">
        <v>301.25895945340517</v>
      </c>
      <c r="AA27" s="54">
        <v>247.42900380824383</v>
      </c>
      <c r="AB27" s="54">
        <v>198.36280055217782</v>
      </c>
      <c r="AC27" s="54">
        <v>364.88326500896062</v>
      </c>
      <c r="AD27" s="54">
        <v>328.88106062618607</v>
      </c>
      <c r="AE27" s="54">
        <v>222.34053942652343</v>
      </c>
      <c r="AF27" s="54">
        <v>289.44043570788523</v>
      </c>
      <c r="AG27" s="54">
        <v>249.0325884039637</v>
      </c>
      <c r="AH27" s="54">
        <v>196.66672155017918</v>
      </c>
      <c r="AI27" s="54">
        <v>377.98372535842304</v>
      </c>
      <c r="AJ27" s="54">
        <v>328.51419604207189</v>
      </c>
      <c r="AK27" s="54">
        <v>234.52837768817213</v>
      </c>
      <c r="AL27" s="54">
        <v>283.08854884375421</v>
      </c>
      <c r="AM27" s="54">
        <v>240.49054684852368</v>
      </c>
      <c r="AN27" s="54">
        <v>203.27251344086017</v>
      </c>
      <c r="AO27" s="54">
        <v>387.64268033154116</v>
      </c>
      <c r="AP27" s="54">
        <v>341.6041400904204</v>
      </c>
      <c r="AQ27" s="54">
        <v>250.16765793010754</v>
      </c>
      <c r="AR27" s="54">
        <v>292.59710237455192</v>
      </c>
      <c r="AS27" s="54">
        <v>250.14239135304649</v>
      </c>
      <c r="AT27" s="54">
        <v>211.99698588709691</v>
      </c>
      <c r="AU27" s="54">
        <v>368.60013552867389</v>
      </c>
      <c r="AV27" s="54">
        <v>334.76537257657225</v>
      </c>
      <c r="AW27" s="54">
        <v>229.53532997311819</v>
      </c>
      <c r="AX27" s="54">
        <v>300.88057571684601</v>
      </c>
      <c r="AY27" s="54">
        <v>257.25866039426523</v>
      </c>
      <c r="AZ27" s="54">
        <v>199.83432974910386</v>
      </c>
      <c r="BA27" s="54">
        <v>363.07349014336921</v>
      </c>
      <c r="BB27" s="54">
        <v>327.1635103046595</v>
      </c>
      <c r="BC27" s="54">
        <v>235.40717137096777</v>
      </c>
      <c r="BD27" s="54">
        <v>302.96557235663113</v>
      </c>
      <c r="BE27" s="54">
        <v>254.37903001792139</v>
      </c>
      <c r="BF27" s="54">
        <v>204.5986241039426</v>
      </c>
      <c r="BG27" s="54">
        <v>348.59098342293925</v>
      </c>
      <c r="BH27" s="54">
        <v>301.97155085125416</v>
      </c>
      <c r="BI27" s="54">
        <v>217.34505012370354</v>
      </c>
      <c r="BJ27" s="54">
        <v>301.2708109318998</v>
      </c>
      <c r="BK27" s="54">
        <v>246.65865770609318</v>
      </c>
      <c r="BL27" s="54">
        <v>199.25313928140963</v>
      </c>
      <c r="BM27" s="54">
        <v>396.19658490143394</v>
      </c>
      <c r="BN27" s="54">
        <v>344.41396057347686</v>
      </c>
      <c r="BO27" s="54">
        <v>249.97188939829118</v>
      </c>
      <c r="BP27" s="54">
        <v>336.15977598566292</v>
      </c>
      <c r="BQ27" s="54">
        <v>286.21065972222203</v>
      </c>
      <c r="BR27" s="54">
        <v>220.04424423700098</v>
      </c>
      <c r="BS27" s="54">
        <v>414.29347894265243</v>
      </c>
      <c r="BT27" s="54">
        <v>354.01459789426525</v>
      </c>
      <c r="BU27" s="54">
        <v>261.21231521013419</v>
      </c>
      <c r="BV27" s="54">
        <v>354.6390938620072</v>
      </c>
      <c r="BW27" s="54">
        <v>293.83369959677407</v>
      </c>
      <c r="BX27" s="54">
        <v>223.88126008064523</v>
      </c>
    </row>
    <row r="28" spans="1:76" x14ac:dyDescent="0.3">
      <c r="A28" s="8" t="s">
        <v>89</v>
      </c>
      <c r="B28" s="8" t="s">
        <v>9</v>
      </c>
      <c r="C28" s="8" t="s">
        <v>116</v>
      </c>
      <c r="D28" s="8" t="s">
        <v>117</v>
      </c>
      <c r="E28" s="54">
        <v>-57.419608086917485</v>
      </c>
      <c r="F28" s="54">
        <v>-58.390969691045399</v>
      </c>
      <c r="G28" s="54">
        <v>-48.43279505742926</v>
      </c>
      <c r="H28" s="54">
        <v>-42.32592954749115</v>
      </c>
      <c r="I28" s="54">
        <v>-45.702248767921063</v>
      </c>
      <c r="J28" s="54">
        <v>-45.217480062723972</v>
      </c>
      <c r="K28" s="54">
        <v>-57.225713261648714</v>
      </c>
      <c r="L28" s="54">
        <v>-58.891268705197007</v>
      </c>
      <c r="M28" s="54">
        <v>-48.357050067204256</v>
      </c>
      <c r="N28" s="54">
        <v>-42.224934923835058</v>
      </c>
      <c r="O28" s="54">
        <v>-45.700156810035921</v>
      </c>
      <c r="P28" s="54">
        <v>-45.215846550179293</v>
      </c>
      <c r="Q28" s="54">
        <v>-54.276247535842259</v>
      </c>
      <c r="R28" s="54">
        <v>-54.671852038530531</v>
      </c>
      <c r="S28" s="54">
        <v>-48.235130811323359</v>
      </c>
      <c r="T28" s="54">
        <v>-42.968008512544785</v>
      </c>
      <c r="U28" s="54">
        <v>-43.665727262544806</v>
      </c>
      <c r="V28" s="54">
        <v>-47.063723553258832</v>
      </c>
      <c r="W28" s="54">
        <v>-42.36655017921165</v>
      </c>
      <c r="X28" s="54">
        <v>-42.14050044802886</v>
      </c>
      <c r="Y28" s="54">
        <v>-45.190866636993562</v>
      </c>
      <c r="Z28" s="54">
        <v>-43.884520273297589</v>
      </c>
      <c r="AA28" s="54">
        <v>-47.315498095878098</v>
      </c>
      <c r="AB28" s="54">
        <v>-46.966599723911152</v>
      </c>
      <c r="AC28" s="54">
        <v>-42.336367495519724</v>
      </c>
      <c r="AD28" s="54">
        <v>-42.127469686907062</v>
      </c>
      <c r="AE28" s="54">
        <v>-44.973730286738345</v>
      </c>
      <c r="AF28" s="54">
        <v>-41.813782146057356</v>
      </c>
      <c r="AG28" s="54">
        <v>-41.563705798018049</v>
      </c>
      <c r="AH28" s="54">
        <v>-44.784639224910386</v>
      </c>
      <c r="AI28" s="54">
        <v>-57.188137320788648</v>
      </c>
      <c r="AJ28" s="54">
        <v>-59.452901978964022</v>
      </c>
      <c r="AK28" s="54">
        <v>-49.331811155914011</v>
      </c>
      <c r="AL28" s="54">
        <v>-56.503725578122889</v>
      </c>
      <c r="AM28" s="54">
        <v>-58.812726575738324</v>
      </c>
      <c r="AN28" s="54">
        <v>-49.107743279569902</v>
      </c>
      <c r="AO28" s="54">
        <v>-57.248659834229443</v>
      </c>
      <c r="AP28" s="54">
        <v>-58.331929954789864</v>
      </c>
      <c r="AQ28" s="54">
        <v>-48.298171034946378</v>
      </c>
      <c r="AR28" s="54">
        <v>-58.475448812723926</v>
      </c>
      <c r="AS28" s="54">
        <v>-60.754804323476684</v>
      </c>
      <c r="AT28" s="54">
        <v>-49.959507056451578</v>
      </c>
      <c r="AU28" s="54">
        <v>-42.385932235663226</v>
      </c>
      <c r="AV28" s="54">
        <v>-42.167313711714002</v>
      </c>
      <c r="AW28" s="54">
        <v>-45.222335013440862</v>
      </c>
      <c r="AX28" s="54">
        <v>-43.827712141577102</v>
      </c>
      <c r="AY28" s="54">
        <v>-45.922669802867411</v>
      </c>
      <c r="AZ28" s="54">
        <v>-46.962835125447967</v>
      </c>
      <c r="BA28" s="54">
        <v>-59.015254928315606</v>
      </c>
      <c r="BB28" s="54">
        <v>-58.790244847670373</v>
      </c>
      <c r="BC28" s="54">
        <v>-50.13441431451615</v>
      </c>
      <c r="BD28" s="54">
        <v>-43.895213821684706</v>
      </c>
      <c r="BE28" s="54">
        <v>-47.37448499103958</v>
      </c>
      <c r="BF28" s="54">
        <v>-46.992687948028689</v>
      </c>
      <c r="BG28" s="54">
        <v>-58.924508288530575</v>
      </c>
      <c r="BH28" s="54">
        <v>-62.440224574372706</v>
      </c>
      <c r="BI28" s="54">
        <v>-50.039474938148196</v>
      </c>
      <c r="BJ28" s="54">
        <v>-43.884594534050137</v>
      </c>
      <c r="BK28" s="54">
        <v>-47.310671146953531</v>
      </c>
      <c r="BL28" s="54">
        <v>-46.977430359295248</v>
      </c>
      <c r="BM28" s="54">
        <v>-57.231707549283193</v>
      </c>
      <c r="BN28" s="54">
        <v>-58.481019713261695</v>
      </c>
      <c r="BO28" s="54">
        <v>-48.330055300854326</v>
      </c>
      <c r="BP28" s="54">
        <v>-42.112112007168577</v>
      </c>
      <c r="BQ28" s="54">
        <v>-43.860670138888835</v>
      </c>
      <c r="BR28" s="54">
        <v>-45.149877881499492</v>
      </c>
      <c r="BS28" s="54">
        <v>-60.081260528673795</v>
      </c>
      <c r="BT28" s="54">
        <v>-63.310701052867515</v>
      </c>
      <c r="BU28" s="54">
        <v>-50.19784239493297</v>
      </c>
      <c r="BV28" s="54">
        <v>-42.298453068996487</v>
      </c>
      <c r="BW28" s="54">
        <v>-45.725150201612941</v>
      </c>
      <c r="BX28" s="54">
        <v>-45.217369959677512</v>
      </c>
    </row>
    <row r="29" spans="1:76" x14ac:dyDescent="0.3">
      <c r="A29" s="8" t="s">
        <v>89</v>
      </c>
      <c r="B29" s="8" t="s">
        <v>9</v>
      </c>
      <c r="C29" s="8" t="s">
        <v>117</v>
      </c>
      <c r="D29" s="8" t="s">
        <v>118</v>
      </c>
      <c r="E29" s="54">
        <v>116.03517573924726</v>
      </c>
      <c r="F29" s="54">
        <v>104.49109092686415</v>
      </c>
      <c r="G29" s="54">
        <v>114.45561482771238</v>
      </c>
      <c r="H29" s="54">
        <v>146.9682113575268</v>
      </c>
      <c r="I29" s="54">
        <v>126.69125369623657</v>
      </c>
      <c r="J29" s="54">
        <v>116.73555981182793</v>
      </c>
      <c r="K29" s="54">
        <v>111.39486021505374</v>
      </c>
      <c r="L29" s="54">
        <v>99.664193884408505</v>
      </c>
      <c r="M29" s="54">
        <v>112.64284979838712</v>
      </c>
      <c r="N29" s="54">
        <v>144.55119522849458</v>
      </c>
      <c r="O29" s="54">
        <v>126.65952956989246</v>
      </c>
      <c r="P29" s="54">
        <v>117.23646034946245</v>
      </c>
      <c r="Q29" s="54">
        <v>117.74325739247283</v>
      </c>
      <c r="R29" s="54">
        <v>110.03444388440853</v>
      </c>
      <c r="S29" s="54">
        <v>111.75060756602984</v>
      </c>
      <c r="T29" s="54">
        <v>139.93597446236561</v>
      </c>
      <c r="U29" s="54">
        <v>129.82481821236559</v>
      </c>
      <c r="V29" s="54">
        <v>110.24882934022339</v>
      </c>
      <c r="W29" s="54">
        <v>147.94034946236567</v>
      </c>
      <c r="X29" s="54">
        <v>142.53049865591393</v>
      </c>
      <c r="Y29" s="54">
        <v>116.87340008901926</v>
      </c>
      <c r="Z29" s="54">
        <v>133.18443918010757</v>
      </c>
      <c r="AA29" s="54">
        <v>115.06350571236557</v>
      </c>
      <c r="AB29" s="54">
        <v>107.8162008282667</v>
      </c>
      <c r="AC29" s="54">
        <v>147.91689751344072</v>
      </c>
      <c r="AD29" s="54">
        <v>142.47359093927892</v>
      </c>
      <c r="AE29" s="54">
        <v>117.12680913978491</v>
      </c>
      <c r="AF29" s="54">
        <v>136.73665356182795</v>
      </c>
      <c r="AG29" s="54">
        <v>130.66888260594567</v>
      </c>
      <c r="AH29" s="54">
        <v>113.35208232526894</v>
      </c>
      <c r="AI29" s="54">
        <v>110.49558803763438</v>
      </c>
      <c r="AJ29" s="54">
        <v>96.211294063107914</v>
      </c>
      <c r="AK29" s="54">
        <v>107.53656653225806</v>
      </c>
      <c r="AL29" s="54">
        <v>96.504823265631259</v>
      </c>
      <c r="AM29" s="54">
        <v>83.247820272785432</v>
      </c>
      <c r="AN29" s="54">
        <v>102.92477016129031</v>
      </c>
      <c r="AO29" s="54">
        <v>111.94402049731178</v>
      </c>
      <c r="AP29" s="54">
        <v>101.38221013563043</v>
      </c>
      <c r="AQ29" s="54">
        <v>112.89948689516127</v>
      </c>
      <c r="AR29" s="54">
        <v>92.831653561827991</v>
      </c>
      <c r="AS29" s="54">
        <v>79.677587029569835</v>
      </c>
      <c r="AT29" s="54">
        <v>102.10747883064519</v>
      </c>
      <c r="AU29" s="54">
        <v>148.40420329301062</v>
      </c>
      <c r="AV29" s="54">
        <v>143.34805886485813</v>
      </c>
      <c r="AW29" s="54">
        <v>117.66299495967736</v>
      </c>
      <c r="AX29" s="54">
        <v>133.2728635752689</v>
      </c>
      <c r="AY29" s="54">
        <v>120.41599059139784</v>
      </c>
      <c r="AZ29" s="54">
        <v>108.07149462365595</v>
      </c>
      <c r="BA29" s="54">
        <v>103.13823521505383</v>
      </c>
      <c r="BB29" s="54">
        <v>97.753265456989368</v>
      </c>
      <c r="BC29" s="54">
        <v>105.54275705645155</v>
      </c>
      <c r="BD29" s="54">
        <v>133.44035853494617</v>
      </c>
      <c r="BE29" s="54">
        <v>116.06454502688169</v>
      </c>
      <c r="BF29" s="54">
        <v>108.78593615591392</v>
      </c>
      <c r="BG29" s="54">
        <v>100.9664751344086</v>
      </c>
      <c r="BH29" s="54">
        <v>83.821326276881663</v>
      </c>
      <c r="BI29" s="54">
        <v>102.7855751855552</v>
      </c>
      <c r="BJ29" s="54">
        <v>133.18621639784956</v>
      </c>
      <c r="BK29" s="54">
        <v>114.94798655913974</v>
      </c>
      <c r="BL29" s="54">
        <v>107.93570892211434</v>
      </c>
      <c r="BM29" s="54">
        <v>113.41487735215061</v>
      </c>
      <c r="BN29" s="54">
        <v>101.45294086021505</v>
      </c>
      <c r="BO29" s="54">
        <v>112.78183409743703</v>
      </c>
      <c r="BP29" s="54">
        <v>143.72766397849435</v>
      </c>
      <c r="BQ29" s="54">
        <v>130.73998958333334</v>
      </c>
      <c r="BR29" s="54">
        <v>116.27436635550148</v>
      </c>
      <c r="BS29" s="54">
        <v>108.8322184139785</v>
      </c>
      <c r="BT29" s="54">
        <v>90.173896841397649</v>
      </c>
      <c r="BU29" s="54">
        <v>109.67447281520126</v>
      </c>
      <c r="BV29" s="54">
        <v>146.31064079301061</v>
      </c>
      <c r="BW29" s="54">
        <v>127.03854939516113</v>
      </c>
      <c r="BX29" s="54">
        <v>116.73389012096769</v>
      </c>
    </row>
    <row r="30" spans="1:76" x14ac:dyDescent="0.3">
      <c r="A30" s="8" t="s">
        <v>89</v>
      </c>
      <c r="B30" s="8" t="s">
        <v>10</v>
      </c>
      <c r="C30" s="8" t="s">
        <v>108</v>
      </c>
      <c r="D30" s="8" t="s">
        <v>111</v>
      </c>
      <c r="E30" s="54">
        <v>395.15468369175608</v>
      </c>
      <c r="F30" s="54">
        <v>407.07379673602452</v>
      </c>
      <c r="G30" s="54">
        <v>515.73576075268818</v>
      </c>
      <c r="H30" s="54">
        <v>558.02553136200731</v>
      </c>
      <c r="I30" s="54">
        <v>540.09140770609338</v>
      </c>
      <c r="J30" s="54">
        <v>514.77451553166077</v>
      </c>
      <c r="K30" s="54">
        <v>343.85235104966739</v>
      </c>
      <c r="L30" s="54">
        <v>351.37800089605742</v>
      </c>
      <c r="M30" s="54">
        <v>500.16134139784964</v>
      </c>
      <c r="N30" s="54">
        <v>493.4417390424988</v>
      </c>
      <c r="O30" s="54">
        <v>509.33566308243729</v>
      </c>
      <c r="P30" s="54">
        <v>518.08247491039424</v>
      </c>
      <c r="Q30" s="54">
        <v>359.71401971326202</v>
      </c>
      <c r="R30" s="54">
        <v>376.11518369175667</v>
      </c>
      <c r="S30" s="54">
        <v>474.02758781361996</v>
      </c>
      <c r="T30" s="54">
        <v>475.73922043010765</v>
      </c>
      <c r="U30" s="54">
        <v>503.84818189964142</v>
      </c>
      <c r="V30" s="54">
        <v>532.20684587813662</v>
      </c>
      <c r="W30" s="54">
        <v>549.34759856630831</v>
      </c>
      <c r="X30" s="54">
        <v>569.4199964157707</v>
      </c>
      <c r="Y30" s="54">
        <v>531.74299229203029</v>
      </c>
      <c r="Z30" s="54">
        <v>562.79951523297473</v>
      </c>
      <c r="AA30" s="54">
        <v>593.61909050179236</v>
      </c>
      <c r="AB30" s="54">
        <v>538.46031756084756</v>
      </c>
      <c r="AC30" s="54">
        <v>527.08690232974914</v>
      </c>
      <c r="AD30" s="54">
        <v>564.29155148555776</v>
      </c>
      <c r="AE30" s="54">
        <v>503.02720560443134</v>
      </c>
      <c r="AF30" s="54">
        <v>514.55158512544813</v>
      </c>
      <c r="AG30" s="54">
        <v>539.36966259666883</v>
      </c>
      <c r="AH30" s="54">
        <v>474.24488620071691</v>
      </c>
      <c r="AI30" s="54">
        <v>503.11454301075287</v>
      </c>
      <c r="AJ30" s="54">
        <v>493.6404704301076</v>
      </c>
      <c r="AK30" s="54">
        <v>476.16727419354834</v>
      </c>
      <c r="AL30" s="54">
        <v>579.10011469534049</v>
      </c>
      <c r="AM30" s="54">
        <v>577.75308512544825</v>
      </c>
      <c r="AN30" s="54">
        <v>504.17236200716854</v>
      </c>
      <c r="AO30" s="54">
        <v>362.11021236559174</v>
      </c>
      <c r="AP30" s="54">
        <v>380.14449469258295</v>
      </c>
      <c r="AQ30" s="54">
        <v>413.06523948801185</v>
      </c>
      <c r="AR30" s="54">
        <v>478.57855645161294</v>
      </c>
      <c r="AS30" s="54">
        <v>476.93484415494925</v>
      </c>
      <c r="AT30" s="54">
        <v>458.12930400414098</v>
      </c>
      <c r="AU30" s="54">
        <v>557.91041308243723</v>
      </c>
      <c r="AV30" s="54">
        <v>566.45925179211474</v>
      </c>
      <c r="AW30" s="54">
        <v>478.29531989247329</v>
      </c>
      <c r="AX30" s="54">
        <v>510.66364416567114</v>
      </c>
      <c r="AY30" s="54">
        <v>482.70380286738356</v>
      </c>
      <c r="AZ30" s="54">
        <v>484.16131899641601</v>
      </c>
      <c r="BA30" s="54">
        <v>338.69757347670259</v>
      </c>
      <c r="BB30" s="54">
        <v>362.89450000000011</v>
      </c>
      <c r="BC30" s="54">
        <v>423.75931109481922</v>
      </c>
      <c r="BD30" s="54">
        <v>489.65770878136203</v>
      </c>
      <c r="BE30" s="54">
        <v>500.53474372759865</v>
      </c>
      <c r="BF30" s="54">
        <v>462.63008976865439</v>
      </c>
      <c r="BG30" s="54">
        <v>506.66422043010749</v>
      </c>
      <c r="BH30" s="54">
        <v>529.95574462365607</v>
      </c>
      <c r="BI30" s="54">
        <v>504.95518041678577</v>
      </c>
      <c r="BJ30" s="54">
        <v>582.97743727598595</v>
      </c>
      <c r="BK30" s="54">
        <v>579.55609318996414</v>
      </c>
      <c r="BL30" s="54">
        <v>529.59136500459908</v>
      </c>
      <c r="BM30" s="54">
        <v>330.92085573476714</v>
      </c>
      <c r="BN30" s="54">
        <v>364.73373544973578</v>
      </c>
      <c r="BO30" s="54">
        <v>495.42531971791635</v>
      </c>
      <c r="BP30" s="54">
        <v>488.55110394265267</v>
      </c>
      <c r="BQ30" s="54">
        <v>514.07681093189956</v>
      </c>
      <c r="BR30" s="54">
        <v>516.45328136200703</v>
      </c>
      <c r="BS30" s="54">
        <v>354.22729211469516</v>
      </c>
      <c r="BT30" s="54">
        <v>388.00781810035835</v>
      </c>
      <c r="BU30" s="54">
        <v>506.02574014336921</v>
      </c>
      <c r="BV30" s="54">
        <v>558.07824641577076</v>
      </c>
      <c r="BW30" s="54">
        <v>538.71983781362019</v>
      </c>
      <c r="BX30" s="54">
        <v>559.47468189964172</v>
      </c>
    </row>
    <row r="31" spans="1:76" x14ac:dyDescent="0.3">
      <c r="A31" s="8" t="s">
        <v>89</v>
      </c>
      <c r="B31" s="8" t="s">
        <v>10</v>
      </c>
      <c r="C31" s="8" t="s">
        <v>108</v>
      </c>
      <c r="D31" s="8" t="s">
        <v>115</v>
      </c>
      <c r="E31" s="54">
        <v>505.40531630824393</v>
      </c>
      <c r="F31" s="54">
        <v>553.2438863808602</v>
      </c>
      <c r="G31" s="54">
        <v>553.58423924731187</v>
      </c>
      <c r="H31" s="54">
        <v>486.01446863799259</v>
      </c>
      <c r="I31" s="54">
        <v>488.78859229390656</v>
      </c>
      <c r="J31" s="54">
        <v>545.53881780167274</v>
      </c>
      <c r="K31" s="54">
        <v>414.52764895033243</v>
      </c>
      <c r="L31" s="54">
        <v>474.34199910394261</v>
      </c>
      <c r="M31" s="54">
        <v>511.79865860215057</v>
      </c>
      <c r="N31" s="54">
        <v>383.39826095750107</v>
      </c>
      <c r="O31" s="54">
        <v>442.16433691756276</v>
      </c>
      <c r="P31" s="54">
        <v>542.17752508960575</v>
      </c>
      <c r="Q31" s="54">
        <v>423.6659802867382</v>
      </c>
      <c r="R31" s="54">
        <v>472.48481630824335</v>
      </c>
      <c r="S31" s="54">
        <v>466.11241218637934</v>
      </c>
      <c r="T31" s="54">
        <v>424.9607795698924</v>
      </c>
      <c r="U31" s="54">
        <v>477.03181810035858</v>
      </c>
      <c r="V31" s="54">
        <v>542.49315412186343</v>
      </c>
      <c r="W31" s="54">
        <v>483.75240143369183</v>
      </c>
      <c r="X31" s="54">
        <v>524.56000358422955</v>
      </c>
      <c r="Y31" s="54">
        <v>543.93449461896455</v>
      </c>
      <c r="Z31" s="54">
        <v>572.32048476702494</v>
      </c>
      <c r="AA31" s="54">
        <v>619.78090949820762</v>
      </c>
      <c r="AB31" s="54">
        <v>574.51716935014713</v>
      </c>
      <c r="AC31" s="54">
        <v>450.15309767025059</v>
      </c>
      <c r="AD31" s="54">
        <v>511.04844851444199</v>
      </c>
      <c r="AE31" s="54">
        <v>518.88006712284107</v>
      </c>
      <c r="AF31" s="54">
        <v>452.76841487455187</v>
      </c>
      <c r="AG31" s="54">
        <v>496.130337403331</v>
      </c>
      <c r="AH31" s="54">
        <v>487.79511379928306</v>
      </c>
      <c r="AI31" s="54">
        <v>459.78545698924722</v>
      </c>
      <c r="AJ31" s="54">
        <v>484.11667242703538</v>
      </c>
      <c r="AK31" s="54">
        <v>485.37272580645151</v>
      </c>
      <c r="AL31" s="54">
        <v>544.23988530465931</v>
      </c>
      <c r="AM31" s="54">
        <v>548.84405773169465</v>
      </c>
      <c r="AN31" s="54">
        <v>510.20763799283151</v>
      </c>
      <c r="AO31" s="54">
        <v>467.8497876344083</v>
      </c>
      <c r="AP31" s="54">
        <v>464.46473607664785</v>
      </c>
      <c r="AQ31" s="54">
        <v>403.2947605119881</v>
      </c>
      <c r="AR31" s="54">
        <v>427.94144354838704</v>
      </c>
      <c r="AS31" s="54">
        <v>434.27438661428152</v>
      </c>
      <c r="AT31" s="54">
        <v>461.11069599585886</v>
      </c>
      <c r="AU31" s="54">
        <v>469.96958691756288</v>
      </c>
      <c r="AV31" s="54">
        <v>518.54074820788526</v>
      </c>
      <c r="AW31" s="54">
        <v>488.56468010752718</v>
      </c>
      <c r="AX31" s="54">
        <v>480.6985780565509</v>
      </c>
      <c r="AY31" s="54">
        <v>452.31619713261637</v>
      </c>
      <c r="AZ31" s="54">
        <v>543.09868100358403</v>
      </c>
      <c r="BA31" s="54">
        <v>448.56242652329746</v>
      </c>
      <c r="BB31" s="54">
        <v>484.96549999999996</v>
      </c>
      <c r="BC31" s="54">
        <v>459.99887072336264</v>
      </c>
      <c r="BD31" s="54">
        <v>448.18229121863794</v>
      </c>
      <c r="BE31" s="54">
        <v>506.68525627240138</v>
      </c>
      <c r="BF31" s="54">
        <v>509.0480920495275</v>
      </c>
      <c r="BG31" s="54">
        <v>499.43577956989247</v>
      </c>
      <c r="BH31" s="54">
        <v>542.12425537634408</v>
      </c>
      <c r="BI31" s="54">
        <v>574.59579303454177</v>
      </c>
      <c r="BJ31" s="54">
        <v>552.12256272401407</v>
      </c>
      <c r="BK31" s="54">
        <v>560.44390681003574</v>
      </c>
      <c r="BL31" s="54">
        <v>590.31960844672835</v>
      </c>
      <c r="BM31" s="54">
        <v>407.07914426523286</v>
      </c>
      <c r="BN31" s="54">
        <v>455.40626455026432</v>
      </c>
      <c r="BO31" s="54">
        <v>515.95468028208359</v>
      </c>
      <c r="BP31" s="54">
        <v>399.90889605734759</v>
      </c>
      <c r="BQ31" s="54">
        <v>451.80318906810044</v>
      </c>
      <c r="BR31" s="54">
        <v>555.40671863799298</v>
      </c>
      <c r="BS31" s="54">
        <v>538.51270788530496</v>
      </c>
      <c r="BT31" s="54">
        <v>477.79218189964155</v>
      </c>
      <c r="BU31" s="54">
        <v>558.15425985663069</v>
      </c>
      <c r="BV31" s="54">
        <v>493.36175358422918</v>
      </c>
      <c r="BW31" s="54">
        <v>486.0001621863799</v>
      </c>
      <c r="BX31" s="54">
        <v>583.52531810035862</v>
      </c>
    </row>
    <row r="32" spans="1:76" x14ac:dyDescent="0.3">
      <c r="A32" s="8" t="s">
        <v>89</v>
      </c>
      <c r="B32" s="8" t="s">
        <v>10</v>
      </c>
      <c r="C32" s="8" t="s">
        <v>109</v>
      </c>
      <c r="D32" s="8" t="s">
        <v>110</v>
      </c>
      <c r="E32" s="54">
        <v>39.352715053763809</v>
      </c>
      <c r="F32" s="54">
        <v>90.929459796118323</v>
      </c>
      <c r="G32" s="54">
        <v>237.09395161290314</v>
      </c>
      <c r="H32" s="54">
        <v>129.37631720430164</v>
      </c>
      <c r="I32" s="54">
        <v>187.88712365591397</v>
      </c>
      <c r="J32" s="54">
        <v>265.43098566308231</v>
      </c>
      <c r="K32" s="54">
        <v>156.11097265745045</v>
      </c>
      <c r="L32" s="54">
        <v>92.148037634408482</v>
      </c>
      <c r="M32" s="54">
        <v>263.27233870967734</v>
      </c>
      <c r="N32" s="54">
        <v>154.56126835637485</v>
      </c>
      <c r="O32" s="54">
        <v>166.69784946236533</v>
      </c>
      <c r="P32" s="54">
        <v>266.03994623655922</v>
      </c>
      <c r="Q32" s="54">
        <v>10.276827956989365</v>
      </c>
      <c r="R32" s="54">
        <v>109.39771505376328</v>
      </c>
      <c r="S32" s="54">
        <v>264.822688172043</v>
      </c>
      <c r="T32" s="54">
        <v>-59.392741935483826</v>
      </c>
      <c r="U32" s="54">
        <v>42.31163978494579</v>
      </c>
      <c r="V32" s="54">
        <v>172.60752688172042</v>
      </c>
      <c r="W32" s="54">
        <v>57.759139784946399</v>
      </c>
      <c r="X32" s="54">
        <v>145.88784946236544</v>
      </c>
      <c r="Y32" s="54">
        <v>207.2798123909252</v>
      </c>
      <c r="Z32" s="54">
        <v>81.531639784946265</v>
      </c>
      <c r="AA32" s="54">
        <v>151.84180107526879</v>
      </c>
      <c r="AB32" s="54">
        <v>199.8874736812476</v>
      </c>
      <c r="AC32" s="54">
        <v>43.473897849462205</v>
      </c>
      <c r="AD32" s="54">
        <v>167.52517745224571</v>
      </c>
      <c r="AE32" s="54">
        <v>266.6669990224828</v>
      </c>
      <c r="AF32" s="54">
        <v>189.59857526881697</v>
      </c>
      <c r="AG32" s="54">
        <v>314.02184411891244</v>
      </c>
      <c r="AH32" s="54">
        <v>296.18922043010753</v>
      </c>
      <c r="AI32" s="54">
        <v>-22.549193548387137</v>
      </c>
      <c r="AJ32" s="54">
        <v>98.024996159755233</v>
      </c>
      <c r="AK32" s="54">
        <v>240.84951612903228</v>
      </c>
      <c r="AL32" s="54">
        <v>188.38881720430089</v>
      </c>
      <c r="AM32" s="54">
        <v>281.13881336405643</v>
      </c>
      <c r="AN32" s="54">
        <v>297.04720430107523</v>
      </c>
      <c r="AO32" s="54">
        <v>3.6849193548387227</v>
      </c>
      <c r="AP32" s="54">
        <v>77.357392473118239</v>
      </c>
      <c r="AQ32" s="54">
        <v>187.35926318859686</v>
      </c>
      <c r="AR32" s="54">
        <v>-58.868629032257978</v>
      </c>
      <c r="AS32" s="54">
        <v>9.7520698924730134</v>
      </c>
      <c r="AT32" s="54">
        <v>95.537972866016176</v>
      </c>
      <c r="AU32" s="54">
        <v>163.32534946236586</v>
      </c>
      <c r="AV32" s="54">
        <v>132.88857526881682</v>
      </c>
      <c r="AW32" s="54">
        <v>228.29943548387078</v>
      </c>
      <c r="AX32" s="54">
        <v>-0.70738948626059006</v>
      </c>
      <c r="AY32" s="54">
        <v>57.831720430107538</v>
      </c>
      <c r="AZ32" s="54">
        <v>129.31139784946234</v>
      </c>
      <c r="BA32" s="54">
        <v>36.474086021505371</v>
      </c>
      <c r="BB32" s="54">
        <v>120.30500000000011</v>
      </c>
      <c r="BC32" s="54">
        <v>196.0168841642228</v>
      </c>
      <c r="BD32" s="54">
        <v>-19.992231182795916</v>
      </c>
      <c r="BE32" s="54">
        <v>54.731236559139809</v>
      </c>
      <c r="BF32" s="54">
        <v>104.38158846529799</v>
      </c>
      <c r="BG32" s="54">
        <v>49.857258064515797</v>
      </c>
      <c r="BH32" s="54">
        <v>143.94927419354829</v>
      </c>
      <c r="BI32" s="54">
        <v>236.02355980588064</v>
      </c>
      <c r="BJ32" s="54">
        <v>205.41236559139753</v>
      </c>
      <c r="BK32" s="54">
        <v>299.75591397849468</v>
      </c>
      <c r="BL32" s="54">
        <v>251.95931249405291</v>
      </c>
      <c r="BM32" s="54">
        <v>58.275940860215925</v>
      </c>
      <c r="BN32" s="54">
        <v>70.043936507936394</v>
      </c>
      <c r="BO32" s="54">
        <v>252.69389939553542</v>
      </c>
      <c r="BP32" s="54">
        <v>75.442365591397831</v>
      </c>
      <c r="BQ32" s="54">
        <v>187.51405913978482</v>
      </c>
      <c r="BR32" s="54">
        <v>249.37381720430142</v>
      </c>
      <c r="BS32" s="54">
        <v>23.970268817204101</v>
      </c>
      <c r="BT32" s="54">
        <v>42.568360215053836</v>
      </c>
      <c r="BU32" s="54">
        <v>181.12908602150591</v>
      </c>
      <c r="BV32" s="54">
        <v>113.83034946236592</v>
      </c>
      <c r="BW32" s="54">
        <v>181.86518817204322</v>
      </c>
      <c r="BX32" s="54">
        <v>152.4166397849468</v>
      </c>
    </row>
    <row r="33" spans="1:76" x14ac:dyDescent="0.3">
      <c r="A33" s="8" t="s">
        <v>89</v>
      </c>
      <c r="B33" s="8" t="s">
        <v>10</v>
      </c>
      <c r="C33" s="8" t="s">
        <v>109</v>
      </c>
      <c r="D33" s="8" t="s">
        <v>115</v>
      </c>
      <c r="E33" s="54">
        <v>347.2772849462371</v>
      </c>
      <c r="F33" s="54">
        <v>245.95054020388173</v>
      </c>
      <c r="G33" s="54">
        <v>199.33604838709672</v>
      </c>
      <c r="H33" s="54">
        <v>314.69368279569966</v>
      </c>
      <c r="I33" s="54">
        <v>228.32287634408587</v>
      </c>
      <c r="J33" s="54">
        <v>207.82901433691748</v>
      </c>
      <c r="K33" s="54">
        <v>391.21691305683635</v>
      </c>
      <c r="L33" s="54">
        <v>261.36196236559141</v>
      </c>
      <c r="M33" s="54">
        <v>183.35766129032248</v>
      </c>
      <c r="N33" s="54">
        <v>359.69661735791078</v>
      </c>
      <c r="O33" s="54">
        <v>249.70215053763468</v>
      </c>
      <c r="P33" s="54">
        <v>204.74005376344073</v>
      </c>
      <c r="Q33" s="54">
        <v>322.0631720430107</v>
      </c>
      <c r="R33" s="54">
        <v>255.5522849462366</v>
      </c>
      <c r="S33" s="54">
        <v>188.09731182795687</v>
      </c>
      <c r="T33" s="54">
        <v>215.19274193548375</v>
      </c>
      <c r="U33" s="54">
        <v>153.57836021505423</v>
      </c>
      <c r="V33" s="54">
        <v>70.19247311827948</v>
      </c>
      <c r="W33" s="54">
        <v>302.24086021505349</v>
      </c>
      <c r="X33" s="54">
        <v>244.55215053763447</v>
      </c>
      <c r="Y33" s="54">
        <v>116.99018760907542</v>
      </c>
      <c r="Z33" s="54">
        <v>94.278360215053752</v>
      </c>
      <c r="AA33" s="54">
        <v>63.108198924731184</v>
      </c>
      <c r="AB33" s="54">
        <v>56.532526318752389</v>
      </c>
      <c r="AC33" s="54">
        <v>317.09610215053783</v>
      </c>
      <c r="AD33" s="54">
        <v>259.64681501834309</v>
      </c>
      <c r="AE33" s="54">
        <v>208.29300097751724</v>
      </c>
      <c r="AF33" s="54">
        <v>234.711424731183</v>
      </c>
      <c r="AG33" s="54">
        <v>180.63014835167624</v>
      </c>
      <c r="AH33" s="54">
        <v>200.48077956989218</v>
      </c>
      <c r="AI33" s="54">
        <v>347.4491935483872</v>
      </c>
      <c r="AJ33" s="54">
        <v>289.5538133640556</v>
      </c>
      <c r="AK33" s="54">
        <v>216.6904838709678</v>
      </c>
      <c r="AL33" s="54">
        <v>216.73118279569903</v>
      </c>
      <c r="AM33" s="54">
        <v>180.85999615975444</v>
      </c>
      <c r="AN33" s="54">
        <v>186.91279569892473</v>
      </c>
      <c r="AO33" s="54">
        <v>313.06508064516112</v>
      </c>
      <c r="AP33" s="54">
        <v>275.95260752688165</v>
      </c>
      <c r="AQ33" s="54">
        <v>258.87073681140316</v>
      </c>
      <c r="AR33" s="54">
        <v>217.57862903225811</v>
      </c>
      <c r="AS33" s="54">
        <v>180.53793010752693</v>
      </c>
      <c r="AT33" s="54">
        <v>144.53202713398372</v>
      </c>
      <c r="AU33" s="54">
        <v>353.4646505376349</v>
      </c>
      <c r="AV33" s="54">
        <v>253.06142473118288</v>
      </c>
      <c r="AW33" s="54">
        <v>240.2505645161288</v>
      </c>
      <c r="AX33" s="54">
        <v>176.92738948626052</v>
      </c>
      <c r="AY33" s="54">
        <v>151.24827956989239</v>
      </c>
      <c r="AZ33" s="54">
        <v>125.88860215053765</v>
      </c>
      <c r="BA33" s="54">
        <v>297.80591397849452</v>
      </c>
      <c r="BB33" s="54">
        <v>244.27499999999981</v>
      </c>
      <c r="BC33" s="54">
        <v>259.45311583577711</v>
      </c>
      <c r="BD33" s="54">
        <v>194.36223118279582</v>
      </c>
      <c r="BE33" s="54">
        <v>154.32876344086023</v>
      </c>
      <c r="BF33" s="54">
        <v>146.79841153470187</v>
      </c>
      <c r="BG33" s="54">
        <v>296.6427419354838</v>
      </c>
      <c r="BH33" s="54">
        <v>235.54072580645146</v>
      </c>
      <c r="BI33" s="54">
        <v>175.90546674279173</v>
      </c>
      <c r="BJ33" s="54">
        <v>205.58763440860207</v>
      </c>
      <c r="BK33" s="54">
        <v>151.04408602150542</v>
      </c>
      <c r="BL33" s="54">
        <v>138.50971405461999</v>
      </c>
      <c r="BM33" s="54">
        <v>382.57405913978613</v>
      </c>
      <c r="BN33" s="54">
        <v>280.67606349206352</v>
      </c>
      <c r="BO33" s="54">
        <v>193.64610060446464</v>
      </c>
      <c r="BP33" s="54">
        <v>309.43763440860204</v>
      </c>
      <c r="BQ33" s="54">
        <v>236.0759408602151</v>
      </c>
      <c r="BR33" s="54">
        <v>189.10618279569945</v>
      </c>
      <c r="BS33" s="54">
        <v>307.44973118279682</v>
      </c>
      <c r="BT33" s="54">
        <v>292.10163978494609</v>
      </c>
      <c r="BU33" s="54">
        <v>122.67091397849505</v>
      </c>
      <c r="BV33" s="54">
        <v>296.93965053763469</v>
      </c>
      <c r="BW33" s="54">
        <v>232.26481182795666</v>
      </c>
      <c r="BX33" s="54">
        <v>38.093360215054496</v>
      </c>
    </row>
    <row r="34" spans="1:76" x14ac:dyDescent="0.3">
      <c r="A34" s="8" t="s">
        <v>89</v>
      </c>
      <c r="B34" s="8" t="s">
        <v>10</v>
      </c>
      <c r="C34" s="8" t="s">
        <v>110</v>
      </c>
      <c r="D34" s="8" t="s">
        <v>111</v>
      </c>
      <c r="E34" s="54">
        <v>289.1408826164876</v>
      </c>
      <c r="F34" s="54">
        <v>165.14947977470484</v>
      </c>
      <c r="G34" s="54">
        <v>105.22022849462364</v>
      </c>
      <c r="H34" s="54">
        <v>314.53868727598586</v>
      </c>
      <c r="I34" s="54">
        <v>198.46543458781363</v>
      </c>
      <c r="J34" s="54">
        <v>97.653802270011852</v>
      </c>
      <c r="K34" s="54">
        <v>259.80729790066562</v>
      </c>
      <c r="L34" s="54">
        <v>174.89074820788542</v>
      </c>
      <c r="M34" s="54">
        <v>84.10006720430107</v>
      </c>
      <c r="N34" s="54">
        <v>337.72627191500249</v>
      </c>
      <c r="O34" s="54">
        <v>228.47867383512565</v>
      </c>
      <c r="P34" s="54">
        <v>98.146550179211474</v>
      </c>
      <c r="Q34" s="54">
        <v>297.84646057347675</v>
      </c>
      <c r="R34" s="54">
        <v>175.47838261648795</v>
      </c>
      <c r="S34" s="54">
        <v>89.555824372759886</v>
      </c>
      <c r="T34" s="54">
        <v>323.24905913978495</v>
      </c>
      <c r="U34" s="54">
        <v>208.97188620071705</v>
      </c>
      <c r="V34" s="54">
        <v>54.91630824372762</v>
      </c>
      <c r="W34" s="54">
        <v>343.24480286738333</v>
      </c>
      <c r="X34" s="54">
        <v>239.93700716845879</v>
      </c>
      <c r="Y34" s="54">
        <v>70.696260180337475</v>
      </c>
      <c r="Z34" s="54">
        <v>135.25521953405018</v>
      </c>
      <c r="AA34" s="54">
        <v>67.640568996415681</v>
      </c>
      <c r="AB34" s="54">
        <v>18.562859642702989</v>
      </c>
      <c r="AC34" s="54">
        <v>363.783445340502</v>
      </c>
      <c r="AD34" s="54">
        <v>241.35789702888476</v>
      </c>
      <c r="AE34" s="54">
        <v>100.89849788204619</v>
      </c>
      <c r="AF34" s="54">
        <v>201.63357974910423</v>
      </c>
      <c r="AG34" s="54">
        <v>81.260674806662436</v>
      </c>
      <c r="AH34" s="54">
        <v>72.09997759856634</v>
      </c>
      <c r="AI34" s="54">
        <v>409.44341397849485</v>
      </c>
      <c r="AJ34" s="54">
        <v>275.36566628264183</v>
      </c>
      <c r="AK34" s="54">
        <v>120.39395161290312</v>
      </c>
      <c r="AL34" s="54">
        <v>190.11577060931904</v>
      </c>
      <c r="AM34" s="54">
        <v>103.11893689196117</v>
      </c>
      <c r="AN34" s="54">
        <v>69.722275985663046</v>
      </c>
      <c r="AO34" s="54">
        <v>278.36732526881724</v>
      </c>
      <c r="AP34" s="54">
        <v>216.648452922525</v>
      </c>
      <c r="AQ34" s="54">
        <v>181.20227102397624</v>
      </c>
      <c r="AR34" s="54">
        <v>325.35463709677413</v>
      </c>
      <c r="AS34" s="54">
        <v>251.0302539977942</v>
      </c>
      <c r="AT34" s="54">
        <v>148.73614199171814</v>
      </c>
      <c r="AU34" s="54">
        <v>331.53492383512548</v>
      </c>
      <c r="AV34" s="54">
        <v>255.17524641577083</v>
      </c>
      <c r="AW34" s="54">
        <v>146.77211021505366</v>
      </c>
      <c r="AX34" s="54">
        <v>256.08510055754687</v>
      </c>
      <c r="AY34" s="54">
        <v>194.99539426523305</v>
      </c>
      <c r="AZ34" s="54">
        <v>96.381362007168406</v>
      </c>
      <c r="BA34" s="54">
        <v>240.15385304659475</v>
      </c>
      <c r="BB34" s="54">
        <v>146.98750000000004</v>
      </c>
      <c r="BC34" s="54">
        <v>160.20840053763442</v>
      </c>
      <c r="BD34" s="54">
        <v>282.00683243727622</v>
      </c>
      <c r="BE34" s="54">
        <v>188.27101254480283</v>
      </c>
      <c r="BF34" s="54">
        <v>128.76859318996438</v>
      </c>
      <c r="BG34" s="54">
        <v>311.62405913978495</v>
      </c>
      <c r="BH34" s="54">
        <v>203.18676075268803</v>
      </c>
      <c r="BI34" s="54">
        <v>72.245028546959688</v>
      </c>
      <c r="BJ34" s="54">
        <v>170.16012544802894</v>
      </c>
      <c r="BK34" s="54">
        <v>64.537813620071603</v>
      </c>
      <c r="BL34" s="54">
        <v>41.259159371332508</v>
      </c>
      <c r="BM34" s="54">
        <v>306.81453853046634</v>
      </c>
      <c r="BN34" s="54">
        <v>219.19222433862461</v>
      </c>
      <c r="BO34" s="54">
        <v>94.1738605641671</v>
      </c>
      <c r="BP34" s="54">
        <v>335.45179211469531</v>
      </c>
      <c r="BQ34" s="54">
        <v>204.07712813620083</v>
      </c>
      <c r="BR34" s="54">
        <v>89.369937275985748</v>
      </c>
      <c r="BS34" s="54">
        <v>228.70891577060993</v>
      </c>
      <c r="BT34" s="54">
        <v>249.82811379928305</v>
      </c>
      <c r="BU34" s="54">
        <v>69.81301971326171</v>
      </c>
      <c r="BV34" s="54">
        <v>306.75575716845896</v>
      </c>
      <c r="BW34" s="54">
        <v>205.52457437275962</v>
      </c>
      <c r="BX34" s="54">
        <v>41.299386200717045</v>
      </c>
    </row>
    <row r="35" spans="1:76" x14ac:dyDescent="0.3">
      <c r="A35" s="8" t="s">
        <v>89</v>
      </c>
      <c r="B35" s="8" t="s">
        <v>10</v>
      </c>
      <c r="C35" s="8" t="s">
        <v>110</v>
      </c>
      <c r="D35" s="8" t="s">
        <v>115</v>
      </c>
      <c r="E35" s="54">
        <v>211.84183243727617</v>
      </c>
      <c r="F35" s="54">
        <v>118.50229690452862</v>
      </c>
      <c r="G35" s="54">
        <v>14.343723118279584</v>
      </c>
      <c r="H35" s="54">
        <v>145.10762992831573</v>
      </c>
      <c r="I35" s="54">
        <v>58.271689068100315</v>
      </c>
      <c r="J35" s="54">
        <v>5.8371833930704886</v>
      </c>
      <c r="K35" s="54">
        <v>182.75578904249866</v>
      </c>
      <c r="L35" s="54">
        <v>128.16728942652333</v>
      </c>
      <c r="M35" s="54">
        <v>-9.3977284946236139</v>
      </c>
      <c r="N35" s="54">
        <v>162.51711072708642</v>
      </c>
      <c r="O35" s="54">
        <v>83.119175627240367</v>
      </c>
      <c r="P35" s="54">
        <v>3.4733960573476441</v>
      </c>
      <c r="Q35" s="54">
        <v>209.57036738351255</v>
      </c>
      <c r="R35" s="54">
        <v>115.66933243727617</v>
      </c>
      <c r="S35" s="54">
        <v>-7.0131362007168629</v>
      </c>
      <c r="T35" s="54">
        <v>173.15819892473115</v>
      </c>
      <c r="U35" s="54">
        <v>81.229753584229897</v>
      </c>
      <c r="V35" s="54">
        <v>-39.508781362007198</v>
      </c>
      <c r="W35" s="54">
        <v>172.61433691756255</v>
      </c>
      <c r="X35" s="54">
        <v>90.090842293907073</v>
      </c>
      <c r="Y35" s="54">
        <v>-25.646447789412274</v>
      </c>
      <c r="Z35" s="54">
        <v>22.086420250896023</v>
      </c>
      <c r="AA35" s="54">
        <v>-33.84876792114688</v>
      </c>
      <c r="AB35" s="54">
        <v>-62.255385961455524</v>
      </c>
      <c r="AC35" s="54">
        <v>189.66045250896079</v>
      </c>
      <c r="AD35" s="54">
        <v>89.335287952772461</v>
      </c>
      <c r="AE35" s="54">
        <v>5.5285011404365703</v>
      </c>
      <c r="AF35" s="54">
        <v>61.674995519713562</v>
      </c>
      <c r="AG35" s="54">
        <v>-36.590823158338281</v>
      </c>
      <c r="AH35" s="54">
        <v>-14.440757168458829</v>
      </c>
      <c r="AI35" s="54">
        <v>242.90739247311842</v>
      </c>
      <c r="AJ35" s="54">
        <v>144.02337749615947</v>
      </c>
      <c r="AK35" s="54">
        <v>24.035564516128982</v>
      </c>
      <c r="AL35" s="54">
        <v>50.293046594982236</v>
      </c>
      <c r="AM35" s="54">
        <v>-19.996075908858213</v>
      </c>
      <c r="AN35" s="54">
        <v>-23.91507168458784</v>
      </c>
      <c r="AO35" s="54">
        <v>206.8675940860214</v>
      </c>
      <c r="AP35" s="54">
        <v>145.28970878136204</v>
      </c>
      <c r="AQ35" s="54">
        <v>78.900859613303624</v>
      </c>
      <c r="AR35" s="54">
        <v>174.48673387096781</v>
      </c>
      <c r="AS35" s="54">
        <v>115.48258512544807</v>
      </c>
      <c r="AT35" s="54">
        <v>48.585698322981095</v>
      </c>
      <c r="AU35" s="54">
        <v>153.98042562724035</v>
      </c>
      <c r="AV35" s="54">
        <v>102.26332885304679</v>
      </c>
      <c r="AW35" s="54">
        <v>46.017325268817189</v>
      </c>
      <c r="AX35" s="54">
        <v>118.30528773397064</v>
      </c>
      <c r="AY35" s="54">
        <v>71.916326164874533</v>
      </c>
      <c r="AZ35" s="54">
        <v>19.270035842293922</v>
      </c>
      <c r="BA35" s="54">
        <v>180.30023297491039</v>
      </c>
      <c r="BB35" s="54">
        <v>102.69749999999999</v>
      </c>
      <c r="BC35" s="54">
        <v>74.96030180840674</v>
      </c>
      <c r="BD35" s="54">
        <v>139.57093637992855</v>
      </c>
      <c r="BE35" s="54">
        <v>75.52022401433689</v>
      </c>
      <c r="BF35" s="54">
        <v>45.674813457152183</v>
      </c>
      <c r="BG35" s="54">
        <v>172.83319892473136</v>
      </c>
      <c r="BH35" s="54">
        <v>85.052513440860182</v>
      </c>
      <c r="BI35" s="54">
        <v>-0.74146874107916538</v>
      </c>
      <c r="BJ35" s="54">
        <v>34.35224014336935</v>
      </c>
      <c r="BK35" s="54">
        <v>-49.18189964157704</v>
      </c>
      <c r="BL35" s="54">
        <v>-33.639846877279723</v>
      </c>
      <c r="BM35" s="54">
        <v>225.91140232974948</v>
      </c>
      <c r="BN35" s="54">
        <v>152.09540740740758</v>
      </c>
      <c r="BO35" s="54">
        <v>2.7504507052088512</v>
      </c>
      <c r="BP35" s="54">
        <v>168.57057347670246</v>
      </c>
      <c r="BQ35" s="54">
        <v>63.62693100358441</v>
      </c>
      <c r="BR35" s="54">
        <v>1.3838799283155678</v>
      </c>
      <c r="BS35" s="54">
        <v>192.98135304659593</v>
      </c>
      <c r="BT35" s="54">
        <v>173.45024641577055</v>
      </c>
      <c r="BU35" s="54">
        <v>-8.7839336917562285</v>
      </c>
      <c r="BV35" s="54">
        <v>141.04459229390687</v>
      </c>
      <c r="BW35" s="54">
        <v>63.910613799282977</v>
      </c>
      <c r="BX35" s="54">
        <v>-50.812746415770384</v>
      </c>
    </row>
    <row r="36" spans="1:76" x14ac:dyDescent="0.3">
      <c r="A36" s="8" t="s">
        <v>89</v>
      </c>
      <c r="B36" s="8" t="s">
        <v>10</v>
      </c>
      <c r="C36" s="8" t="s">
        <v>111</v>
      </c>
      <c r="D36" s="8" t="s">
        <v>112</v>
      </c>
      <c r="E36" s="54">
        <v>441.47</v>
      </c>
      <c r="F36" s="54">
        <v>398.32</v>
      </c>
      <c r="G36" s="54">
        <v>298.77</v>
      </c>
      <c r="H36" s="54">
        <v>369.73000000000013</v>
      </c>
      <c r="I36" s="54">
        <v>318.99000000000012</v>
      </c>
      <c r="J36" s="54">
        <v>261.94000000000005</v>
      </c>
      <c r="K36" s="54">
        <v>415.36000000000018</v>
      </c>
      <c r="L36" s="54">
        <v>381.69000000000011</v>
      </c>
      <c r="M36" s="54">
        <v>288.57</v>
      </c>
      <c r="N36" s="54">
        <v>356.13000000000005</v>
      </c>
      <c r="O36" s="54">
        <v>318.79999999999995</v>
      </c>
      <c r="P36" s="54">
        <v>264.42000000000007</v>
      </c>
      <c r="Q36" s="54">
        <v>402.86</v>
      </c>
      <c r="R36" s="54">
        <v>370.24999999999994</v>
      </c>
      <c r="S36" s="54">
        <v>282.28000000000009</v>
      </c>
      <c r="T36" s="54">
        <v>344.20000000000005</v>
      </c>
      <c r="U36" s="54">
        <v>304.11000000000013</v>
      </c>
      <c r="V36" s="54">
        <v>257.2000000000001</v>
      </c>
      <c r="W36" s="54">
        <v>375.2</v>
      </c>
      <c r="X36" s="54">
        <v>344.75999999999993</v>
      </c>
      <c r="Y36" s="54">
        <v>262.22999999999996</v>
      </c>
      <c r="Z36" s="54">
        <v>324.19</v>
      </c>
      <c r="AA36" s="54">
        <v>285.05</v>
      </c>
      <c r="AB36" s="54">
        <v>243.58000000000013</v>
      </c>
      <c r="AC36" s="54">
        <v>374.63</v>
      </c>
      <c r="AD36" s="54">
        <v>344.28000000000014</v>
      </c>
      <c r="AE36" s="54">
        <v>260.24</v>
      </c>
      <c r="AF36" s="54">
        <v>310.8900000000001</v>
      </c>
      <c r="AG36" s="54">
        <v>276.79999999999995</v>
      </c>
      <c r="AH36" s="54">
        <v>238.53000000000014</v>
      </c>
      <c r="AI36" s="54">
        <v>410.30000000000013</v>
      </c>
      <c r="AJ36" s="54">
        <v>372.84999999999991</v>
      </c>
      <c r="AK36" s="54">
        <v>277.66000000000003</v>
      </c>
      <c r="AL36" s="54">
        <v>330.07999999999993</v>
      </c>
      <c r="AM36" s="54">
        <v>298.42999999999995</v>
      </c>
      <c r="AN36" s="54">
        <v>251.2399999999999</v>
      </c>
      <c r="AO36" s="54">
        <v>418.45</v>
      </c>
      <c r="AP36" s="54">
        <v>381.89000000000004</v>
      </c>
      <c r="AQ36" s="54">
        <v>288.96999999999997</v>
      </c>
      <c r="AR36" s="54">
        <v>341.29000000000008</v>
      </c>
      <c r="AS36" s="54">
        <v>309.71000000000015</v>
      </c>
      <c r="AT36" s="54">
        <v>259.93</v>
      </c>
      <c r="AU36" s="54">
        <v>377.81</v>
      </c>
      <c r="AV36" s="54">
        <v>349.25000000000006</v>
      </c>
      <c r="AW36" s="54">
        <v>266.65000000000003</v>
      </c>
      <c r="AX36" s="54">
        <v>323.77999999999997</v>
      </c>
      <c r="AY36" s="54">
        <v>290.92000000000007</v>
      </c>
      <c r="AZ36" s="54">
        <v>244.7999999999999</v>
      </c>
      <c r="BA36" s="54">
        <v>400.91999999999996</v>
      </c>
      <c r="BB36" s="54">
        <v>370.61999999999995</v>
      </c>
      <c r="BC36" s="54">
        <v>279.73</v>
      </c>
      <c r="BD36" s="54">
        <v>325.63000000000011</v>
      </c>
      <c r="BE36" s="54">
        <v>290.94</v>
      </c>
      <c r="BF36" s="54">
        <v>248.82000000000005</v>
      </c>
      <c r="BG36" s="54">
        <v>388.70000000000005</v>
      </c>
      <c r="BH36" s="54">
        <v>355.71</v>
      </c>
      <c r="BI36" s="54">
        <v>264.5200000000001</v>
      </c>
      <c r="BJ36" s="54">
        <v>324.20000000000005</v>
      </c>
      <c r="BK36" s="54">
        <v>284.39999999999998</v>
      </c>
      <c r="BL36" s="54">
        <v>244.34</v>
      </c>
      <c r="BM36" s="54">
        <v>425.55000000000007</v>
      </c>
      <c r="BN36" s="54">
        <v>384.48000000000013</v>
      </c>
      <c r="BO36" s="54">
        <v>288.8599999999999</v>
      </c>
      <c r="BP36" s="54">
        <v>350.31999999999994</v>
      </c>
      <c r="BQ36" s="54">
        <v>311.60999999999996</v>
      </c>
      <c r="BR36" s="54">
        <v>258.62000000000006</v>
      </c>
      <c r="BS36" s="54">
        <v>445.38000000000011</v>
      </c>
      <c r="BT36" s="54">
        <v>400.53000000000003</v>
      </c>
      <c r="BU36" s="54">
        <v>301.33999999999992</v>
      </c>
      <c r="BV36" s="54">
        <v>366.03000000000009</v>
      </c>
      <c r="BW36" s="54">
        <v>321.07</v>
      </c>
      <c r="BX36" s="54">
        <v>261.93</v>
      </c>
    </row>
    <row r="37" spans="1:76" x14ac:dyDescent="0.3">
      <c r="A37" s="8" t="s">
        <v>89</v>
      </c>
      <c r="B37" s="8" t="s">
        <v>10</v>
      </c>
      <c r="C37" s="8" t="s">
        <v>111</v>
      </c>
      <c r="D37" s="8" t="s">
        <v>115</v>
      </c>
      <c r="E37" s="54">
        <v>-21.831677307347586</v>
      </c>
      <c r="F37" s="54">
        <v>-14.341702180794114</v>
      </c>
      <c r="G37" s="54">
        <v>-55.004850470430135</v>
      </c>
      <c r="H37" s="54">
        <v>-87.755957101254396</v>
      </c>
      <c r="I37" s="54">
        <v>-80.337129816308249</v>
      </c>
      <c r="J37" s="54">
        <v>-56.65573887395459</v>
      </c>
      <c r="K37" s="54">
        <v>-25.312719406042071</v>
      </c>
      <c r="L37" s="54">
        <v>-13.18125056003594</v>
      </c>
      <c r="M37" s="54">
        <v>-59.610838373655881</v>
      </c>
      <c r="N37" s="54">
        <v>-89.191086901561746</v>
      </c>
      <c r="O37" s="54">
        <v>-80.459789426523216</v>
      </c>
      <c r="P37" s="54">
        <v>-58.73654681899643</v>
      </c>
      <c r="Q37" s="54">
        <v>-28.976262320788649</v>
      </c>
      <c r="R37" s="54">
        <v>-22.921989807347831</v>
      </c>
      <c r="S37" s="54">
        <v>-61.232242383512656</v>
      </c>
      <c r="T37" s="54">
        <v>-72.162012768817178</v>
      </c>
      <c r="U37" s="54">
        <v>-69.685113687276029</v>
      </c>
      <c r="V37" s="54">
        <v>-63.954278673835184</v>
      </c>
      <c r="W37" s="54">
        <v>-85.0672491039427</v>
      </c>
      <c r="X37" s="54">
        <v>-82.392497759856582</v>
      </c>
      <c r="Y37" s="54">
        <v>-63.419998454770202</v>
      </c>
      <c r="Z37" s="54">
        <v>-67.969697020609402</v>
      </c>
      <c r="AA37" s="54">
        <v>-67.661931563620215</v>
      </c>
      <c r="AB37" s="54">
        <v>-58.293326747780981</v>
      </c>
      <c r="AC37" s="54">
        <v>-85.11931395609318</v>
      </c>
      <c r="AD37" s="54">
        <v>-83.847219678473522</v>
      </c>
      <c r="AE37" s="54">
        <v>-58.915185320951522</v>
      </c>
      <c r="AF37" s="54">
        <v>-79.764740703404996</v>
      </c>
      <c r="AG37" s="54">
        <v>-78.231039122918062</v>
      </c>
      <c r="AH37" s="54">
        <v>-55.893053875448075</v>
      </c>
      <c r="AI37" s="54">
        <v>-73.721589381720463</v>
      </c>
      <c r="AJ37" s="54">
        <v>-64.086008304531589</v>
      </c>
      <c r="AK37" s="54">
        <v>-57.219546370967713</v>
      </c>
      <c r="AL37" s="54">
        <v>-81.1025716845879</v>
      </c>
      <c r="AM37" s="54">
        <v>-79.446392489119333</v>
      </c>
      <c r="AN37" s="54">
        <v>-61.512726254480341</v>
      </c>
      <c r="AO37" s="54">
        <v>-18.828882728494811</v>
      </c>
      <c r="AP37" s="54">
        <v>-26.438001490556641</v>
      </c>
      <c r="AQ37" s="54">
        <v>-54.075774680007463</v>
      </c>
      <c r="AR37" s="54">
        <v>-72.481597782258049</v>
      </c>
      <c r="AS37" s="54">
        <v>-70.281969904535501</v>
      </c>
      <c r="AT37" s="54">
        <v>-56.520815002588101</v>
      </c>
      <c r="AU37" s="54">
        <v>-91.724008176523157</v>
      </c>
      <c r="AV37" s="54">
        <v>-82.787032370071671</v>
      </c>
      <c r="AW37" s="54">
        <v>-57.219574932795723</v>
      </c>
      <c r="AX37" s="54">
        <v>-71.32422204798894</v>
      </c>
      <c r="AY37" s="54">
        <v>-67.934876792114736</v>
      </c>
      <c r="AZ37" s="54">
        <v>-45.785824372759798</v>
      </c>
      <c r="BA37" s="54">
        <v>-14.870983422939021</v>
      </c>
      <c r="BB37" s="54">
        <v>-14.844062500000144</v>
      </c>
      <c r="BC37" s="54">
        <v>-43.910023979716549</v>
      </c>
      <c r="BD37" s="54">
        <v>-71.576067988351255</v>
      </c>
      <c r="BE37" s="54">
        <v>-61.029214829749101</v>
      </c>
      <c r="BF37" s="54">
        <v>-46.224260650863378</v>
      </c>
      <c r="BG37" s="54">
        <v>-65.140137768817226</v>
      </c>
      <c r="BH37" s="54">
        <v>-63.202340389784894</v>
      </c>
      <c r="BI37" s="54">
        <v>-45.709244397659113</v>
      </c>
      <c r="BJ37" s="54">
        <v>-80.58589829749107</v>
      </c>
      <c r="BK37" s="54">
        <v>-77.22255824372759</v>
      </c>
      <c r="BL37" s="54">
        <v>-51.016859765042668</v>
      </c>
      <c r="BM37" s="54">
        <v>-22.325534834229387</v>
      </c>
      <c r="BN37" s="54">
        <v>-22.923584656084795</v>
      </c>
      <c r="BO37" s="54">
        <v>-56.795824823697714</v>
      </c>
      <c r="BP37" s="54">
        <v>-83.229439964157763</v>
      </c>
      <c r="BQ37" s="54">
        <v>-79.828006832437296</v>
      </c>
      <c r="BR37" s="54">
        <v>-54.818300851254385</v>
      </c>
      <c r="BS37" s="54">
        <v>1.7929424283156248</v>
      </c>
      <c r="BT37" s="54">
        <v>-26.054886312723902</v>
      </c>
      <c r="BU37" s="54">
        <v>-50.221087589605752</v>
      </c>
      <c r="BV37" s="54">
        <v>-85.938904009856714</v>
      </c>
      <c r="BW37" s="54">
        <v>-80.519898633512497</v>
      </c>
      <c r="BX37" s="54">
        <v>-63.921676187275956</v>
      </c>
    </row>
    <row r="38" spans="1:76" x14ac:dyDescent="0.3">
      <c r="A38" s="8" t="s">
        <v>89</v>
      </c>
      <c r="B38" s="8" t="s">
        <v>10</v>
      </c>
      <c r="C38" s="8" t="s">
        <v>111</v>
      </c>
      <c r="D38" s="8" t="s">
        <v>118</v>
      </c>
      <c r="E38" s="54">
        <v>323.18724361559134</v>
      </c>
      <c r="F38" s="54">
        <v>289.92497869152368</v>
      </c>
      <c r="G38" s="54">
        <v>178.42083971774181</v>
      </c>
      <c r="H38" s="54">
        <v>220.86017573924744</v>
      </c>
      <c r="I38" s="54">
        <v>180.9139721102151</v>
      </c>
      <c r="J38" s="54">
        <v>145.20405667562696</v>
      </c>
      <c r="K38" s="54">
        <v>298.25236835637492</v>
      </c>
      <c r="L38" s="54">
        <v>276.06999966397859</v>
      </c>
      <c r="M38" s="54">
        <v>166.73224697580636</v>
      </c>
      <c r="N38" s="54">
        <v>208.09909785906311</v>
      </c>
      <c r="O38" s="54">
        <v>180.67412634408609</v>
      </c>
      <c r="P38" s="54">
        <v>146.1255719086021</v>
      </c>
      <c r="Q38" s="54">
        <v>285.11674260752716</v>
      </c>
      <c r="R38" s="54">
        <v>260.21555611559143</v>
      </c>
      <c r="S38" s="54">
        <v>160.25565456989256</v>
      </c>
      <c r="T38" s="54">
        <v>182.75029233870964</v>
      </c>
      <c r="U38" s="54">
        <v>174.2851817876344</v>
      </c>
      <c r="V38" s="54">
        <v>136.67743279569922</v>
      </c>
      <c r="W38" s="54">
        <v>227.25965053763431</v>
      </c>
      <c r="X38" s="54">
        <v>202.229501344086</v>
      </c>
      <c r="Y38" s="54">
        <v>141.3992509271379</v>
      </c>
      <c r="Z38" s="54">
        <v>117.6444317876344</v>
      </c>
      <c r="AA38" s="54">
        <v>158.82159106182792</v>
      </c>
      <c r="AB38" s="54">
        <v>128.1565039513315</v>
      </c>
      <c r="AC38" s="54">
        <v>226.72966162634413</v>
      </c>
      <c r="AD38" s="54">
        <v>200.9366681929159</v>
      </c>
      <c r="AE38" s="54">
        <v>142.36088880742903</v>
      </c>
      <c r="AF38" s="54">
        <v>174.16990557795708</v>
      </c>
      <c r="AG38" s="54">
        <v>145.26137652624917</v>
      </c>
      <c r="AH38" s="54">
        <v>125.17791767473096</v>
      </c>
      <c r="AI38" s="54">
        <v>264.77954637096769</v>
      </c>
      <c r="AJ38" s="54">
        <v>237.79214501728109</v>
      </c>
      <c r="AK38" s="54">
        <v>158.6207721774191</v>
      </c>
      <c r="AL38" s="54">
        <v>190.1584569892475</v>
      </c>
      <c r="AM38" s="54">
        <v>163.45841450652833</v>
      </c>
      <c r="AN38" s="54">
        <v>132.92736424731166</v>
      </c>
      <c r="AO38" s="54">
        <v>304.84642036290313</v>
      </c>
      <c r="AP38" s="54">
        <v>268.29094910566619</v>
      </c>
      <c r="AQ38" s="54">
        <v>170.40328519199554</v>
      </c>
      <c r="AR38" s="54">
        <v>193.83479133064517</v>
      </c>
      <c r="AS38" s="54">
        <v>178.82706805727878</v>
      </c>
      <c r="AT38" s="54">
        <v>143.52626099844713</v>
      </c>
      <c r="AU38" s="54">
        <v>225.54934509408596</v>
      </c>
      <c r="AV38" s="54">
        <v>205.92153057795716</v>
      </c>
      <c r="AW38" s="54">
        <v>148.98700504032257</v>
      </c>
      <c r="AX38" s="54">
        <v>190.51296677120666</v>
      </c>
      <c r="AY38" s="54">
        <v>163.79407392473121</v>
      </c>
      <c r="AZ38" s="54">
        <v>136.72850537634406</v>
      </c>
      <c r="BA38" s="54">
        <v>291.88240994623646</v>
      </c>
      <c r="BB38" s="54">
        <v>265.38606249999998</v>
      </c>
      <c r="BC38" s="54">
        <v>168.41773561217011</v>
      </c>
      <c r="BD38" s="54">
        <v>191.98060920698913</v>
      </c>
      <c r="BE38" s="54">
        <v>167.95497110215064</v>
      </c>
      <c r="BF38" s="54">
        <v>139.98294360948194</v>
      </c>
      <c r="BG38" s="54">
        <v>251.02841733870983</v>
      </c>
      <c r="BH38" s="54">
        <v>223.32484576612922</v>
      </c>
      <c r="BI38" s="54">
        <v>154.02945336140451</v>
      </c>
      <c r="BJ38" s="54">
        <v>185.32346102150555</v>
      </c>
      <c r="BK38" s="54">
        <v>152.51646505376348</v>
      </c>
      <c r="BL38" s="54">
        <v>133.18738414097442</v>
      </c>
      <c r="BM38" s="54">
        <v>308.96092909946259</v>
      </c>
      <c r="BN38" s="54">
        <v>272.66584920634938</v>
      </c>
      <c r="BO38" s="54">
        <v>168.67500510578125</v>
      </c>
      <c r="BP38" s="54">
        <v>206.59233602150562</v>
      </c>
      <c r="BQ38" s="54">
        <v>174.76194590053763</v>
      </c>
      <c r="BR38" s="54">
        <v>143.40151948924728</v>
      </c>
      <c r="BS38" s="54">
        <v>340.78326545698934</v>
      </c>
      <c r="BT38" s="54">
        <v>284.83081821236556</v>
      </c>
      <c r="BU38" s="54">
        <v>183.53984744623654</v>
      </c>
      <c r="BV38" s="54">
        <v>218.71290759408635</v>
      </c>
      <c r="BW38" s="54">
        <v>182.6243108198924</v>
      </c>
      <c r="BX38" s="54">
        <v>140.83574428763447</v>
      </c>
    </row>
    <row r="39" spans="1:76" x14ac:dyDescent="0.3">
      <c r="A39" s="8" t="s">
        <v>89</v>
      </c>
      <c r="B39" s="8" t="s">
        <v>10</v>
      </c>
      <c r="C39" s="8" t="s">
        <v>115</v>
      </c>
      <c r="D39" s="8" t="s">
        <v>116</v>
      </c>
      <c r="E39" s="54">
        <v>384.79958546146963</v>
      </c>
      <c r="F39" s="54">
        <v>341.23034043615871</v>
      </c>
      <c r="G39" s="54">
        <v>252.30172009408602</v>
      </c>
      <c r="H39" s="54">
        <v>328.037941420251</v>
      </c>
      <c r="I39" s="54">
        <v>277.08267596326186</v>
      </c>
      <c r="J39" s="54">
        <v>216.72264777479054</v>
      </c>
      <c r="K39" s="54">
        <v>360.03854388120857</v>
      </c>
      <c r="L39" s="54">
        <v>324.78400011200728</v>
      </c>
      <c r="M39" s="54">
        <v>243.27791767473127</v>
      </c>
      <c r="N39" s="54">
        <v>315.06496738031251</v>
      </c>
      <c r="O39" s="54">
        <v>276.92195788530461</v>
      </c>
      <c r="P39" s="54">
        <v>219.5568093637994</v>
      </c>
      <c r="Q39" s="54">
        <v>348.58375246415773</v>
      </c>
      <c r="R39" s="54">
        <v>315.57814796146943</v>
      </c>
      <c r="S39" s="54">
        <v>237.46944847670258</v>
      </c>
      <c r="T39" s="54">
        <v>290.76990255376359</v>
      </c>
      <c r="U39" s="54">
        <v>260.44427273745521</v>
      </c>
      <c r="V39" s="54">
        <v>213.56085573476702</v>
      </c>
      <c r="W39" s="54">
        <v>332.8334498207883</v>
      </c>
      <c r="X39" s="54">
        <v>302.6194995519711</v>
      </c>
      <c r="Y39" s="54">
        <v>218.35824969095418</v>
      </c>
      <c r="Z39" s="54">
        <v>251.95918940412176</v>
      </c>
      <c r="AA39" s="54">
        <v>241.45613631272411</v>
      </c>
      <c r="AB39" s="54">
        <v>199.14916534955606</v>
      </c>
      <c r="AC39" s="54">
        <v>332.28811279121874</v>
      </c>
      <c r="AD39" s="54">
        <v>302.44244393569477</v>
      </c>
      <c r="AE39" s="54">
        <v>215.51703706419056</v>
      </c>
      <c r="AF39" s="54">
        <v>269.07069814068097</v>
      </c>
      <c r="AG39" s="54">
        <v>235.52620782458368</v>
      </c>
      <c r="AH39" s="54">
        <v>193.74536077508941</v>
      </c>
      <c r="AI39" s="54">
        <v>364.78681787634406</v>
      </c>
      <c r="AJ39" s="54">
        <v>326.34595166090639</v>
      </c>
      <c r="AK39" s="54">
        <v>232.16240927419341</v>
      </c>
      <c r="AL39" s="54">
        <v>288.04851433691761</v>
      </c>
      <c r="AM39" s="54">
        <v>256.85852849782395</v>
      </c>
      <c r="AN39" s="54">
        <v>207.26154525089612</v>
      </c>
      <c r="AO39" s="54">
        <v>361.75452654569892</v>
      </c>
      <c r="AP39" s="54">
        <v>327.6303502981113</v>
      </c>
      <c r="AQ39" s="54">
        <v>242.56090493600158</v>
      </c>
      <c r="AR39" s="54">
        <v>293.08906955645165</v>
      </c>
      <c r="AS39" s="54">
        <v>266.02364398090714</v>
      </c>
      <c r="AT39" s="54">
        <v>214.73591300051774</v>
      </c>
      <c r="AU39" s="54">
        <v>336.70955163530471</v>
      </c>
      <c r="AV39" s="54">
        <v>307.07615647401434</v>
      </c>
      <c r="AW39" s="54">
        <v>221.42766498655919</v>
      </c>
      <c r="AX39" s="54">
        <v>279.95034440959785</v>
      </c>
      <c r="AY39" s="54">
        <v>247.23397535842295</v>
      </c>
      <c r="AZ39" s="54">
        <v>197.83716487455206</v>
      </c>
      <c r="BA39" s="54">
        <v>343.87119668458774</v>
      </c>
      <c r="BB39" s="54">
        <v>314.32331249999999</v>
      </c>
      <c r="BC39" s="54">
        <v>231.51875479594318</v>
      </c>
      <c r="BD39" s="54">
        <v>281.80446359767041</v>
      </c>
      <c r="BE39" s="54">
        <v>245.87234296594974</v>
      </c>
      <c r="BF39" s="54">
        <v>201.84435213017272</v>
      </c>
      <c r="BG39" s="54">
        <v>342.0105275537635</v>
      </c>
      <c r="BH39" s="54">
        <v>309.45771807795677</v>
      </c>
      <c r="BI39" s="54">
        <v>217.0488488795319</v>
      </c>
      <c r="BJ39" s="54">
        <v>282.21217965949808</v>
      </c>
      <c r="BK39" s="54">
        <v>242.73451164874538</v>
      </c>
      <c r="BL39" s="54">
        <v>198.43487195300847</v>
      </c>
      <c r="BM39" s="54">
        <v>369.376356966846</v>
      </c>
      <c r="BN39" s="54">
        <v>329.45271693121691</v>
      </c>
      <c r="BO39" s="54">
        <v>242.99766496473961</v>
      </c>
      <c r="BP39" s="54">
        <v>308.20788799283139</v>
      </c>
      <c r="BQ39" s="54">
        <v>269.78535136648742</v>
      </c>
      <c r="BR39" s="54">
        <v>213.11816017025097</v>
      </c>
      <c r="BS39" s="54">
        <v>383.88691151433704</v>
      </c>
      <c r="BT39" s="54">
        <v>345.72772726254499</v>
      </c>
      <c r="BU39" s="54">
        <v>253.8507175179212</v>
      </c>
      <c r="BV39" s="54">
        <v>324.06703080197133</v>
      </c>
      <c r="BW39" s="54">
        <v>279.14722972670256</v>
      </c>
      <c r="BX39" s="54">
        <v>218.16608523745518</v>
      </c>
    </row>
    <row r="40" spans="1:76" x14ac:dyDescent="0.3">
      <c r="A40" s="8" t="s">
        <v>89</v>
      </c>
      <c r="B40" s="8" t="s">
        <v>10</v>
      </c>
      <c r="C40" s="8" t="s">
        <v>115</v>
      </c>
      <c r="D40" s="8" t="s">
        <v>117</v>
      </c>
      <c r="E40" s="54">
        <v>416.42317092293911</v>
      </c>
      <c r="F40" s="54">
        <v>363.80468087231787</v>
      </c>
      <c r="G40" s="54">
        <v>265.58744018817129</v>
      </c>
      <c r="H40" s="54">
        <v>360.29188284050196</v>
      </c>
      <c r="I40" s="54">
        <v>298.97335192652321</v>
      </c>
      <c r="J40" s="54">
        <v>223.89329554958158</v>
      </c>
      <c r="K40" s="54">
        <v>387.78908776241684</v>
      </c>
      <c r="L40" s="54">
        <v>344.21600022401446</v>
      </c>
      <c r="M40" s="54">
        <v>255.69983534946172</v>
      </c>
      <c r="N40" s="54">
        <v>345.2259347606248</v>
      </c>
      <c r="O40" s="54">
        <v>298.80391577060925</v>
      </c>
      <c r="P40" s="54">
        <v>227.57761872759795</v>
      </c>
      <c r="Q40" s="54">
        <v>374.8795049283151</v>
      </c>
      <c r="R40" s="54">
        <v>334.95629592293909</v>
      </c>
      <c r="S40" s="54">
        <v>249.11489695340515</v>
      </c>
      <c r="T40" s="54">
        <v>306.17980510752665</v>
      </c>
      <c r="U40" s="54">
        <v>277.6005454749104</v>
      </c>
      <c r="V40" s="54">
        <v>221.36171146953433</v>
      </c>
      <c r="W40" s="54">
        <v>365.50689964157732</v>
      </c>
      <c r="X40" s="54">
        <v>329.43099910394278</v>
      </c>
      <c r="Y40" s="54">
        <v>226.93249938190817</v>
      </c>
      <c r="Z40" s="54">
        <v>244.56637880824371</v>
      </c>
      <c r="AA40" s="54">
        <v>254.87227262544798</v>
      </c>
      <c r="AB40" s="54">
        <v>203.43433069911265</v>
      </c>
      <c r="AC40" s="54">
        <v>364.87222558243724</v>
      </c>
      <c r="AD40" s="54">
        <v>329.46088787138916</v>
      </c>
      <c r="AE40" s="54">
        <v>222.84207412838032</v>
      </c>
      <c r="AF40" s="54">
        <v>289.42939628136213</v>
      </c>
      <c r="AG40" s="54">
        <v>249.61241564916725</v>
      </c>
      <c r="AH40" s="54">
        <v>196.66672155017906</v>
      </c>
      <c r="AI40" s="54">
        <v>401.33363575268822</v>
      </c>
      <c r="AJ40" s="54">
        <v>354.41190332181247</v>
      </c>
      <c r="AK40" s="54">
        <v>242.19681854838691</v>
      </c>
      <c r="AL40" s="54">
        <v>312.03302867383508</v>
      </c>
      <c r="AM40" s="54">
        <v>274.97305699564765</v>
      </c>
      <c r="AN40" s="54">
        <v>213.53109050179177</v>
      </c>
      <c r="AO40" s="54">
        <v>388.74905309139797</v>
      </c>
      <c r="AP40" s="54">
        <v>349.74870059622276</v>
      </c>
      <c r="AQ40" s="54">
        <v>253.94580987200288</v>
      </c>
      <c r="AR40" s="54">
        <v>313.14613911290337</v>
      </c>
      <c r="AS40" s="54">
        <v>284.27928796181413</v>
      </c>
      <c r="AT40" s="54">
        <v>221.52782600103538</v>
      </c>
      <c r="AU40" s="54">
        <v>371.17110327060931</v>
      </c>
      <c r="AV40" s="54">
        <v>334.75231294802876</v>
      </c>
      <c r="AW40" s="54">
        <v>229.53532997311819</v>
      </c>
      <c r="AX40" s="54">
        <v>300.87668881919558</v>
      </c>
      <c r="AY40" s="54">
        <v>261.73195071684563</v>
      </c>
      <c r="AZ40" s="54">
        <v>199.83432974910386</v>
      </c>
      <c r="BA40" s="54">
        <v>367.00639336917561</v>
      </c>
      <c r="BB40" s="54">
        <v>332.15062499999993</v>
      </c>
      <c r="BC40" s="54">
        <v>239.25350959188685</v>
      </c>
      <c r="BD40" s="54">
        <v>303.10492719534079</v>
      </c>
      <c r="BE40" s="54">
        <v>258.99268593189942</v>
      </c>
      <c r="BF40" s="54">
        <v>204.63270426034552</v>
      </c>
      <c r="BG40" s="54">
        <v>373.06105510752684</v>
      </c>
      <c r="BH40" s="54">
        <v>334.34743615591401</v>
      </c>
      <c r="BI40" s="54">
        <v>222.48169775906379</v>
      </c>
      <c r="BJ40" s="54">
        <v>305.06435931899631</v>
      </c>
      <c r="BK40" s="54">
        <v>257.94902329749101</v>
      </c>
      <c r="BL40" s="54">
        <v>201.39774390601707</v>
      </c>
      <c r="BM40" s="54">
        <v>398.31271393369173</v>
      </c>
      <c r="BN40" s="54">
        <v>351.32143386243376</v>
      </c>
      <c r="BO40" s="54">
        <v>254.90732992947906</v>
      </c>
      <c r="BP40" s="54">
        <v>336.15977598566292</v>
      </c>
      <c r="BQ40" s="54">
        <v>290.28270273297483</v>
      </c>
      <c r="BR40" s="54">
        <v>219.34032034050176</v>
      </c>
      <c r="BS40" s="54">
        <v>411.46982302867372</v>
      </c>
      <c r="BT40" s="54">
        <v>371.03145452508966</v>
      </c>
      <c r="BU40" s="54">
        <v>266.62943503584222</v>
      </c>
      <c r="BV40" s="54">
        <v>355.31006160394264</v>
      </c>
      <c r="BW40" s="54">
        <v>301.43845945340496</v>
      </c>
      <c r="BX40" s="54">
        <v>226.7881704749104</v>
      </c>
    </row>
    <row r="41" spans="1:76" x14ac:dyDescent="0.3">
      <c r="A41" s="8" t="s">
        <v>89</v>
      </c>
      <c r="B41" s="8" t="s">
        <v>10</v>
      </c>
      <c r="C41" s="8" t="s">
        <v>116</v>
      </c>
      <c r="D41" s="8" t="s">
        <v>117</v>
      </c>
      <c r="E41" s="54">
        <v>-56.670414538530387</v>
      </c>
      <c r="F41" s="54">
        <v>-57.089659563841266</v>
      </c>
      <c r="G41" s="54">
        <v>-46.468279905913846</v>
      </c>
      <c r="H41" s="54">
        <v>-41.692058579749116</v>
      </c>
      <c r="I41" s="54">
        <v>-41.907324036738245</v>
      </c>
      <c r="J41" s="54">
        <v>-45.217352225209396</v>
      </c>
      <c r="K41" s="54">
        <v>-55.321456118791581</v>
      </c>
      <c r="L41" s="54">
        <v>-56.905999887992834</v>
      </c>
      <c r="M41" s="54">
        <v>-45.292082325268822</v>
      </c>
      <c r="N41" s="54">
        <v>-41.065032619687528</v>
      </c>
      <c r="O41" s="54">
        <v>-41.878042114695369</v>
      </c>
      <c r="P41" s="54">
        <v>-44.863190636200699</v>
      </c>
      <c r="Q41" s="54">
        <v>-54.276247535842259</v>
      </c>
      <c r="R41" s="54">
        <v>-54.671852038530531</v>
      </c>
      <c r="S41" s="54">
        <v>-44.810551523297491</v>
      </c>
      <c r="T41" s="54">
        <v>-53.430097446236502</v>
      </c>
      <c r="U41" s="54">
        <v>-43.665727262544806</v>
      </c>
      <c r="V41" s="54">
        <v>-43.639144265232858</v>
      </c>
      <c r="W41" s="54">
        <v>-42.36655017921165</v>
      </c>
      <c r="X41" s="54">
        <v>-42.14050044802886</v>
      </c>
      <c r="Y41" s="54">
        <v>-43.871750309046</v>
      </c>
      <c r="Z41" s="54">
        <v>-72.230810595878211</v>
      </c>
      <c r="AA41" s="54">
        <v>-43.593863687275913</v>
      </c>
      <c r="AB41" s="54">
        <v>-44.430834650444062</v>
      </c>
      <c r="AC41" s="54">
        <v>-42.341887208781294</v>
      </c>
      <c r="AD41" s="54">
        <v>-41.837556064305168</v>
      </c>
      <c r="AE41" s="54">
        <v>-44.722962935809576</v>
      </c>
      <c r="AF41" s="54">
        <v>-41.819301859319033</v>
      </c>
      <c r="AG41" s="54">
        <v>-41.273792175416382</v>
      </c>
      <c r="AH41" s="54">
        <v>-44.784639224910606</v>
      </c>
      <c r="AI41" s="54">
        <v>-45.513182123655852</v>
      </c>
      <c r="AJ41" s="54">
        <v>-46.504048339093494</v>
      </c>
      <c r="AK41" s="54">
        <v>-45.497590725806504</v>
      </c>
      <c r="AL41" s="54">
        <v>-42.03148566308257</v>
      </c>
      <c r="AM41" s="54">
        <v>-41.571471502176102</v>
      </c>
      <c r="AN41" s="54">
        <v>-43.978454749104003</v>
      </c>
      <c r="AO41" s="54">
        <v>-56.695473454301037</v>
      </c>
      <c r="AP41" s="54">
        <v>-54.25964970188879</v>
      </c>
      <c r="AQ41" s="54">
        <v>-46.409095063998592</v>
      </c>
      <c r="AR41" s="54">
        <v>-48.200930443548451</v>
      </c>
      <c r="AS41" s="54">
        <v>-43.686356019092983</v>
      </c>
      <c r="AT41" s="54">
        <v>-45.194086999482352</v>
      </c>
      <c r="AU41" s="54">
        <v>-41.100448364695282</v>
      </c>
      <c r="AV41" s="54">
        <v>-42.173843525985632</v>
      </c>
      <c r="AW41" s="54">
        <v>-45.222335013440862</v>
      </c>
      <c r="AX41" s="54">
        <v>-43.829655590402304</v>
      </c>
      <c r="AY41" s="54">
        <v>-43.686024641577113</v>
      </c>
      <c r="AZ41" s="54">
        <v>-46.962835125447967</v>
      </c>
      <c r="BA41" s="54">
        <v>-57.048803315412179</v>
      </c>
      <c r="BB41" s="54">
        <v>-56.29668749999994</v>
      </c>
      <c r="BC41" s="54">
        <v>-48.211245204056731</v>
      </c>
      <c r="BD41" s="54">
        <v>-43.825536402329668</v>
      </c>
      <c r="BE41" s="54">
        <v>-45.067657034050242</v>
      </c>
      <c r="BF41" s="54">
        <v>-46.975647869827327</v>
      </c>
      <c r="BG41" s="54">
        <v>-46.689472446236557</v>
      </c>
      <c r="BH41" s="54">
        <v>-46.252281922043224</v>
      </c>
      <c r="BI41" s="54">
        <v>-47.471151120468178</v>
      </c>
      <c r="BJ41" s="54">
        <v>-41.987820340501855</v>
      </c>
      <c r="BK41" s="54">
        <v>-41.665488351254496</v>
      </c>
      <c r="BL41" s="54">
        <v>-45.905128046991535</v>
      </c>
      <c r="BM41" s="54">
        <v>-56.173643033154086</v>
      </c>
      <c r="BN41" s="54">
        <v>-55.027283068783021</v>
      </c>
      <c r="BO41" s="54">
        <v>-45.862335035260273</v>
      </c>
      <c r="BP41" s="54">
        <v>-42.112112007168577</v>
      </c>
      <c r="BQ41" s="54">
        <v>-41.824648633512652</v>
      </c>
      <c r="BR41" s="54">
        <v>-45.501839829749088</v>
      </c>
      <c r="BS41" s="54">
        <v>-61.493088485663037</v>
      </c>
      <c r="BT41" s="54">
        <v>-54.802272737455084</v>
      </c>
      <c r="BU41" s="54">
        <v>-47.489282482078735</v>
      </c>
      <c r="BV41" s="54">
        <v>-41.962969198028773</v>
      </c>
      <c r="BW41" s="54">
        <v>-41.922770273297381</v>
      </c>
      <c r="BX41" s="54">
        <v>-43.763914762544822</v>
      </c>
    </row>
    <row r="42" spans="1:76" x14ac:dyDescent="0.3">
      <c r="A42" s="8" t="s">
        <v>89</v>
      </c>
      <c r="B42" s="8" t="s">
        <v>10</v>
      </c>
      <c r="C42" s="8" t="s">
        <v>117</v>
      </c>
      <c r="D42" s="8" t="s">
        <v>118</v>
      </c>
      <c r="E42" s="54">
        <v>118.28275638440866</v>
      </c>
      <c r="F42" s="54">
        <v>108.39502130847644</v>
      </c>
      <c r="G42" s="54">
        <v>120.34916028225817</v>
      </c>
      <c r="H42" s="54">
        <v>148.86982426075269</v>
      </c>
      <c r="I42" s="54">
        <v>138.07602788978502</v>
      </c>
      <c r="J42" s="54">
        <v>116.7359433243731</v>
      </c>
      <c r="K42" s="54">
        <v>117.10763164362525</v>
      </c>
      <c r="L42" s="54">
        <v>105.62000033602148</v>
      </c>
      <c r="M42" s="54">
        <v>121.83775302419365</v>
      </c>
      <c r="N42" s="54">
        <v>148.03090214093706</v>
      </c>
      <c r="O42" s="54">
        <v>138.12587365591389</v>
      </c>
      <c r="P42" s="54">
        <v>118.29442809139789</v>
      </c>
      <c r="Q42" s="54">
        <v>117.74325739247283</v>
      </c>
      <c r="R42" s="54">
        <v>110.03444388440853</v>
      </c>
      <c r="S42" s="54">
        <v>122.02434543010754</v>
      </c>
      <c r="T42" s="54">
        <v>108.54970766129001</v>
      </c>
      <c r="U42" s="54">
        <v>129.82481821236559</v>
      </c>
      <c r="V42" s="54">
        <v>120.52256720430088</v>
      </c>
      <c r="W42" s="54">
        <v>147.94034946236567</v>
      </c>
      <c r="X42" s="54">
        <v>142.53049865591393</v>
      </c>
      <c r="Y42" s="54">
        <v>120.83074907286218</v>
      </c>
      <c r="Z42" s="54">
        <v>48.14556821236549</v>
      </c>
      <c r="AA42" s="54">
        <v>126.22840893817211</v>
      </c>
      <c r="AB42" s="54">
        <v>115.42349604866853</v>
      </c>
      <c r="AC42" s="54">
        <v>147.9003383736559</v>
      </c>
      <c r="AD42" s="54">
        <v>143.34333180708413</v>
      </c>
      <c r="AE42" s="54">
        <v>117.879111192571</v>
      </c>
      <c r="AF42" s="54">
        <v>136.72009442204302</v>
      </c>
      <c r="AG42" s="54">
        <v>131.5386234737509</v>
      </c>
      <c r="AH42" s="54">
        <v>113.35208232526905</v>
      </c>
      <c r="AI42" s="54">
        <v>145.52045362903232</v>
      </c>
      <c r="AJ42" s="54">
        <v>135.05785498271894</v>
      </c>
      <c r="AK42" s="54">
        <v>119.03922782258091</v>
      </c>
      <c r="AL42" s="54">
        <v>139.92154301075254</v>
      </c>
      <c r="AM42" s="54">
        <v>134.97158549347165</v>
      </c>
      <c r="AN42" s="54">
        <v>118.31263575268835</v>
      </c>
      <c r="AO42" s="54">
        <v>113.60357963709689</v>
      </c>
      <c r="AP42" s="54">
        <v>113.59905089433386</v>
      </c>
      <c r="AQ42" s="54">
        <v>118.56671480800452</v>
      </c>
      <c r="AR42" s="54">
        <v>123.65520866935475</v>
      </c>
      <c r="AS42" s="54">
        <v>130.88293194272117</v>
      </c>
      <c r="AT42" s="54">
        <v>116.40373900155288</v>
      </c>
      <c r="AU42" s="54">
        <v>152.2606549059139</v>
      </c>
      <c r="AV42" s="54">
        <v>143.32846942204293</v>
      </c>
      <c r="AW42" s="54">
        <v>117.66299495967736</v>
      </c>
      <c r="AX42" s="54">
        <v>133.26703322879331</v>
      </c>
      <c r="AY42" s="54">
        <v>127.12592607526885</v>
      </c>
      <c r="AZ42" s="54">
        <v>108.07149462365595</v>
      </c>
      <c r="BA42" s="54">
        <v>109.03759005376345</v>
      </c>
      <c r="BB42" s="54">
        <v>105.23393749999998</v>
      </c>
      <c r="BC42" s="54">
        <v>111.31226438782993</v>
      </c>
      <c r="BD42" s="54">
        <v>133.64939079301098</v>
      </c>
      <c r="BE42" s="54">
        <v>122.98502889784935</v>
      </c>
      <c r="BF42" s="54">
        <v>108.8370563905181</v>
      </c>
      <c r="BG42" s="54">
        <v>137.6715826612903</v>
      </c>
      <c r="BH42" s="54">
        <v>132.38515423387076</v>
      </c>
      <c r="BI42" s="54">
        <v>110.49054663859548</v>
      </c>
      <c r="BJ42" s="54">
        <v>138.87653897849449</v>
      </c>
      <c r="BK42" s="54">
        <v>131.88353494623649</v>
      </c>
      <c r="BL42" s="54">
        <v>111.15261585902559</v>
      </c>
      <c r="BM42" s="54">
        <v>116.58907090053749</v>
      </c>
      <c r="BN42" s="54">
        <v>111.81415079365075</v>
      </c>
      <c r="BO42" s="54">
        <v>120.18499489421875</v>
      </c>
      <c r="BP42" s="54">
        <v>143.72766397849435</v>
      </c>
      <c r="BQ42" s="54">
        <v>136.84805409946233</v>
      </c>
      <c r="BR42" s="54">
        <v>115.21848051075267</v>
      </c>
      <c r="BS42" s="54">
        <v>104.59673454301065</v>
      </c>
      <c r="BT42" s="54">
        <v>115.6991817876345</v>
      </c>
      <c r="BU42" s="54">
        <v>117.80015255376352</v>
      </c>
      <c r="BV42" s="54">
        <v>147.31709240591374</v>
      </c>
      <c r="BW42" s="54">
        <v>138.44568918010759</v>
      </c>
      <c r="BX42" s="54">
        <v>121.09425571236554</v>
      </c>
    </row>
    <row r="43" spans="1:76" x14ac:dyDescent="0.3">
      <c r="A43" s="8" t="s">
        <v>102</v>
      </c>
      <c r="B43" s="8" t="s">
        <v>8</v>
      </c>
      <c r="C43" s="8" t="s">
        <v>108</v>
      </c>
      <c r="D43" s="8" t="s">
        <v>111</v>
      </c>
      <c r="E43" s="54">
        <v>387.63546350358433</v>
      </c>
      <c r="F43" s="54">
        <v>414.9880601433693</v>
      </c>
      <c r="G43" s="54">
        <v>498.04951663978511</v>
      </c>
      <c r="H43" s="54">
        <v>550.51653219534046</v>
      </c>
      <c r="I43" s="54">
        <v>525.90565913082469</v>
      </c>
      <c r="J43" s="54">
        <v>513.04625705495835</v>
      </c>
      <c r="K43" s="54">
        <v>365.44435068100387</v>
      </c>
      <c r="L43" s="54">
        <v>387.1979174402631</v>
      </c>
      <c r="M43" s="54">
        <v>504.84274405913987</v>
      </c>
      <c r="N43" s="54">
        <v>482.37158810931913</v>
      </c>
      <c r="O43" s="54">
        <v>506.56809211469533</v>
      </c>
      <c r="P43" s="54">
        <v>488.32381292114712</v>
      </c>
      <c r="Q43" s="54">
        <v>340.72737568100365</v>
      </c>
      <c r="R43" s="54">
        <v>356.48017495519713</v>
      </c>
      <c r="S43" s="54">
        <v>478.15086870967758</v>
      </c>
      <c r="T43" s="54">
        <v>490.31700017921168</v>
      </c>
      <c r="U43" s="54">
        <v>494.01655332437298</v>
      </c>
      <c r="V43" s="54">
        <v>495.99170716845896</v>
      </c>
      <c r="W43" s="54">
        <v>547.85420716845863</v>
      </c>
      <c r="X43" s="54">
        <v>545.7105158703788</v>
      </c>
      <c r="Y43" s="54">
        <v>523.54940952823335</v>
      </c>
      <c r="Z43" s="54">
        <v>580.84629461469524</v>
      </c>
      <c r="AA43" s="54">
        <v>585.47753638113159</v>
      </c>
      <c r="AB43" s="54">
        <v>501.74978349462407</v>
      </c>
      <c r="AC43" s="54">
        <v>535.85685291197444</v>
      </c>
      <c r="AD43" s="54">
        <v>562.36235222222228</v>
      </c>
      <c r="AE43" s="54">
        <v>492.68488695340506</v>
      </c>
      <c r="AF43" s="54">
        <v>521.21051945319334</v>
      </c>
      <c r="AG43" s="54">
        <v>535.20558136200714</v>
      </c>
      <c r="AH43" s="54">
        <v>476.26277305555556</v>
      </c>
      <c r="AI43" s="54">
        <v>407.00934793906839</v>
      </c>
      <c r="AJ43" s="54">
        <v>393.81993005504359</v>
      </c>
      <c r="AK43" s="54">
        <v>425.39174951612904</v>
      </c>
      <c r="AL43" s="54">
        <v>561.74934523297497</v>
      </c>
      <c r="AM43" s="54">
        <v>538.16745727726584</v>
      </c>
      <c r="AN43" s="54">
        <v>478.25802942652331</v>
      </c>
      <c r="AO43" s="54">
        <v>401.58142603046599</v>
      </c>
      <c r="AP43" s="54">
        <v>411.56867701124145</v>
      </c>
      <c r="AQ43" s="54">
        <v>443.73832147849447</v>
      </c>
      <c r="AR43" s="54">
        <v>343.88565294802873</v>
      </c>
      <c r="AS43" s="54">
        <v>294.51784508064515</v>
      </c>
      <c r="AT43" s="54">
        <v>418.29194276881719</v>
      </c>
      <c r="AU43" s="54">
        <v>388.91048638888924</v>
      </c>
      <c r="AV43" s="54">
        <v>440.16472465692914</v>
      </c>
      <c r="AW43" s="54">
        <v>396.91737871863796</v>
      </c>
      <c r="AX43" s="54">
        <v>325.02732130824398</v>
      </c>
      <c r="AY43" s="54">
        <v>373.96246068100368</v>
      </c>
      <c r="AZ43" s="54">
        <v>373.99687885304655</v>
      </c>
      <c r="BA43" s="54">
        <v>336.05387250896058</v>
      </c>
      <c r="BB43" s="54">
        <v>356.23375396057355</v>
      </c>
      <c r="BC43" s="54">
        <v>416.12386790729892</v>
      </c>
      <c r="BD43" s="54">
        <v>487.51047655017919</v>
      </c>
      <c r="BE43" s="54">
        <v>502.99600227598586</v>
      </c>
      <c r="BF43" s="54">
        <v>453.97093286249589</v>
      </c>
      <c r="BG43" s="54">
        <v>502.84303467741933</v>
      </c>
      <c r="BH43" s="54">
        <v>524.81446336021497</v>
      </c>
      <c r="BI43" s="54">
        <v>502.64536371015311</v>
      </c>
      <c r="BJ43" s="54">
        <v>580.83963458781375</v>
      </c>
      <c r="BK43" s="54">
        <v>600.38267060931912</v>
      </c>
      <c r="BL43" s="54">
        <v>512.76305279617486</v>
      </c>
      <c r="BM43" s="54">
        <v>330.86022629928323</v>
      </c>
      <c r="BN43" s="54">
        <v>347.22144466042937</v>
      </c>
      <c r="BO43" s="54">
        <v>465.93472214832832</v>
      </c>
      <c r="BP43" s="54">
        <v>354.5794149820789</v>
      </c>
      <c r="BQ43" s="54">
        <v>383.2977804749105</v>
      </c>
      <c r="BR43" s="54">
        <v>470.90044989026381</v>
      </c>
      <c r="BS43" s="54">
        <v>365.78174066308276</v>
      </c>
      <c r="BT43" s="54">
        <v>374.56653903549687</v>
      </c>
      <c r="BU43" s="54">
        <v>482.32211912186364</v>
      </c>
      <c r="BV43" s="54">
        <v>558.02609698028687</v>
      </c>
      <c r="BW43" s="54">
        <v>527.6828681630825</v>
      </c>
      <c r="BX43" s="54">
        <v>527.08204243233854</v>
      </c>
    </row>
    <row r="44" spans="1:76" x14ac:dyDescent="0.3">
      <c r="A44" s="8" t="s">
        <v>102</v>
      </c>
      <c r="B44" s="8" t="s">
        <v>8</v>
      </c>
      <c r="C44" s="8" t="s">
        <v>108</v>
      </c>
      <c r="D44" s="8" t="s">
        <v>115</v>
      </c>
      <c r="E44" s="54">
        <v>504.09513649641571</v>
      </c>
      <c r="F44" s="54">
        <v>563.90553985663087</v>
      </c>
      <c r="G44" s="54">
        <v>565.29508336021502</v>
      </c>
      <c r="H44" s="54">
        <v>486.12886780465936</v>
      </c>
      <c r="I44" s="54">
        <v>496.5945408691752</v>
      </c>
      <c r="J44" s="54">
        <v>542.02827627837519</v>
      </c>
      <c r="K44" s="54">
        <v>482.85144931899657</v>
      </c>
      <c r="L44" s="54">
        <v>527.42231589307107</v>
      </c>
      <c r="M44" s="54">
        <v>579.1058559408599</v>
      </c>
      <c r="N44" s="54">
        <v>387.34581189068098</v>
      </c>
      <c r="O44" s="54">
        <v>438.55590788530452</v>
      </c>
      <c r="P44" s="54">
        <v>503.64778707885318</v>
      </c>
      <c r="Q44" s="54">
        <v>434.59542431899644</v>
      </c>
      <c r="R44" s="54">
        <v>484.71482504480304</v>
      </c>
      <c r="S44" s="54">
        <v>540.74353129032261</v>
      </c>
      <c r="T44" s="54">
        <v>403.49899982078853</v>
      </c>
      <c r="U44" s="54">
        <v>480.78124667562696</v>
      </c>
      <c r="V44" s="54">
        <v>517.76429283154118</v>
      </c>
      <c r="W44" s="54">
        <v>477.74179283154126</v>
      </c>
      <c r="X44" s="54">
        <v>493.15283845862854</v>
      </c>
      <c r="Y44" s="54">
        <v>557.87313082264302</v>
      </c>
      <c r="Z44" s="54">
        <v>547.78990538530456</v>
      </c>
      <c r="AA44" s="54">
        <v>574.00001794787568</v>
      </c>
      <c r="AB44" s="54">
        <v>531.17661650537684</v>
      </c>
      <c r="AC44" s="54">
        <v>434.62976447932931</v>
      </c>
      <c r="AD44" s="54">
        <v>512.84004777777773</v>
      </c>
      <c r="AE44" s="54">
        <v>498.49031304659496</v>
      </c>
      <c r="AF44" s="54">
        <v>434.25689793811097</v>
      </c>
      <c r="AG44" s="54">
        <v>494.75841863799275</v>
      </c>
      <c r="AH44" s="54">
        <v>481.00662694444441</v>
      </c>
      <c r="AI44" s="54">
        <v>547.68465206093174</v>
      </c>
      <c r="AJ44" s="54">
        <v>575.24138423067097</v>
      </c>
      <c r="AK44" s="54">
        <v>462.23705048387086</v>
      </c>
      <c r="AL44" s="54">
        <v>554.9890547670251</v>
      </c>
      <c r="AM44" s="54">
        <v>564.78025700844842</v>
      </c>
      <c r="AN44" s="54">
        <v>531.09717057347666</v>
      </c>
      <c r="AO44" s="54">
        <v>536.649573969534</v>
      </c>
      <c r="AP44" s="54">
        <v>579.88442071603095</v>
      </c>
      <c r="AQ44" s="54">
        <v>489.40227852150531</v>
      </c>
      <c r="AR44" s="54">
        <v>513.73754705197143</v>
      </c>
      <c r="AS44" s="54">
        <v>518.96795491935484</v>
      </c>
      <c r="AT44" s="54">
        <v>495.7494572311827</v>
      </c>
      <c r="AU44" s="54">
        <v>512.49131361111176</v>
      </c>
      <c r="AV44" s="54">
        <v>618.95460401439959</v>
      </c>
      <c r="AW44" s="54">
        <v>581.30962128136196</v>
      </c>
      <c r="AX44" s="54">
        <v>491.11507869175665</v>
      </c>
      <c r="AY44" s="54">
        <v>576.67113931899632</v>
      </c>
      <c r="AZ44" s="54">
        <v>570.60712114695343</v>
      </c>
      <c r="BA44" s="54">
        <v>443.18772749103942</v>
      </c>
      <c r="BB44" s="54">
        <v>484.21384603942653</v>
      </c>
      <c r="BC44" s="54">
        <v>447.45798663815583</v>
      </c>
      <c r="BD44" s="54">
        <v>443.81692344982082</v>
      </c>
      <c r="BE44" s="54">
        <v>498.40519772401404</v>
      </c>
      <c r="BF44" s="54">
        <v>495.05812168295836</v>
      </c>
      <c r="BG44" s="54">
        <v>495.48296532258053</v>
      </c>
      <c r="BH44" s="54">
        <v>540.15133663978497</v>
      </c>
      <c r="BI44" s="54">
        <v>564.78413009515612</v>
      </c>
      <c r="BJ44" s="54">
        <v>547.77636541218635</v>
      </c>
      <c r="BK44" s="54">
        <v>608.62932939068082</v>
      </c>
      <c r="BL44" s="54">
        <v>551.77204100913514</v>
      </c>
      <c r="BM44" s="54">
        <v>398.62877370071658</v>
      </c>
      <c r="BN44" s="54">
        <v>465.22895533957075</v>
      </c>
      <c r="BO44" s="54">
        <v>519.9420504544114</v>
      </c>
      <c r="BP44" s="54">
        <v>526.87418501792104</v>
      </c>
      <c r="BQ44" s="54">
        <v>576.35001952508946</v>
      </c>
      <c r="BR44" s="54">
        <v>576.06112271247616</v>
      </c>
      <c r="BS44" s="54">
        <v>518.05065933691742</v>
      </c>
      <c r="BT44" s="54">
        <v>537.07807945189973</v>
      </c>
      <c r="BU44" s="54">
        <v>575.83108087813594</v>
      </c>
      <c r="BV44" s="54">
        <v>486.09330301971301</v>
      </c>
      <c r="BW44" s="54">
        <v>490.61573183691752</v>
      </c>
      <c r="BX44" s="54">
        <v>565.12833715949819</v>
      </c>
    </row>
    <row r="45" spans="1:76" x14ac:dyDescent="0.3">
      <c r="A45" s="8" t="s">
        <v>102</v>
      </c>
      <c r="B45" s="8" t="s">
        <v>8</v>
      </c>
      <c r="C45" s="8" t="s">
        <v>109</v>
      </c>
      <c r="D45" s="8" t="s">
        <v>110</v>
      </c>
      <c r="E45" s="54">
        <v>-24.117972849463264</v>
      </c>
      <c r="F45" s="54">
        <v>86.817886021505302</v>
      </c>
      <c r="G45" s="54">
        <v>194.766658870968</v>
      </c>
      <c r="H45" s="54">
        <v>62.891392204300843</v>
      </c>
      <c r="I45" s="54">
        <v>152.76120349462374</v>
      </c>
      <c r="J45" s="54">
        <v>257.84524964157708</v>
      </c>
      <c r="K45" s="54">
        <v>10.102808602150404</v>
      </c>
      <c r="L45" s="54">
        <v>108.08550582437293</v>
      </c>
      <c r="M45" s="54">
        <v>224.59261048387091</v>
      </c>
      <c r="N45" s="54">
        <v>48.310940591397731</v>
      </c>
      <c r="O45" s="54">
        <v>156.04226881720427</v>
      </c>
      <c r="P45" s="54">
        <v>234.35230268817199</v>
      </c>
      <c r="Q45" s="54">
        <v>84.815058602149662</v>
      </c>
      <c r="R45" s="54">
        <v>114.54934811827921</v>
      </c>
      <c r="S45" s="54">
        <v>221.24592580645162</v>
      </c>
      <c r="T45" s="54">
        <v>83.195607526881602</v>
      </c>
      <c r="U45" s="54">
        <v>151.13651962365583</v>
      </c>
      <c r="V45" s="54">
        <v>257.47730107526888</v>
      </c>
      <c r="W45" s="54">
        <v>57.684301075268564</v>
      </c>
      <c r="X45" s="54">
        <v>117.52709581995069</v>
      </c>
      <c r="Y45" s="54">
        <v>264.5271384314276</v>
      </c>
      <c r="Z45" s="54">
        <v>196.05549381720388</v>
      </c>
      <c r="AA45" s="54">
        <v>292.12587727156335</v>
      </c>
      <c r="AB45" s="54">
        <v>294.9715467741936</v>
      </c>
      <c r="AC45" s="54">
        <v>153.24840064283185</v>
      </c>
      <c r="AD45" s="54">
        <v>133.71703333333318</v>
      </c>
      <c r="AE45" s="54">
        <v>255.23477204301059</v>
      </c>
      <c r="AF45" s="54">
        <v>299.43647537401461</v>
      </c>
      <c r="AG45" s="54">
        <v>280.28081720430077</v>
      </c>
      <c r="AH45" s="54">
        <v>296.97790833333329</v>
      </c>
      <c r="AI45" s="54">
        <v>51.787013440860122</v>
      </c>
      <c r="AJ45" s="54">
        <v>114.60339374039941</v>
      </c>
      <c r="AK45" s="54">
        <v>195.44835967741915</v>
      </c>
      <c r="AL45" s="54">
        <v>11.916339784946107</v>
      </c>
      <c r="AM45" s="54">
        <v>53.176177073732788</v>
      </c>
      <c r="AN45" s="54">
        <v>103.39275591397823</v>
      </c>
      <c r="AO45" s="54">
        <v>27.955493279569922</v>
      </c>
      <c r="AP45" s="54">
        <v>115.87381810850439</v>
      </c>
      <c r="AQ45" s="54">
        <v>167.53806209677359</v>
      </c>
      <c r="AR45" s="54">
        <v>20.553743817204317</v>
      </c>
      <c r="AS45" s="54">
        <v>15.835573387096735</v>
      </c>
      <c r="AT45" s="54">
        <v>77.748236290322239</v>
      </c>
      <c r="AU45" s="54">
        <v>195.94010833333297</v>
      </c>
      <c r="AV45" s="54">
        <v>225.02144538123136</v>
      </c>
      <c r="AW45" s="54">
        <v>268.66510618279563</v>
      </c>
      <c r="AX45" s="54">
        <v>50.269734946236547</v>
      </c>
      <c r="AY45" s="54">
        <v>165.39870860215055</v>
      </c>
      <c r="AZ45" s="54">
        <v>172.17931182795709</v>
      </c>
      <c r="BA45" s="54">
        <v>24.866805376343891</v>
      </c>
      <c r="BB45" s="54">
        <v>113.46742634408579</v>
      </c>
      <c r="BC45" s="54">
        <v>183.8416375610945</v>
      </c>
      <c r="BD45" s="54">
        <v>-29.419744892473453</v>
      </c>
      <c r="BE45" s="54">
        <v>55.693215591397838</v>
      </c>
      <c r="BF45" s="54">
        <v>92.237085679374161</v>
      </c>
      <c r="BG45" s="54">
        <v>39.765056451612544</v>
      </c>
      <c r="BH45" s="54">
        <v>136.23154112903225</v>
      </c>
      <c r="BI45" s="54">
        <v>250.07576502997452</v>
      </c>
      <c r="BJ45" s="54">
        <v>196.0262526881713</v>
      </c>
      <c r="BK45" s="54">
        <v>297.48336559139756</v>
      </c>
      <c r="BL45" s="54">
        <v>283.94126664287757</v>
      </c>
      <c r="BM45" s="54">
        <v>76.155904569892741</v>
      </c>
      <c r="BN45" s="54">
        <v>75.342589042497465</v>
      </c>
      <c r="BO45" s="54">
        <v>196.49045954485177</v>
      </c>
      <c r="BP45" s="54">
        <v>5.9107892473116985</v>
      </c>
      <c r="BQ45" s="54">
        <v>24.084059946236525</v>
      </c>
      <c r="BR45" s="54">
        <v>117.99950470614262</v>
      </c>
      <c r="BS45" s="54">
        <v>25.855347849462863</v>
      </c>
      <c r="BT45" s="54">
        <v>75.740496297551417</v>
      </c>
      <c r="BU45" s="54">
        <v>200.18932311827919</v>
      </c>
      <c r="BV45" s="54">
        <v>129.20951317204344</v>
      </c>
      <c r="BW45" s="54">
        <v>153.45582284946224</v>
      </c>
      <c r="BX45" s="54">
        <v>260.43311603576933</v>
      </c>
    </row>
    <row r="46" spans="1:76" x14ac:dyDescent="0.3">
      <c r="A46" s="8" t="s">
        <v>102</v>
      </c>
      <c r="B46" s="8" t="s">
        <v>8</v>
      </c>
      <c r="C46" s="8" t="s">
        <v>109</v>
      </c>
      <c r="D46" s="8" t="s">
        <v>115</v>
      </c>
      <c r="E46" s="54">
        <v>334.90727284946155</v>
      </c>
      <c r="F46" s="54">
        <v>246.07891397849468</v>
      </c>
      <c r="G46" s="54">
        <v>238.67564112903204</v>
      </c>
      <c r="H46" s="54">
        <v>298.88130779569912</v>
      </c>
      <c r="I46" s="54">
        <v>260.25889650537624</v>
      </c>
      <c r="J46" s="54">
        <v>212.79535035842301</v>
      </c>
      <c r="K46" s="54">
        <v>305.58359139784955</v>
      </c>
      <c r="L46" s="54">
        <v>241.60759417562682</v>
      </c>
      <c r="M46" s="54">
        <v>219.15168951612918</v>
      </c>
      <c r="N46" s="54">
        <v>327.19775940860217</v>
      </c>
      <c r="O46" s="54">
        <v>257.16973118279543</v>
      </c>
      <c r="P46" s="54">
        <v>233.78349731182757</v>
      </c>
      <c r="Q46" s="54">
        <v>335.96234139784985</v>
      </c>
      <c r="R46" s="54">
        <v>246.69815188172083</v>
      </c>
      <c r="S46" s="54">
        <v>228.85127419354822</v>
      </c>
      <c r="T46" s="54">
        <v>304.36239247311823</v>
      </c>
      <c r="U46" s="54">
        <v>276.912380376344</v>
      </c>
      <c r="V46" s="54">
        <v>217.95069892473106</v>
      </c>
      <c r="W46" s="54">
        <v>313.76469892473136</v>
      </c>
      <c r="X46" s="54">
        <v>269.4653041800492</v>
      </c>
      <c r="Y46" s="54">
        <v>205.8205615685722</v>
      </c>
      <c r="Z46" s="54">
        <v>211.71260618279587</v>
      </c>
      <c r="AA46" s="54">
        <v>155.1736227284365</v>
      </c>
      <c r="AB46" s="54">
        <v>194.21265322580626</v>
      </c>
      <c r="AC46" s="54">
        <v>373.24954757852356</v>
      </c>
      <c r="AD46" s="54">
        <v>253.76016666666666</v>
      </c>
      <c r="AE46" s="54">
        <v>217.12282795698945</v>
      </c>
      <c r="AF46" s="54">
        <v>291.43887284734069</v>
      </c>
      <c r="AG46" s="54">
        <v>175.35118279569906</v>
      </c>
      <c r="AH46" s="54">
        <v>197.30679166666664</v>
      </c>
      <c r="AI46" s="54">
        <v>269.00998655913975</v>
      </c>
      <c r="AJ46" s="54">
        <v>244.01810625960053</v>
      </c>
      <c r="AK46" s="54">
        <v>259.31504032258078</v>
      </c>
      <c r="AL46" s="54">
        <v>154.70286021505387</v>
      </c>
      <c r="AM46" s="54">
        <v>145.40952292626719</v>
      </c>
      <c r="AN46" s="54">
        <v>142.85484408602167</v>
      </c>
      <c r="AO46" s="54">
        <v>284.61000672043002</v>
      </c>
      <c r="AP46" s="54">
        <v>233.61728189149545</v>
      </c>
      <c r="AQ46" s="54">
        <v>256.14623790322554</v>
      </c>
      <c r="AR46" s="54">
        <v>134.74335618279565</v>
      </c>
      <c r="AS46" s="54">
        <v>171.35732661290314</v>
      </c>
      <c r="AT46" s="54">
        <v>159.7224637096777</v>
      </c>
      <c r="AU46" s="54">
        <v>273.7747916666662</v>
      </c>
      <c r="AV46" s="54">
        <v>157.43605461876854</v>
      </c>
      <c r="AW46" s="54">
        <v>197.21839381720429</v>
      </c>
      <c r="AX46" s="54">
        <v>122.71246505376332</v>
      </c>
      <c r="AY46" s="54">
        <v>40.772091397849429</v>
      </c>
      <c r="AZ46" s="54">
        <v>80.572688172043001</v>
      </c>
      <c r="BA46" s="54">
        <v>305.40399462365576</v>
      </c>
      <c r="BB46" s="54">
        <v>247.40637365591377</v>
      </c>
      <c r="BC46" s="54">
        <v>268.83106243890518</v>
      </c>
      <c r="BD46" s="54">
        <v>200.53344489247337</v>
      </c>
      <c r="BE46" s="54">
        <v>150.45738440860214</v>
      </c>
      <c r="BF46" s="54">
        <v>156.45471432062575</v>
      </c>
      <c r="BG46" s="54">
        <v>302.84794354838726</v>
      </c>
      <c r="BH46" s="54">
        <v>239.70135887096777</v>
      </c>
      <c r="BI46" s="54">
        <v>192.49114116471634</v>
      </c>
      <c r="BJ46" s="54">
        <v>211.73174731182786</v>
      </c>
      <c r="BK46" s="54">
        <v>150.47263440860169</v>
      </c>
      <c r="BL46" s="54">
        <v>179.00743955181264</v>
      </c>
      <c r="BM46" s="54">
        <v>402.9935954301078</v>
      </c>
      <c r="BN46" s="54">
        <v>274.91917430526371</v>
      </c>
      <c r="BO46" s="54">
        <v>246.96094045514803</v>
      </c>
      <c r="BP46" s="54">
        <v>140.26601075268829</v>
      </c>
      <c r="BQ46" s="54">
        <v>161.18984005376348</v>
      </c>
      <c r="BR46" s="54">
        <v>120.79429529385743</v>
      </c>
      <c r="BS46" s="54">
        <v>337.71385215053783</v>
      </c>
      <c r="BT46" s="54">
        <v>254.92420370244838</v>
      </c>
      <c r="BU46" s="54">
        <v>230.65727688172078</v>
      </c>
      <c r="BV46" s="54">
        <v>314.50318682795728</v>
      </c>
      <c r="BW46" s="54">
        <v>257.46347715053753</v>
      </c>
      <c r="BX46" s="54">
        <v>199.20160437239431</v>
      </c>
    </row>
    <row r="47" spans="1:76" x14ac:dyDescent="0.3">
      <c r="A47" s="8" t="s">
        <v>102</v>
      </c>
      <c r="B47" s="8" t="s">
        <v>8</v>
      </c>
      <c r="C47" s="8" t="s">
        <v>110</v>
      </c>
      <c r="D47" s="8" t="s">
        <v>111</v>
      </c>
      <c r="E47" s="54">
        <v>313.33982549283144</v>
      </c>
      <c r="F47" s="54">
        <v>168.20301971326157</v>
      </c>
      <c r="G47" s="54">
        <v>146.79219422042976</v>
      </c>
      <c r="H47" s="54">
        <v>337.22858310931935</v>
      </c>
      <c r="I47" s="54">
        <v>233.4559742383513</v>
      </c>
      <c r="J47" s="54">
        <v>106.54557422341693</v>
      </c>
      <c r="K47" s="54">
        <v>264.53121863799288</v>
      </c>
      <c r="L47" s="54">
        <v>149.78459595280736</v>
      </c>
      <c r="M47" s="54">
        <v>111.82908938172054</v>
      </c>
      <c r="N47" s="54">
        <v>367.25627128136205</v>
      </c>
      <c r="O47" s="54">
        <v>240.62891577060941</v>
      </c>
      <c r="P47" s="54">
        <v>137.95058915770585</v>
      </c>
      <c r="Q47" s="54">
        <v>248.47909363799258</v>
      </c>
      <c r="R47" s="54">
        <v>148.63108758960598</v>
      </c>
      <c r="S47" s="54">
        <v>120.92657258064521</v>
      </c>
      <c r="T47" s="54">
        <v>326.36314964157708</v>
      </c>
      <c r="U47" s="54">
        <v>234.94542585125444</v>
      </c>
      <c r="V47" s="54">
        <v>110.3634856630824</v>
      </c>
      <c r="W47" s="54">
        <v>354.01698566308261</v>
      </c>
      <c r="X47" s="54">
        <v>275.22115999084519</v>
      </c>
      <c r="Y47" s="54">
        <v>96.920559583884014</v>
      </c>
      <c r="Z47" s="54">
        <v>181.12860327060943</v>
      </c>
      <c r="AA47" s="54">
        <v>70.549886469339683</v>
      </c>
      <c r="AB47" s="54">
        <v>66.966418010752534</v>
      </c>
      <c r="AC47" s="54">
        <v>354.3128036325727</v>
      </c>
      <c r="AD47" s="54">
        <v>255.05930555555568</v>
      </c>
      <c r="AE47" s="54">
        <v>116.77220609319016</v>
      </c>
      <c r="AF47" s="54">
        <v>192.51276555013541</v>
      </c>
      <c r="AG47" s="54">
        <v>95.332437275985839</v>
      </c>
      <c r="AH47" s="54">
        <v>73.013701388888848</v>
      </c>
      <c r="AI47" s="54">
        <v>209.26752912186353</v>
      </c>
      <c r="AJ47" s="54">
        <v>132.64785310419859</v>
      </c>
      <c r="AK47" s="54">
        <v>160.52324596774216</v>
      </c>
      <c r="AL47" s="54">
        <v>231.66646953405046</v>
      </c>
      <c r="AM47" s="54">
        <v>181.41028365975421</v>
      </c>
      <c r="AN47" s="54">
        <v>126.76417114695371</v>
      </c>
      <c r="AO47" s="54">
        <v>237.20373543906791</v>
      </c>
      <c r="AP47" s="54">
        <v>132.35697256842616</v>
      </c>
      <c r="AQ47" s="54">
        <v>174.87623454301092</v>
      </c>
      <c r="AR47" s="54">
        <v>96.298811603942596</v>
      </c>
      <c r="AS47" s="54">
        <v>96.70804233870966</v>
      </c>
      <c r="AT47" s="54">
        <v>133.80441196236592</v>
      </c>
      <c r="AU47" s="54">
        <v>129.80553472222201</v>
      </c>
      <c r="AV47" s="54">
        <v>7.4529696546734581</v>
      </c>
      <c r="AW47" s="54">
        <v>2.2022300627240199</v>
      </c>
      <c r="AX47" s="54">
        <v>66.57849238351254</v>
      </c>
      <c r="AY47" s="54">
        <v>-72.912531362007144</v>
      </c>
      <c r="AZ47" s="54">
        <v>-42.69415770609308</v>
      </c>
      <c r="BA47" s="54">
        <v>253.76034498207889</v>
      </c>
      <c r="BB47" s="54">
        <v>149.89935707885306</v>
      </c>
      <c r="BC47" s="54">
        <v>175.45099350358439</v>
      </c>
      <c r="BD47" s="54">
        <v>293.05811939964178</v>
      </c>
      <c r="BE47" s="54">
        <v>189.38550044802872</v>
      </c>
      <c r="BF47" s="54">
        <v>144.18083109319014</v>
      </c>
      <c r="BG47" s="54">
        <v>321.93195564516162</v>
      </c>
      <c r="BH47" s="54">
        <v>208.85030577956988</v>
      </c>
      <c r="BI47" s="54">
        <v>79.621020101817706</v>
      </c>
      <c r="BJ47" s="54">
        <v>181.16288082437282</v>
      </c>
      <c r="BK47" s="54">
        <v>58.665958781361937</v>
      </c>
      <c r="BL47" s="54">
        <v>59.790206929774548</v>
      </c>
      <c r="BM47" s="54">
        <v>315.76595990143397</v>
      </c>
      <c r="BN47" s="54">
        <v>196.97107067914166</v>
      </c>
      <c r="BO47" s="54">
        <v>151.25848974443969</v>
      </c>
      <c r="BP47" s="54">
        <v>110.66431003584221</v>
      </c>
      <c r="BQ47" s="54">
        <v>113.94009655017922</v>
      </c>
      <c r="BR47" s="54">
        <v>77.951554260568216</v>
      </c>
      <c r="BS47" s="54">
        <v>266.90665367383536</v>
      </c>
      <c r="BT47" s="54">
        <v>168.40375682396581</v>
      </c>
      <c r="BU47" s="54">
        <v>123.4730667562729</v>
      </c>
      <c r="BV47" s="54">
        <v>314.45517853942675</v>
      </c>
      <c r="BW47" s="54">
        <v>234.26071617383505</v>
      </c>
      <c r="BX47" s="54">
        <v>93.299304472057699</v>
      </c>
    </row>
    <row r="48" spans="1:76" x14ac:dyDescent="0.3">
      <c r="A48" s="8" t="s">
        <v>102</v>
      </c>
      <c r="B48" s="8" t="s">
        <v>8</v>
      </c>
      <c r="C48" s="8" t="s">
        <v>110</v>
      </c>
      <c r="D48" s="8" t="s">
        <v>115</v>
      </c>
      <c r="E48" s="54">
        <v>235.33050165770609</v>
      </c>
      <c r="F48" s="54">
        <v>120.64366630824375</v>
      </c>
      <c r="G48" s="54">
        <v>61.733764650537367</v>
      </c>
      <c r="H48" s="54">
        <v>167.80850909498236</v>
      </c>
      <c r="I48" s="54">
        <v>97.12532925627238</v>
      </c>
      <c r="J48" s="54">
        <v>12.940942084826768</v>
      </c>
      <c r="K48" s="54">
        <v>198.67098996415777</v>
      </c>
      <c r="L48" s="54">
        <v>107.02897653823152</v>
      </c>
      <c r="M48" s="54">
        <v>33.804821102150662</v>
      </c>
      <c r="N48" s="54">
        <v>193.97636931003592</v>
      </c>
      <c r="O48" s="54">
        <v>93.425353046594822</v>
      </c>
      <c r="P48" s="54">
        <v>38.67951353046584</v>
      </c>
      <c r="Q48" s="54">
        <v>181.56736496415749</v>
      </c>
      <c r="R48" s="54">
        <v>107.19076052867426</v>
      </c>
      <c r="S48" s="54">
        <v>41.94455322580648</v>
      </c>
      <c r="T48" s="54">
        <v>161.31045788530486</v>
      </c>
      <c r="U48" s="54">
        <v>109.03999377240137</v>
      </c>
      <c r="V48" s="54">
        <v>16.561815412186263</v>
      </c>
      <c r="W48" s="54">
        <v>180.3343154121867</v>
      </c>
      <c r="X48" s="54">
        <v>120.87998821005752</v>
      </c>
      <c r="Y48" s="54">
        <v>4.9501384966676998</v>
      </c>
      <c r="Z48" s="54">
        <v>43.113990546595261</v>
      </c>
      <c r="AA48" s="54">
        <v>-42.613856816823947</v>
      </c>
      <c r="AB48" s="54">
        <v>-18.010671236559194</v>
      </c>
      <c r="AC48" s="54">
        <v>172.20883139759991</v>
      </c>
      <c r="AD48" s="54">
        <v>102.31492777777795</v>
      </c>
      <c r="AE48" s="54">
        <v>17.131165949821003</v>
      </c>
      <c r="AF48" s="54">
        <v>44.574344211220307</v>
      </c>
      <c r="AG48" s="54">
        <v>-23.239620071684342</v>
      </c>
      <c r="AH48" s="54">
        <v>-16.951093055555646</v>
      </c>
      <c r="AI48" s="54">
        <v>153.44648431899654</v>
      </c>
      <c r="AJ48" s="54">
        <v>105.37704063620068</v>
      </c>
      <c r="AK48" s="54">
        <v>75.152513709677578</v>
      </c>
      <c r="AL48" s="54">
        <v>97.177070250896165</v>
      </c>
      <c r="AM48" s="54">
        <v>70.351593413978449</v>
      </c>
      <c r="AN48" s="54">
        <v>43.540184767025366</v>
      </c>
      <c r="AO48" s="54">
        <v>175.7622578405018</v>
      </c>
      <c r="AP48" s="54">
        <v>97.807945540078094</v>
      </c>
      <c r="AQ48" s="54">
        <v>86.995127553763709</v>
      </c>
      <c r="AR48" s="54">
        <v>79.552032213261683</v>
      </c>
      <c r="AS48" s="54">
        <v>106.32043104838706</v>
      </c>
      <c r="AT48" s="54">
        <v>67.607524327957364</v>
      </c>
      <c r="AU48" s="54">
        <v>84.546473611111011</v>
      </c>
      <c r="AV48" s="54">
        <v>-7.5533529447701087</v>
      </c>
      <c r="AW48" s="54">
        <v>-2.8536238799283797</v>
      </c>
      <c r="AX48" s="54">
        <v>56.673442562723999</v>
      </c>
      <c r="AY48" s="54">
        <v>-55.517960035842307</v>
      </c>
      <c r="AZ48" s="54">
        <v>-32.374530465949846</v>
      </c>
      <c r="BA48" s="54">
        <v>191.16926039426531</v>
      </c>
      <c r="BB48" s="54">
        <v>108.20386926523295</v>
      </c>
      <c r="BC48" s="54">
        <v>87.299889512056254</v>
      </c>
      <c r="BD48" s="54">
        <v>148.39883570788547</v>
      </c>
      <c r="BE48" s="54">
        <v>72.458315143369092</v>
      </c>
      <c r="BF48" s="54">
        <v>58.184600040730118</v>
      </c>
      <c r="BG48" s="54">
        <v>182.01610080645193</v>
      </c>
      <c r="BH48" s="54">
        <v>91.685135349462428</v>
      </c>
      <c r="BI48" s="54">
        <v>3.2895449281569178</v>
      </c>
      <c r="BJ48" s="54">
        <v>43.141371863799513</v>
      </c>
      <c r="BK48" s="54">
        <v>-48.426593189964336</v>
      </c>
      <c r="BL48" s="54">
        <v>-22.63234028689698</v>
      </c>
      <c r="BM48" s="54">
        <v>230.58444466845884</v>
      </c>
      <c r="BN48" s="54">
        <v>145.60815501559367</v>
      </c>
      <c r="BO48" s="54">
        <v>66.39539719767285</v>
      </c>
      <c r="BP48" s="54">
        <v>90.555279211469667</v>
      </c>
      <c r="BQ48" s="54">
        <v>95.417863396057285</v>
      </c>
      <c r="BR48" s="54">
        <v>21.52977784283361</v>
      </c>
      <c r="BS48" s="54">
        <v>212.21489417562722</v>
      </c>
      <c r="BT48" s="54">
        <v>132.07922098618997</v>
      </c>
      <c r="BU48" s="54">
        <v>53.676856362007584</v>
      </c>
      <c r="BV48" s="54">
        <v>145.06403463261663</v>
      </c>
      <c r="BW48" s="54">
        <v>94.914406675627234</v>
      </c>
      <c r="BX48" s="54">
        <v>2.5845115637115335</v>
      </c>
    </row>
    <row r="49" spans="1:76" x14ac:dyDescent="0.3">
      <c r="A49" s="8" t="s">
        <v>102</v>
      </c>
      <c r="B49" s="8" t="s">
        <v>8</v>
      </c>
      <c r="C49" s="8" t="s">
        <v>111</v>
      </c>
      <c r="D49" s="8" t="s">
        <v>112</v>
      </c>
      <c r="E49" s="54">
        <v>445.8846999999999</v>
      </c>
      <c r="F49" s="54">
        <v>402.30319999999995</v>
      </c>
      <c r="G49" s="54">
        <v>301.7577</v>
      </c>
      <c r="H49" s="54">
        <v>373.42730000000012</v>
      </c>
      <c r="I49" s="54">
        <v>322.17990000000009</v>
      </c>
      <c r="J49" s="54">
        <v>264.55939999999998</v>
      </c>
      <c r="K49" s="54">
        <v>419.51360000000017</v>
      </c>
      <c r="L49" s="54">
        <v>385.50689999999997</v>
      </c>
      <c r="M49" s="54">
        <v>291.45569999999998</v>
      </c>
      <c r="N49" s="54">
        <v>359.69129999999996</v>
      </c>
      <c r="O49" s="54">
        <v>321.98799999999994</v>
      </c>
      <c r="P49" s="54">
        <v>267.06419999999986</v>
      </c>
      <c r="Q49" s="54">
        <v>406.88860000000005</v>
      </c>
      <c r="R49" s="54">
        <v>373.95249999999993</v>
      </c>
      <c r="S49" s="54">
        <v>285.1028</v>
      </c>
      <c r="T49" s="54">
        <v>347.642</v>
      </c>
      <c r="U49" s="54">
        <v>307.15109999999999</v>
      </c>
      <c r="V49" s="54">
        <v>259.77200000000011</v>
      </c>
      <c r="W49" s="54">
        <v>378.95199999999994</v>
      </c>
      <c r="X49" s="54">
        <v>348.20760000000007</v>
      </c>
      <c r="Y49" s="54">
        <v>264.85230000000001</v>
      </c>
      <c r="Z49" s="54">
        <v>327.4319000000001</v>
      </c>
      <c r="AA49" s="54">
        <v>287.90049999999991</v>
      </c>
      <c r="AB49" s="54">
        <v>246.01580000000013</v>
      </c>
      <c r="AC49" s="54">
        <v>378.37630000000001</v>
      </c>
      <c r="AD49" s="54">
        <v>347.72280000000012</v>
      </c>
      <c r="AE49" s="54">
        <v>262.84240000000005</v>
      </c>
      <c r="AF49" s="54">
        <v>313.99890000000011</v>
      </c>
      <c r="AG49" s="54">
        <v>279.56800000000004</v>
      </c>
      <c r="AH49" s="54">
        <v>240.91529999999995</v>
      </c>
      <c r="AI49" s="54">
        <v>414.40300000000008</v>
      </c>
      <c r="AJ49" s="54">
        <v>376.57850000000013</v>
      </c>
      <c r="AK49" s="54">
        <v>280.43660000000006</v>
      </c>
      <c r="AL49" s="54">
        <v>333.38080000000002</v>
      </c>
      <c r="AM49" s="54">
        <v>301.41430000000003</v>
      </c>
      <c r="AN49" s="54">
        <v>253.75239999999999</v>
      </c>
      <c r="AO49" s="54">
        <v>422.6345</v>
      </c>
      <c r="AP49" s="54">
        <v>385.70890000000003</v>
      </c>
      <c r="AQ49" s="54">
        <v>291.85970000000003</v>
      </c>
      <c r="AR49" s="54">
        <v>344.70289999999994</v>
      </c>
      <c r="AS49" s="54">
        <v>312.8071000000001</v>
      </c>
      <c r="AT49" s="54">
        <v>262.52929999999998</v>
      </c>
      <c r="AU49" s="54">
        <v>381.58809999999988</v>
      </c>
      <c r="AV49" s="54">
        <v>352.74249999999995</v>
      </c>
      <c r="AW49" s="54">
        <v>269.31649999999996</v>
      </c>
      <c r="AX49" s="54">
        <v>327.01780000000014</v>
      </c>
      <c r="AY49" s="54">
        <v>293.82920000000001</v>
      </c>
      <c r="AZ49" s="54">
        <v>247.24800000000013</v>
      </c>
      <c r="BA49" s="54">
        <v>404.92919999999998</v>
      </c>
      <c r="BB49" s="54">
        <v>374.32620000000003</v>
      </c>
      <c r="BC49" s="54">
        <v>282.52730000000014</v>
      </c>
      <c r="BD49" s="54">
        <v>328.88629999999995</v>
      </c>
      <c r="BE49" s="54">
        <v>293.84940000000006</v>
      </c>
      <c r="BF49" s="54">
        <v>251.30819999999997</v>
      </c>
      <c r="BG49" s="54">
        <v>392.58700000000005</v>
      </c>
      <c r="BH49" s="54">
        <v>359.26710000000008</v>
      </c>
      <c r="BI49" s="54">
        <v>267.16519999999997</v>
      </c>
      <c r="BJ49" s="54">
        <v>327.44200000000001</v>
      </c>
      <c r="BK49" s="54">
        <v>287.24400000000003</v>
      </c>
      <c r="BL49" s="54">
        <v>246.78339999999997</v>
      </c>
      <c r="BM49" s="54">
        <v>429.80550000000005</v>
      </c>
      <c r="BN49" s="54">
        <v>388.32480000000015</v>
      </c>
      <c r="BO49" s="54">
        <v>291.74860000000001</v>
      </c>
      <c r="BP49" s="54">
        <v>353.8232000000001</v>
      </c>
      <c r="BQ49" s="54">
        <v>314.72609999999992</v>
      </c>
      <c r="BR49" s="54">
        <v>261.20619999999997</v>
      </c>
      <c r="BS49" s="54">
        <v>449.83380000000017</v>
      </c>
      <c r="BT49" s="54">
        <v>404.53530000000006</v>
      </c>
      <c r="BU49" s="54">
        <v>304.35340000000008</v>
      </c>
      <c r="BV49" s="54">
        <v>369.69030000000004</v>
      </c>
      <c r="BW49" s="54">
        <v>324.28069999999985</v>
      </c>
      <c r="BX49" s="54">
        <v>264.54930000000007</v>
      </c>
    </row>
    <row r="50" spans="1:76" x14ac:dyDescent="0.3">
      <c r="A50" s="8" t="s">
        <v>102</v>
      </c>
      <c r="B50" s="8" t="s">
        <v>8</v>
      </c>
      <c r="C50" s="8" t="s">
        <v>111</v>
      </c>
      <c r="D50" s="8" t="s">
        <v>115</v>
      </c>
      <c r="E50" s="54">
        <v>-19.339514689740156</v>
      </c>
      <c r="F50" s="54">
        <v>-14.64413758960581</v>
      </c>
      <c r="G50" s="54">
        <v>-45.444797899865549</v>
      </c>
      <c r="H50" s="54">
        <v>-84.911482622087803</v>
      </c>
      <c r="I50" s="54">
        <v>-73.065986956765357</v>
      </c>
      <c r="J50" s="54">
        <v>-56.885277326015562</v>
      </c>
      <c r="K50" s="54">
        <v>-16.328769175627201</v>
      </c>
      <c r="L50" s="54">
        <v>-13.343640066830975</v>
      </c>
      <c r="M50" s="54">
        <v>-44.539565036962323</v>
      </c>
      <c r="N50" s="54">
        <v>-84.052892568324381</v>
      </c>
      <c r="O50" s="54">
        <v>-80.324057571684705</v>
      </c>
      <c r="P50" s="54">
        <v>-57.209483075716825</v>
      </c>
      <c r="Q50" s="54">
        <v>-19.123909800627281</v>
      </c>
      <c r="R50" s="54">
        <v>-12.501359346998143</v>
      </c>
      <c r="S50" s="54">
        <v>-44.12069294354837</v>
      </c>
      <c r="T50" s="54">
        <v>-82.994125112007211</v>
      </c>
      <c r="U50" s="54">
        <v>-65.060895827733006</v>
      </c>
      <c r="V50" s="54">
        <v>-56.555816980286778</v>
      </c>
      <c r="W50" s="54">
        <v>-86.0098794802866</v>
      </c>
      <c r="X50" s="54">
        <v>-81.353233836734873</v>
      </c>
      <c r="Y50" s="54">
        <v>-56.862745867426788</v>
      </c>
      <c r="Z50" s="54">
        <v>-80.869884134184616</v>
      </c>
      <c r="AA50" s="54">
        <v>-76.05407165595534</v>
      </c>
      <c r="AB50" s="54">
        <v>-55.362014684139702</v>
      </c>
      <c r="AC50" s="54">
        <v>-92.288878722158074</v>
      </c>
      <c r="AD50" s="54">
        <v>-82.675870138888882</v>
      </c>
      <c r="AE50" s="54">
        <v>-60.134254345878048</v>
      </c>
      <c r="AF50" s="54">
        <v>-86.889720310419747</v>
      </c>
      <c r="AG50" s="54">
        <v>-77.012488351254518</v>
      </c>
      <c r="AH50" s="54">
        <v>-58.346883159722253</v>
      </c>
      <c r="AI50" s="54">
        <v>-15.707342461917628</v>
      </c>
      <c r="AJ50" s="54">
        <v>-3.8721277129736276</v>
      </c>
      <c r="AK50" s="54">
        <v>-43.962643447580604</v>
      </c>
      <c r="AL50" s="54">
        <v>-71.90874077060927</v>
      </c>
      <c r="AM50" s="54">
        <v>-60.617732226862621</v>
      </c>
      <c r="AN50" s="54">
        <v>-46.572468391577026</v>
      </c>
      <c r="AO50" s="54">
        <v>-16.430641269041367</v>
      </c>
      <c r="AP50" s="54">
        <v>-9.367148700207828</v>
      </c>
      <c r="AQ50" s="54">
        <v>-44.051300924059063</v>
      </c>
      <c r="AR50" s="54">
        <v>-0.52273309251793521</v>
      </c>
      <c r="AS50" s="54">
        <v>19.297796824596759</v>
      </c>
      <c r="AT50" s="54">
        <v>-32.922114230510722</v>
      </c>
      <c r="AU50" s="54">
        <v>-17.718603993055471</v>
      </c>
      <c r="AV50" s="54">
        <v>-10.323120742748548</v>
      </c>
      <c r="AW50" s="54">
        <v>-3.5166116991487417</v>
      </c>
      <c r="AX50" s="54">
        <v>0.89352418234767139</v>
      </c>
      <c r="AY50" s="54">
        <v>3.9318620743727939</v>
      </c>
      <c r="AZ50" s="54">
        <v>2.4029507168458197</v>
      </c>
      <c r="BA50" s="54">
        <v>-15.223270318100335</v>
      </c>
      <c r="BB50" s="54">
        <v>-12.534196225358452</v>
      </c>
      <c r="BC50" s="54">
        <v>-44.181953805698114</v>
      </c>
      <c r="BD50" s="54">
        <v>-71.862197843862049</v>
      </c>
      <c r="BE50" s="54">
        <v>-64.02220142249115</v>
      </c>
      <c r="BF50" s="54">
        <v>-46.474569402696339</v>
      </c>
      <c r="BG50" s="54">
        <v>-64.69539667338708</v>
      </c>
      <c r="BH50" s="54">
        <v>-61.7675896001344</v>
      </c>
      <c r="BI50" s="54">
        <v>-47.29597886751835</v>
      </c>
      <c r="BJ50" s="54">
        <v>-80.870771617383539</v>
      </c>
      <c r="BK50" s="54">
        <v>-72.98616913082445</v>
      </c>
      <c r="BL50" s="54">
        <v>-54.343134546281703</v>
      </c>
      <c r="BM50" s="54">
        <v>-24.415391437052069</v>
      </c>
      <c r="BN50" s="54">
        <v>-13.900802912768295</v>
      </c>
      <c r="BO50" s="54">
        <v>-44.740008192020177</v>
      </c>
      <c r="BP50" s="54">
        <v>-1.2487343637992421</v>
      </c>
      <c r="BQ50" s="54">
        <v>0.35083720318107581</v>
      </c>
      <c r="BR50" s="54">
        <v>-32.572388030729925</v>
      </c>
      <c r="BS50" s="54">
        <v>-7.6554879144266064</v>
      </c>
      <c r="BT50" s="54">
        <v>-6.1929322753361271</v>
      </c>
      <c r="BU50" s="54">
        <v>-36.913024451164844</v>
      </c>
      <c r="BV50" s="54">
        <v>-87.736460612679252</v>
      </c>
      <c r="BW50" s="54">
        <v>-75.227142601926644</v>
      </c>
      <c r="BX50" s="54">
        <v>-56.373681622252427</v>
      </c>
    </row>
    <row r="51" spans="1:76" x14ac:dyDescent="0.3">
      <c r="A51" s="8" t="s">
        <v>102</v>
      </c>
      <c r="B51" s="8" t="s">
        <v>8</v>
      </c>
      <c r="C51" s="8" t="s">
        <v>111</v>
      </c>
      <c r="D51" s="8" t="s">
        <v>118</v>
      </c>
      <c r="E51" s="54">
        <v>328.54540368615591</v>
      </c>
      <c r="F51" s="54">
        <v>293.22881744623652</v>
      </c>
      <c r="G51" s="54">
        <v>186.77110876008064</v>
      </c>
      <c r="H51" s="54">
        <v>225.80199792674739</v>
      </c>
      <c r="I51" s="54">
        <v>188.06782032594094</v>
      </c>
      <c r="J51" s="54">
        <v>147.3583086043908</v>
      </c>
      <c r="K51" s="54">
        <v>307.27713849462378</v>
      </c>
      <c r="L51" s="54">
        <v>279.3123534599016</v>
      </c>
      <c r="M51" s="54">
        <v>178.29999847782264</v>
      </c>
      <c r="N51" s="54">
        <v>214.29815195900548</v>
      </c>
      <c r="O51" s="54">
        <v>183.54506545698911</v>
      </c>
      <c r="P51" s="54">
        <v>149.35548515456986</v>
      </c>
      <c r="Q51" s="54">
        <v>294.55317911962362</v>
      </c>
      <c r="R51" s="54">
        <v>269.70762189180107</v>
      </c>
      <c r="S51" s="54">
        <v>172.99253423387094</v>
      </c>
      <c r="T51" s="54">
        <v>204.39027493279571</v>
      </c>
      <c r="U51" s="54">
        <v>179.72067500336018</v>
      </c>
      <c r="V51" s="54">
        <v>143.36700981182804</v>
      </c>
      <c r="W51" s="54">
        <v>229.97707231182795</v>
      </c>
      <c r="X51" s="54">
        <v>205.86970969795914</v>
      </c>
      <c r="Y51" s="54">
        <v>147.62811497954419</v>
      </c>
      <c r="Z51" s="54">
        <v>187.98098201948932</v>
      </c>
      <c r="AA51" s="54">
        <v>156.28049450642678</v>
      </c>
      <c r="AB51" s="54">
        <v>132.04661618951619</v>
      </c>
      <c r="AC51" s="54">
        <v>225.70593526670524</v>
      </c>
      <c r="AD51" s="54">
        <v>204.65192791666675</v>
      </c>
      <c r="AE51" s="54">
        <v>143.90654739247321</v>
      </c>
      <c r="AF51" s="54">
        <v>172.61520531374831</v>
      </c>
      <c r="AG51" s="54">
        <v>148.4145069892474</v>
      </c>
      <c r="AH51" s="54">
        <v>125.79275760416664</v>
      </c>
      <c r="AI51" s="54">
        <v>303.17821952284942</v>
      </c>
      <c r="AJ51" s="54">
        <v>277.18291087221593</v>
      </c>
      <c r="AK51" s="54">
        <v>169.00443893145166</v>
      </c>
      <c r="AL51" s="54">
        <v>198.56295553763448</v>
      </c>
      <c r="AM51" s="54">
        <v>177.36687316388256</v>
      </c>
      <c r="AN51" s="54">
        <v>144.08986896505382</v>
      </c>
      <c r="AO51" s="54">
        <v>309.94680273857523</v>
      </c>
      <c r="AP51" s="54">
        <v>281.8749982798754</v>
      </c>
      <c r="AQ51" s="54">
        <v>178.94645694556453</v>
      </c>
      <c r="AR51" s="54">
        <v>251.30139764448933</v>
      </c>
      <c r="AS51" s="54">
        <v>235.28489059475842</v>
      </c>
      <c r="AT51" s="54">
        <v>159.95986896169356</v>
      </c>
      <c r="AU51" s="54">
        <v>273.25842510416652</v>
      </c>
      <c r="AV51" s="54">
        <v>252.45581505435101</v>
      </c>
      <c r="AW51" s="54">
        <v>197.38322048051083</v>
      </c>
      <c r="AX51" s="54">
        <v>236.67668950940879</v>
      </c>
      <c r="AY51" s="54">
        <v>209.4596672446236</v>
      </c>
      <c r="AZ51" s="54">
        <v>167.78377043010772</v>
      </c>
      <c r="BA51" s="54">
        <v>295.17908780913984</v>
      </c>
      <c r="BB51" s="54">
        <v>270.01490726478505</v>
      </c>
      <c r="BC51" s="54">
        <v>170.70221521658112</v>
      </c>
      <c r="BD51" s="54">
        <v>194.65819379368287</v>
      </c>
      <c r="BE51" s="54">
        <v>168.70490414650541</v>
      </c>
      <c r="BF51" s="54">
        <v>142.0099333583822</v>
      </c>
      <c r="BG51" s="54">
        <v>254.69638699596774</v>
      </c>
      <c r="BH51" s="54">
        <v>227.29815873991944</v>
      </c>
      <c r="BI51" s="54">
        <v>155.39196267948907</v>
      </c>
      <c r="BJ51" s="54">
        <v>187.98928702956985</v>
      </c>
      <c r="BK51" s="54">
        <v>157.54679852150554</v>
      </c>
      <c r="BL51" s="54">
        <v>133.32959427223102</v>
      </c>
      <c r="BM51" s="54">
        <v>311.43057763776881</v>
      </c>
      <c r="BN51" s="54">
        <v>281.44371825233907</v>
      </c>
      <c r="BO51" s="54">
        <v>178.43602008478788</v>
      </c>
      <c r="BP51" s="54">
        <v>258.84605938172058</v>
      </c>
      <c r="BQ51" s="54">
        <v>225.59583982190844</v>
      </c>
      <c r="BR51" s="54">
        <v>159.01199218156202</v>
      </c>
      <c r="BS51" s="54">
        <v>339.01128225134403</v>
      </c>
      <c r="BT51" s="54">
        <v>300.25262813479839</v>
      </c>
      <c r="BU51" s="54">
        <v>194.16141032930113</v>
      </c>
      <c r="BV51" s="54">
        <v>220.83713613239243</v>
      </c>
      <c r="BW51" s="54">
        <v>188.60932693884425</v>
      </c>
      <c r="BX51" s="54">
        <v>147.65642852664863</v>
      </c>
    </row>
    <row r="52" spans="1:76" x14ac:dyDescent="0.3">
      <c r="A52" s="8" t="s">
        <v>102</v>
      </c>
      <c r="B52" s="8" t="s">
        <v>8</v>
      </c>
      <c r="C52" s="8" t="s">
        <v>115</v>
      </c>
      <c r="D52" s="8" t="s">
        <v>116</v>
      </c>
      <c r="E52" s="54">
        <v>388.60548543794795</v>
      </c>
      <c r="F52" s="54">
        <v>345.17444751792101</v>
      </c>
      <c r="G52" s="54">
        <v>253.30271707997309</v>
      </c>
      <c r="H52" s="54">
        <v>331.07391402441766</v>
      </c>
      <c r="I52" s="54">
        <v>278.73859989135343</v>
      </c>
      <c r="J52" s="54">
        <v>219.32247046520303</v>
      </c>
      <c r="K52" s="54">
        <v>362.29151383512573</v>
      </c>
      <c r="L52" s="54">
        <v>328.53795551336606</v>
      </c>
      <c r="M52" s="54">
        <v>243.07722050739255</v>
      </c>
      <c r="N52" s="54">
        <v>317.50959601366492</v>
      </c>
      <c r="O52" s="54">
        <v>280.00311151433687</v>
      </c>
      <c r="P52" s="54">
        <v>221.82949161514333</v>
      </c>
      <c r="Q52" s="54">
        <v>350.54116696012551</v>
      </c>
      <c r="R52" s="54">
        <v>317.1039593693996</v>
      </c>
      <c r="S52" s="54">
        <v>236.79936858870977</v>
      </c>
      <c r="T52" s="54">
        <v>305.54977502240143</v>
      </c>
      <c r="U52" s="54">
        <v>262.48450166554682</v>
      </c>
      <c r="V52" s="54">
        <v>214.58886339605732</v>
      </c>
      <c r="W52" s="54">
        <v>336.68017589605716</v>
      </c>
      <c r="X52" s="54">
        <v>305.77305676734687</v>
      </c>
      <c r="Y52" s="54">
        <v>219.60354167348538</v>
      </c>
      <c r="Z52" s="54">
        <v>285.42007932683691</v>
      </c>
      <c r="AA52" s="54">
        <v>245.91380183119105</v>
      </c>
      <c r="AB52" s="54">
        <v>200.93780793682802</v>
      </c>
      <c r="AC52" s="54">
        <v>337.37466824443163</v>
      </c>
      <c r="AD52" s="54">
        <v>305.56490402777769</v>
      </c>
      <c r="AE52" s="54">
        <v>218.29819086917567</v>
      </c>
      <c r="AF52" s="54">
        <v>273.52687156208401</v>
      </c>
      <c r="AG52" s="54">
        <v>237.98129767025088</v>
      </c>
      <c r="AH52" s="54">
        <v>196.56179413194462</v>
      </c>
      <c r="AI52" s="54">
        <v>357.18439349238349</v>
      </c>
      <c r="AJ52" s="54">
        <v>317.93846304259478</v>
      </c>
      <c r="AK52" s="54">
        <v>232.21821368951612</v>
      </c>
      <c r="AL52" s="54">
        <v>289.42802815412193</v>
      </c>
      <c r="AM52" s="54">
        <v>256.00248894537248</v>
      </c>
      <c r="AN52" s="54">
        <v>206.72308367831539</v>
      </c>
      <c r="AO52" s="54">
        <v>365.35476575380829</v>
      </c>
      <c r="AP52" s="54">
        <v>327.93960724004154</v>
      </c>
      <c r="AQ52" s="54">
        <v>243.37346768481183</v>
      </c>
      <c r="AR52" s="54">
        <v>286.18987411850361</v>
      </c>
      <c r="AS52" s="54">
        <v>251.12736313508054</v>
      </c>
      <c r="AT52" s="54">
        <v>212.55049034610218</v>
      </c>
      <c r="AU52" s="54">
        <v>325.59211829861124</v>
      </c>
      <c r="AV52" s="54">
        <v>295.98856164854959</v>
      </c>
      <c r="AW52" s="54">
        <v>264.03815983982958</v>
      </c>
      <c r="AX52" s="54">
        <v>268.66365016353069</v>
      </c>
      <c r="AY52" s="54">
        <v>235.69709758512536</v>
      </c>
      <c r="AZ52" s="54">
        <v>190.58620985663089</v>
      </c>
      <c r="BA52" s="54">
        <v>347.85062406361988</v>
      </c>
      <c r="BB52" s="54">
        <v>317.47488424507162</v>
      </c>
      <c r="BC52" s="54">
        <v>234.30050826113958</v>
      </c>
      <c r="BD52" s="54">
        <v>285.03658206877259</v>
      </c>
      <c r="BE52" s="54">
        <v>249.30760528449846</v>
      </c>
      <c r="BF52" s="54">
        <v>204.32040888053928</v>
      </c>
      <c r="BG52" s="54">
        <v>345.71140433467764</v>
      </c>
      <c r="BH52" s="54">
        <v>312.6389404200267</v>
      </c>
      <c r="BI52" s="54">
        <v>219.94526577350371</v>
      </c>
      <c r="BJ52" s="54">
        <v>285.4301043234766</v>
      </c>
      <c r="BK52" s="54">
        <v>244.66013382616515</v>
      </c>
      <c r="BL52" s="54">
        <v>201.48244190925647</v>
      </c>
      <c r="BM52" s="54">
        <v>373.94344078741051</v>
      </c>
      <c r="BN52" s="54">
        <v>331.39684058255335</v>
      </c>
      <c r="BO52" s="54">
        <v>243.40288663840414</v>
      </c>
      <c r="BP52" s="54">
        <v>295.22736687275983</v>
      </c>
      <c r="BQ52" s="54">
        <v>256.78778005936385</v>
      </c>
      <c r="BR52" s="54">
        <v>211.19052260614589</v>
      </c>
      <c r="BS52" s="54">
        <v>390.11905258288527</v>
      </c>
      <c r="BT52" s="54">
        <v>345.66050395506733</v>
      </c>
      <c r="BU52" s="54">
        <v>254.12716989023298</v>
      </c>
      <c r="BV52" s="54">
        <v>327.99533462253595</v>
      </c>
      <c r="BW52" s="54">
        <v>281.21911102038524</v>
      </c>
      <c r="BX52" s="54">
        <v>219.21030382445062</v>
      </c>
    </row>
    <row r="53" spans="1:76" x14ac:dyDescent="0.3">
      <c r="A53" s="8" t="s">
        <v>102</v>
      </c>
      <c r="B53" s="8" t="s">
        <v>8</v>
      </c>
      <c r="C53" s="8" t="s">
        <v>115</v>
      </c>
      <c r="D53" s="8" t="s">
        <v>117</v>
      </c>
      <c r="E53" s="54">
        <v>420.50321087589617</v>
      </c>
      <c r="F53" s="54">
        <v>368.50633503584243</v>
      </c>
      <c r="G53" s="54">
        <v>265.19927415994601</v>
      </c>
      <c r="H53" s="54">
        <v>363.40598804883518</v>
      </c>
      <c r="I53" s="54">
        <v>299.73327978270589</v>
      </c>
      <c r="J53" s="54">
        <v>226.99742093040621</v>
      </c>
      <c r="K53" s="54">
        <v>388.97214767025076</v>
      </c>
      <c r="L53" s="54">
        <v>348.67039102673237</v>
      </c>
      <c r="M53" s="54">
        <v>252.9898810147848</v>
      </c>
      <c r="N53" s="54">
        <v>347.26615202732989</v>
      </c>
      <c r="O53" s="54">
        <v>302.41582302867374</v>
      </c>
      <c r="P53" s="54">
        <v>230.00762323028678</v>
      </c>
      <c r="Q53" s="54">
        <v>375.5714539202508</v>
      </c>
      <c r="R53" s="54">
        <v>335.04591873879929</v>
      </c>
      <c r="S53" s="54">
        <v>245.5164971774193</v>
      </c>
      <c r="T53" s="54">
        <v>332.98595004480291</v>
      </c>
      <c r="U53" s="54">
        <v>279.24812333109304</v>
      </c>
      <c r="V53" s="54">
        <v>221.36012679211481</v>
      </c>
      <c r="W53" s="54">
        <v>370.19875179211482</v>
      </c>
      <c r="X53" s="54">
        <v>332.98003353469397</v>
      </c>
      <c r="Y53" s="54">
        <v>227.32524334697058</v>
      </c>
      <c r="Z53" s="54">
        <v>308.89463865367395</v>
      </c>
      <c r="AA53" s="54">
        <v>261.50720366238221</v>
      </c>
      <c r="AB53" s="54">
        <v>205.06297587365597</v>
      </c>
      <c r="AC53" s="54">
        <v>372.0482964888634</v>
      </c>
      <c r="AD53" s="54">
        <v>332.9515680555557</v>
      </c>
      <c r="AE53" s="54">
        <v>226.32246173835125</v>
      </c>
      <c r="AF53" s="54">
        <v>295.85462312416786</v>
      </c>
      <c r="AG53" s="54">
        <v>252.30819534050198</v>
      </c>
      <c r="AH53" s="54">
        <v>200.3913482638886</v>
      </c>
      <c r="AI53" s="54">
        <v>382.84638698476692</v>
      </c>
      <c r="AJ53" s="54">
        <v>334.61412608518935</v>
      </c>
      <c r="AK53" s="54">
        <v>240.08714737903225</v>
      </c>
      <c r="AL53" s="54">
        <v>312.15141630824371</v>
      </c>
      <c r="AM53" s="54">
        <v>270.87353789074496</v>
      </c>
      <c r="AN53" s="54">
        <v>210.4442473566308</v>
      </c>
      <c r="AO53" s="54">
        <v>392.60193150761637</v>
      </c>
      <c r="AP53" s="54">
        <v>347.31209448008315</v>
      </c>
      <c r="AQ53" s="54">
        <v>253.25917536962362</v>
      </c>
      <c r="AR53" s="54">
        <v>296.61742823700712</v>
      </c>
      <c r="AS53" s="54">
        <v>252.00904627016118</v>
      </c>
      <c r="AT53" s="54">
        <v>215.07754069220431</v>
      </c>
      <c r="AU53" s="54">
        <v>345.91375659722212</v>
      </c>
      <c r="AV53" s="54">
        <v>309.78312329709956</v>
      </c>
      <c r="AW53" s="54">
        <v>238.8031196796594</v>
      </c>
      <c r="AX53" s="54">
        <v>275.71306032706099</v>
      </c>
      <c r="AY53" s="54">
        <v>236.33083517025111</v>
      </c>
      <c r="AZ53" s="54">
        <v>183.37401971326139</v>
      </c>
      <c r="BA53" s="54">
        <v>371.75788812724011</v>
      </c>
      <c r="BB53" s="54">
        <v>335.4888084901433</v>
      </c>
      <c r="BC53" s="54">
        <v>242.57917652227911</v>
      </c>
      <c r="BD53" s="54">
        <v>306.96412413754473</v>
      </c>
      <c r="BE53" s="54">
        <v>263.5356905689963</v>
      </c>
      <c r="BF53" s="54">
        <v>207.59425776107855</v>
      </c>
      <c r="BG53" s="54">
        <v>377.35320866935473</v>
      </c>
      <c r="BH53" s="54">
        <v>337.86420084005385</v>
      </c>
      <c r="BI53" s="54">
        <v>226.15837154700748</v>
      </c>
      <c r="BJ53" s="54">
        <v>308.90660864695343</v>
      </c>
      <c r="BK53" s="54">
        <v>259.52506765232931</v>
      </c>
      <c r="BL53" s="54">
        <v>205.53816381851254</v>
      </c>
      <c r="BM53" s="54">
        <v>404.0424815748209</v>
      </c>
      <c r="BN53" s="54">
        <v>352.13384116510736</v>
      </c>
      <c r="BO53" s="54">
        <v>253.40689327680809</v>
      </c>
      <c r="BP53" s="54">
        <v>307.39617374551977</v>
      </c>
      <c r="BQ53" s="54">
        <v>261.79468011872763</v>
      </c>
      <c r="BR53" s="54">
        <v>213.41608521229193</v>
      </c>
      <c r="BS53" s="54">
        <v>420.37106516577063</v>
      </c>
      <c r="BT53" s="54">
        <v>367.69276791013448</v>
      </c>
      <c r="BU53" s="54">
        <v>264.77161978046593</v>
      </c>
      <c r="BV53" s="54">
        <v>360.23842924507153</v>
      </c>
      <c r="BW53" s="54">
        <v>303.01366204077061</v>
      </c>
      <c r="BX53" s="54">
        <v>226.78116764890089</v>
      </c>
    </row>
    <row r="54" spans="1:76" x14ac:dyDescent="0.3">
      <c r="A54" s="8" t="s">
        <v>102</v>
      </c>
      <c r="B54" s="8" t="s">
        <v>8</v>
      </c>
      <c r="C54" s="8" t="s">
        <v>116</v>
      </c>
      <c r="D54" s="8" t="s">
        <v>117</v>
      </c>
      <c r="E54" s="54">
        <v>-57.279214562051983</v>
      </c>
      <c r="F54" s="54">
        <v>-57.128752482078937</v>
      </c>
      <c r="G54" s="54">
        <v>-48.454982920026922</v>
      </c>
      <c r="H54" s="54">
        <v>-42.353385975582469</v>
      </c>
      <c r="I54" s="54">
        <v>-43.441300108646665</v>
      </c>
      <c r="J54" s="54">
        <v>-45.236929534796964</v>
      </c>
      <c r="K54" s="54">
        <v>-57.222086164874455</v>
      </c>
      <c r="L54" s="54">
        <v>-56.968944486633923</v>
      </c>
      <c r="M54" s="54">
        <v>-48.378479492607539</v>
      </c>
      <c r="N54" s="54">
        <v>-42.181703986335137</v>
      </c>
      <c r="O54" s="54">
        <v>-41.984888485663063</v>
      </c>
      <c r="P54" s="54">
        <v>-45.23470838485666</v>
      </c>
      <c r="Q54" s="54">
        <v>-56.347433039874552</v>
      </c>
      <c r="R54" s="54">
        <v>-56.848540630600411</v>
      </c>
      <c r="S54" s="54">
        <v>-48.30343141129034</v>
      </c>
      <c r="T54" s="54">
        <v>-42.092224977598569</v>
      </c>
      <c r="U54" s="54">
        <v>-44.666598334453411</v>
      </c>
      <c r="V54" s="54">
        <v>-45.183136603942685</v>
      </c>
      <c r="W54" s="54">
        <v>-42.271824103942812</v>
      </c>
      <c r="X54" s="54">
        <v>-42.434543232652942</v>
      </c>
      <c r="Y54" s="54">
        <v>-45.248758326514647</v>
      </c>
      <c r="Z54" s="54">
        <v>-42.011820673163228</v>
      </c>
      <c r="AA54" s="54">
        <v>-41.986698168808957</v>
      </c>
      <c r="AB54" s="54">
        <v>-45.077992063171976</v>
      </c>
      <c r="AC54" s="54">
        <v>-41.001631755568482</v>
      </c>
      <c r="AD54" s="54">
        <v>-42.157895972222192</v>
      </c>
      <c r="AE54" s="54">
        <v>-44.544209130824356</v>
      </c>
      <c r="AF54" s="54">
        <v>-40.472028437916087</v>
      </c>
      <c r="AG54" s="54">
        <v>-41.586702329749144</v>
      </c>
      <c r="AH54" s="54">
        <v>-44.353505868055535</v>
      </c>
      <c r="AI54" s="54">
        <v>-57.218606507616343</v>
      </c>
      <c r="AJ54" s="54">
        <v>-58.640036957405272</v>
      </c>
      <c r="AK54" s="54">
        <v>-48.218386310483922</v>
      </c>
      <c r="AL54" s="54">
        <v>-43.95277184587809</v>
      </c>
      <c r="AM54" s="54">
        <v>-45.411811054627549</v>
      </c>
      <c r="AN54" s="54">
        <v>-47.029316321684611</v>
      </c>
      <c r="AO54" s="54">
        <v>-57.279734246191708</v>
      </c>
      <c r="AP54" s="54">
        <v>-57.769292759958461</v>
      </c>
      <c r="AQ54" s="54">
        <v>-48.486232315188225</v>
      </c>
      <c r="AR54" s="54">
        <v>-58.513025881496425</v>
      </c>
      <c r="AS54" s="54">
        <v>-61.679736864919562</v>
      </c>
      <c r="AT54" s="54">
        <v>-49.978809653897784</v>
      </c>
      <c r="AU54" s="54">
        <v>-55.99598170138875</v>
      </c>
      <c r="AV54" s="54">
        <v>-56.753938351450373</v>
      </c>
      <c r="AW54" s="54">
        <v>-97.553340160170251</v>
      </c>
      <c r="AX54" s="54">
        <v>-58.354149836469475</v>
      </c>
      <c r="AY54" s="54">
        <v>-58.132102414874652</v>
      </c>
      <c r="AZ54" s="54">
        <v>-56.661790143369252</v>
      </c>
      <c r="BA54" s="54">
        <v>-57.078575936379991</v>
      </c>
      <c r="BB54" s="54">
        <v>-56.851315754928407</v>
      </c>
      <c r="BC54" s="54">
        <v>-48.226791738860356</v>
      </c>
      <c r="BD54" s="54">
        <v>-43.849717931227602</v>
      </c>
      <c r="BE54" s="54">
        <v>-44.54179471550168</v>
      </c>
      <c r="BF54" s="54">
        <v>-46.987791119460724</v>
      </c>
      <c r="BG54" s="54">
        <v>-46.875595665322621</v>
      </c>
      <c r="BH54" s="54">
        <v>-46.628159579973129</v>
      </c>
      <c r="BI54" s="54">
        <v>-47.219934226496399</v>
      </c>
      <c r="BJ54" s="54">
        <v>-42.011895676523416</v>
      </c>
      <c r="BK54" s="54">
        <v>-42.58386617383492</v>
      </c>
      <c r="BL54" s="54">
        <v>-45.300958090743634</v>
      </c>
      <c r="BM54" s="54">
        <v>-55.862059212589578</v>
      </c>
      <c r="BN54" s="54">
        <v>-56.927959417446552</v>
      </c>
      <c r="BO54" s="54">
        <v>-48.345713361595877</v>
      </c>
      <c r="BP54" s="54">
        <v>-58.595833127240148</v>
      </c>
      <c r="BQ54" s="54">
        <v>-57.938319940636141</v>
      </c>
      <c r="BR54" s="54">
        <v>-50.015677393854041</v>
      </c>
      <c r="BS54" s="54">
        <v>-59.714747417114687</v>
      </c>
      <c r="BT54" s="54">
        <v>-58.874796044932729</v>
      </c>
      <c r="BU54" s="54">
        <v>-50.226230109767123</v>
      </c>
      <c r="BV54" s="54">
        <v>-41.694965377464086</v>
      </c>
      <c r="BW54" s="54">
        <v>-43.061588979614875</v>
      </c>
      <c r="BX54" s="54">
        <v>-45.338996175549482</v>
      </c>
    </row>
    <row r="55" spans="1:76" x14ac:dyDescent="0.3">
      <c r="A55" s="8" t="s">
        <v>102</v>
      </c>
      <c r="B55" s="8" t="s">
        <v>8</v>
      </c>
      <c r="C55" s="8" t="s">
        <v>117</v>
      </c>
      <c r="D55" s="8" t="s">
        <v>118</v>
      </c>
      <c r="E55" s="54">
        <v>117.33929631384399</v>
      </c>
      <c r="F55" s="54">
        <v>109.07438255376346</v>
      </c>
      <c r="G55" s="54">
        <v>114.98659123991939</v>
      </c>
      <c r="H55" s="54">
        <v>147.62530207325275</v>
      </c>
      <c r="I55" s="54">
        <v>134.11207967405915</v>
      </c>
      <c r="J55" s="54">
        <v>117.2010913956092</v>
      </c>
      <c r="K55" s="54">
        <v>112.23646150537635</v>
      </c>
      <c r="L55" s="54">
        <v>106.19454654009863</v>
      </c>
      <c r="M55" s="54">
        <v>113.15570152217735</v>
      </c>
      <c r="N55" s="54">
        <v>145.39314804099467</v>
      </c>
      <c r="O55" s="54">
        <v>138.44293454301092</v>
      </c>
      <c r="P55" s="54">
        <v>117.70871484543011</v>
      </c>
      <c r="Q55" s="54">
        <v>112.3354208803764</v>
      </c>
      <c r="R55" s="54">
        <v>104.24487810819882</v>
      </c>
      <c r="S55" s="54">
        <v>112.11026576612903</v>
      </c>
      <c r="T55" s="54">
        <v>143.25172506720429</v>
      </c>
      <c r="U55" s="54">
        <v>127.43042499663981</v>
      </c>
      <c r="V55" s="54">
        <v>116.40499018817208</v>
      </c>
      <c r="W55" s="54">
        <v>148.9749276881721</v>
      </c>
      <c r="X55" s="54">
        <v>142.3378903020409</v>
      </c>
      <c r="Y55" s="54">
        <v>117.22418502045583</v>
      </c>
      <c r="Z55" s="54">
        <v>139.45091798051078</v>
      </c>
      <c r="AA55" s="54">
        <v>131.62000549357322</v>
      </c>
      <c r="AB55" s="54">
        <v>113.96918381048393</v>
      </c>
      <c r="AC55" s="54">
        <v>152.67036473329478</v>
      </c>
      <c r="AD55" s="54">
        <v>143.07087208333337</v>
      </c>
      <c r="AE55" s="54">
        <v>118.93585260752681</v>
      </c>
      <c r="AF55" s="54">
        <v>141.38369468625177</v>
      </c>
      <c r="AG55" s="54">
        <v>131.15349301075264</v>
      </c>
      <c r="AH55" s="54">
        <v>115.12254239583342</v>
      </c>
      <c r="AI55" s="54">
        <v>111.22478047715056</v>
      </c>
      <c r="AJ55" s="54">
        <v>99.39558912778412</v>
      </c>
      <c r="AK55" s="54">
        <v>111.43216106854837</v>
      </c>
      <c r="AL55" s="54">
        <v>134.81784446236554</v>
      </c>
      <c r="AM55" s="54">
        <v>124.04742683611747</v>
      </c>
      <c r="AN55" s="54">
        <v>109.66253103494627</v>
      </c>
      <c r="AO55" s="54">
        <v>112.6876972614248</v>
      </c>
      <c r="AP55" s="54">
        <v>103.83390172012463</v>
      </c>
      <c r="AQ55" s="54">
        <v>112.9132430544354</v>
      </c>
      <c r="AR55" s="54">
        <v>93.401502355510814</v>
      </c>
      <c r="AS55" s="54">
        <v>77.522209405241682</v>
      </c>
      <c r="AT55" s="54">
        <v>102.56943103830652</v>
      </c>
      <c r="AU55" s="54">
        <v>108.32967489583334</v>
      </c>
      <c r="AV55" s="54">
        <v>100.28668494564907</v>
      </c>
      <c r="AW55" s="54">
        <v>71.933279519489247</v>
      </c>
      <c r="AX55" s="54">
        <v>90.341110490591348</v>
      </c>
      <c r="AY55" s="54">
        <v>84.369532755376284</v>
      </c>
      <c r="AZ55" s="54">
        <v>79.464229569892296</v>
      </c>
      <c r="BA55" s="54">
        <v>109.75011219086016</v>
      </c>
      <c r="BB55" s="54">
        <v>104.31129273521501</v>
      </c>
      <c r="BC55" s="54">
        <v>111.82508478341879</v>
      </c>
      <c r="BD55" s="54">
        <v>134.22810620631731</v>
      </c>
      <c r="BE55" s="54">
        <v>125.14449585349463</v>
      </c>
      <c r="BF55" s="54">
        <v>109.29826664161779</v>
      </c>
      <c r="BG55" s="54">
        <v>137.89061300403228</v>
      </c>
      <c r="BH55" s="54">
        <v>131.96894126008064</v>
      </c>
      <c r="BI55" s="54">
        <v>111.77323732051103</v>
      </c>
      <c r="BJ55" s="54">
        <v>139.45271297043016</v>
      </c>
      <c r="BK55" s="54">
        <v>129.69720147849449</v>
      </c>
      <c r="BL55" s="54">
        <v>113.45380572776898</v>
      </c>
      <c r="BM55" s="54">
        <v>118.37492236223125</v>
      </c>
      <c r="BN55" s="54">
        <v>106.88108174766087</v>
      </c>
      <c r="BO55" s="54">
        <v>113.31257991521215</v>
      </c>
      <c r="BP55" s="54">
        <v>94.977140618279549</v>
      </c>
      <c r="BQ55" s="54">
        <v>89.130260178091447</v>
      </c>
      <c r="BR55" s="54">
        <v>102.19420781843792</v>
      </c>
      <c r="BS55" s="54">
        <v>110.82251774865593</v>
      </c>
      <c r="BT55" s="54">
        <v>104.28267186520168</v>
      </c>
      <c r="BU55" s="54">
        <v>110.19198967069887</v>
      </c>
      <c r="BV55" s="54">
        <v>148.85316386760761</v>
      </c>
      <c r="BW55" s="54">
        <v>135.67137306115572</v>
      </c>
      <c r="BX55" s="54">
        <v>116.89287147335148</v>
      </c>
    </row>
    <row r="56" spans="1:76" x14ac:dyDescent="0.3">
      <c r="A56" s="8" t="s">
        <v>102</v>
      </c>
      <c r="B56" s="8" t="s">
        <v>9</v>
      </c>
      <c r="C56" s="8" t="s">
        <v>108</v>
      </c>
      <c r="D56" s="8" t="s">
        <v>111</v>
      </c>
      <c r="E56" s="54">
        <v>372.23427353942662</v>
      </c>
      <c r="F56" s="54">
        <v>385.43485393465437</v>
      </c>
      <c r="G56" s="54">
        <v>484.03374603046598</v>
      </c>
      <c r="H56" s="54">
        <v>550.51653219534046</v>
      </c>
      <c r="I56" s="54">
        <v>554.66849784050191</v>
      </c>
      <c r="J56" s="54">
        <v>513.04625705495835</v>
      </c>
      <c r="K56" s="54">
        <v>403.63937433691734</v>
      </c>
      <c r="L56" s="54">
        <v>416.48482463261672</v>
      </c>
      <c r="M56" s="54">
        <v>504.84274405913987</v>
      </c>
      <c r="N56" s="54">
        <v>559.57416875448041</v>
      </c>
      <c r="O56" s="54">
        <v>554.50615663082442</v>
      </c>
      <c r="P56" s="54">
        <v>489.18161937276005</v>
      </c>
      <c r="Q56" s="54">
        <v>334.76182729390678</v>
      </c>
      <c r="R56" s="54">
        <v>356.48017495519713</v>
      </c>
      <c r="S56" s="54">
        <v>459.21805317569687</v>
      </c>
      <c r="T56" s="54">
        <v>490.31700017921168</v>
      </c>
      <c r="U56" s="54">
        <v>494.01655332437298</v>
      </c>
      <c r="V56" s="54">
        <v>499.21889163447844</v>
      </c>
      <c r="W56" s="54">
        <v>546.87349749103942</v>
      </c>
      <c r="X56" s="54">
        <v>567.1466193189965</v>
      </c>
      <c r="Y56" s="54">
        <v>507.74771173536436</v>
      </c>
      <c r="Z56" s="54">
        <v>580.84629461469524</v>
      </c>
      <c r="AA56" s="54">
        <v>600.9380484318998</v>
      </c>
      <c r="AB56" s="54">
        <v>501.74978349462384</v>
      </c>
      <c r="AC56" s="54">
        <v>547.2531190232977</v>
      </c>
      <c r="AD56" s="54">
        <v>567.46630060931898</v>
      </c>
      <c r="AE56" s="54">
        <v>481.11227333333352</v>
      </c>
      <c r="AF56" s="54">
        <v>567.9798938082439</v>
      </c>
      <c r="AG56" s="54">
        <v>504.96846639095662</v>
      </c>
      <c r="AH56" s="54">
        <v>486.72292359319005</v>
      </c>
      <c r="AI56" s="54">
        <v>407.00934793906839</v>
      </c>
      <c r="AJ56" s="54">
        <v>395.31640931771636</v>
      </c>
      <c r="AK56" s="54">
        <v>437.80933517921142</v>
      </c>
      <c r="AL56" s="54">
        <v>383.2335029390681</v>
      </c>
      <c r="AM56" s="54">
        <v>344.94508349334365</v>
      </c>
      <c r="AN56" s="54">
        <v>424.52409394265243</v>
      </c>
      <c r="AO56" s="54">
        <v>401.58142603046599</v>
      </c>
      <c r="AP56" s="54">
        <v>409.64778523324583</v>
      </c>
      <c r="AQ56" s="54">
        <v>437.20041180107506</v>
      </c>
      <c r="AR56" s="54">
        <v>334.73793846510034</v>
      </c>
      <c r="AS56" s="54">
        <v>294.51784508064515</v>
      </c>
      <c r="AT56" s="54">
        <v>418.29194276881719</v>
      </c>
      <c r="AU56" s="54">
        <v>348.3266283243729</v>
      </c>
      <c r="AV56" s="54">
        <v>362.08024253797277</v>
      </c>
      <c r="AW56" s="54">
        <v>430.68166635304664</v>
      </c>
      <c r="AX56" s="54">
        <v>482.64805679211497</v>
      </c>
      <c r="AY56" s="54">
        <v>501.86164347670268</v>
      </c>
      <c r="AZ56" s="54">
        <v>468.53131612903229</v>
      </c>
      <c r="BA56" s="54">
        <v>336.05387250896058</v>
      </c>
      <c r="BB56" s="54">
        <v>356.23375396057332</v>
      </c>
      <c r="BC56" s="54">
        <v>448.72186435099826</v>
      </c>
      <c r="BD56" s="54">
        <v>502.68467009856607</v>
      </c>
      <c r="BE56" s="54">
        <v>461.60441517921157</v>
      </c>
      <c r="BF56" s="54">
        <v>464.16291722222212</v>
      </c>
      <c r="BG56" s="54">
        <v>502.84303467741933</v>
      </c>
      <c r="BH56" s="54">
        <v>524.81446336021497</v>
      </c>
      <c r="BI56" s="54">
        <v>495.74695663050727</v>
      </c>
      <c r="BJ56" s="54">
        <v>580.83963458781375</v>
      </c>
      <c r="BK56" s="54">
        <v>596.8343480286735</v>
      </c>
      <c r="BL56" s="54">
        <v>505.8646457165288</v>
      </c>
      <c r="BM56" s="54">
        <v>381.61088938172026</v>
      </c>
      <c r="BN56" s="54">
        <v>389.87779429347279</v>
      </c>
      <c r="BO56" s="54">
        <v>482.21296738817699</v>
      </c>
      <c r="BP56" s="54">
        <v>486.24106372759866</v>
      </c>
      <c r="BQ56" s="54">
        <v>499.08599942788112</v>
      </c>
      <c r="BR56" s="54">
        <v>481.97707792581122</v>
      </c>
      <c r="BS56" s="54">
        <v>360.73638582437286</v>
      </c>
      <c r="BT56" s="54">
        <v>362.20901648989877</v>
      </c>
      <c r="BU56" s="54">
        <v>482.32211912186409</v>
      </c>
      <c r="BV56" s="54">
        <v>552.98074214157714</v>
      </c>
      <c r="BW56" s="54">
        <v>554.78546822825047</v>
      </c>
      <c r="BX56" s="54">
        <v>506.08499569106135</v>
      </c>
    </row>
    <row r="57" spans="1:76" x14ac:dyDescent="0.3">
      <c r="A57" s="8" t="s">
        <v>102</v>
      </c>
      <c r="B57" s="8" t="s">
        <v>9</v>
      </c>
      <c r="C57" s="8" t="s">
        <v>108</v>
      </c>
      <c r="D57" s="8" t="s">
        <v>115</v>
      </c>
      <c r="E57" s="54">
        <v>519.49632646057364</v>
      </c>
      <c r="F57" s="54">
        <v>593.45874606534574</v>
      </c>
      <c r="G57" s="54">
        <v>579.31085396953415</v>
      </c>
      <c r="H57" s="54">
        <v>486.12886780465936</v>
      </c>
      <c r="I57" s="54">
        <v>584.47170215949802</v>
      </c>
      <c r="J57" s="54">
        <v>542.02827627837519</v>
      </c>
      <c r="K57" s="54">
        <v>540.83342566308249</v>
      </c>
      <c r="L57" s="54">
        <v>596.00137536738339</v>
      </c>
      <c r="M57" s="54">
        <v>579.10585594086035</v>
      </c>
      <c r="N57" s="54">
        <v>504.54323124551979</v>
      </c>
      <c r="O57" s="54">
        <v>585.01784336917524</v>
      </c>
      <c r="P57" s="54">
        <v>504.94998062724017</v>
      </c>
      <c r="Q57" s="54">
        <v>440.56097270609331</v>
      </c>
      <c r="R57" s="54">
        <v>484.71482504480304</v>
      </c>
      <c r="S57" s="54">
        <v>512.00256041653608</v>
      </c>
      <c r="T57" s="54">
        <v>403.49899982078853</v>
      </c>
      <c r="U57" s="54">
        <v>480.78124667562696</v>
      </c>
      <c r="V57" s="54">
        <v>522.66332195775453</v>
      </c>
      <c r="W57" s="54">
        <v>478.72250250896076</v>
      </c>
      <c r="X57" s="54">
        <v>519.93818068100347</v>
      </c>
      <c r="Y57" s="54">
        <v>533.88535493130212</v>
      </c>
      <c r="Z57" s="54">
        <v>547.78990538530456</v>
      </c>
      <c r="AA57" s="54">
        <v>606.76095156810004</v>
      </c>
      <c r="AB57" s="54">
        <v>531.17661650537661</v>
      </c>
      <c r="AC57" s="54">
        <v>479.49428097670244</v>
      </c>
      <c r="AD57" s="54">
        <v>520.5880993906809</v>
      </c>
      <c r="AE57" s="54">
        <v>494.13392666666664</v>
      </c>
      <c r="AF57" s="54">
        <v>587.522306191756</v>
      </c>
      <c r="AG57" s="54">
        <v>562.87861053212021</v>
      </c>
      <c r="AH57" s="54">
        <v>548.30647640680991</v>
      </c>
      <c r="AI57" s="54">
        <v>547.68465206093174</v>
      </c>
      <c r="AJ57" s="54">
        <v>579.81347639656917</v>
      </c>
      <c r="AK57" s="54">
        <v>518.17746482078883</v>
      </c>
      <c r="AL57" s="54">
        <v>539.10489706093199</v>
      </c>
      <c r="AM57" s="54">
        <v>528.87120222094165</v>
      </c>
      <c r="AN57" s="54">
        <v>507.07110605734761</v>
      </c>
      <c r="AO57" s="54">
        <v>536.649573969534</v>
      </c>
      <c r="AP57" s="54">
        <v>574.01564961523582</v>
      </c>
      <c r="AQ57" s="54">
        <v>476.28418819892437</v>
      </c>
      <c r="AR57" s="54">
        <v>499.85085412752596</v>
      </c>
      <c r="AS57" s="54">
        <v>518.96795491935484</v>
      </c>
      <c r="AT57" s="54">
        <v>495.7494572311827</v>
      </c>
      <c r="AU57" s="54">
        <v>671.99717167562721</v>
      </c>
      <c r="AV57" s="54">
        <v>668.20730641307625</v>
      </c>
      <c r="AW57" s="54">
        <v>547.5453336469534</v>
      </c>
      <c r="AX57" s="54">
        <v>601.11334320788569</v>
      </c>
      <c r="AY57" s="54">
        <v>588.61195652329741</v>
      </c>
      <c r="AZ57" s="54">
        <v>553.83268387096768</v>
      </c>
      <c r="BA57" s="54">
        <v>443.18772749103942</v>
      </c>
      <c r="BB57" s="54">
        <v>484.21384603942676</v>
      </c>
      <c r="BC57" s="54">
        <v>496.94339279185829</v>
      </c>
      <c r="BD57" s="54">
        <v>428.64272990143371</v>
      </c>
      <c r="BE57" s="54">
        <v>453.99078482078869</v>
      </c>
      <c r="BF57" s="54">
        <v>472.32068277777796</v>
      </c>
      <c r="BG57" s="54">
        <v>495.48296532258075</v>
      </c>
      <c r="BH57" s="54">
        <v>540.15133663978497</v>
      </c>
      <c r="BI57" s="54">
        <v>550.94271416595313</v>
      </c>
      <c r="BJ57" s="54">
        <v>547.77636541218635</v>
      </c>
      <c r="BK57" s="54">
        <v>612.17765197132644</v>
      </c>
      <c r="BL57" s="54">
        <v>537.93062507993136</v>
      </c>
      <c r="BM57" s="54">
        <v>542.2781106182797</v>
      </c>
      <c r="BN57" s="54">
        <v>598.39960570652795</v>
      </c>
      <c r="BO57" s="54">
        <v>579.9456682282613</v>
      </c>
      <c r="BP57" s="54">
        <v>395.21253627240151</v>
      </c>
      <c r="BQ57" s="54">
        <v>460.56180057211907</v>
      </c>
      <c r="BR57" s="54">
        <v>496.00235769062692</v>
      </c>
      <c r="BS57" s="54">
        <v>523.09601417562715</v>
      </c>
      <c r="BT57" s="54">
        <v>612.22038351010121</v>
      </c>
      <c r="BU57" s="54">
        <v>575.83108087813594</v>
      </c>
      <c r="BV57" s="54">
        <v>491.13865785842268</v>
      </c>
      <c r="BW57" s="54">
        <v>580.15313177174983</v>
      </c>
      <c r="BX57" s="54">
        <v>531.46415941097951</v>
      </c>
    </row>
    <row r="58" spans="1:76" x14ac:dyDescent="0.3">
      <c r="A58" s="8" t="s">
        <v>102</v>
      </c>
      <c r="B58" s="8" t="s">
        <v>9</v>
      </c>
      <c r="C58" s="8" t="s">
        <v>109</v>
      </c>
      <c r="D58" s="8" t="s">
        <v>110</v>
      </c>
      <c r="E58" s="54">
        <v>-26.419951344086368</v>
      </c>
      <c r="F58" s="54">
        <v>66.461015574259093</v>
      </c>
      <c r="G58" s="54">
        <v>207.70429327956984</v>
      </c>
      <c r="H58" s="54">
        <v>62.891392204300402</v>
      </c>
      <c r="I58" s="54">
        <v>147.74442930107523</v>
      </c>
      <c r="J58" s="54">
        <v>257.84524964157686</v>
      </c>
      <c r="K58" s="54">
        <v>36.991002150536964</v>
      </c>
      <c r="L58" s="54">
        <v>114.91975456989245</v>
      </c>
      <c r="M58" s="54">
        <v>224.59261048387091</v>
      </c>
      <c r="N58" s="54">
        <v>102.65932768817166</v>
      </c>
      <c r="O58" s="54">
        <v>147.68097849462359</v>
      </c>
      <c r="P58" s="54">
        <v>234.95617365591426</v>
      </c>
      <c r="Q58" s="54">
        <v>19.194026344086069</v>
      </c>
      <c r="R58" s="54">
        <v>114.54934811827921</v>
      </c>
      <c r="S58" s="54">
        <v>207.91777046664595</v>
      </c>
      <c r="T58" s="54">
        <v>83.195607526881489</v>
      </c>
      <c r="U58" s="54">
        <v>151.13651962365583</v>
      </c>
      <c r="V58" s="54">
        <v>259.74914573546283</v>
      </c>
      <c r="W58" s="54">
        <v>46.896494623655528</v>
      </c>
      <c r="X58" s="54">
        <v>135.90649139784927</v>
      </c>
      <c r="Y58" s="54">
        <v>253.40319955197123</v>
      </c>
      <c r="Z58" s="54">
        <v>196.05549381720388</v>
      </c>
      <c r="AA58" s="54">
        <v>297.70043413978487</v>
      </c>
      <c r="AB58" s="54">
        <v>294.9715467741936</v>
      </c>
      <c r="AC58" s="54">
        <v>48.563238978494574</v>
      </c>
      <c r="AD58" s="54">
        <v>137.31006559139746</v>
      </c>
      <c r="AE58" s="54">
        <v>239.53859999999995</v>
      </c>
      <c r="AF58" s="54">
        <v>53.994259946236632</v>
      </c>
      <c r="AG58" s="54">
        <v>59.439526881720163</v>
      </c>
      <c r="AH58" s="54">
        <v>140.55823091397835</v>
      </c>
      <c r="AI58" s="54">
        <v>51.787013440860122</v>
      </c>
      <c r="AJ58" s="54">
        <v>114.34237991551454</v>
      </c>
      <c r="AK58" s="54">
        <v>228.15575752688179</v>
      </c>
      <c r="AL58" s="54">
        <v>232.01096344086002</v>
      </c>
      <c r="AM58" s="54">
        <v>261.60333529185874</v>
      </c>
      <c r="AN58" s="54">
        <v>283.67146559139769</v>
      </c>
      <c r="AO58" s="54">
        <v>27.955493279569588</v>
      </c>
      <c r="AP58" s="54">
        <v>116.20885737210828</v>
      </c>
      <c r="AQ58" s="54">
        <v>175.99225564516118</v>
      </c>
      <c r="AR58" s="54">
        <v>14.11401701514281</v>
      </c>
      <c r="AS58" s="54">
        <v>15.835573387096735</v>
      </c>
      <c r="AT58" s="54">
        <v>77.748236290322353</v>
      </c>
      <c r="AU58" s="54">
        <v>-52.29673037634408</v>
      </c>
      <c r="AV58" s="54">
        <v>5.2388942871643973</v>
      </c>
      <c r="AW58" s="54">
        <v>92.775186827957043</v>
      </c>
      <c r="AX58" s="54">
        <v>-14.610974731182779</v>
      </c>
      <c r="AY58" s="54">
        <v>45.388386021505411</v>
      </c>
      <c r="AZ58" s="54">
        <v>135.16167741935493</v>
      </c>
      <c r="BA58" s="54">
        <v>24.866805376344114</v>
      </c>
      <c r="BB58" s="54">
        <v>113.46742634408568</v>
      </c>
      <c r="BC58" s="54">
        <v>206.78968559907807</v>
      </c>
      <c r="BD58" s="54">
        <v>137.49638413978448</v>
      </c>
      <c r="BE58" s="54">
        <v>150.42895752688167</v>
      </c>
      <c r="BF58" s="54">
        <v>255.64588333333327</v>
      </c>
      <c r="BG58" s="54">
        <v>39.765056451612438</v>
      </c>
      <c r="BH58" s="54">
        <v>136.23154112903202</v>
      </c>
      <c r="BI58" s="54">
        <v>258.99611901227536</v>
      </c>
      <c r="BJ58" s="54">
        <v>196.02625268817152</v>
      </c>
      <c r="BK58" s="54">
        <v>289.87981720430042</v>
      </c>
      <c r="BL58" s="54">
        <v>292.8616206251786</v>
      </c>
      <c r="BM58" s="54">
        <v>21.263754032257886</v>
      </c>
      <c r="BN58" s="54">
        <v>107.31273062886937</v>
      </c>
      <c r="BO58" s="54">
        <v>230.7542061938428</v>
      </c>
      <c r="BP58" s="54">
        <v>65.300036559139627</v>
      </c>
      <c r="BQ58" s="54">
        <v>150.77238627403068</v>
      </c>
      <c r="BR58" s="54">
        <v>244.12492877448798</v>
      </c>
      <c r="BS58" s="54">
        <v>-29.643555376344221</v>
      </c>
      <c r="BT58" s="54">
        <v>41.444501406926349</v>
      </c>
      <c r="BU58" s="54">
        <v>200.18932311827942</v>
      </c>
      <c r="BV58" s="54">
        <v>73.710609946236346</v>
      </c>
      <c r="BW58" s="54">
        <v>144.8813944176791</v>
      </c>
      <c r="BX58" s="54">
        <v>252.96927535110814</v>
      </c>
    </row>
    <row r="59" spans="1:76" x14ac:dyDescent="0.3">
      <c r="A59" s="8" t="s">
        <v>102</v>
      </c>
      <c r="B59" s="8" t="s">
        <v>9</v>
      </c>
      <c r="C59" s="8" t="s">
        <v>109</v>
      </c>
      <c r="D59" s="8" t="s">
        <v>115</v>
      </c>
      <c r="E59" s="54">
        <v>315.73525134408584</v>
      </c>
      <c r="F59" s="54">
        <v>266.43578442574102</v>
      </c>
      <c r="G59" s="54">
        <v>225.73800672043021</v>
      </c>
      <c r="H59" s="54">
        <v>298.88130779569912</v>
      </c>
      <c r="I59" s="54">
        <v>265.27567069892433</v>
      </c>
      <c r="J59" s="54">
        <v>212.79535035842278</v>
      </c>
      <c r="K59" s="54">
        <v>278.69539784946284</v>
      </c>
      <c r="L59" s="54">
        <v>234.77334543010753</v>
      </c>
      <c r="M59" s="54">
        <v>219.15168951612895</v>
      </c>
      <c r="N59" s="54">
        <v>272.84937231182818</v>
      </c>
      <c r="O59" s="54">
        <v>265.53102150537632</v>
      </c>
      <c r="P59" s="54">
        <v>233.17962634408573</v>
      </c>
      <c r="Q59" s="54">
        <v>309.11737365591387</v>
      </c>
      <c r="R59" s="54">
        <v>246.69815188172083</v>
      </c>
      <c r="S59" s="54">
        <v>242.17942953335393</v>
      </c>
      <c r="T59" s="54">
        <v>304.36239247311823</v>
      </c>
      <c r="U59" s="54">
        <v>276.912380376344</v>
      </c>
      <c r="V59" s="54">
        <v>215.67885426453714</v>
      </c>
      <c r="W59" s="54">
        <v>309.35150537634451</v>
      </c>
      <c r="X59" s="54">
        <v>251.08590860215085</v>
      </c>
      <c r="Y59" s="54">
        <v>216.94450044802883</v>
      </c>
      <c r="Z59" s="54">
        <v>211.71260618279609</v>
      </c>
      <c r="AA59" s="54">
        <v>149.59906586021509</v>
      </c>
      <c r="AB59" s="54">
        <v>194.21265322580638</v>
      </c>
      <c r="AC59" s="54">
        <v>308.26046102150542</v>
      </c>
      <c r="AD59" s="54">
        <v>250.16713440860249</v>
      </c>
      <c r="AE59" s="54">
        <v>232.8190000000001</v>
      </c>
      <c r="AF59" s="54">
        <v>132.00684005376328</v>
      </c>
      <c r="AG59" s="54">
        <v>160.9924731182798</v>
      </c>
      <c r="AH59" s="54">
        <v>118.52646908602161</v>
      </c>
      <c r="AI59" s="54">
        <v>269.00998655913975</v>
      </c>
      <c r="AJ59" s="54">
        <v>244.27912008448538</v>
      </c>
      <c r="AK59" s="54">
        <v>226.60764247311803</v>
      </c>
      <c r="AL59" s="54">
        <v>169.80823655914003</v>
      </c>
      <c r="AM59" s="54">
        <v>172.18236470814131</v>
      </c>
      <c r="AN59" s="54">
        <v>197.77613440860219</v>
      </c>
      <c r="AO59" s="54">
        <v>284.61000672043048</v>
      </c>
      <c r="AP59" s="54">
        <v>233.28224262789155</v>
      </c>
      <c r="AQ59" s="54">
        <v>267.34804435483881</v>
      </c>
      <c r="AR59" s="54">
        <v>141.18308298485715</v>
      </c>
      <c r="AS59" s="54">
        <v>171.35732661290314</v>
      </c>
      <c r="AT59" s="54">
        <v>159.72246370967758</v>
      </c>
      <c r="AU59" s="54">
        <v>170.7086303763441</v>
      </c>
      <c r="AV59" s="54">
        <v>142.01860571283552</v>
      </c>
      <c r="AW59" s="54">
        <v>137.90831317204288</v>
      </c>
      <c r="AX59" s="54">
        <v>187.59317473118276</v>
      </c>
      <c r="AY59" s="54">
        <v>160.78241397849459</v>
      </c>
      <c r="AZ59" s="54">
        <v>117.59032258064505</v>
      </c>
      <c r="BA59" s="54">
        <v>305.40399462365599</v>
      </c>
      <c r="BB59" s="54">
        <v>247.40637365591422</v>
      </c>
      <c r="BC59" s="54">
        <v>245.88301440092187</v>
      </c>
      <c r="BD59" s="54">
        <v>268.81731586021539</v>
      </c>
      <c r="BE59" s="54">
        <v>290.92164247311825</v>
      </c>
      <c r="BF59" s="54">
        <v>228.24591666666683</v>
      </c>
      <c r="BG59" s="54">
        <v>302.84794354838749</v>
      </c>
      <c r="BH59" s="54">
        <v>239.70135887096799</v>
      </c>
      <c r="BI59" s="54">
        <v>204.31061019126463</v>
      </c>
      <c r="BJ59" s="54">
        <v>211.73174731182831</v>
      </c>
      <c r="BK59" s="54">
        <v>158.07618279569945</v>
      </c>
      <c r="BL59" s="54">
        <v>190.8269085783615</v>
      </c>
      <c r="BM59" s="54">
        <v>284.1307459677418</v>
      </c>
      <c r="BN59" s="54">
        <v>239.56246937113067</v>
      </c>
      <c r="BO59" s="54">
        <v>212.69719380615703</v>
      </c>
      <c r="BP59" s="54">
        <v>316.0767634408603</v>
      </c>
      <c r="BQ59" s="54">
        <v>269.70151372596928</v>
      </c>
      <c r="BR59" s="54">
        <v>229.86887122551192</v>
      </c>
      <c r="BS59" s="54">
        <v>315.00975537634423</v>
      </c>
      <c r="BT59" s="54">
        <v>289.22019859307358</v>
      </c>
      <c r="BU59" s="54">
        <v>230.65727688172055</v>
      </c>
      <c r="BV59" s="54">
        <v>291.79909005376345</v>
      </c>
      <c r="BW59" s="54">
        <v>266.03790558232078</v>
      </c>
      <c r="BX59" s="54">
        <v>217.68142464889161</v>
      </c>
    </row>
    <row r="60" spans="1:76" x14ac:dyDescent="0.3">
      <c r="A60" s="8" t="s">
        <v>102</v>
      </c>
      <c r="B60" s="8" t="s">
        <v>9</v>
      </c>
      <c r="C60" s="8" t="s">
        <v>110</v>
      </c>
      <c r="D60" s="8" t="s">
        <v>111</v>
      </c>
      <c r="E60" s="54">
        <v>283.98220542114717</v>
      </c>
      <c r="F60" s="54">
        <v>167.14943213069157</v>
      </c>
      <c r="G60" s="54">
        <v>114.66373543906805</v>
      </c>
      <c r="H60" s="54">
        <v>337.22858310931935</v>
      </c>
      <c r="I60" s="54">
        <v>222.58629681899643</v>
      </c>
      <c r="J60" s="54">
        <v>106.54557422341703</v>
      </c>
      <c r="K60" s="54">
        <v>226.61197132616562</v>
      </c>
      <c r="L60" s="54">
        <v>130.35716823476707</v>
      </c>
      <c r="M60" s="54">
        <v>111.82908938172042</v>
      </c>
      <c r="N60" s="54">
        <v>290.61110999103954</v>
      </c>
      <c r="O60" s="54">
        <v>222.51278673835117</v>
      </c>
      <c r="P60" s="54">
        <v>137.09897625447996</v>
      </c>
      <c r="Q60" s="54">
        <v>260.4101904121863</v>
      </c>
      <c r="R60" s="54">
        <v>148.63108758960598</v>
      </c>
      <c r="S60" s="54">
        <v>139.72268908549935</v>
      </c>
      <c r="T60" s="54">
        <v>326.36314964157731</v>
      </c>
      <c r="U60" s="54">
        <v>234.94542585125421</v>
      </c>
      <c r="V60" s="54">
        <v>107.15960216793707</v>
      </c>
      <c r="W60" s="54">
        <v>355.97840501792132</v>
      </c>
      <c r="X60" s="54">
        <v>251.63753136200717</v>
      </c>
      <c r="Y60" s="54">
        <v>112.60816569593813</v>
      </c>
      <c r="Z60" s="54">
        <v>181.12860327060955</v>
      </c>
      <c r="AA60" s="54">
        <v>58.917440636200524</v>
      </c>
      <c r="AB60" s="54">
        <v>66.966418010752648</v>
      </c>
      <c r="AC60" s="54">
        <v>354.02458445340488</v>
      </c>
      <c r="AD60" s="54">
        <v>249.99220878136219</v>
      </c>
      <c r="AE60" s="54">
        <v>133.54583333333346</v>
      </c>
      <c r="AF60" s="54">
        <v>178.98792988351263</v>
      </c>
      <c r="AG60" s="54">
        <v>170.9598979873177</v>
      </c>
      <c r="AH60" s="54">
        <v>83.197400313620221</v>
      </c>
      <c r="AI60" s="54">
        <v>209.26752912186353</v>
      </c>
      <c r="AJ60" s="54">
        <v>132.08232315028155</v>
      </c>
      <c r="AK60" s="54">
        <v>99.807274641576569</v>
      </c>
      <c r="AL60" s="54">
        <v>10.93815412186383</v>
      </c>
      <c r="AM60" s="54">
        <v>-23.797540200972801</v>
      </c>
      <c r="AN60" s="54">
        <v>39.90404211469523</v>
      </c>
      <c r="AO60" s="54">
        <v>237.20373543906814</v>
      </c>
      <c r="AP60" s="54">
        <v>133.08289097290128</v>
      </c>
      <c r="AQ60" s="54">
        <v>180.08965389784959</v>
      </c>
      <c r="AR60" s="54">
        <v>105.38047760684988</v>
      </c>
      <c r="AS60" s="54">
        <v>96.70804233870966</v>
      </c>
      <c r="AT60" s="54">
        <v>133.8044119623658</v>
      </c>
      <c r="AU60" s="54">
        <v>108.1420508512545</v>
      </c>
      <c r="AV60" s="54">
        <v>60.436770955522803</v>
      </c>
      <c r="AW60" s="54">
        <v>94.052404793906746</v>
      </c>
      <c r="AX60" s="54">
        <v>207.98462141577056</v>
      </c>
      <c r="AY60" s="54">
        <v>167.06510304659506</v>
      </c>
      <c r="AZ60" s="54">
        <v>72.560967741935428</v>
      </c>
      <c r="BA60" s="54">
        <v>253.76034498207889</v>
      </c>
      <c r="BB60" s="54">
        <v>149.89935707885326</v>
      </c>
      <c r="BC60" s="54">
        <v>143.08836165514626</v>
      </c>
      <c r="BD60" s="54">
        <v>262.70973230286774</v>
      </c>
      <c r="BE60" s="54">
        <v>237.84627464157703</v>
      </c>
      <c r="BF60" s="54">
        <v>118.77868055555562</v>
      </c>
      <c r="BG60" s="54">
        <v>321.93195564516185</v>
      </c>
      <c r="BH60" s="54">
        <v>208.85030577957008</v>
      </c>
      <c r="BI60" s="54">
        <v>85.12190505756989</v>
      </c>
      <c r="BJ60" s="54">
        <v>181.16288082437305</v>
      </c>
      <c r="BK60" s="54">
        <v>65.762603942652873</v>
      </c>
      <c r="BL60" s="54">
        <v>65.291091885526725</v>
      </c>
      <c r="BM60" s="54">
        <v>226.60163373655905</v>
      </c>
      <c r="BN60" s="54">
        <v>121.82917141305516</v>
      </c>
      <c r="BO60" s="54">
        <v>89.054744470221763</v>
      </c>
      <c r="BP60" s="54">
        <v>347.34101254480288</v>
      </c>
      <c r="BQ60" s="54">
        <v>240.524658644238</v>
      </c>
      <c r="BR60" s="54">
        <v>128.20544339495265</v>
      </c>
      <c r="BS60" s="54">
        <v>276.99736335125459</v>
      </c>
      <c r="BT60" s="54">
        <v>178.94671452020171</v>
      </c>
      <c r="BU60" s="54">
        <v>123.4730667562729</v>
      </c>
      <c r="BV60" s="54">
        <v>324.54588821684615</v>
      </c>
      <c r="BW60" s="54">
        <v>226.71151604349939</v>
      </c>
      <c r="BX60" s="54">
        <v>113.42890815869366</v>
      </c>
    </row>
    <row r="61" spans="1:76" x14ac:dyDescent="0.3">
      <c r="A61" s="8" t="s">
        <v>102</v>
      </c>
      <c r="B61" s="8" t="s">
        <v>9</v>
      </c>
      <c r="C61" s="8" t="s">
        <v>110</v>
      </c>
      <c r="D61" s="8" t="s">
        <v>115</v>
      </c>
      <c r="E61" s="54">
        <v>223.70014323476715</v>
      </c>
      <c r="F61" s="54">
        <v>144.39334849669783</v>
      </c>
      <c r="G61" s="54">
        <v>46.63985784050184</v>
      </c>
      <c r="H61" s="54">
        <v>167.80850909498258</v>
      </c>
      <c r="I61" s="54">
        <v>102.97823248207871</v>
      </c>
      <c r="J61" s="54">
        <v>12.940942084826768</v>
      </c>
      <c r="K61" s="54">
        <v>167.30143082437343</v>
      </c>
      <c r="L61" s="54">
        <v>99.055686335125401</v>
      </c>
      <c r="M61" s="54">
        <v>33.804821102150548</v>
      </c>
      <c r="N61" s="54">
        <v>130.56991769713301</v>
      </c>
      <c r="O61" s="54">
        <v>103.18019175627246</v>
      </c>
      <c r="P61" s="54">
        <v>37.974997401433399</v>
      </c>
      <c r="Q61" s="54">
        <v>196.48123593189959</v>
      </c>
      <c r="R61" s="54">
        <v>107.19076052867426</v>
      </c>
      <c r="S61" s="54">
        <v>57.494067788913085</v>
      </c>
      <c r="T61" s="54">
        <v>161.31045788530486</v>
      </c>
      <c r="U61" s="54">
        <v>109.03999377240147</v>
      </c>
      <c r="V61" s="54">
        <v>13.911329975293318</v>
      </c>
      <c r="W61" s="54">
        <v>182.78608960573516</v>
      </c>
      <c r="X61" s="54">
        <v>99.437360035842588</v>
      </c>
      <c r="Y61" s="54">
        <v>17.928067189367013</v>
      </c>
      <c r="Z61" s="54">
        <v>43.113990546595375</v>
      </c>
      <c r="AA61" s="54">
        <v>-49.117506496415771</v>
      </c>
      <c r="AB61" s="54">
        <v>-18.010671236559194</v>
      </c>
      <c r="AC61" s="54">
        <v>181.2253545250897</v>
      </c>
      <c r="AD61" s="54">
        <v>98.123056810036303</v>
      </c>
      <c r="AE61" s="54">
        <v>35.443366666666698</v>
      </c>
      <c r="AF61" s="54">
        <v>61.007430062723913</v>
      </c>
      <c r="AG61" s="54">
        <v>77.608551971326548</v>
      </c>
      <c r="AH61" s="54">
        <v>8.7385306003585619</v>
      </c>
      <c r="AI61" s="54">
        <v>153.44648431899654</v>
      </c>
      <c r="AJ61" s="54">
        <v>105.68155676523294</v>
      </c>
      <c r="AK61" s="54">
        <v>36.993882885304473</v>
      </c>
      <c r="AL61" s="54">
        <v>-2.7999906810033393</v>
      </c>
      <c r="AM61" s="54">
        <v>-16.013424507168583</v>
      </c>
      <c r="AN61" s="54">
        <v>-9.9849765232974406</v>
      </c>
      <c r="AO61" s="54">
        <v>175.76225784050214</v>
      </c>
      <c r="AP61" s="54">
        <v>97.417066399207002</v>
      </c>
      <c r="AQ61" s="54">
        <v>90.235901747311999</v>
      </c>
      <c r="AR61" s="54">
        <v>87.065046815666733</v>
      </c>
      <c r="AS61" s="54">
        <v>106.32043104838706</v>
      </c>
      <c r="AT61" s="54">
        <v>67.607524327957137</v>
      </c>
      <c r="AU61" s="54">
        <v>139.9541187724015</v>
      </c>
      <c r="AV61" s="54">
        <v>92.059623331641532</v>
      </c>
      <c r="AW61" s="54">
        <v>45.551282034050125</v>
      </c>
      <c r="AX61" s="54">
        <v>132.36760385304657</v>
      </c>
      <c r="AY61" s="54">
        <v>84.494082974910455</v>
      </c>
      <c r="AZ61" s="54">
        <v>10.812709677419207</v>
      </c>
      <c r="BA61" s="54">
        <v>191.16926039426519</v>
      </c>
      <c r="BB61" s="54">
        <v>108.20386926523329</v>
      </c>
      <c r="BC61" s="54">
        <v>60.527166801075502</v>
      </c>
      <c r="BD61" s="54">
        <v>110.46335183691802</v>
      </c>
      <c r="BE61" s="54">
        <v>118.73328288530472</v>
      </c>
      <c r="BF61" s="54">
        <v>24.341002777777952</v>
      </c>
      <c r="BG61" s="54">
        <v>182.01610080645213</v>
      </c>
      <c r="BH61" s="54">
        <v>91.685135349462769</v>
      </c>
      <c r="BI61" s="54">
        <v>6.7090139547054672</v>
      </c>
      <c r="BJ61" s="54">
        <v>43.141371863799741</v>
      </c>
      <c r="BK61" s="54">
        <v>-39.555786738350584</v>
      </c>
      <c r="BL61" s="54">
        <v>-19.212871260348319</v>
      </c>
      <c r="BM61" s="54">
        <v>178.78862029569896</v>
      </c>
      <c r="BN61" s="54">
        <v>106.05194759965242</v>
      </c>
      <c r="BO61" s="54">
        <v>26.42102610718333</v>
      </c>
      <c r="BP61" s="54">
        <v>178.06782401433708</v>
      </c>
      <c r="BQ61" s="54">
        <v>104.4148160136309</v>
      </c>
      <c r="BR61" s="54">
        <v>31.183449763097283</v>
      </c>
      <c r="BS61" s="54">
        <v>224.82828127240163</v>
      </c>
      <c r="BT61" s="54">
        <v>172.0912150252525</v>
      </c>
      <c r="BU61" s="54">
        <v>53.676856362007477</v>
      </c>
      <c r="BV61" s="54">
        <v>157.6774217293908</v>
      </c>
      <c r="BW61" s="54">
        <v>104.91790651270772</v>
      </c>
      <c r="BX61" s="54">
        <v>18.636312090373753</v>
      </c>
    </row>
    <row r="62" spans="1:76" x14ac:dyDescent="0.3">
      <c r="A62" s="8" t="s">
        <v>102</v>
      </c>
      <c r="B62" s="8" t="s">
        <v>9</v>
      </c>
      <c r="C62" s="8" t="s">
        <v>111</v>
      </c>
      <c r="D62" s="8" t="s">
        <v>112</v>
      </c>
      <c r="E62" s="54">
        <v>445.8846999999999</v>
      </c>
      <c r="F62" s="54">
        <v>402.30319999999995</v>
      </c>
      <c r="G62" s="54">
        <v>301.7577</v>
      </c>
      <c r="H62" s="54">
        <v>373.42730000000012</v>
      </c>
      <c r="I62" s="54">
        <v>322.17990000000009</v>
      </c>
      <c r="J62" s="54">
        <v>264.55939999999998</v>
      </c>
      <c r="K62" s="54">
        <v>419.51360000000017</v>
      </c>
      <c r="L62" s="54">
        <v>385.50689999999997</v>
      </c>
      <c r="M62" s="54">
        <v>291.45569999999998</v>
      </c>
      <c r="N62" s="54">
        <v>359.69129999999996</v>
      </c>
      <c r="O62" s="54">
        <v>321.98799999999994</v>
      </c>
      <c r="P62" s="54">
        <v>267.06419999999986</v>
      </c>
      <c r="Q62" s="54">
        <v>406.88860000000005</v>
      </c>
      <c r="R62" s="54">
        <v>373.95249999999993</v>
      </c>
      <c r="S62" s="54">
        <v>285.1028</v>
      </c>
      <c r="T62" s="54">
        <v>347.642</v>
      </c>
      <c r="U62" s="54">
        <v>307.15109999999999</v>
      </c>
      <c r="V62" s="54">
        <v>259.77200000000011</v>
      </c>
      <c r="W62" s="54">
        <v>378.95199999999994</v>
      </c>
      <c r="X62" s="54">
        <v>348.20760000000007</v>
      </c>
      <c r="Y62" s="54">
        <v>264.85230000000001</v>
      </c>
      <c r="Z62" s="54">
        <v>327.4319000000001</v>
      </c>
      <c r="AA62" s="54">
        <v>287.90049999999991</v>
      </c>
      <c r="AB62" s="54">
        <v>246.01580000000013</v>
      </c>
      <c r="AC62" s="54">
        <v>378.37630000000001</v>
      </c>
      <c r="AD62" s="54">
        <v>347.72280000000012</v>
      </c>
      <c r="AE62" s="54">
        <v>262.84240000000005</v>
      </c>
      <c r="AF62" s="54">
        <v>313.99890000000011</v>
      </c>
      <c r="AG62" s="54">
        <v>279.56800000000004</v>
      </c>
      <c r="AH62" s="54">
        <v>240.91529999999995</v>
      </c>
      <c r="AI62" s="54">
        <v>414.40300000000008</v>
      </c>
      <c r="AJ62" s="54">
        <v>376.57850000000013</v>
      </c>
      <c r="AK62" s="54">
        <v>280.43660000000006</v>
      </c>
      <c r="AL62" s="54">
        <v>333.38080000000002</v>
      </c>
      <c r="AM62" s="54">
        <v>301.41430000000003</v>
      </c>
      <c r="AN62" s="54">
        <v>253.75239999999999</v>
      </c>
      <c r="AO62" s="54">
        <v>422.6345</v>
      </c>
      <c r="AP62" s="54">
        <v>385.70890000000003</v>
      </c>
      <c r="AQ62" s="54">
        <v>291.85970000000003</v>
      </c>
      <c r="AR62" s="54">
        <v>344.70289999999994</v>
      </c>
      <c r="AS62" s="54">
        <v>312.8071000000001</v>
      </c>
      <c r="AT62" s="54">
        <v>262.52929999999998</v>
      </c>
      <c r="AU62" s="54">
        <v>381.58809999999988</v>
      </c>
      <c r="AV62" s="54">
        <v>352.74249999999995</v>
      </c>
      <c r="AW62" s="54">
        <v>269.31649999999996</v>
      </c>
      <c r="AX62" s="54">
        <v>327.01780000000014</v>
      </c>
      <c r="AY62" s="54">
        <v>293.82920000000001</v>
      </c>
      <c r="AZ62" s="54">
        <v>247.24800000000013</v>
      </c>
      <c r="BA62" s="54">
        <v>404.92919999999998</v>
      </c>
      <c r="BB62" s="54">
        <v>374.32620000000003</v>
      </c>
      <c r="BC62" s="54">
        <v>282.52730000000014</v>
      </c>
      <c r="BD62" s="54">
        <v>328.88629999999995</v>
      </c>
      <c r="BE62" s="54">
        <v>293.84940000000006</v>
      </c>
      <c r="BF62" s="54">
        <v>251.30819999999997</v>
      </c>
      <c r="BG62" s="54">
        <v>392.58700000000005</v>
      </c>
      <c r="BH62" s="54">
        <v>359.26710000000008</v>
      </c>
      <c r="BI62" s="54">
        <v>267.16519999999997</v>
      </c>
      <c r="BJ62" s="54">
        <v>327.44200000000001</v>
      </c>
      <c r="BK62" s="54">
        <v>287.24400000000003</v>
      </c>
      <c r="BL62" s="54">
        <v>246.78339999999997</v>
      </c>
      <c r="BM62" s="54">
        <v>429.80550000000005</v>
      </c>
      <c r="BN62" s="54">
        <v>388.32480000000015</v>
      </c>
      <c r="BO62" s="54">
        <v>291.74860000000001</v>
      </c>
      <c r="BP62" s="54">
        <v>353.8232000000001</v>
      </c>
      <c r="BQ62" s="54">
        <v>314.72609999999992</v>
      </c>
      <c r="BR62" s="54">
        <v>261.20619999999997</v>
      </c>
      <c r="BS62" s="54">
        <v>449.83380000000017</v>
      </c>
      <c r="BT62" s="54">
        <v>404.53530000000006</v>
      </c>
      <c r="BU62" s="54">
        <v>304.35340000000008</v>
      </c>
      <c r="BV62" s="54">
        <v>369.69030000000004</v>
      </c>
      <c r="BW62" s="54">
        <v>324.28069999999985</v>
      </c>
      <c r="BX62" s="54">
        <v>264.54930000000007</v>
      </c>
    </row>
    <row r="63" spans="1:76" x14ac:dyDescent="0.3">
      <c r="A63" s="8" t="s">
        <v>102</v>
      </c>
      <c r="B63" s="8" t="s">
        <v>9</v>
      </c>
      <c r="C63" s="8" t="s">
        <v>111</v>
      </c>
      <c r="D63" s="8" t="s">
        <v>115</v>
      </c>
      <c r="E63" s="54">
        <v>-9.7137709621415436</v>
      </c>
      <c r="F63" s="54">
        <v>3.8266162908411339</v>
      </c>
      <c r="G63" s="54">
        <v>-36.684941269041204</v>
      </c>
      <c r="H63" s="54">
        <v>-84.911482622087803</v>
      </c>
      <c r="I63" s="54">
        <v>-61.882761150313655</v>
      </c>
      <c r="J63" s="54">
        <v>-56.885277326015562</v>
      </c>
      <c r="K63" s="54">
        <v>-16.156408960573355</v>
      </c>
      <c r="L63" s="54">
        <v>-7.1814653953853336</v>
      </c>
      <c r="M63" s="54">
        <v>-44.539565036962323</v>
      </c>
      <c r="N63" s="54">
        <v>-83.704505471550178</v>
      </c>
      <c r="O63" s="54">
        <v>-61.685347894265384</v>
      </c>
      <c r="P63" s="54">
        <v>-57.205612107974922</v>
      </c>
      <c r="Q63" s="54">
        <v>-15.39544205869181</v>
      </c>
      <c r="R63" s="54">
        <v>-12.501359346998143</v>
      </c>
      <c r="S63" s="54">
        <v>-44.206129836752318</v>
      </c>
      <c r="T63" s="54">
        <v>-82.994125112007211</v>
      </c>
      <c r="U63" s="54">
        <v>-65.060895827733106</v>
      </c>
      <c r="V63" s="54">
        <v>-56.541253873490625</v>
      </c>
      <c r="W63" s="54">
        <v>-85.396935931899563</v>
      </c>
      <c r="X63" s="54">
        <v>-82.695437074372663</v>
      </c>
      <c r="Y63" s="54">
        <v>-56.934053167936092</v>
      </c>
      <c r="Z63" s="54">
        <v>-80.869884134184616</v>
      </c>
      <c r="AA63" s="54">
        <v>-73.661530269937273</v>
      </c>
      <c r="AB63" s="54">
        <v>-55.362014684139815</v>
      </c>
      <c r="AC63" s="54">
        <v>-85.346349389560984</v>
      </c>
      <c r="AD63" s="54">
        <v>-82.652837880824336</v>
      </c>
      <c r="AE63" s="54">
        <v>-56.883620833333318</v>
      </c>
      <c r="AF63" s="54">
        <v>-66.11188363015242</v>
      </c>
      <c r="AG63" s="54">
        <v>-48.64352226357871</v>
      </c>
      <c r="AH63" s="54">
        <v>-45.444477245743741</v>
      </c>
      <c r="AI63" s="54">
        <v>-15.707342461917628</v>
      </c>
      <c r="AJ63" s="54">
        <v>-3.2902843950013416</v>
      </c>
      <c r="AK63" s="54">
        <v>-34.634134487007032</v>
      </c>
      <c r="AL63" s="54">
        <v>-8.9363393369175093</v>
      </c>
      <c r="AM63" s="54">
        <v>2.8633942452316319</v>
      </c>
      <c r="AN63" s="54">
        <v>-32.428758714157624</v>
      </c>
      <c r="AO63" s="54">
        <v>-16.430641269041146</v>
      </c>
      <c r="AP63" s="54">
        <v>-10.114007058658171</v>
      </c>
      <c r="AQ63" s="54">
        <v>-44.879107375672021</v>
      </c>
      <c r="AR63" s="54">
        <v>-0.56401339253109306</v>
      </c>
      <c r="AS63" s="54">
        <v>19.297796824596759</v>
      </c>
      <c r="AT63" s="54">
        <v>-32.922114230510722</v>
      </c>
      <c r="AU63" s="54">
        <v>37.376807297267</v>
      </c>
      <c r="AV63" s="54">
        <v>31.271735651529408</v>
      </c>
      <c r="AW63" s="54">
        <v>-24.619291470654115</v>
      </c>
      <c r="AX63" s="54">
        <v>-30.714685495071727</v>
      </c>
      <c r="AY63" s="54">
        <v>-41.045127172939068</v>
      </c>
      <c r="AZ63" s="54">
        <v>-37.241072580645131</v>
      </c>
      <c r="BA63" s="54">
        <v>-15.223270318100335</v>
      </c>
      <c r="BB63" s="54">
        <v>-12.53419622535834</v>
      </c>
      <c r="BC63" s="54">
        <v>-44.034850933659776</v>
      </c>
      <c r="BD63" s="54">
        <v>-81.346068811603885</v>
      </c>
      <c r="BE63" s="54">
        <v>-59.603959487007138</v>
      </c>
      <c r="BF63" s="54">
        <v>-55.980923263888812</v>
      </c>
      <c r="BG63" s="54">
        <v>-64.695396673386966</v>
      </c>
      <c r="BH63" s="54">
        <v>-61.7675896001344</v>
      </c>
      <c r="BI63" s="54">
        <v>-48.1694301949519</v>
      </c>
      <c r="BJ63" s="54">
        <v>-80.870771617383539</v>
      </c>
      <c r="BK63" s="54">
        <v>-70.768467517920982</v>
      </c>
      <c r="BL63" s="54">
        <v>-55.21658587371536</v>
      </c>
      <c r="BM63" s="54">
        <v>-7.5345558635752097</v>
      </c>
      <c r="BN63" s="54">
        <v>3.3957285665797698</v>
      </c>
      <c r="BO63" s="54">
        <v>-35.843445713500955</v>
      </c>
      <c r="BP63" s="54">
        <v>-83.537264829749105</v>
      </c>
      <c r="BQ63" s="54">
        <v>-72.016799642425696</v>
      </c>
      <c r="BR63" s="54">
        <v>-56.740814799522418</v>
      </c>
      <c r="BS63" s="54">
        <v>-4.5021411402330624</v>
      </c>
      <c r="BT63" s="54">
        <v>17.226714693813317</v>
      </c>
      <c r="BU63" s="54">
        <v>-36.913024451165064</v>
      </c>
      <c r="BV63" s="54">
        <v>-84.583113838485602</v>
      </c>
      <c r="BW63" s="54">
        <v>-63.006267642656375</v>
      </c>
      <c r="BX63" s="54">
        <v>-56.915833531403173</v>
      </c>
    </row>
    <row r="64" spans="1:76" x14ac:dyDescent="0.3">
      <c r="A64" s="8" t="s">
        <v>102</v>
      </c>
      <c r="B64" s="8" t="s">
        <v>9</v>
      </c>
      <c r="C64" s="8" t="s">
        <v>111</v>
      </c>
      <c r="D64" s="8" t="s">
        <v>118</v>
      </c>
      <c r="E64" s="54">
        <v>334.32084992271507</v>
      </c>
      <c r="F64" s="54">
        <v>304.31126977450475</v>
      </c>
      <c r="G64" s="54">
        <v>192.02702273857531</v>
      </c>
      <c r="H64" s="54">
        <v>225.80199792674739</v>
      </c>
      <c r="I64" s="54">
        <v>194.77775580981182</v>
      </c>
      <c r="J64" s="54">
        <v>147.35830860439091</v>
      </c>
      <c r="K64" s="54">
        <v>307.38055462365611</v>
      </c>
      <c r="L64" s="54">
        <v>283.00965826276882</v>
      </c>
      <c r="M64" s="54">
        <v>178.29999847782253</v>
      </c>
      <c r="N64" s="54">
        <v>214.50718421707003</v>
      </c>
      <c r="O64" s="54">
        <v>194.72829126344081</v>
      </c>
      <c r="P64" s="54">
        <v>149.357807735215</v>
      </c>
      <c r="Q64" s="54">
        <v>296.79025976478488</v>
      </c>
      <c r="R64" s="54">
        <v>269.70762189180107</v>
      </c>
      <c r="S64" s="54">
        <v>172.94127209794851</v>
      </c>
      <c r="T64" s="54">
        <v>204.39027493279571</v>
      </c>
      <c r="U64" s="54">
        <v>179.72067500336018</v>
      </c>
      <c r="V64" s="54">
        <v>143.37574767590598</v>
      </c>
      <c r="W64" s="54">
        <v>230.34483844086017</v>
      </c>
      <c r="X64" s="54">
        <v>205.0643877553764</v>
      </c>
      <c r="Y64" s="54">
        <v>147.58533059923852</v>
      </c>
      <c r="Z64" s="54">
        <v>187.98098201948932</v>
      </c>
      <c r="AA64" s="54">
        <v>157.7160193380376</v>
      </c>
      <c r="AB64" s="54">
        <v>132.04661618951619</v>
      </c>
      <c r="AC64" s="54">
        <v>229.87145286626352</v>
      </c>
      <c r="AD64" s="54">
        <v>204.66574727150544</v>
      </c>
      <c r="AE64" s="54">
        <v>145.85692750000001</v>
      </c>
      <c r="AF64" s="54">
        <v>185.08190732190866</v>
      </c>
      <c r="AG64" s="54">
        <v>165.43588664185305</v>
      </c>
      <c r="AH64" s="54">
        <v>133.53420115255378</v>
      </c>
      <c r="AI64" s="54">
        <v>303.17821952284942</v>
      </c>
      <c r="AJ64" s="54">
        <v>277.53201686299934</v>
      </c>
      <c r="AK64" s="54">
        <v>174.60154430779585</v>
      </c>
      <c r="AL64" s="54">
        <v>236.34639639784959</v>
      </c>
      <c r="AM64" s="54">
        <v>215.45554904713904</v>
      </c>
      <c r="AN64" s="54">
        <v>152.57609477150547</v>
      </c>
      <c r="AO64" s="54">
        <v>309.94680273857523</v>
      </c>
      <c r="AP64" s="54">
        <v>281.42688326480527</v>
      </c>
      <c r="AQ64" s="54">
        <v>178.44977307459675</v>
      </c>
      <c r="AR64" s="54">
        <v>251.27662946448126</v>
      </c>
      <c r="AS64" s="54">
        <v>235.28489059475842</v>
      </c>
      <c r="AT64" s="54">
        <v>159.95986896169356</v>
      </c>
      <c r="AU64" s="54">
        <v>306.31567187836015</v>
      </c>
      <c r="AV64" s="54">
        <v>277.41272889091761</v>
      </c>
      <c r="AW64" s="54">
        <v>170.88036261760752</v>
      </c>
      <c r="AX64" s="54">
        <v>217.71176370295709</v>
      </c>
      <c r="AY64" s="54">
        <v>182.47347369623668</v>
      </c>
      <c r="AZ64" s="54">
        <v>143.99735645161283</v>
      </c>
      <c r="BA64" s="54">
        <v>295.17908780913984</v>
      </c>
      <c r="BB64" s="54">
        <v>270.01490726478505</v>
      </c>
      <c r="BC64" s="54">
        <v>170.79047693980431</v>
      </c>
      <c r="BD64" s="54">
        <v>188.96787121303771</v>
      </c>
      <c r="BE64" s="54">
        <v>171.35584930779578</v>
      </c>
      <c r="BF64" s="54">
        <v>136.3061210416665</v>
      </c>
      <c r="BG64" s="54">
        <v>254.69638699596774</v>
      </c>
      <c r="BH64" s="54">
        <v>227.29815873991944</v>
      </c>
      <c r="BI64" s="54">
        <v>154.86789188302885</v>
      </c>
      <c r="BJ64" s="54">
        <v>187.98928702956997</v>
      </c>
      <c r="BK64" s="54">
        <v>158.87741948924739</v>
      </c>
      <c r="BL64" s="54">
        <v>132.8055234757708</v>
      </c>
      <c r="BM64" s="54">
        <v>321.55907898185501</v>
      </c>
      <c r="BN64" s="54">
        <v>291.821637139948</v>
      </c>
      <c r="BO64" s="54">
        <v>183.77395757189953</v>
      </c>
      <c r="BP64" s="54">
        <v>209.47294110215054</v>
      </c>
      <c r="BQ64" s="54">
        <v>182.17525771454456</v>
      </c>
      <c r="BR64" s="54">
        <v>144.51093612028654</v>
      </c>
      <c r="BS64" s="54">
        <v>340.90329031586043</v>
      </c>
      <c r="BT64" s="54">
        <v>314.30441631628804</v>
      </c>
      <c r="BU64" s="54">
        <v>194.16141032930113</v>
      </c>
      <c r="BV64" s="54">
        <v>222.72914419690858</v>
      </c>
      <c r="BW64" s="54">
        <v>195.94185191440616</v>
      </c>
      <c r="BX64" s="54">
        <v>147.3311373811581</v>
      </c>
    </row>
    <row r="65" spans="1:76" x14ac:dyDescent="0.3">
      <c r="A65" s="8" t="s">
        <v>102</v>
      </c>
      <c r="B65" s="8" t="s">
        <v>9</v>
      </c>
      <c r="C65" s="8" t="s">
        <v>115</v>
      </c>
      <c r="D65" s="8" t="s">
        <v>116</v>
      </c>
      <c r="E65" s="54">
        <v>386.68033669242828</v>
      </c>
      <c r="F65" s="54">
        <v>341.48029674183158</v>
      </c>
      <c r="G65" s="54">
        <v>251.5507457538082</v>
      </c>
      <c r="H65" s="54">
        <v>331.07391402441766</v>
      </c>
      <c r="I65" s="54">
        <v>276.50195473006289</v>
      </c>
      <c r="J65" s="54">
        <v>219.32247046520303</v>
      </c>
      <c r="K65" s="54">
        <v>362.25704179211493</v>
      </c>
      <c r="L65" s="54">
        <v>327.30552057907715</v>
      </c>
      <c r="M65" s="54">
        <v>243.07722050739255</v>
      </c>
      <c r="N65" s="54">
        <v>317.4399185943102</v>
      </c>
      <c r="O65" s="54">
        <v>276.27536957885314</v>
      </c>
      <c r="P65" s="54">
        <v>221.82871742159514</v>
      </c>
      <c r="Q65" s="54">
        <v>349.79547341173833</v>
      </c>
      <c r="R65" s="54">
        <v>317.1039593693996</v>
      </c>
      <c r="S65" s="54">
        <v>236.81645596735046</v>
      </c>
      <c r="T65" s="54">
        <v>305.54977502240143</v>
      </c>
      <c r="U65" s="54">
        <v>262.48450166554682</v>
      </c>
      <c r="V65" s="54">
        <v>214.58595077469812</v>
      </c>
      <c r="W65" s="54">
        <v>336.55758718637998</v>
      </c>
      <c r="X65" s="54">
        <v>306.04149741487441</v>
      </c>
      <c r="Y65" s="54">
        <v>219.61780313358736</v>
      </c>
      <c r="Z65" s="54">
        <v>285.42007932683691</v>
      </c>
      <c r="AA65" s="54">
        <v>245.43529355398741</v>
      </c>
      <c r="AB65" s="54">
        <v>200.93780793682802</v>
      </c>
      <c r="AC65" s="54">
        <v>335.98616237791214</v>
      </c>
      <c r="AD65" s="54">
        <v>305.56029757616511</v>
      </c>
      <c r="AE65" s="54">
        <v>217.6480641666667</v>
      </c>
      <c r="AF65" s="54">
        <v>269.37130422603042</v>
      </c>
      <c r="AG65" s="54">
        <v>232.30750445271588</v>
      </c>
      <c r="AH65" s="54">
        <v>193.98131294914879</v>
      </c>
      <c r="AI65" s="54">
        <v>357.18439349238349</v>
      </c>
      <c r="AJ65" s="54">
        <v>317.82209437900042</v>
      </c>
      <c r="AK65" s="54">
        <v>230.35251189740146</v>
      </c>
      <c r="AL65" s="54">
        <v>276.83354786738357</v>
      </c>
      <c r="AM65" s="54">
        <v>243.30626365095375</v>
      </c>
      <c r="AN65" s="54">
        <v>203.89434174283161</v>
      </c>
      <c r="AO65" s="54">
        <v>365.35476575380829</v>
      </c>
      <c r="AP65" s="54">
        <v>328.0889789117316</v>
      </c>
      <c r="AQ65" s="54">
        <v>243.53902897513447</v>
      </c>
      <c r="AR65" s="54">
        <v>286.19813017850635</v>
      </c>
      <c r="AS65" s="54">
        <v>251.12736313508054</v>
      </c>
      <c r="AT65" s="54">
        <v>212.55049034610218</v>
      </c>
      <c r="AU65" s="54">
        <v>314.57303604054675</v>
      </c>
      <c r="AV65" s="54">
        <v>287.66959036969422</v>
      </c>
      <c r="AW65" s="54">
        <v>217.5074457941306</v>
      </c>
      <c r="AX65" s="54">
        <v>274.98529209901454</v>
      </c>
      <c r="AY65" s="54">
        <v>244.6924954345877</v>
      </c>
      <c r="AZ65" s="54">
        <v>198.51501451612896</v>
      </c>
      <c r="BA65" s="54">
        <v>347.85062406361988</v>
      </c>
      <c r="BB65" s="54">
        <v>317.47488424507139</v>
      </c>
      <c r="BC65" s="54">
        <v>234.27108768673199</v>
      </c>
      <c r="BD65" s="54">
        <v>286.93335626232107</v>
      </c>
      <c r="BE65" s="54">
        <v>248.42395689740161</v>
      </c>
      <c r="BF65" s="54">
        <v>206.22167965277782</v>
      </c>
      <c r="BG65" s="54">
        <v>345.71140433467764</v>
      </c>
      <c r="BH65" s="54">
        <v>312.6389404200267</v>
      </c>
      <c r="BI65" s="54">
        <v>220.11995603899038</v>
      </c>
      <c r="BJ65" s="54">
        <v>285.4301043234766</v>
      </c>
      <c r="BK65" s="54">
        <v>244.21659350358428</v>
      </c>
      <c r="BL65" s="54">
        <v>201.65713217474291</v>
      </c>
      <c r="BM65" s="54">
        <v>370.56727367271526</v>
      </c>
      <c r="BN65" s="54">
        <v>327.93753428668396</v>
      </c>
      <c r="BO65" s="54">
        <v>241.62357414270042</v>
      </c>
      <c r="BP65" s="54">
        <v>311.6850729659497</v>
      </c>
      <c r="BQ65" s="54">
        <v>271.26130742848511</v>
      </c>
      <c r="BR65" s="54">
        <v>216.0242079599044</v>
      </c>
      <c r="BS65" s="54">
        <v>389.48838322804647</v>
      </c>
      <c r="BT65" s="54">
        <v>340.97657456123744</v>
      </c>
      <c r="BU65" s="54">
        <v>254.12716989023275</v>
      </c>
      <c r="BV65" s="54">
        <v>327.36466526769738</v>
      </c>
      <c r="BW65" s="54">
        <v>278.77493602853122</v>
      </c>
      <c r="BX65" s="54">
        <v>219.31873420628079</v>
      </c>
    </row>
    <row r="66" spans="1:76" x14ac:dyDescent="0.3">
      <c r="A66" s="8" t="s">
        <v>102</v>
      </c>
      <c r="B66" s="8" t="s">
        <v>9</v>
      </c>
      <c r="C66" s="8" t="s">
        <v>115</v>
      </c>
      <c r="D66" s="8" t="s">
        <v>117</v>
      </c>
      <c r="E66" s="54">
        <v>416.6529133848569</v>
      </c>
      <c r="F66" s="54">
        <v>361.11803348366368</v>
      </c>
      <c r="G66" s="54">
        <v>261.69533150761646</v>
      </c>
      <c r="H66" s="54">
        <v>363.40598804883518</v>
      </c>
      <c r="I66" s="54">
        <v>295.25998946012555</v>
      </c>
      <c r="J66" s="54">
        <v>226.99742093040621</v>
      </c>
      <c r="K66" s="54">
        <v>388.90320358422923</v>
      </c>
      <c r="L66" s="54">
        <v>346.20552115815406</v>
      </c>
      <c r="M66" s="54">
        <v>252.98988101478503</v>
      </c>
      <c r="N66" s="54">
        <v>347.12679718862006</v>
      </c>
      <c r="O66" s="54">
        <v>294.96033915770624</v>
      </c>
      <c r="P66" s="54">
        <v>230.00607484318979</v>
      </c>
      <c r="Q66" s="54">
        <v>374.08006682347673</v>
      </c>
      <c r="R66" s="54">
        <v>335.04591873879929</v>
      </c>
      <c r="S66" s="54">
        <v>245.55067193470114</v>
      </c>
      <c r="T66" s="54">
        <v>332.98595004480291</v>
      </c>
      <c r="U66" s="54">
        <v>279.24812333109327</v>
      </c>
      <c r="V66" s="54">
        <v>221.35430154939596</v>
      </c>
      <c r="W66" s="54">
        <v>369.95357437275976</v>
      </c>
      <c r="X66" s="54">
        <v>333.516914829749</v>
      </c>
      <c r="Y66" s="54">
        <v>227.35376626717431</v>
      </c>
      <c r="Z66" s="54">
        <v>308.89463865367395</v>
      </c>
      <c r="AA66" s="54">
        <v>260.55018710797498</v>
      </c>
      <c r="AB66" s="54">
        <v>205.06297587365597</v>
      </c>
      <c r="AC66" s="54">
        <v>369.27128475582435</v>
      </c>
      <c r="AD66" s="54">
        <v>332.94235515232964</v>
      </c>
      <c r="AE66" s="54">
        <v>225.02220833333354</v>
      </c>
      <c r="AF66" s="54">
        <v>287.54348845206113</v>
      </c>
      <c r="AG66" s="54">
        <v>240.96060890543126</v>
      </c>
      <c r="AH66" s="54">
        <v>195.23038589829756</v>
      </c>
      <c r="AI66" s="54">
        <v>382.84638698476692</v>
      </c>
      <c r="AJ66" s="54">
        <v>334.38138875800053</v>
      </c>
      <c r="AK66" s="54">
        <v>236.35574379480295</v>
      </c>
      <c r="AL66" s="54">
        <v>286.96245573476722</v>
      </c>
      <c r="AM66" s="54">
        <v>245.48108730190731</v>
      </c>
      <c r="AN66" s="54">
        <v>204.78676348566304</v>
      </c>
      <c r="AO66" s="54">
        <v>392.60193150761637</v>
      </c>
      <c r="AP66" s="54">
        <v>347.61083782346327</v>
      </c>
      <c r="AQ66" s="54">
        <v>253.59029795026865</v>
      </c>
      <c r="AR66" s="54">
        <v>296.63394035701242</v>
      </c>
      <c r="AS66" s="54">
        <v>252.00904627016118</v>
      </c>
      <c r="AT66" s="54">
        <v>215.07754069220431</v>
      </c>
      <c r="AU66" s="54">
        <v>323.87559208109298</v>
      </c>
      <c r="AV66" s="54">
        <v>293.14518073938831</v>
      </c>
      <c r="AW66" s="54">
        <v>219.56169158826188</v>
      </c>
      <c r="AX66" s="54">
        <v>288.35634419802881</v>
      </c>
      <c r="AY66" s="54">
        <v>254.32163086917558</v>
      </c>
      <c r="AZ66" s="54">
        <v>199.2316290322581</v>
      </c>
      <c r="BA66" s="54">
        <v>371.75788812724011</v>
      </c>
      <c r="BB66" s="54">
        <v>335.4888084901433</v>
      </c>
      <c r="BC66" s="54">
        <v>242.52033537346372</v>
      </c>
      <c r="BD66" s="54">
        <v>310.75767252464146</v>
      </c>
      <c r="BE66" s="54">
        <v>261.76839379480276</v>
      </c>
      <c r="BF66" s="54">
        <v>211.39679930555587</v>
      </c>
      <c r="BG66" s="54">
        <v>377.35320866935473</v>
      </c>
      <c r="BH66" s="54">
        <v>337.86420084005385</v>
      </c>
      <c r="BI66" s="54">
        <v>226.5077520779808</v>
      </c>
      <c r="BJ66" s="54">
        <v>308.90660864695343</v>
      </c>
      <c r="BK66" s="54">
        <v>258.63798700716842</v>
      </c>
      <c r="BL66" s="54">
        <v>205.88754434948632</v>
      </c>
      <c r="BM66" s="54">
        <v>397.29014734543023</v>
      </c>
      <c r="BN66" s="54">
        <v>345.21522857336828</v>
      </c>
      <c r="BO66" s="54">
        <v>249.84826828540042</v>
      </c>
      <c r="BP66" s="54">
        <v>340.31158593189969</v>
      </c>
      <c r="BQ66" s="54">
        <v>290.74173485697031</v>
      </c>
      <c r="BR66" s="54">
        <v>223.08345591980893</v>
      </c>
      <c r="BS66" s="54">
        <v>419.10972645609326</v>
      </c>
      <c r="BT66" s="54">
        <v>358.32490912247471</v>
      </c>
      <c r="BU66" s="54">
        <v>264.77161978046615</v>
      </c>
      <c r="BV66" s="54">
        <v>358.97709053539415</v>
      </c>
      <c r="BW66" s="54">
        <v>298.12531205706239</v>
      </c>
      <c r="BX66" s="54">
        <v>226.99802841256121</v>
      </c>
    </row>
    <row r="67" spans="1:76" x14ac:dyDescent="0.3">
      <c r="A67" s="8" t="s">
        <v>102</v>
      </c>
      <c r="B67" s="8" t="s">
        <v>9</v>
      </c>
      <c r="C67" s="8" t="s">
        <v>116</v>
      </c>
      <c r="D67" s="8" t="s">
        <v>117</v>
      </c>
      <c r="E67" s="54">
        <v>-59.204363307571725</v>
      </c>
      <c r="F67" s="54">
        <v>-60.822903258168417</v>
      </c>
      <c r="G67" s="54">
        <v>-50.206954246191813</v>
      </c>
      <c r="H67" s="54">
        <v>-42.353385975582469</v>
      </c>
      <c r="I67" s="54">
        <v>-45.677945269937183</v>
      </c>
      <c r="J67" s="54">
        <v>-45.236929534796964</v>
      </c>
      <c r="K67" s="54">
        <v>-57.25655820788522</v>
      </c>
      <c r="L67" s="54">
        <v>-58.201379420922962</v>
      </c>
      <c r="M67" s="54">
        <v>-48.378479492607539</v>
      </c>
      <c r="N67" s="54">
        <v>-42.251381405689848</v>
      </c>
      <c r="O67" s="54">
        <v>-45.71263042114704</v>
      </c>
      <c r="P67" s="54">
        <v>-45.235482578404927</v>
      </c>
      <c r="Q67" s="54">
        <v>-57.093126588261597</v>
      </c>
      <c r="R67" s="54">
        <v>-56.848540630600411</v>
      </c>
      <c r="S67" s="54">
        <v>-48.286344032649531</v>
      </c>
      <c r="T67" s="54">
        <v>-42.092224977598569</v>
      </c>
      <c r="U67" s="54">
        <v>-44.666598334453411</v>
      </c>
      <c r="V67" s="54">
        <v>-45.186049225302007</v>
      </c>
      <c r="W67" s="54">
        <v>-42.394412813619994</v>
      </c>
      <c r="X67" s="54">
        <v>-42.166102585125429</v>
      </c>
      <c r="Y67" s="54">
        <v>-45.23449686641279</v>
      </c>
      <c r="Z67" s="54">
        <v>-42.011820673163115</v>
      </c>
      <c r="AA67" s="54">
        <v>-42.465206446012481</v>
      </c>
      <c r="AB67" s="54">
        <v>-45.07799206317209</v>
      </c>
      <c r="AC67" s="54">
        <v>-42.390137622087877</v>
      </c>
      <c r="AD67" s="54">
        <v>-42.162502423835015</v>
      </c>
      <c r="AE67" s="54">
        <v>-45.194335833333319</v>
      </c>
      <c r="AF67" s="54">
        <v>-44.627595773969688</v>
      </c>
      <c r="AG67" s="54">
        <v>-47.260495547284179</v>
      </c>
      <c r="AH67" s="54">
        <v>-46.933987050851279</v>
      </c>
      <c r="AI67" s="54">
        <v>-57.218606507616343</v>
      </c>
      <c r="AJ67" s="54">
        <v>-58.756405620999708</v>
      </c>
      <c r="AK67" s="54">
        <v>-50.084088102598571</v>
      </c>
      <c r="AL67" s="54">
        <v>-56.547252132616578</v>
      </c>
      <c r="AM67" s="54">
        <v>-58.10803634904638</v>
      </c>
      <c r="AN67" s="54">
        <v>-49.858058257168494</v>
      </c>
      <c r="AO67" s="54">
        <v>-57.279734246191708</v>
      </c>
      <c r="AP67" s="54">
        <v>-57.619921088268413</v>
      </c>
      <c r="AQ67" s="54">
        <v>-48.32067102486559</v>
      </c>
      <c r="AR67" s="54">
        <v>-58.50476982149366</v>
      </c>
      <c r="AS67" s="54">
        <v>-61.679736864919562</v>
      </c>
      <c r="AT67" s="54">
        <v>-49.978809653897784</v>
      </c>
      <c r="AU67" s="54">
        <v>-67.015063959453116</v>
      </c>
      <c r="AV67" s="54">
        <v>-65.072909630305872</v>
      </c>
      <c r="AW67" s="54">
        <v>-51.809054205869344</v>
      </c>
      <c r="AX67" s="54">
        <v>-52.032507900985571</v>
      </c>
      <c r="AY67" s="54">
        <v>-49.136704565412302</v>
      </c>
      <c r="AZ67" s="54">
        <v>-48.732985483870948</v>
      </c>
      <c r="BA67" s="54">
        <v>-57.078575936379991</v>
      </c>
      <c r="BB67" s="54">
        <v>-56.851315754928407</v>
      </c>
      <c r="BC67" s="54">
        <v>-48.256212313268151</v>
      </c>
      <c r="BD67" s="54">
        <v>-41.952943737679107</v>
      </c>
      <c r="BE67" s="54">
        <v>-45.425443102598436</v>
      </c>
      <c r="BF67" s="54">
        <v>-45.086520347222269</v>
      </c>
      <c r="BG67" s="54">
        <v>-46.875595665322621</v>
      </c>
      <c r="BH67" s="54">
        <v>-46.628159579973129</v>
      </c>
      <c r="BI67" s="54">
        <v>-47.045243961009618</v>
      </c>
      <c r="BJ67" s="54">
        <v>-42.011895676523416</v>
      </c>
      <c r="BK67" s="54">
        <v>-43.027406496415786</v>
      </c>
      <c r="BL67" s="54">
        <v>-45.126267825256974</v>
      </c>
      <c r="BM67" s="54">
        <v>-59.238226327285034</v>
      </c>
      <c r="BN67" s="54">
        <v>-60.387265713316211</v>
      </c>
      <c r="BO67" s="54">
        <v>-50.125025857299718</v>
      </c>
      <c r="BP67" s="54">
        <v>-42.138127034050285</v>
      </c>
      <c r="BQ67" s="54">
        <v>-43.464792571514806</v>
      </c>
      <c r="BR67" s="54">
        <v>-45.181992040095544</v>
      </c>
      <c r="BS67" s="54">
        <v>-60.345416771953488</v>
      </c>
      <c r="BT67" s="54">
        <v>-63.558725438762622</v>
      </c>
      <c r="BU67" s="54">
        <v>-50.226230109767123</v>
      </c>
      <c r="BV67" s="54">
        <v>-42.325634732302774</v>
      </c>
      <c r="BW67" s="54">
        <v>-45.505763971468774</v>
      </c>
      <c r="BX67" s="54">
        <v>-45.230565793719201</v>
      </c>
    </row>
    <row r="68" spans="1:76" x14ac:dyDescent="0.3">
      <c r="A68" s="8" t="s">
        <v>102</v>
      </c>
      <c r="B68" s="8" t="s">
        <v>9</v>
      </c>
      <c r="C68" s="8" t="s">
        <v>117</v>
      </c>
      <c r="D68" s="8" t="s">
        <v>118</v>
      </c>
      <c r="E68" s="54">
        <v>111.56385007728487</v>
      </c>
      <c r="F68" s="54">
        <v>97.991930225495352</v>
      </c>
      <c r="G68" s="54">
        <v>109.73067726142472</v>
      </c>
      <c r="H68" s="54">
        <v>147.62530207325264</v>
      </c>
      <c r="I68" s="54">
        <v>127.40214419018825</v>
      </c>
      <c r="J68" s="54">
        <v>117.20109139560908</v>
      </c>
      <c r="K68" s="54">
        <v>112.13304537634406</v>
      </c>
      <c r="L68" s="54">
        <v>102.49724173723118</v>
      </c>
      <c r="M68" s="54">
        <v>113.15570152217747</v>
      </c>
      <c r="N68" s="54">
        <v>145.18411578293012</v>
      </c>
      <c r="O68" s="54">
        <v>127.25970873655923</v>
      </c>
      <c r="P68" s="54">
        <v>117.70639226478497</v>
      </c>
      <c r="Q68" s="54">
        <v>110.09834023521503</v>
      </c>
      <c r="R68" s="54">
        <v>104.24487810819882</v>
      </c>
      <c r="S68" s="54">
        <v>112.16152790205147</v>
      </c>
      <c r="T68" s="54">
        <v>143.25172506720429</v>
      </c>
      <c r="U68" s="54">
        <v>127.43042499663981</v>
      </c>
      <c r="V68" s="54">
        <v>116.39625232409401</v>
      </c>
      <c r="W68" s="54">
        <v>148.60716155913977</v>
      </c>
      <c r="X68" s="54">
        <v>143.14321224462367</v>
      </c>
      <c r="Y68" s="54">
        <v>117.26696940076154</v>
      </c>
      <c r="Z68" s="54">
        <v>139.45091798051078</v>
      </c>
      <c r="AA68" s="54">
        <v>130.18448066196243</v>
      </c>
      <c r="AB68" s="54">
        <v>113.96918381048383</v>
      </c>
      <c r="AC68" s="54">
        <v>148.50484713373646</v>
      </c>
      <c r="AD68" s="54">
        <v>143.05705272849468</v>
      </c>
      <c r="AE68" s="54">
        <v>116.98547250000001</v>
      </c>
      <c r="AF68" s="54">
        <v>128.91699267809142</v>
      </c>
      <c r="AG68" s="54">
        <v>114.132113358147</v>
      </c>
      <c r="AH68" s="54">
        <v>107.38109884744628</v>
      </c>
      <c r="AI68" s="54">
        <v>111.22478047715056</v>
      </c>
      <c r="AJ68" s="54">
        <v>99.046483137000706</v>
      </c>
      <c r="AK68" s="54">
        <v>105.83505569220419</v>
      </c>
      <c r="AL68" s="54">
        <v>97.034403602150547</v>
      </c>
      <c r="AM68" s="54">
        <v>85.958750952860981</v>
      </c>
      <c r="AN68" s="54">
        <v>101.17630522849464</v>
      </c>
      <c r="AO68" s="54">
        <v>112.68769726142469</v>
      </c>
      <c r="AP68" s="54">
        <v>104.28201673519499</v>
      </c>
      <c r="AQ68" s="54">
        <v>113.4099269254032</v>
      </c>
      <c r="AR68" s="54">
        <v>93.426270535518668</v>
      </c>
      <c r="AS68" s="54">
        <v>77.522209405241682</v>
      </c>
      <c r="AT68" s="54">
        <v>102.56943103830652</v>
      </c>
      <c r="AU68" s="54">
        <v>75.272428121639805</v>
      </c>
      <c r="AV68" s="54">
        <v>75.329771109082344</v>
      </c>
      <c r="AW68" s="54">
        <v>98.436137382392431</v>
      </c>
      <c r="AX68" s="54">
        <v>109.30603629704294</v>
      </c>
      <c r="AY68" s="54">
        <v>111.35572630376333</v>
      </c>
      <c r="AZ68" s="54">
        <v>103.25064354838709</v>
      </c>
      <c r="BA68" s="54">
        <v>109.75011219086016</v>
      </c>
      <c r="BB68" s="54">
        <v>104.31129273521501</v>
      </c>
      <c r="BC68" s="54">
        <v>111.73682306019572</v>
      </c>
      <c r="BD68" s="54">
        <v>139.91842878696238</v>
      </c>
      <c r="BE68" s="54">
        <v>122.49355069220425</v>
      </c>
      <c r="BF68" s="54">
        <v>115.00207895833347</v>
      </c>
      <c r="BG68" s="54">
        <v>137.89061300403228</v>
      </c>
      <c r="BH68" s="54">
        <v>131.96894126008064</v>
      </c>
      <c r="BI68" s="54">
        <v>112.29730811697114</v>
      </c>
      <c r="BJ68" s="54">
        <v>139.45271297043016</v>
      </c>
      <c r="BK68" s="54">
        <v>128.36658051075256</v>
      </c>
      <c r="BL68" s="54">
        <v>113.97787652422919</v>
      </c>
      <c r="BM68" s="54">
        <v>108.24642101814507</v>
      </c>
      <c r="BN68" s="54">
        <v>96.503162860052001</v>
      </c>
      <c r="BO68" s="54">
        <v>107.97464242810051</v>
      </c>
      <c r="BP68" s="54">
        <v>144.35025889784936</v>
      </c>
      <c r="BQ68" s="54">
        <v>132.55084228545533</v>
      </c>
      <c r="BR68" s="54">
        <v>116.69526387971341</v>
      </c>
      <c r="BS68" s="54">
        <v>108.93050968413964</v>
      </c>
      <c r="BT68" s="54">
        <v>90.230883683712023</v>
      </c>
      <c r="BU68" s="54">
        <v>110.19198967069899</v>
      </c>
      <c r="BV68" s="54">
        <v>146.96115580309143</v>
      </c>
      <c r="BW68" s="54">
        <v>128.33884808559381</v>
      </c>
      <c r="BX68" s="54">
        <v>117.21816261884189</v>
      </c>
    </row>
    <row r="69" spans="1:76" x14ac:dyDescent="0.3">
      <c r="A69" s="8" t="s">
        <v>102</v>
      </c>
      <c r="B69" s="8" t="s">
        <v>10</v>
      </c>
      <c r="C69" s="8" t="s">
        <v>108</v>
      </c>
      <c r="D69" s="8" t="s">
        <v>111</v>
      </c>
      <c r="E69" s="54">
        <v>360.3131409229394</v>
      </c>
      <c r="F69" s="54">
        <v>354.65074114695352</v>
      </c>
      <c r="G69" s="54">
        <v>495.19114387992835</v>
      </c>
      <c r="H69" s="54">
        <v>557.97285477598564</v>
      </c>
      <c r="I69" s="54">
        <v>537.98796020609302</v>
      </c>
      <c r="J69" s="54">
        <v>516.99044343488663</v>
      </c>
      <c r="K69" s="54">
        <v>365.44435068100387</v>
      </c>
      <c r="L69" s="54">
        <v>385.92380544504158</v>
      </c>
      <c r="M69" s="54">
        <v>521.77777631720426</v>
      </c>
      <c r="N69" s="54">
        <v>482.37158810931913</v>
      </c>
      <c r="O69" s="54">
        <v>507.23346845878137</v>
      </c>
      <c r="P69" s="54">
        <v>520.31938281362011</v>
      </c>
      <c r="Q69" s="54">
        <v>340.72737568100365</v>
      </c>
      <c r="R69" s="54">
        <v>356.48017495519713</v>
      </c>
      <c r="S69" s="54">
        <v>497.22820204301075</v>
      </c>
      <c r="T69" s="54">
        <v>490.31700017921168</v>
      </c>
      <c r="U69" s="54">
        <v>517.01704794802868</v>
      </c>
      <c r="V69" s="54">
        <v>516.43686845878119</v>
      </c>
      <c r="W69" s="54">
        <v>510.23059426523321</v>
      </c>
      <c r="X69" s="54">
        <v>530.87689458781369</v>
      </c>
      <c r="Y69" s="54">
        <v>522.22424666502468</v>
      </c>
      <c r="Z69" s="54">
        <v>513.32235913082445</v>
      </c>
      <c r="AA69" s="54">
        <v>529.71105918458795</v>
      </c>
      <c r="AB69" s="54">
        <v>499.55257314351928</v>
      </c>
      <c r="AC69" s="54">
        <v>528.16007672939031</v>
      </c>
      <c r="AD69" s="54">
        <v>562.36235222222228</v>
      </c>
      <c r="AE69" s="54">
        <v>503.00702357579598</v>
      </c>
      <c r="AF69" s="54">
        <v>513.51374327060944</v>
      </c>
      <c r="AG69" s="54">
        <v>535.20558136200714</v>
      </c>
      <c r="AH69" s="54">
        <v>480.3359419360109</v>
      </c>
      <c r="AI69" s="54">
        <v>442.05540817619692</v>
      </c>
      <c r="AJ69" s="54">
        <v>469.16769367812526</v>
      </c>
      <c r="AK69" s="54">
        <v>475.46672586021521</v>
      </c>
      <c r="AL69" s="54">
        <v>567.7560864736879</v>
      </c>
      <c r="AM69" s="54">
        <v>577.35788613332238</v>
      </c>
      <c r="AN69" s="54">
        <v>506.29777136200738</v>
      </c>
      <c r="AO69" s="54">
        <v>406.11972955486021</v>
      </c>
      <c r="AP69" s="54">
        <v>401.46274667562756</v>
      </c>
      <c r="AQ69" s="54">
        <v>475.11397739247332</v>
      </c>
      <c r="AR69" s="54">
        <v>492.2550680017921</v>
      </c>
      <c r="AS69" s="54">
        <v>475.07175834229412</v>
      </c>
      <c r="AT69" s="54">
        <v>469.47743380824392</v>
      </c>
      <c r="AU69" s="54">
        <v>467.93264982974915</v>
      </c>
      <c r="AV69" s="54">
        <v>486.95368660394257</v>
      </c>
      <c r="AW69" s="54">
        <v>458.82435921717126</v>
      </c>
      <c r="AX69" s="54">
        <v>431.3260303484667</v>
      </c>
      <c r="AY69" s="54">
        <v>451.05753738351262</v>
      </c>
      <c r="AZ69" s="54">
        <v>463.96670433365881</v>
      </c>
      <c r="BA69" s="54">
        <v>336.05387250896058</v>
      </c>
      <c r="BB69" s="54">
        <v>356.23375396057378</v>
      </c>
      <c r="BC69" s="54">
        <v>423.14228432958623</v>
      </c>
      <c r="BD69" s="54">
        <v>487.51047655017919</v>
      </c>
      <c r="BE69" s="54">
        <v>502.99600227598586</v>
      </c>
      <c r="BF69" s="54">
        <v>460.98934928478343</v>
      </c>
      <c r="BG69" s="54">
        <v>502.84303467741933</v>
      </c>
      <c r="BH69" s="54">
        <v>524.81446336021497</v>
      </c>
      <c r="BI69" s="54">
        <v>509.54377078979917</v>
      </c>
      <c r="BJ69" s="54">
        <v>580.83963458781375</v>
      </c>
      <c r="BK69" s="54">
        <v>588.97518673835123</v>
      </c>
      <c r="BL69" s="54">
        <v>519.66145987582092</v>
      </c>
      <c r="BM69" s="54">
        <v>330.86022629928323</v>
      </c>
      <c r="BN69" s="54">
        <v>352.54145815326842</v>
      </c>
      <c r="BO69" s="54">
        <v>502.75103129241705</v>
      </c>
      <c r="BP69" s="54">
        <v>486.24106372759866</v>
      </c>
      <c r="BQ69" s="54">
        <v>500.42475896953408</v>
      </c>
      <c r="BR69" s="54">
        <v>516.41643496415782</v>
      </c>
      <c r="BS69" s="54">
        <v>365.78174066308276</v>
      </c>
      <c r="BT69" s="54">
        <v>376.03534474014367</v>
      </c>
      <c r="BU69" s="54">
        <v>505.98280729390677</v>
      </c>
      <c r="BV69" s="54">
        <v>558.02609698028687</v>
      </c>
      <c r="BW69" s="54">
        <v>536.60267461469527</v>
      </c>
      <c r="BX69" s="54">
        <v>559.43736391577056</v>
      </c>
    </row>
    <row r="70" spans="1:76" x14ac:dyDescent="0.3">
      <c r="A70" s="8" t="s">
        <v>102</v>
      </c>
      <c r="B70" s="8" t="s">
        <v>10</v>
      </c>
      <c r="C70" s="8" t="s">
        <v>108</v>
      </c>
      <c r="D70" s="8" t="s">
        <v>115</v>
      </c>
      <c r="E70" s="54">
        <v>531.41745907706058</v>
      </c>
      <c r="F70" s="54">
        <v>507.60285885304654</v>
      </c>
      <c r="G70" s="54">
        <v>568.15345612007184</v>
      </c>
      <c r="H70" s="54">
        <v>478.67254522401413</v>
      </c>
      <c r="I70" s="54">
        <v>484.51223979390676</v>
      </c>
      <c r="J70" s="54">
        <v>538.08408989844668</v>
      </c>
      <c r="K70" s="54">
        <v>482.85144931899657</v>
      </c>
      <c r="L70" s="54">
        <v>509.92239455495826</v>
      </c>
      <c r="M70" s="54">
        <v>562.17082368279557</v>
      </c>
      <c r="N70" s="54">
        <v>387.34581189068098</v>
      </c>
      <c r="O70" s="54">
        <v>437.89053154121848</v>
      </c>
      <c r="P70" s="54">
        <v>534.65221718637986</v>
      </c>
      <c r="Q70" s="54">
        <v>434.59542431899644</v>
      </c>
      <c r="R70" s="54">
        <v>484.71482504480281</v>
      </c>
      <c r="S70" s="54">
        <v>521.66619795698898</v>
      </c>
      <c r="T70" s="54">
        <v>403.49899982078853</v>
      </c>
      <c r="U70" s="54">
        <v>457.78075205197121</v>
      </c>
      <c r="V70" s="54">
        <v>553.11913154121874</v>
      </c>
      <c r="W70" s="54">
        <v>398.72540573476687</v>
      </c>
      <c r="X70" s="54">
        <v>464.87890541218644</v>
      </c>
      <c r="Y70" s="54">
        <v>552.48395438209536</v>
      </c>
      <c r="Z70" s="54">
        <v>420.91384086917549</v>
      </c>
      <c r="AA70" s="54">
        <v>483.58794081541203</v>
      </c>
      <c r="AB70" s="54">
        <v>524.46362790360104</v>
      </c>
      <c r="AC70" s="54">
        <v>447.96132327060877</v>
      </c>
      <c r="AD70" s="54">
        <v>512.84004777777773</v>
      </c>
      <c r="AE70" s="54">
        <v>504.6858234830276</v>
      </c>
      <c r="AF70" s="54">
        <v>447.5884567293906</v>
      </c>
      <c r="AG70" s="54">
        <v>494.75841863799275</v>
      </c>
      <c r="AH70" s="54">
        <v>493.45110512281229</v>
      </c>
      <c r="AI70" s="54">
        <v>482.14653154534284</v>
      </c>
      <c r="AJ70" s="54">
        <v>509.19106510975331</v>
      </c>
      <c r="AK70" s="54">
        <v>480.52007413978481</v>
      </c>
      <c r="AL70" s="54">
        <v>518.49025324785168</v>
      </c>
      <c r="AM70" s="54">
        <v>551.32927265455623</v>
      </c>
      <c r="AN70" s="54">
        <v>503.05742863799253</v>
      </c>
      <c r="AO70" s="54">
        <v>532.11127044514001</v>
      </c>
      <c r="AP70" s="54">
        <v>549.00845332437291</v>
      </c>
      <c r="AQ70" s="54">
        <v>458.02662260752692</v>
      </c>
      <c r="AR70" s="54">
        <v>407.43913199820781</v>
      </c>
      <c r="AS70" s="54">
        <v>392.18504165770639</v>
      </c>
      <c r="AT70" s="54">
        <v>444.56396619175598</v>
      </c>
      <c r="AU70" s="54">
        <v>357.99115017025088</v>
      </c>
      <c r="AV70" s="54">
        <v>396.66131339605727</v>
      </c>
      <c r="AW70" s="54">
        <v>427.12764078282885</v>
      </c>
      <c r="AX70" s="54">
        <v>359.16059187375527</v>
      </c>
      <c r="AY70" s="54">
        <v>400.38406261648743</v>
      </c>
      <c r="AZ70" s="54">
        <v>480.63729566634117</v>
      </c>
      <c r="BA70" s="54">
        <v>443.18772749103942</v>
      </c>
      <c r="BB70" s="54">
        <v>484.2138460394263</v>
      </c>
      <c r="BC70" s="54">
        <v>458.11229748859563</v>
      </c>
      <c r="BD70" s="54">
        <v>443.81692344982059</v>
      </c>
      <c r="BE70" s="54">
        <v>498.40519772401427</v>
      </c>
      <c r="BF70" s="54">
        <v>505.71243253339838</v>
      </c>
      <c r="BG70" s="54">
        <v>495.48296532258053</v>
      </c>
      <c r="BH70" s="54">
        <v>540.15133663978497</v>
      </c>
      <c r="BI70" s="54">
        <v>578.62554602435989</v>
      </c>
      <c r="BJ70" s="54">
        <v>547.77636541218635</v>
      </c>
      <c r="BK70" s="54">
        <v>573.77681326164873</v>
      </c>
      <c r="BL70" s="54">
        <v>565.61345693833846</v>
      </c>
      <c r="BM70" s="54">
        <v>398.62877370071658</v>
      </c>
      <c r="BN70" s="54">
        <v>459.90894184673147</v>
      </c>
      <c r="BO70" s="54">
        <v>502.85176870758283</v>
      </c>
      <c r="BP70" s="54">
        <v>395.21253627240128</v>
      </c>
      <c r="BQ70" s="54">
        <v>459.22304103046588</v>
      </c>
      <c r="BR70" s="54">
        <v>550.27116503584227</v>
      </c>
      <c r="BS70" s="54">
        <v>518.05065933691742</v>
      </c>
      <c r="BT70" s="54">
        <v>481.7540552598565</v>
      </c>
      <c r="BU70" s="54">
        <v>552.17039270609325</v>
      </c>
      <c r="BV70" s="54">
        <v>486.09330301971301</v>
      </c>
      <c r="BW70" s="54">
        <v>481.6959253853048</v>
      </c>
      <c r="BX70" s="54">
        <v>578.32403608422942</v>
      </c>
    </row>
    <row r="71" spans="1:76" x14ac:dyDescent="0.3">
      <c r="A71" s="8" t="s">
        <v>102</v>
      </c>
      <c r="B71" s="8" t="s">
        <v>10</v>
      </c>
      <c r="C71" s="8" t="s">
        <v>109</v>
      </c>
      <c r="D71" s="8" t="s">
        <v>110</v>
      </c>
      <c r="E71" s="54">
        <v>73.486478763440829</v>
      </c>
      <c r="F71" s="54">
        <v>67.146488172042822</v>
      </c>
      <c r="G71" s="54">
        <v>231.61300295698939</v>
      </c>
      <c r="H71" s="54">
        <v>144.91094059139797</v>
      </c>
      <c r="I71" s="54">
        <v>178.65184865591365</v>
      </c>
      <c r="J71" s="54">
        <v>266.29707759856626</v>
      </c>
      <c r="K71" s="54">
        <v>10.102808602150404</v>
      </c>
      <c r="L71" s="54">
        <v>97.130695358422997</v>
      </c>
      <c r="M71" s="54">
        <v>260.8819653225807</v>
      </c>
      <c r="N71" s="54">
        <v>48.310940591397731</v>
      </c>
      <c r="O71" s="54">
        <v>157.46807526881713</v>
      </c>
      <c r="P71" s="54">
        <v>266.9142381720431</v>
      </c>
      <c r="Q71" s="54">
        <v>84.815058602149662</v>
      </c>
      <c r="R71" s="54">
        <v>114.54934811827944</v>
      </c>
      <c r="S71" s="54">
        <v>262.12592580645145</v>
      </c>
      <c r="T71" s="54">
        <v>83.195607526881602</v>
      </c>
      <c r="U71" s="54">
        <v>200.42329381720393</v>
      </c>
      <c r="V71" s="54">
        <v>254.21407526881802</v>
      </c>
      <c r="W71" s="54">
        <v>120.75255913978555</v>
      </c>
      <c r="X71" s="54">
        <v>110.373652688172</v>
      </c>
      <c r="Y71" s="54">
        <v>265.52426904098405</v>
      </c>
      <c r="Z71" s="54">
        <v>248.17220349462366</v>
      </c>
      <c r="AA71" s="54">
        <v>256.15688575268814</v>
      </c>
      <c r="AB71" s="54">
        <v>295.35478113775838</v>
      </c>
      <c r="AC71" s="54">
        <v>45.543862634408903</v>
      </c>
      <c r="AD71" s="54">
        <v>133.71703333333318</v>
      </c>
      <c r="AE71" s="54">
        <v>267.91498077166341</v>
      </c>
      <c r="AF71" s="54">
        <v>191.73193736559179</v>
      </c>
      <c r="AG71" s="54">
        <v>280.28081720430077</v>
      </c>
      <c r="AH71" s="54">
        <v>296.26747190069591</v>
      </c>
      <c r="AI71" s="54">
        <v>34.811211410090692</v>
      </c>
      <c r="AJ71" s="54">
        <v>93.351490360052082</v>
      </c>
      <c r="AK71" s="54">
        <v>263.69016612903226</v>
      </c>
      <c r="AL71" s="54">
        <v>202.66913990471446</v>
      </c>
      <c r="AM71" s="54">
        <v>256.84741347833165</v>
      </c>
      <c r="AN71" s="54">
        <v>297.87791720430113</v>
      </c>
      <c r="AO71" s="54">
        <v>77.876832047901303</v>
      </c>
      <c r="AP71" s="54">
        <v>117.63648037634411</v>
      </c>
      <c r="AQ71" s="54">
        <v>246.00361048387097</v>
      </c>
      <c r="AR71" s="54">
        <v>91.704776075268612</v>
      </c>
      <c r="AS71" s="54">
        <v>157.14553037634406</v>
      </c>
      <c r="AT71" s="54">
        <v>250.40285994623645</v>
      </c>
      <c r="AU71" s="54">
        <v>-15.083827150537687</v>
      </c>
      <c r="AV71" s="54">
        <v>68.428837365591136</v>
      </c>
      <c r="AW71" s="54">
        <v>225.80952867965289</v>
      </c>
      <c r="AX71" s="54">
        <v>-64.429729808841429</v>
      </c>
      <c r="AY71" s="54">
        <v>30.140730107526824</v>
      </c>
      <c r="AZ71" s="54">
        <v>126.84322357212596</v>
      </c>
      <c r="BA71" s="54">
        <v>24.866805376344114</v>
      </c>
      <c r="BB71" s="54">
        <v>113.46742634408614</v>
      </c>
      <c r="BC71" s="54">
        <v>188.78240002443781</v>
      </c>
      <c r="BD71" s="54">
        <v>-29.419744892473233</v>
      </c>
      <c r="BE71" s="54">
        <v>55.693215591397838</v>
      </c>
      <c r="BF71" s="54">
        <v>97.177848142717352</v>
      </c>
      <c r="BG71" s="54">
        <v>39.765056451612544</v>
      </c>
      <c r="BH71" s="54">
        <v>136.23154112903225</v>
      </c>
      <c r="BI71" s="54">
        <v>241.15541104767368</v>
      </c>
      <c r="BJ71" s="54">
        <v>196.02625268817175</v>
      </c>
      <c r="BK71" s="54">
        <v>299.47304301075286</v>
      </c>
      <c r="BL71" s="54">
        <v>275.0209126605767</v>
      </c>
      <c r="BM71" s="54">
        <v>76.155904569892741</v>
      </c>
      <c r="BN71" s="54">
        <v>67.826758627752113</v>
      </c>
      <c r="BO71" s="54">
        <v>264.11053491232207</v>
      </c>
      <c r="BP71" s="54">
        <v>65.300036559139627</v>
      </c>
      <c r="BQ71" s="54">
        <v>153.64115672042999</v>
      </c>
      <c r="BR71" s="54">
        <v>260.24002849462426</v>
      </c>
      <c r="BS71" s="54">
        <v>25.855347849462863</v>
      </c>
      <c r="BT71" s="54">
        <v>39.585919086021491</v>
      </c>
      <c r="BU71" s="54">
        <v>193.79022634408648</v>
      </c>
      <c r="BV71" s="54">
        <v>129.20951317204344</v>
      </c>
      <c r="BW71" s="54">
        <v>172.56969381720421</v>
      </c>
      <c r="BX71" s="54">
        <v>163.42192446236592</v>
      </c>
    </row>
    <row r="72" spans="1:76" x14ac:dyDescent="0.3">
      <c r="A72" s="8" t="s">
        <v>102</v>
      </c>
      <c r="B72" s="8" t="s">
        <v>10</v>
      </c>
      <c r="C72" s="8" t="s">
        <v>109</v>
      </c>
      <c r="D72" s="8" t="s">
        <v>115</v>
      </c>
      <c r="E72" s="54">
        <v>331.4018212365595</v>
      </c>
      <c r="F72" s="54">
        <v>265.75031182795715</v>
      </c>
      <c r="G72" s="54">
        <v>201.82929704301068</v>
      </c>
      <c r="H72" s="54">
        <v>332.43475940860213</v>
      </c>
      <c r="I72" s="54">
        <v>234.36825134408633</v>
      </c>
      <c r="J72" s="54">
        <v>204.3435224014336</v>
      </c>
      <c r="K72" s="54">
        <v>305.58359139784955</v>
      </c>
      <c r="L72" s="54">
        <v>252.56240464157707</v>
      </c>
      <c r="M72" s="54">
        <v>182.86233467741943</v>
      </c>
      <c r="N72" s="54">
        <v>327.19775940860217</v>
      </c>
      <c r="O72" s="54">
        <v>255.7439247311828</v>
      </c>
      <c r="P72" s="54">
        <v>201.22156182795692</v>
      </c>
      <c r="Q72" s="54">
        <v>335.96234139784985</v>
      </c>
      <c r="R72" s="54">
        <v>246.69815188172061</v>
      </c>
      <c r="S72" s="54">
        <v>187.97127419354842</v>
      </c>
      <c r="T72" s="54">
        <v>304.36239247311823</v>
      </c>
      <c r="U72" s="54">
        <v>227.62560618279593</v>
      </c>
      <c r="V72" s="54">
        <v>194.6339247311839</v>
      </c>
      <c r="W72" s="54">
        <v>385.5144408602149</v>
      </c>
      <c r="X72" s="54">
        <v>276.6187473118278</v>
      </c>
      <c r="Y72" s="54">
        <v>204.82343095901578</v>
      </c>
      <c r="Z72" s="54">
        <v>309.61489650537663</v>
      </c>
      <c r="AA72" s="54">
        <v>191.14261424731183</v>
      </c>
      <c r="AB72" s="54">
        <v>193.8294188622416</v>
      </c>
      <c r="AC72" s="54">
        <v>326.96883736559192</v>
      </c>
      <c r="AD72" s="54">
        <v>253.76016666666666</v>
      </c>
      <c r="AE72" s="54">
        <v>204.44261922833641</v>
      </c>
      <c r="AF72" s="54">
        <v>245.15816263440905</v>
      </c>
      <c r="AG72" s="54">
        <v>175.35118279569906</v>
      </c>
      <c r="AH72" s="54">
        <v>198.01722809930399</v>
      </c>
      <c r="AI72" s="54">
        <v>331.58584886837008</v>
      </c>
      <c r="AJ72" s="54">
        <v>265.27000963994783</v>
      </c>
      <c r="AK72" s="54">
        <v>191.07323387096764</v>
      </c>
      <c r="AL72" s="54">
        <v>244.75012037374631</v>
      </c>
      <c r="AM72" s="54">
        <v>176.93828652166832</v>
      </c>
      <c r="AN72" s="54">
        <v>183.56968279569875</v>
      </c>
      <c r="AO72" s="54">
        <v>305.03237258020312</v>
      </c>
      <c r="AP72" s="54">
        <v>231.85461962365571</v>
      </c>
      <c r="AQ72" s="54">
        <v>197.33668951612904</v>
      </c>
      <c r="AR72" s="54">
        <v>298.79232392473142</v>
      </c>
      <c r="AS72" s="54">
        <v>265.24736962365591</v>
      </c>
      <c r="AT72" s="54">
        <v>222.26784005376322</v>
      </c>
      <c r="AU72" s="54">
        <v>368.69572715053755</v>
      </c>
      <c r="AV72" s="54">
        <v>314.02866263440887</v>
      </c>
      <c r="AW72" s="54">
        <v>240.07397132034725</v>
      </c>
      <c r="AX72" s="54">
        <v>237.41192980884131</v>
      </c>
      <c r="AY72" s="54">
        <v>176.03006989247316</v>
      </c>
      <c r="AZ72" s="54">
        <v>125.90877642787402</v>
      </c>
      <c r="BA72" s="54">
        <v>305.40399462365599</v>
      </c>
      <c r="BB72" s="54">
        <v>247.40637365591377</v>
      </c>
      <c r="BC72" s="54">
        <v>263.89029997556213</v>
      </c>
      <c r="BD72" s="54">
        <v>200.53344489247314</v>
      </c>
      <c r="BE72" s="54">
        <v>150.45738440860214</v>
      </c>
      <c r="BF72" s="54">
        <v>151.51395185728256</v>
      </c>
      <c r="BG72" s="54">
        <v>302.84794354838726</v>
      </c>
      <c r="BH72" s="54">
        <v>239.70135887096777</v>
      </c>
      <c r="BI72" s="54">
        <v>180.67167213816737</v>
      </c>
      <c r="BJ72" s="54">
        <v>211.73174731182809</v>
      </c>
      <c r="BK72" s="54">
        <v>148.48295698924719</v>
      </c>
      <c r="BL72" s="54">
        <v>167.18797052526423</v>
      </c>
      <c r="BM72" s="54">
        <v>402.9935954301078</v>
      </c>
      <c r="BN72" s="54">
        <v>279.04844137224785</v>
      </c>
      <c r="BO72" s="54">
        <v>179.34086508767788</v>
      </c>
      <c r="BP72" s="54">
        <v>316.07676344086013</v>
      </c>
      <c r="BQ72" s="54">
        <v>266.83274327956963</v>
      </c>
      <c r="BR72" s="54">
        <v>201.51577150537702</v>
      </c>
      <c r="BS72" s="54">
        <v>337.71385215053783</v>
      </c>
      <c r="BT72" s="54">
        <v>291.07878091397833</v>
      </c>
      <c r="BU72" s="54">
        <v>137.13037365591475</v>
      </c>
      <c r="BV72" s="54">
        <v>314.50318682795728</v>
      </c>
      <c r="BW72" s="54">
        <v>238.34960618279587</v>
      </c>
      <c r="BX72" s="54">
        <v>50.661775537634846</v>
      </c>
    </row>
    <row r="73" spans="1:76" x14ac:dyDescent="0.3">
      <c r="A73" s="8" t="s">
        <v>102</v>
      </c>
      <c r="B73" s="8" t="s">
        <v>10</v>
      </c>
      <c r="C73" s="8" t="s">
        <v>110</v>
      </c>
      <c r="D73" s="8" t="s">
        <v>111</v>
      </c>
      <c r="E73" s="54">
        <v>224.6504706541219</v>
      </c>
      <c r="F73" s="54">
        <v>182.06165770609329</v>
      </c>
      <c r="G73" s="54">
        <v>92.348939740143351</v>
      </c>
      <c r="H73" s="54">
        <v>322.3159379480287</v>
      </c>
      <c r="I73" s="54">
        <v>209.29137208781401</v>
      </c>
      <c r="J73" s="54">
        <v>98.657201463560384</v>
      </c>
      <c r="K73" s="54">
        <v>264.53121863799288</v>
      </c>
      <c r="L73" s="54">
        <v>171.35683194324935</v>
      </c>
      <c r="M73" s="54">
        <v>77.95902486559136</v>
      </c>
      <c r="N73" s="54">
        <v>367.25627128136205</v>
      </c>
      <c r="O73" s="54">
        <v>239.29816308243755</v>
      </c>
      <c r="P73" s="54">
        <v>99.159449372759894</v>
      </c>
      <c r="Q73" s="54">
        <v>248.47909363799258</v>
      </c>
      <c r="R73" s="54">
        <v>148.63108758960576</v>
      </c>
      <c r="S73" s="54">
        <v>82.771905913978543</v>
      </c>
      <c r="T73" s="54">
        <v>326.36314964157708</v>
      </c>
      <c r="U73" s="54">
        <v>188.94443660394299</v>
      </c>
      <c r="V73" s="54">
        <v>91.793163082437573</v>
      </c>
      <c r="W73" s="54">
        <v>382.60821146953373</v>
      </c>
      <c r="X73" s="54">
        <v>287.64538082437264</v>
      </c>
      <c r="Y73" s="54">
        <v>96.885149588798797</v>
      </c>
      <c r="Z73" s="54">
        <v>238.41647423835121</v>
      </c>
      <c r="AA73" s="54">
        <v>123.6114191308243</v>
      </c>
      <c r="AB73" s="54">
        <v>67.796759131809495</v>
      </c>
      <c r="AC73" s="54">
        <v>371.96026904121891</v>
      </c>
      <c r="AD73" s="54">
        <v>255.05930555555568</v>
      </c>
      <c r="AE73" s="54">
        <v>102.73499167193756</v>
      </c>
      <c r="AF73" s="54">
        <v>210.16023095878157</v>
      </c>
      <c r="AG73" s="54">
        <v>95.332437275985839</v>
      </c>
      <c r="AH73" s="54">
        <v>71.474422451507479</v>
      </c>
      <c r="AI73" s="54">
        <v>316.75658453622282</v>
      </c>
      <c r="AJ73" s="54">
        <v>234.02930365890094</v>
      </c>
      <c r="AK73" s="54">
        <v>87.716493279569875</v>
      </c>
      <c r="AL73" s="54">
        <v>207.45616294124059</v>
      </c>
      <c r="AM73" s="54">
        <v>113.32520374850696</v>
      </c>
      <c r="AN73" s="54">
        <v>70.684687275985752</v>
      </c>
      <c r="AO73" s="54">
        <v>228.12712839027992</v>
      </c>
      <c r="AP73" s="54">
        <v>136.17607414874544</v>
      </c>
      <c r="AQ73" s="54">
        <v>112.12492271505381</v>
      </c>
      <c r="AR73" s="54">
        <v>316.38838149641589</v>
      </c>
      <c r="AS73" s="54">
        <v>246.07961581541215</v>
      </c>
      <c r="AT73" s="54">
        <v>131.43342988351259</v>
      </c>
      <c r="AU73" s="54">
        <v>441.57000784050183</v>
      </c>
      <c r="AV73" s="54">
        <v>343.67331429211492</v>
      </c>
      <c r="AW73" s="54">
        <v>161.01701906565737</v>
      </c>
      <c r="AX73" s="54">
        <v>343.71876319195559</v>
      </c>
      <c r="AY73" s="54">
        <v>233.22051523297495</v>
      </c>
      <c r="AZ73" s="54">
        <v>110.74619133268249</v>
      </c>
      <c r="BA73" s="54">
        <v>253.76034498207889</v>
      </c>
      <c r="BB73" s="54">
        <v>149.89935707885272</v>
      </c>
      <c r="BC73" s="54">
        <v>168.48325156810051</v>
      </c>
      <c r="BD73" s="54">
        <v>293.05811939964178</v>
      </c>
      <c r="BE73" s="54">
        <v>189.38550044802872</v>
      </c>
      <c r="BF73" s="54">
        <v>137.21308915770612</v>
      </c>
      <c r="BG73" s="54">
        <v>321.93195564516162</v>
      </c>
      <c r="BH73" s="54">
        <v>208.85030577956988</v>
      </c>
      <c r="BI73" s="54">
        <v>74.120135146065522</v>
      </c>
      <c r="BJ73" s="54">
        <v>181.16288082437305</v>
      </c>
      <c r="BK73" s="54">
        <v>62.97692652329745</v>
      </c>
      <c r="BL73" s="54">
        <v>54.289321974022364</v>
      </c>
      <c r="BM73" s="54">
        <v>315.76595990143397</v>
      </c>
      <c r="BN73" s="54">
        <v>210.10399607441553</v>
      </c>
      <c r="BO73" s="54">
        <v>85.516282415166074</v>
      </c>
      <c r="BP73" s="54">
        <v>347.34101254480288</v>
      </c>
      <c r="BQ73" s="54">
        <v>237.84713956093185</v>
      </c>
      <c r="BR73" s="54">
        <v>94.809995071684867</v>
      </c>
      <c r="BS73" s="54">
        <v>266.90665367383536</v>
      </c>
      <c r="BT73" s="54">
        <v>242.03105801971336</v>
      </c>
      <c r="BU73" s="54">
        <v>76.151690412186611</v>
      </c>
      <c r="BV73" s="54">
        <v>314.45517853942675</v>
      </c>
      <c r="BW73" s="54">
        <v>216.42110327060936</v>
      </c>
      <c r="BX73" s="54">
        <v>46.809069668458882</v>
      </c>
    </row>
    <row r="74" spans="1:76" x14ac:dyDescent="0.3">
      <c r="A74" s="8" t="s">
        <v>102</v>
      </c>
      <c r="B74" s="8" t="s">
        <v>10</v>
      </c>
      <c r="C74" s="8" t="s">
        <v>110</v>
      </c>
      <c r="D74" s="8" t="s">
        <v>115</v>
      </c>
      <c r="E74" s="54">
        <v>184.19130810931895</v>
      </c>
      <c r="F74" s="54">
        <v>143.59363046594999</v>
      </c>
      <c r="G74" s="54">
        <v>18.746363216845864</v>
      </c>
      <c r="H74" s="54">
        <v>149.16770264336932</v>
      </c>
      <c r="I74" s="54">
        <v>66.919576568100766</v>
      </c>
      <c r="J74" s="54">
        <v>3.0804761350058385</v>
      </c>
      <c r="K74" s="54">
        <v>198.67098996415777</v>
      </c>
      <c r="L74" s="54">
        <v>119.80958874850656</v>
      </c>
      <c r="M74" s="54">
        <v>-8.5327595430108047</v>
      </c>
      <c r="N74" s="54">
        <v>193.97636931003592</v>
      </c>
      <c r="O74" s="54">
        <v>91.761912186380073</v>
      </c>
      <c r="P74" s="54">
        <v>0.69058879928318717</v>
      </c>
      <c r="Q74" s="54">
        <v>181.56736496415749</v>
      </c>
      <c r="R74" s="54">
        <v>107.19076052867393</v>
      </c>
      <c r="S74" s="54">
        <v>-5.7487801075269962</v>
      </c>
      <c r="T74" s="54">
        <v>161.31045788530486</v>
      </c>
      <c r="U74" s="54">
        <v>51.538757213262066</v>
      </c>
      <c r="V74" s="54">
        <v>2.6489121863803033</v>
      </c>
      <c r="W74" s="54">
        <v>196.63334767025054</v>
      </c>
      <c r="X74" s="54">
        <v>129.22567186379931</v>
      </c>
      <c r="Y74" s="54">
        <v>3.786819452185286</v>
      </c>
      <c r="Z74" s="54">
        <v>82.323829256272461</v>
      </c>
      <c r="AA74" s="54">
        <v>-0.65003337813618334</v>
      </c>
      <c r="AB74" s="54">
        <v>-18.457777994051348</v>
      </c>
      <c r="AC74" s="54">
        <v>195.20729359319012</v>
      </c>
      <c r="AD74" s="54">
        <v>102.31492777777795</v>
      </c>
      <c r="AE74" s="54">
        <v>2.337589099725923</v>
      </c>
      <c r="AF74" s="54">
        <v>67.5728064068104</v>
      </c>
      <c r="AG74" s="54">
        <v>-23.239620071684342</v>
      </c>
      <c r="AH74" s="54">
        <v>-16.122250550811735</v>
      </c>
      <c r="AI74" s="54">
        <v>203.65162687386794</v>
      </c>
      <c r="AJ74" s="54">
        <v>130.17092791327255</v>
      </c>
      <c r="AK74" s="54">
        <v>-4.4629271505376433</v>
      </c>
      <c r="AL74" s="54">
        <v>61.832176963473763</v>
      </c>
      <c r="AM74" s="54">
        <v>-10.464849058053559</v>
      </c>
      <c r="AN74" s="54">
        <v>-26.559170071684733</v>
      </c>
      <c r="AO74" s="54">
        <v>164.41649902951661</v>
      </c>
      <c r="AP74" s="54">
        <v>95.75150622759854</v>
      </c>
      <c r="AQ74" s="54">
        <v>8.5559877688171646</v>
      </c>
      <c r="AR74" s="54">
        <v>153.34249457885318</v>
      </c>
      <c r="AS74" s="54">
        <v>98.258814560931881</v>
      </c>
      <c r="AT74" s="54">
        <v>22.977130062723951</v>
      </c>
      <c r="AU74" s="54">
        <v>253.33906500896063</v>
      </c>
      <c r="AV74" s="54">
        <v>175.13802307347703</v>
      </c>
      <c r="AW74" s="54">
        <v>47.144549873738399</v>
      </c>
      <c r="AX74" s="54">
        <v>190.48948477698158</v>
      </c>
      <c r="AY74" s="54">
        <v>102.28301487455205</v>
      </c>
      <c r="AZ74" s="54">
        <v>20.5175724991864</v>
      </c>
      <c r="BA74" s="54">
        <v>191.16926039426531</v>
      </c>
      <c r="BB74" s="54">
        <v>108.20386926523295</v>
      </c>
      <c r="BC74" s="54">
        <v>81.535666638155931</v>
      </c>
      <c r="BD74" s="54">
        <v>148.39883570788547</v>
      </c>
      <c r="BE74" s="54">
        <v>72.458315143369092</v>
      </c>
      <c r="BF74" s="54">
        <v>52.420377166829788</v>
      </c>
      <c r="BG74" s="54">
        <v>182.01610080645193</v>
      </c>
      <c r="BH74" s="54">
        <v>91.685135349462428</v>
      </c>
      <c r="BI74" s="54">
        <v>-0.1299240983918537</v>
      </c>
      <c r="BJ74" s="54">
        <v>43.141371863799513</v>
      </c>
      <c r="BK74" s="54">
        <v>-50.747883512544774</v>
      </c>
      <c r="BL74" s="54">
        <v>-26.051809313445528</v>
      </c>
      <c r="BM74" s="54">
        <v>230.58444466845884</v>
      </c>
      <c r="BN74" s="54">
        <v>152.11891493428919</v>
      </c>
      <c r="BO74" s="54">
        <v>-12.494690731042478</v>
      </c>
      <c r="BP74" s="54">
        <v>178.06782401433708</v>
      </c>
      <c r="BQ74" s="54">
        <v>101.06791715949814</v>
      </c>
      <c r="BR74" s="54">
        <v>4.2238334229393049</v>
      </c>
      <c r="BS74" s="54">
        <v>212.21489417562722</v>
      </c>
      <c r="BT74" s="54">
        <v>174.25956106630824</v>
      </c>
      <c r="BU74" s="54">
        <v>-5.4748640681001604</v>
      </c>
      <c r="BV74" s="54">
        <v>145.06403463261663</v>
      </c>
      <c r="BW74" s="54">
        <v>72.614890546595092</v>
      </c>
      <c r="BX74" s="54">
        <v>-47.936445206093083</v>
      </c>
    </row>
    <row r="75" spans="1:76" x14ac:dyDescent="0.3">
      <c r="A75" s="8" t="s">
        <v>102</v>
      </c>
      <c r="B75" s="8" t="s">
        <v>10</v>
      </c>
      <c r="C75" s="8" t="s">
        <v>111</v>
      </c>
      <c r="D75" s="8" t="s">
        <v>112</v>
      </c>
      <c r="E75" s="54">
        <v>445.8846999999999</v>
      </c>
      <c r="F75" s="54">
        <v>402.30319999999995</v>
      </c>
      <c r="G75" s="54">
        <v>301.7577</v>
      </c>
      <c r="H75" s="54">
        <v>373.42730000000012</v>
      </c>
      <c r="I75" s="54">
        <v>322.17990000000009</v>
      </c>
      <c r="J75" s="54">
        <v>264.55939999999998</v>
      </c>
      <c r="K75" s="54">
        <v>419.51360000000017</v>
      </c>
      <c r="L75" s="54">
        <v>385.50689999999997</v>
      </c>
      <c r="M75" s="54">
        <v>291.45569999999998</v>
      </c>
      <c r="N75" s="54">
        <v>359.69129999999996</v>
      </c>
      <c r="O75" s="54">
        <v>321.98799999999994</v>
      </c>
      <c r="P75" s="54">
        <v>267.06419999999986</v>
      </c>
      <c r="Q75" s="54">
        <v>406.88860000000005</v>
      </c>
      <c r="R75" s="54">
        <v>373.95249999999993</v>
      </c>
      <c r="S75" s="54">
        <v>285.1028</v>
      </c>
      <c r="T75" s="54">
        <v>347.642</v>
      </c>
      <c r="U75" s="54">
        <v>307.15109999999999</v>
      </c>
      <c r="V75" s="54">
        <v>259.77200000000011</v>
      </c>
      <c r="W75" s="54">
        <v>378.95199999999994</v>
      </c>
      <c r="X75" s="54">
        <v>348.20760000000007</v>
      </c>
      <c r="Y75" s="54">
        <v>264.85230000000001</v>
      </c>
      <c r="Z75" s="54">
        <v>327.4319000000001</v>
      </c>
      <c r="AA75" s="54">
        <v>287.90049999999991</v>
      </c>
      <c r="AB75" s="54">
        <v>246.01580000000013</v>
      </c>
      <c r="AC75" s="54">
        <v>378.37630000000001</v>
      </c>
      <c r="AD75" s="54">
        <v>347.72280000000012</v>
      </c>
      <c r="AE75" s="54">
        <v>262.84240000000005</v>
      </c>
      <c r="AF75" s="54">
        <v>313.99890000000011</v>
      </c>
      <c r="AG75" s="54">
        <v>279.56800000000004</v>
      </c>
      <c r="AH75" s="54">
        <v>240.91529999999995</v>
      </c>
      <c r="AI75" s="54">
        <v>414.40300000000008</v>
      </c>
      <c r="AJ75" s="54">
        <v>376.57850000000013</v>
      </c>
      <c r="AK75" s="54">
        <v>280.43660000000006</v>
      </c>
      <c r="AL75" s="54">
        <v>333.38080000000002</v>
      </c>
      <c r="AM75" s="54">
        <v>301.41430000000003</v>
      </c>
      <c r="AN75" s="54">
        <v>253.75239999999999</v>
      </c>
      <c r="AO75" s="54">
        <v>422.6345</v>
      </c>
      <c r="AP75" s="54">
        <v>385.70890000000003</v>
      </c>
      <c r="AQ75" s="54">
        <v>291.85970000000003</v>
      </c>
      <c r="AR75" s="54">
        <v>344.70289999999994</v>
      </c>
      <c r="AS75" s="54">
        <v>312.8071000000001</v>
      </c>
      <c r="AT75" s="54">
        <v>262.52929999999998</v>
      </c>
      <c r="AU75" s="54">
        <v>381.58809999999988</v>
      </c>
      <c r="AV75" s="54">
        <v>352.74249999999995</v>
      </c>
      <c r="AW75" s="54">
        <v>269.31649999999996</v>
      </c>
      <c r="AX75" s="54">
        <v>327.01780000000014</v>
      </c>
      <c r="AY75" s="54">
        <v>293.82920000000001</v>
      </c>
      <c r="AZ75" s="54">
        <v>247.24800000000013</v>
      </c>
      <c r="BA75" s="54">
        <v>404.92919999999998</v>
      </c>
      <c r="BB75" s="54">
        <v>374.32620000000003</v>
      </c>
      <c r="BC75" s="54">
        <v>282.52730000000014</v>
      </c>
      <c r="BD75" s="54">
        <v>328.88629999999995</v>
      </c>
      <c r="BE75" s="54">
        <v>293.84940000000006</v>
      </c>
      <c r="BF75" s="54">
        <v>251.30819999999997</v>
      </c>
      <c r="BG75" s="54">
        <v>392.58700000000005</v>
      </c>
      <c r="BH75" s="54">
        <v>359.26710000000008</v>
      </c>
      <c r="BI75" s="54">
        <v>267.16519999999997</v>
      </c>
      <c r="BJ75" s="54">
        <v>327.44200000000001</v>
      </c>
      <c r="BK75" s="54">
        <v>287.24400000000003</v>
      </c>
      <c r="BL75" s="54">
        <v>246.78339999999997</v>
      </c>
      <c r="BM75" s="54">
        <v>429.80550000000005</v>
      </c>
      <c r="BN75" s="54">
        <v>388.32480000000015</v>
      </c>
      <c r="BO75" s="54">
        <v>291.74860000000001</v>
      </c>
      <c r="BP75" s="54">
        <v>353.8232000000001</v>
      </c>
      <c r="BQ75" s="54">
        <v>314.72609999999992</v>
      </c>
      <c r="BR75" s="54">
        <v>261.20619999999997</v>
      </c>
      <c r="BS75" s="54">
        <v>449.83380000000017</v>
      </c>
      <c r="BT75" s="54">
        <v>404.53530000000006</v>
      </c>
      <c r="BU75" s="54">
        <v>304.35340000000008</v>
      </c>
      <c r="BV75" s="54">
        <v>369.69030000000004</v>
      </c>
      <c r="BW75" s="54">
        <v>324.28069999999985</v>
      </c>
      <c r="BX75" s="54">
        <v>264.54930000000007</v>
      </c>
    </row>
    <row r="76" spans="1:76" x14ac:dyDescent="0.3">
      <c r="A76" s="8" t="s">
        <v>102</v>
      </c>
      <c r="B76" s="8" t="s">
        <v>10</v>
      </c>
      <c r="C76" s="8" t="s">
        <v>111</v>
      </c>
      <c r="D76" s="8" t="s">
        <v>115</v>
      </c>
      <c r="E76" s="54">
        <v>-2.2630630768371018</v>
      </c>
      <c r="F76" s="54">
        <v>-6.0933132168459192</v>
      </c>
      <c r="G76" s="54">
        <v>-43.658314924955199</v>
      </c>
      <c r="H76" s="54">
        <v>-89.571684234991181</v>
      </c>
      <c r="I76" s="54">
        <v>-80.617425128808208</v>
      </c>
      <c r="J76" s="54">
        <v>-59.350393813470738</v>
      </c>
      <c r="K76" s="54">
        <v>-16.328769175627201</v>
      </c>
      <c r="L76" s="54">
        <v>-17.240828403150999</v>
      </c>
      <c r="M76" s="54">
        <v>-55.123960198252718</v>
      </c>
      <c r="N76" s="54">
        <v>-84.052892568324381</v>
      </c>
      <c r="O76" s="54">
        <v>-80.739917786738388</v>
      </c>
      <c r="P76" s="54">
        <v>-61.456714258512513</v>
      </c>
      <c r="Q76" s="54">
        <v>-19.123909800627281</v>
      </c>
      <c r="R76" s="54">
        <v>-12.501359346998253</v>
      </c>
      <c r="S76" s="54">
        <v>-56.044026276881766</v>
      </c>
      <c r="T76" s="54">
        <v>-82.994125112007211</v>
      </c>
      <c r="U76" s="54">
        <v>-79.436204967517909</v>
      </c>
      <c r="V76" s="54">
        <v>-55.384042786738249</v>
      </c>
      <c r="W76" s="54">
        <v>-91.655121415770708</v>
      </c>
      <c r="X76" s="54">
        <v>-82.859109117383483</v>
      </c>
      <c r="Y76" s="54">
        <v>-57.713103903860308</v>
      </c>
      <c r="Z76" s="54">
        <v>-87.267424456765269</v>
      </c>
      <c r="AA76" s="54">
        <v>-77.744661990367447</v>
      </c>
      <c r="AB76" s="54">
        <v>-56.216307952919429</v>
      </c>
      <c r="AC76" s="54">
        <v>-86.06969795586916</v>
      </c>
      <c r="AD76" s="54">
        <v>-82.675870138888882</v>
      </c>
      <c r="AE76" s="54">
        <v>-62.456177970166557</v>
      </c>
      <c r="AF76" s="54">
        <v>-80.670539544130946</v>
      </c>
      <c r="AG76" s="54">
        <v>-77.012488351254518</v>
      </c>
      <c r="AH76" s="54">
        <v>-56.763201945301049</v>
      </c>
      <c r="AI76" s="54">
        <v>-45.234145179738114</v>
      </c>
      <c r="AJ76" s="54">
        <v>-48.640118851858595</v>
      </c>
      <c r="AK76" s="54">
        <v>-58.170003662634471</v>
      </c>
      <c r="AL76" s="54">
        <v>-83.285969115669985</v>
      </c>
      <c r="AM76" s="54">
        <v>-78.676889136356735</v>
      </c>
      <c r="AN76" s="54">
        <v>-64.097307101254614</v>
      </c>
      <c r="AO76" s="54">
        <v>-19.267080971787422</v>
      </c>
      <c r="AP76" s="54">
        <v>-13.296416672266997</v>
      </c>
      <c r="AQ76" s="54">
        <v>-63.661085870295729</v>
      </c>
      <c r="AR76" s="54">
        <v>-82.735867501120055</v>
      </c>
      <c r="AS76" s="54">
        <v>-80.105648963933575</v>
      </c>
      <c r="AT76" s="54">
        <v>-64.913046130152367</v>
      </c>
      <c r="AU76" s="54">
        <v>-85.976956143593128</v>
      </c>
      <c r="AV76" s="54">
        <v>-83.442304127464112</v>
      </c>
      <c r="AW76" s="54">
        <v>-65.27722451073204</v>
      </c>
      <c r="AX76" s="54">
        <v>-71.957113412236097</v>
      </c>
      <c r="AY76" s="54">
        <v>-69.050560864695413</v>
      </c>
      <c r="AZ76" s="54">
        <v>-53.828190208536682</v>
      </c>
      <c r="BA76" s="54">
        <v>-15.223270318100335</v>
      </c>
      <c r="BB76" s="54">
        <v>-12.534196225358452</v>
      </c>
      <c r="BC76" s="54">
        <v>-44.150282251445901</v>
      </c>
      <c r="BD76" s="54">
        <v>-71.862197843862049</v>
      </c>
      <c r="BE76" s="54">
        <v>-64.022201422491037</v>
      </c>
      <c r="BF76" s="54">
        <v>-46.442897848444133</v>
      </c>
      <c r="BG76" s="54">
        <v>-64.69539667338708</v>
      </c>
      <c r="BH76" s="54">
        <v>-61.7675896001344</v>
      </c>
      <c r="BI76" s="54">
        <v>-46.422527540084687</v>
      </c>
      <c r="BJ76" s="54">
        <v>-80.870771617383539</v>
      </c>
      <c r="BK76" s="54">
        <v>-77.4214917114695</v>
      </c>
      <c r="BL76" s="54">
        <v>-53.469683218848154</v>
      </c>
      <c r="BM76" s="54">
        <v>-24.415391437052069</v>
      </c>
      <c r="BN76" s="54">
        <v>-17.22581134579282</v>
      </c>
      <c r="BO76" s="54">
        <v>-62.818694557760679</v>
      </c>
      <c r="BP76" s="54">
        <v>-83.537264829749105</v>
      </c>
      <c r="BQ76" s="54">
        <v>-72.853524355958712</v>
      </c>
      <c r="BR76" s="54">
        <v>-56.08837185259852</v>
      </c>
      <c r="BS76" s="54">
        <v>-7.6554879144266064</v>
      </c>
      <c r="BT76" s="54">
        <v>-20.57474046258967</v>
      </c>
      <c r="BU76" s="54">
        <v>-51.700954558691727</v>
      </c>
      <c r="BV76" s="54">
        <v>-87.736460612679252</v>
      </c>
      <c r="BW76" s="54">
        <v>-80.802021634184484</v>
      </c>
      <c r="BX76" s="54">
        <v>-65.208002447356691</v>
      </c>
    </row>
    <row r="77" spans="1:76" x14ac:dyDescent="0.3">
      <c r="A77" s="8" t="s">
        <v>102</v>
      </c>
      <c r="B77" s="8" t="s">
        <v>10</v>
      </c>
      <c r="C77" s="8" t="s">
        <v>111</v>
      </c>
      <c r="D77" s="8" t="s">
        <v>118</v>
      </c>
      <c r="E77" s="54">
        <v>338.79127465389769</v>
      </c>
      <c r="F77" s="54">
        <v>298.35931206989244</v>
      </c>
      <c r="G77" s="54">
        <v>187.84299854502694</v>
      </c>
      <c r="H77" s="54">
        <v>223.00587695900532</v>
      </c>
      <c r="I77" s="54">
        <v>183.53695742271503</v>
      </c>
      <c r="J77" s="54">
        <v>145.87923871191788</v>
      </c>
      <c r="K77" s="54">
        <v>307.27713849462378</v>
      </c>
      <c r="L77" s="54">
        <v>276.97404045810958</v>
      </c>
      <c r="M77" s="54">
        <v>171.94936138104833</v>
      </c>
      <c r="N77" s="54">
        <v>214.29815195900548</v>
      </c>
      <c r="O77" s="54">
        <v>183.2955493279571</v>
      </c>
      <c r="P77" s="54">
        <v>146.80714644489257</v>
      </c>
      <c r="Q77" s="54">
        <v>294.55317911962362</v>
      </c>
      <c r="R77" s="54">
        <v>269.70762189180107</v>
      </c>
      <c r="S77" s="54">
        <v>165.83853423387086</v>
      </c>
      <c r="T77" s="54">
        <v>204.39027493279571</v>
      </c>
      <c r="U77" s="54">
        <v>171.09548951948949</v>
      </c>
      <c r="V77" s="54">
        <v>144.07007432795714</v>
      </c>
      <c r="W77" s="54">
        <v>226.58992715053762</v>
      </c>
      <c r="X77" s="54">
        <v>204.96618452956983</v>
      </c>
      <c r="Y77" s="54">
        <v>147.11790015768389</v>
      </c>
      <c r="Z77" s="54">
        <v>184.14245782594074</v>
      </c>
      <c r="AA77" s="54">
        <v>155.26614030577957</v>
      </c>
      <c r="AB77" s="54">
        <v>131.53404022824833</v>
      </c>
      <c r="AC77" s="54">
        <v>229.43744372647856</v>
      </c>
      <c r="AD77" s="54">
        <v>204.65192791666675</v>
      </c>
      <c r="AE77" s="54">
        <v>142.51339321790013</v>
      </c>
      <c r="AF77" s="54">
        <v>176.34671377352163</v>
      </c>
      <c r="AG77" s="54">
        <v>148.4145069892474</v>
      </c>
      <c r="AH77" s="54">
        <v>126.74296633281924</v>
      </c>
      <c r="AI77" s="54">
        <v>285.46213789215733</v>
      </c>
      <c r="AJ77" s="54">
        <v>250.32211618888488</v>
      </c>
      <c r="AK77" s="54">
        <v>160.48002280241946</v>
      </c>
      <c r="AL77" s="54">
        <v>191.73661853059821</v>
      </c>
      <c r="AM77" s="54">
        <v>166.53137901818604</v>
      </c>
      <c r="AN77" s="54">
        <v>133.57496573924755</v>
      </c>
      <c r="AO77" s="54">
        <v>308.24493891692748</v>
      </c>
      <c r="AP77" s="54">
        <v>279.51743749663984</v>
      </c>
      <c r="AQ77" s="54">
        <v>167.1805859778226</v>
      </c>
      <c r="AR77" s="54">
        <v>201.97351699932798</v>
      </c>
      <c r="AS77" s="54">
        <v>175.64282312163982</v>
      </c>
      <c r="AT77" s="54">
        <v>140.76530982190849</v>
      </c>
      <c r="AU77" s="54">
        <v>232.303413813844</v>
      </c>
      <c r="AV77" s="54">
        <v>208.58430502352167</v>
      </c>
      <c r="AW77" s="54">
        <v>146.48560279356082</v>
      </c>
      <c r="AX77" s="54">
        <v>192.96630695265839</v>
      </c>
      <c r="AY77" s="54">
        <v>165.67021348118305</v>
      </c>
      <c r="AZ77" s="54">
        <v>134.04508587487797</v>
      </c>
      <c r="BA77" s="54">
        <v>295.17908780913984</v>
      </c>
      <c r="BB77" s="54">
        <v>270.01490726478505</v>
      </c>
      <c r="BC77" s="54">
        <v>170.72121814913243</v>
      </c>
      <c r="BD77" s="54">
        <v>194.65819379368276</v>
      </c>
      <c r="BE77" s="54">
        <v>168.70490414650541</v>
      </c>
      <c r="BF77" s="54">
        <v>142.0289362909335</v>
      </c>
      <c r="BG77" s="54">
        <v>254.69638699596774</v>
      </c>
      <c r="BH77" s="54">
        <v>227.29815873991944</v>
      </c>
      <c r="BI77" s="54">
        <v>155.91603347594929</v>
      </c>
      <c r="BJ77" s="54">
        <v>187.98928702956997</v>
      </c>
      <c r="BK77" s="54">
        <v>154.88560497311832</v>
      </c>
      <c r="BL77" s="54">
        <v>133.85366506869124</v>
      </c>
      <c r="BM77" s="54">
        <v>311.43057763776881</v>
      </c>
      <c r="BN77" s="54">
        <v>279.44871319252428</v>
      </c>
      <c r="BO77" s="54">
        <v>167.5888082653436</v>
      </c>
      <c r="BP77" s="54">
        <v>209.47294110215054</v>
      </c>
      <c r="BQ77" s="54">
        <v>181.67322288642472</v>
      </c>
      <c r="BR77" s="54">
        <v>144.90240188844106</v>
      </c>
      <c r="BS77" s="54">
        <v>339.01128225134403</v>
      </c>
      <c r="BT77" s="54">
        <v>291.6235432224463</v>
      </c>
      <c r="BU77" s="54">
        <v>185.28865226478496</v>
      </c>
      <c r="BV77" s="54">
        <v>220.83713613239243</v>
      </c>
      <c r="BW77" s="54">
        <v>185.26439951948925</v>
      </c>
      <c r="BX77" s="54">
        <v>142.35583603158619</v>
      </c>
    </row>
    <row r="78" spans="1:76" x14ac:dyDescent="0.3">
      <c r="A78" s="8" t="s">
        <v>102</v>
      </c>
      <c r="B78" s="8" t="s">
        <v>10</v>
      </c>
      <c r="C78" s="8" t="s">
        <v>115</v>
      </c>
      <c r="D78" s="8" t="s">
        <v>116</v>
      </c>
      <c r="E78" s="54">
        <v>385.19019511536732</v>
      </c>
      <c r="F78" s="54">
        <v>343.46428264336913</v>
      </c>
      <c r="G78" s="54">
        <v>252.94542048499102</v>
      </c>
      <c r="H78" s="54">
        <v>332.00595434699818</v>
      </c>
      <c r="I78" s="54">
        <v>280.2488875257618</v>
      </c>
      <c r="J78" s="54">
        <v>219.81549376269462</v>
      </c>
      <c r="K78" s="54">
        <v>362.29151383512573</v>
      </c>
      <c r="L78" s="54">
        <v>329.31739318063012</v>
      </c>
      <c r="M78" s="54">
        <v>245.19409953965044</v>
      </c>
      <c r="N78" s="54">
        <v>317.50959601366492</v>
      </c>
      <c r="O78" s="54">
        <v>280.08628355734766</v>
      </c>
      <c r="P78" s="54">
        <v>222.67893785170267</v>
      </c>
      <c r="Q78" s="54">
        <v>350.54116696012551</v>
      </c>
      <c r="R78" s="54">
        <v>317.1039593693996</v>
      </c>
      <c r="S78" s="54">
        <v>239.18403525537624</v>
      </c>
      <c r="T78" s="54">
        <v>305.54977502240143</v>
      </c>
      <c r="U78" s="54">
        <v>265.35956349350329</v>
      </c>
      <c r="V78" s="54">
        <v>214.35450855734751</v>
      </c>
      <c r="W78" s="54">
        <v>337.80922428315409</v>
      </c>
      <c r="X78" s="54">
        <v>306.07423182347679</v>
      </c>
      <c r="Y78" s="54">
        <v>219.77361328077217</v>
      </c>
      <c r="Z78" s="54">
        <v>286.69958739135313</v>
      </c>
      <c r="AA78" s="54">
        <v>246.25191989807348</v>
      </c>
      <c r="AB78" s="54">
        <v>201.10866659058391</v>
      </c>
      <c r="AC78" s="54">
        <v>336.13083209117377</v>
      </c>
      <c r="AD78" s="54">
        <v>305.56490402777769</v>
      </c>
      <c r="AE78" s="54">
        <v>218.76257559403322</v>
      </c>
      <c r="AF78" s="54">
        <v>272.28303540882615</v>
      </c>
      <c r="AG78" s="54">
        <v>237.98129767025088</v>
      </c>
      <c r="AH78" s="54">
        <v>196.24505788906021</v>
      </c>
      <c r="AI78" s="54">
        <v>363.08975403594769</v>
      </c>
      <c r="AJ78" s="54">
        <v>326.89206127037164</v>
      </c>
      <c r="AK78" s="54">
        <v>235.0596857325269</v>
      </c>
      <c r="AL78" s="54">
        <v>291.70347382313389</v>
      </c>
      <c r="AM78" s="54">
        <v>259.6143203272714</v>
      </c>
      <c r="AN78" s="54">
        <v>210.22805142025126</v>
      </c>
      <c r="AO78" s="54">
        <v>365.92205369435749</v>
      </c>
      <c r="AP78" s="54">
        <v>328.72546083445366</v>
      </c>
      <c r="AQ78" s="54">
        <v>247.29542467405906</v>
      </c>
      <c r="AR78" s="54">
        <v>302.63250100022401</v>
      </c>
      <c r="AS78" s="54">
        <v>271.00805229278689</v>
      </c>
      <c r="AT78" s="54">
        <v>218.94867672603047</v>
      </c>
      <c r="AU78" s="54">
        <v>339.24378872871876</v>
      </c>
      <c r="AV78" s="54">
        <v>310.6123983254929</v>
      </c>
      <c r="AW78" s="54">
        <v>225.63903240214623</v>
      </c>
      <c r="AX78" s="54">
        <v>283.23377768244717</v>
      </c>
      <c r="AY78" s="54">
        <v>250.29358217293884</v>
      </c>
      <c r="AZ78" s="54">
        <v>201.83243804170735</v>
      </c>
      <c r="BA78" s="54">
        <v>347.85062406361988</v>
      </c>
      <c r="BB78" s="54">
        <v>317.47488424507162</v>
      </c>
      <c r="BC78" s="54">
        <v>234.29417395028929</v>
      </c>
      <c r="BD78" s="54">
        <v>285.03658206877259</v>
      </c>
      <c r="BE78" s="54">
        <v>249.30760528449824</v>
      </c>
      <c r="BF78" s="54">
        <v>204.31407456968898</v>
      </c>
      <c r="BG78" s="54">
        <v>345.71140433467764</v>
      </c>
      <c r="BH78" s="54">
        <v>312.6389404200267</v>
      </c>
      <c r="BI78" s="54">
        <v>219.77057550801703</v>
      </c>
      <c r="BJ78" s="54">
        <v>285.4301043234766</v>
      </c>
      <c r="BK78" s="54">
        <v>245.54719834229411</v>
      </c>
      <c r="BL78" s="54">
        <v>201.30775164376956</v>
      </c>
      <c r="BM78" s="54">
        <v>373.94344078741051</v>
      </c>
      <c r="BN78" s="54">
        <v>332.0618422691586</v>
      </c>
      <c r="BO78" s="54">
        <v>247.01862391155217</v>
      </c>
      <c r="BP78" s="54">
        <v>311.6850729659497</v>
      </c>
      <c r="BQ78" s="54">
        <v>271.42865237119173</v>
      </c>
      <c r="BR78" s="54">
        <v>215.8937193705197</v>
      </c>
      <c r="BS78" s="54">
        <v>390.11905258288527</v>
      </c>
      <c r="BT78" s="54">
        <v>348.53686559251804</v>
      </c>
      <c r="BU78" s="54">
        <v>257.0847559117384</v>
      </c>
      <c r="BV78" s="54">
        <v>327.99533462253595</v>
      </c>
      <c r="BW78" s="54">
        <v>282.33408682683694</v>
      </c>
      <c r="BX78" s="54">
        <v>220.97716798947141</v>
      </c>
    </row>
    <row r="79" spans="1:76" x14ac:dyDescent="0.3">
      <c r="A79" s="8" t="s">
        <v>102</v>
      </c>
      <c r="B79" s="8" t="s">
        <v>10</v>
      </c>
      <c r="C79" s="8" t="s">
        <v>115</v>
      </c>
      <c r="D79" s="8" t="s">
        <v>117</v>
      </c>
      <c r="E79" s="54">
        <v>413.67263023073474</v>
      </c>
      <c r="F79" s="54">
        <v>365.08600528673838</v>
      </c>
      <c r="G79" s="54">
        <v>264.4846809699817</v>
      </c>
      <c r="H79" s="54">
        <v>365.27006869399645</v>
      </c>
      <c r="I79" s="54">
        <v>302.75385505152343</v>
      </c>
      <c r="J79" s="54">
        <v>227.98346752538779</v>
      </c>
      <c r="K79" s="54">
        <v>388.97214767025076</v>
      </c>
      <c r="L79" s="54">
        <v>350.2292663612605</v>
      </c>
      <c r="M79" s="54">
        <v>257.22363907930077</v>
      </c>
      <c r="N79" s="54">
        <v>347.26615202732989</v>
      </c>
      <c r="O79" s="54">
        <v>302.58216711469532</v>
      </c>
      <c r="P79" s="54">
        <v>231.70651570340462</v>
      </c>
      <c r="Q79" s="54">
        <v>375.5714539202508</v>
      </c>
      <c r="R79" s="54">
        <v>335.04591873879929</v>
      </c>
      <c r="S79" s="54">
        <v>250.2858305107527</v>
      </c>
      <c r="T79" s="54">
        <v>332.98595004480291</v>
      </c>
      <c r="U79" s="54">
        <v>284.99824698700735</v>
      </c>
      <c r="V79" s="54">
        <v>220.8914171146954</v>
      </c>
      <c r="W79" s="54">
        <v>372.45684856630822</v>
      </c>
      <c r="X79" s="54">
        <v>333.58238364695336</v>
      </c>
      <c r="Y79" s="54">
        <v>227.66538656154412</v>
      </c>
      <c r="Z79" s="54">
        <v>311.45365478270628</v>
      </c>
      <c r="AA79" s="54">
        <v>262.18343979614713</v>
      </c>
      <c r="AB79" s="54">
        <v>205.40469318116772</v>
      </c>
      <c r="AC79" s="54">
        <v>369.56062418234768</v>
      </c>
      <c r="AD79" s="54">
        <v>332.9515680555557</v>
      </c>
      <c r="AE79" s="54">
        <v>227.25123118806633</v>
      </c>
      <c r="AF79" s="54">
        <v>293.36695081765265</v>
      </c>
      <c r="AG79" s="54">
        <v>252.30819534050198</v>
      </c>
      <c r="AH79" s="54">
        <v>199.75787577812011</v>
      </c>
      <c r="AI79" s="54">
        <v>394.65710807189527</v>
      </c>
      <c r="AJ79" s="54">
        <v>352.52132254074354</v>
      </c>
      <c r="AK79" s="54">
        <v>245.77009146505358</v>
      </c>
      <c r="AL79" s="54">
        <v>316.70230764626808</v>
      </c>
      <c r="AM79" s="54">
        <v>278.0972006545428</v>
      </c>
      <c r="AN79" s="54">
        <v>217.45418284050166</v>
      </c>
      <c r="AO79" s="54">
        <v>393.73650738871493</v>
      </c>
      <c r="AP79" s="54">
        <v>348.88380166890664</v>
      </c>
      <c r="AQ79" s="54">
        <v>261.10308934811832</v>
      </c>
      <c r="AR79" s="54">
        <v>329.50268200044809</v>
      </c>
      <c r="AS79" s="54">
        <v>291.77042458557366</v>
      </c>
      <c r="AT79" s="54">
        <v>227.87391345206044</v>
      </c>
      <c r="AU79" s="54">
        <v>373.21709745743715</v>
      </c>
      <c r="AV79" s="54">
        <v>339.03079665098579</v>
      </c>
      <c r="AW79" s="54">
        <v>235.82486480429287</v>
      </c>
      <c r="AX79" s="54">
        <v>304.85331536489446</v>
      </c>
      <c r="AY79" s="54">
        <v>265.52380434587809</v>
      </c>
      <c r="AZ79" s="54">
        <v>205.8664760834148</v>
      </c>
      <c r="BA79" s="54">
        <v>371.75788812724011</v>
      </c>
      <c r="BB79" s="54">
        <v>335.48880849014353</v>
      </c>
      <c r="BC79" s="54">
        <v>242.56650790057833</v>
      </c>
      <c r="BD79" s="54">
        <v>306.96412413754473</v>
      </c>
      <c r="BE79" s="54">
        <v>263.53569056899676</v>
      </c>
      <c r="BF79" s="54">
        <v>207.58158913937774</v>
      </c>
      <c r="BG79" s="54">
        <v>377.35320866935473</v>
      </c>
      <c r="BH79" s="54">
        <v>337.86420084005385</v>
      </c>
      <c r="BI79" s="54">
        <v>225.8089910160339</v>
      </c>
      <c r="BJ79" s="54">
        <v>308.90660864695343</v>
      </c>
      <c r="BK79" s="54">
        <v>261.29919668458768</v>
      </c>
      <c r="BL79" s="54">
        <v>205.1887832875392</v>
      </c>
      <c r="BM79" s="54">
        <v>404.04248157482073</v>
      </c>
      <c r="BN79" s="54">
        <v>353.46384453831712</v>
      </c>
      <c r="BO79" s="54">
        <v>260.63836782310432</v>
      </c>
      <c r="BP79" s="54">
        <v>340.31158593189946</v>
      </c>
      <c r="BQ79" s="54">
        <v>291.07642474238361</v>
      </c>
      <c r="BR79" s="54">
        <v>222.82247874103911</v>
      </c>
      <c r="BS79" s="54">
        <v>420.37106516577063</v>
      </c>
      <c r="BT79" s="54">
        <v>373.44549118503579</v>
      </c>
      <c r="BU79" s="54">
        <v>270.68679182347677</v>
      </c>
      <c r="BV79" s="54">
        <v>360.23842924507153</v>
      </c>
      <c r="BW79" s="54">
        <v>305.24361365367383</v>
      </c>
      <c r="BX79" s="54">
        <v>230.3148959789425</v>
      </c>
    </row>
    <row r="80" spans="1:76" x14ac:dyDescent="0.3">
      <c r="A80" s="8" t="s">
        <v>102</v>
      </c>
      <c r="B80" s="8" t="s">
        <v>10</v>
      </c>
      <c r="C80" s="8" t="s">
        <v>116</v>
      </c>
      <c r="D80" s="8" t="s">
        <v>117</v>
      </c>
      <c r="E80" s="54">
        <v>-60.694504884632572</v>
      </c>
      <c r="F80" s="54">
        <v>-58.83891735663083</v>
      </c>
      <c r="G80" s="54">
        <v>-48.812279515008882</v>
      </c>
      <c r="H80" s="54">
        <v>-41.421345653001708</v>
      </c>
      <c r="I80" s="54">
        <v>-41.931012474238251</v>
      </c>
      <c r="J80" s="54">
        <v>-44.743906237305396</v>
      </c>
      <c r="K80" s="54">
        <v>-57.222086164874455</v>
      </c>
      <c r="L80" s="54">
        <v>-56.189506819369853</v>
      </c>
      <c r="M80" s="54">
        <v>-46.261600460349442</v>
      </c>
      <c r="N80" s="54">
        <v>-42.181703986335137</v>
      </c>
      <c r="O80" s="54">
        <v>-41.90171644265228</v>
      </c>
      <c r="P80" s="54">
        <v>-44.385262148297414</v>
      </c>
      <c r="Q80" s="54">
        <v>-56.347433039874552</v>
      </c>
      <c r="R80" s="54">
        <v>-56.848540630600297</v>
      </c>
      <c r="S80" s="54">
        <v>-45.918764744623751</v>
      </c>
      <c r="T80" s="54">
        <v>-42.092224977598569</v>
      </c>
      <c r="U80" s="54">
        <v>-41.791536506496698</v>
      </c>
      <c r="V80" s="54">
        <v>-45.417491442652612</v>
      </c>
      <c r="W80" s="54">
        <v>-41.142775716845883</v>
      </c>
      <c r="X80" s="54">
        <v>-42.133368176523248</v>
      </c>
      <c r="Y80" s="54">
        <v>-45.078686719227875</v>
      </c>
      <c r="Z80" s="54">
        <v>-40.732312608646957</v>
      </c>
      <c r="AA80" s="54">
        <v>-41.648580101926626</v>
      </c>
      <c r="AB80" s="54">
        <v>-44.907133409416097</v>
      </c>
      <c r="AC80" s="54">
        <v>-42.245467908826214</v>
      </c>
      <c r="AD80" s="54">
        <v>-42.157895972222192</v>
      </c>
      <c r="AE80" s="54">
        <v>-44.079824405966697</v>
      </c>
      <c r="AF80" s="54">
        <v>-41.715864591173933</v>
      </c>
      <c r="AG80" s="54">
        <v>-41.586702329749144</v>
      </c>
      <c r="AH80" s="54">
        <v>-44.670242110939952</v>
      </c>
      <c r="AI80" s="54">
        <v>-51.313245964052399</v>
      </c>
      <c r="AJ80" s="54">
        <v>-49.6864387296283</v>
      </c>
      <c r="AK80" s="54">
        <v>-45.376914267473033</v>
      </c>
      <c r="AL80" s="54">
        <v>-41.677326176866146</v>
      </c>
      <c r="AM80" s="54">
        <v>-41.799979672728639</v>
      </c>
      <c r="AN80" s="54">
        <v>-43.524348579748853</v>
      </c>
      <c r="AO80" s="54">
        <v>-56.712446305642537</v>
      </c>
      <c r="AP80" s="54">
        <v>-56.983439165546493</v>
      </c>
      <c r="AQ80" s="54">
        <v>-44.564275325940869</v>
      </c>
      <c r="AR80" s="54">
        <v>-42.070398999776046</v>
      </c>
      <c r="AS80" s="54">
        <v>-41.799047707213212</v>
      </c>
      <c r="AT80" s="54">
        <v>-43.580623273969501</v>
      </c>
      <c r="AU80" s="54">
        <v>-42.344311271281242</v>
      </c>
      <c r="AV80" s="54">
        <v>-42.130101674507038</v>
      </c>
      <c r="AW80" s="54">
        <v>-43.677467597853735</v>
      </c>
      <c r="AX80" s="54">
        <v>-43.78402231755274</v>
      </c>
      <c r="AY80" s="54">
        <v>-43.535617827061166</v>
      </c>
      <c r="AZ80" s="54">
        <v>-45.415561958292663</v>
      </c>
      <c r="BA80" s="54">
        <v>-57.078575936379991</v>
      </c>
      <c r="BB80" s="54">
        <v>-56.851315754928407</v>
      </c>
      <c r="BC80" s="54">
        <v>-48.233126049710862</v>
      </c>
      <c r="BD80" s="54">
        <v>-43.849717931227495</v>
      </c>
      <c r="BE80" s="54">
        <v>-44.541794715501794</v>
      </c>
      <c r="BF80" s="54">
        <v>-46.994125430311229</v>
      </c>
      <c r="BG80" s="54">
        <v>-46.875595665322621</v>
      </c>
      <c r="BH80" s="54">
        <v>-46.628159579973129</v>
      </c>
      <c r="BI80" s="54">
        <v>-47.394624491983173</v>
      </c>
      <c r="BJ80" s="54">
        <v>-42.011895676523416</v>
      </c>
      <c r="BK80" s="54">
        <v>-41.696801657705947</v>
      </c>
      <c r="BL80" s="54">
        <v>-45.475648356230415</v>
      </c>
      <c r="BM80" s="54">
        <v>-55.862059212589578</v>
      </c>
      <c r="BN80" s="54">
        <v>-56.262957730841443</v>
      </c>
      <c r="BO80" s="54">
        <v>-44.729976088447863</v>
      </c>
      <c r="BP80" s="54">
        <v>-42.138127034050179</v>
      </c>
      <c r="BQ80" s="54">
        <v>-43.297447628808271</v>
      </c>
      <c r="BR80" s="54">
        <v>-45.312480629480234</v>
      </c>
      <c r="BS80" s="54">
        <v>-59.714747417114687</v>
      </c>
      <c r="BT80" s="54">
        <v>-55.99843440748198</v>
      </c>
      <c r="BU80" s="54">
        <v>-47.268644088261588</v>
      </c>
      <c r="BV80" s="54">
        <v>-41.694965377464086</v>
      </c>
      <c r="BW80" s="54">
        <v>-41.946613173163058</v>
      </c>
      <c r="BX80" s="54">
        <v>-43.572132010528563</v>
      </c>
    </row>
    <row r="81" spans="1:76" x14ac:dyDescent="0.3">
      <c r="A81" s="8" t="s">
        <v>102</v>
      </c>
      <c r="B81" s="8" t="s">
        <v>10</v>
      </c>
      <c r="C81" s="8" t="s">
        <v>117</v>
      </c>
      <c r="D81" s="8" t="s">
        <v>118</v>
      </c>
      <c r="E81" s="54">
        <v>107.09342534610222</v>
      </c>
      <c r="F81" s="54">
        <v>103.94388793010756</v>
      </c>
      <c r="G81" s="54">
        <v>113.91470145497307</v>
      </c>
      <c r="H81" s="54">
        <v>150.4214230409946</v>
      </c>
      <c r="I81" s="54">
        <v>138.64294257728505</v>
      </c>
      <c r="J81" s="54">
        <v>118.68016128808212</v>
      </c>
      <c r="K81" s="54">
        <v>112.23646150537635</v>
      </c>
      <c r="L81" s="54">
        <v>108.53285954189063</v>
      </c>
      <c r="M81" s="54">
        <v>119.50633861895166</v>
      </c>
      <c r="N81" s="54">
        <v>145.39314804099467</v>
      </c>
      <c r="O81" s="54">
        <v>138.69245067204307</v>
      </c>
      <c r="P81" s="54">
        <v>120.2570535551074</v>
      </c>
      <c r="Q81" s="54">
        <v>112.3354208803764</v>
      </c>
      <c r="R81" s="54">
        <v>104.24487810819905</v>
      </c>
      <c r="S81" s="54">
        <v>119.26426576612914</v>
      </c>
      <c r="T81" s="54">
        <v>143.25172506720429</v>
      </c>
      <c r="U81" s="54">
        <v>136.05561048051064</v>
      </c>
      <c r="V81" s="54">
        <v>115.70192567204285</v>
      </c>
      <c r="W81" s="54">
        <v>152.36207284946246</v>
      </c>
      <c r="X81" s="54">
        <v>143.24141547043013</v>
      </c>
      <c r="Y81" s="54">
        <v>117.73439984231615</v>
      </c>
      <c r="Z81" s="54">
        <v>143.28944217405925</v>
      </c>
      <c r="AA81" s="54">
        <v>132.63435969422045</v>
      </c>
      <c r="AB81" s="54">
        <v>114.48175977175168</v>
      </c>
      <c r="AC81" s="54">
        <v>148.93885627352142</v>
      </c>
      <c r="AD81" s="54">
        <v>143.07087208333337</v>
      </c>
      <c r="AE81" s="54">
        <v>120.3290067820999</v>
      </c>
      <c r="AF81" s="54">
        <v>137.65218622647845</v>
      </c>
      <c r="AG81" s="54">
        <v>131.15349301075264</v>
      </c>
      <c r="AH81" s="54">
        <v>114.17233366718082</v>
      </c>
      <c r="AI81" s="54">
        <v>128.94086210784272</v>
      </c>
      <c r="AJ81" s="54">
        <v>126.25638381111514</v>
      </c>
      <c r="AK81" s="54">
        <v>119.95657719758057</v>
      </c>
      <c r="AL81" s="54">
        <v>141.64418146940184</v>
      </c>
      <c r="AM81" s="54">
        <v>134.88292098181398</v>
      </c>
      <c r="AN81" s="54">
        <v>120.17743426075245</v>
      </c>
      <c r="AO81" s="54">
        <v>114.38956108307252</v>
      </c>
      <c r="AP81" s="54">
        <v>106.1914625033602</v>
      </c>
      <c r="AQ81" s="54">
        <v>124.67911402217746</v>
      </c>
      <c r="AR81" s="54">
        <v>142.72938300067207</v>
      </c>
      <c r="AS81" s="54">
        <v>137.1642768783602</v>
      </c>
      <c r="AT81" s="54">
        <v>121.76399017809159</v>
      </c>
      <c r="AU81" s="54">
        <v>149.28468618615588</v>
      </c>
      <c r="AV81" s="54">
        <v>144.15819497647851</v>
      </c>
      <c r="AW81" s="54">
        <v>122.83089720643925</v>
      </c>
      <c r="AX81" s="54">
        <v>134.05149304734175</v>
      </c>
      <c r="AY81" s="54">
        <v>128.15898651881696</v>
      </c>
      <c r="AZ81" s="54">
        <v>113.20291412512206</v>
      </c>
      <c r="BA81" s="54">
        <v>109.75011219086016</v>
      </c>
      <c r="BB81" s="54">
        <v>104.31129273521501</v>
      </c>
      <c r="BC81" s="54">
        <v>111.80608185086749</v>
      </c>
      <c r="BD81" s="54">
        <v>134.22810620631731</v>
      </c>
      <c r="BE81" s="54">
        <v>125.14449585349463</v>
      </c>
      <c r="BF81" s="54">
        <v>109.27926370906648</v>
      </c>
      <c r="BG81" s="54">
        <v>137.89061300403228</v>
      </c>
      <c r="BH81" s="54">
        <v>131.96894126008064</v>
      </c>
      <c r="BI81" s="54">
        <v>111.24916652405081</v>
      </c>
      <c r="BJ81" s="54">
        <v>139.45271297043016</v>
      </c>
      <c r="BK81" s="54">
        <v>132.35839502688174</v>
      </c>
      <c r="BL81" s="54">
        <v>112.92973493130887</v>
      </c>
      <c r="BM81" s="54">
        <v>118.37492236223125</v>
      </c>
      <c r="BN81" s="54">
        <v>108.87608680747563</v>
      </c>
      <c r="BO81" s="54">
        <v>124.15979173465641</v>
      </c>
      <c r="BP81" s="54">
        <v>144.35025889784936</v>
      </c>
      <c r="BQ81" s="54">
        <v>133.05287711357528</v>
      </c>
      <c r="BR81" s="54">
        <v>116.30379811155889</v>
      </c>
      <c r="BS81" s="54">
        <v>110.82251774865593</v>
      </c>
      <c r="BT81" s="54">
        <v>112.91175677755372</v>
      </c>
      <c r="BU81" s="54">
        <v>119.06474773521514</v>
      </c>
      <c r="BV81" s="54">
        <v>148.85316386760761</v>
      </c>
      <c r="BW81" s="54">
        <v>139.01630048051072</v>
      </c>
      <c r="BX81" s="54">
        <v>122.19346396841391</v>
      </c>
    </row>
    <row r="82" spans="1:76" x14ac:dyDescent="0.3">
      <c r="A82" s="8" t="s">
        <v>103</v>
      </c>
      <c r="B82" s="8" t="s">
        <v>8</v>
      </c>
      <c r="C82" s="8" t="s">
        <v>108</v>
      </c>
      <c r="D82" s="8" t="s">
        <v>111</v>
      </c>
      <c r="E82" s="54">
        <v>379.1596024396955</v>
      </c>
      <c r="F82" s="54">
        <v>398.31946762652336</v>
      </c>
      <c r="G82" s="54">
        <v>482.04392979901445</v>
      </c>
      <c r="H82" s="54">
        <v>557.91965142410402</v>
      </c>
      <c r="I82" s="54">
        <v>528.63119715582468</v>
      </c>
      <c r="J82" s="54">
        <v>511.30172961356044</v>
      </c>
      <c r="K82" s="54">
        <v>400.87306557132621</v>
      </c>
      <c r="L82" s="54">
        <v>413.56141005457016</v>
      </c>
      <c r="M82" s="54">
        <v>502.92086010188177</v>
      </c>
      <c r="N82" s="54">
        <v>557.20233338109313</v>
      </c>
      <c r="O82" s="54">
        <v>528.46723253405048</v>
      </c>
      <c r="P82" s="54">
        <v>517.443800871147</v>
      </c>
      <c r="Q82" s="54">
        <v>492.33519501412059</v>
      </c>
      <c r="R82" s="54">
        <v>512.66490932123679</v>
      </c>
      <c r="S82" s="54">
        <v>513.48498950520582</v>
      </c>
      <c r="T82" s="54">
        <v>489.63043575731069</v>
      </c>
      <c r="U82" s="54">
        <v>496.61495254937307</v>
      </c>
      <c r="V82" s="54">
        <v>498.92285547402327</v>
      </c>
      <c r="W82" s="54">
        <v>465.10156372043031</v>
      </c>
      <c r="X82" s="54">
        <v>512.30588085960017</v>
      </c>
      <c r="Y82" s="54">
        <v>495.28587803790327</v>
      </c>
      <c r="Z82" s="54">
        <v>468.53305655725808</v>
      </c>
      <c r="AA82" s="54">
        <v>509.14272401990513</v>
      </c>
      <c r="AB82" s="54">
        <v>473.45505182419356</v>
      </c>
      <c r="AC82" s="54">
        <v>357.64055627804646</v>
      </c>
      <c r="AD82" s="54">
        <v>355.85962225340518</v>
      </c>
      <c r="AE82" s="54">
        <v>432.15584205949818</v>
      </c>
      <c r="AF82" s="54">
        <v>495.25682041657728</v>
      </c>
      <c r="AG82" s="54">
        <v>491.91369683926098</v>
      </c>
      <c r="AH82" s="54">
        <v>454.25327512302857</v>
      </c>
      <c r="AI82" s="54">
        <v>292.03473174103965</v>
      </c>
      <c r="AJ82" s="54">
        <v>314.73096269030253</v>
      </c>
      <c r="AK82" s="54">
        <v>405.79291498261648</v>
      </c>
      <c r="AL82" s="54">
        <v>497.52261646308261</v>
      </c>
      <c r="AM82" s="54">
        <v>454.72402601819016</v>
      </c>
      <c r="AN82" s="54">
        <v>460.87792556308261</v>
      </c>
      <c r="AO82" s="54">
        <v>321.59195713664877</v>
      </c>
      <c r="AP82" s="54">
        <v>336.59197699982889</v>
      </c>
      <c r="AQ82" s="54">
        <v>404.17761591908595</v>
      </c>
      <c r="AR82" s="54">
        <v>355.30192883234781</v>
      </c>
      <c r="AS82" s="54">
        <v>292.93433238449842</v>
      </c>
      <c r="AT82" s="54">
        <v>416.56080198145173</v>
      </c>
      <c r="AU82" s="54">
        <v>522.32050974740196</v>
      </c>
      <c r="AV82" s="54">
        <v>516.88318188804931</v>
      </c>
      <c r="AW82" s="54">
        <v>474.17344617069898</v>
      </c>
      <c r="AX82" s="54">
        <v>572.68024685107571</v>
      </c>
      <c r="AY82" s="54">
        <v>578.25788282416045</v>
      </c>
      <c r="AZ82" s="54">
        <v>502.88689710394266</v>
      </c>
      <c r="BA82" s="54">
        <v>395.4121216283155</v>
      </c>
      <c r="BB82" s="54">
        <v>415.7938018944447</v>
      </c>
      <c r="BC82" s="54">
        <v>390.45844441367694</v>
      </c>
      <c r="BD82" s="54">
        <v>446.05689744471346</v>
      </c>
      <c r="BE82" s="54">
        <v>430.2689676910727</v>
      </c>
      <c r="BF82" s="54">
        <v>411.25044893598897</v>
      </c>
      <c r="BG82" s="54">
        <v>535.29370875179211</v>
      </c>
      <c r="BH82" s="54">
        <v>557.48485172141591</v>
      </c>
      <c r="BI82" s="54">
        <v>513.24527897189398</v>
      </c>
      <c r="BJ82" s="54">
        <v>578.68045387275993</v>
      </c>
      <c r="BK82" s="54">
        <v>598.48847122222253</v>
      </c>
      <c r="BL82" s="54">
        <v>517.04372459035278</v>
      </c>
      <c r="BM82" s="54">
        <v>377.00651798879937</v>
      </c>
      <c r="BN82" s="54">
        <v>359.26541276004411</v>
      </c>
      <c r="BO82" s="54">
        <v>488.71001730519725</v>
      </c>
      <c r="BP82" s="54">
        <v>483.90792311039422</v>
      </c>
      <c r="BQ82" s="54">
        <v>492.03382674149566</v>
      </c>
      <c r="BR82" s="54">
        <v>491.65561020985683</v>
      </c>
      <c r="BS82" s="54">
        <v>345.6403043421148</v>
      </c>
      <c r="BT82" s="54">
        <v>390.73441310752389</v>
      </c>
      <c r="BU82" s="54">
        <v>480.31518662132623</v>
      </c>
      <c r="BV82" s="54">
        <v>550.54297250206071</v>
      </c>
      <c r="BW82" s="54">
        <v>526.37702161888149</v>
      </c>
      <c r="BX82" s="54">
        <v>526.04828995197317</v>
      </c>
    </row>
    <row r="83" spans="1:76" x14ac:dyDescent="0.3">
      <c r="A83" s="8" t="s">
        <v>103</v>
      </c>
      <c r="B83" s="8" t="s">
        <v>8</v>
      </c>
      <c r="C83" s="8" t="s">
        <v>108</v>
      </c>
      <c r="D83" s="8" t="s">
        <v>115</v>
      </c>
      <c r="E83" s="54">
        <v>503.65330356030455</v>
      </c>
      <c r="F83" s="54">
        <v>572.52806837347657</v>
      </c>
      <c r="G83" s="54">
        <v>575.26551620098542</v>
      </c>
      <c r="H83" s="54">
        <v>471.25720257589586</v>
      </c>
      <c r="I83" s="54">
        <v>487.42540484417532</v>
      </c>
      <c r="J83" s="54">
        <v>538.48161571977289</v>
      </c>
      <c r="K83" s="54">
        <v>535.20946242867365</v>
      </c>
      <c r="L83" s="54">
        <v>566.13434194543038</v>
      </c>
      <c r="M83" s="54">
        <v>575.19862589811828</v>
      </c>
      <c r="N83" s="54">
        <v>499.72124061890668</v>
      </c>
      <c r="O83" s="54">
        <v>487.97700746594973</v>
      </c>
      <c r="P83" s="54">
        <v>546.94651512885332</v>
      </c>
      <c r="Q83" s="54">
        <v>469.24983298587961</v>
      </c>
      <c r="R83" s="54">
        <v>515.45104067876309</v>
      </c>
      <c r="S83" s="54">
        <v>570.04253119382327</v>
      </c>
      <c r="T83" s="54">
        <v>397.23272424268941</v>
      </c>
      <c r="U83" s="54">
        <v>472.03982545062684</v>
      </c>
      <c r="V83" s="54">
        <v>521.33180122500607</v>
      </c>
      <c r="W83" s="54">
        <v>436.2753962795698</v>
      </c>
      <c r="X83" s="54">
        <v>482.51647714039933</v>
      </c>
      <c r="Y83" s="54">
        <v>549.36070596209663</v>
      </c>
      <c r="Z83" s="54">
        <v>459.15450544274194</v>
      </c>
      <c r="AA83" s="54">
        <v>498.39826598009472</v>
      </c>
      <c r="AB83" s="54">
        <v>523.39617217580621</v>
      </c>
      <c r="AC83" s="54">
        <v>557.19105772195326</v>
      </c>
      <c r="AD83" s="54">
        <v>608.60032174659477</v>
      </c>
      <c r="AE83" s="54">
        <v>553.76250994050167</v>
      </c>
      <c r="AF83" s="54">
        <v>459.56540158342273</v>
      </c>
      <c r="AG83" s="54">
        <v>526.92048162227695</v>
      </c>
      <c r="AH83" s="54">
        <v>498.1978188769711</v>
      </c>
      <c r="AI83" s="54">
        <v>459.97120825896042</v>
      </c>
      <c r="AJ83" s="54">
        <v>483.37434486071794</v>
      </c>
      <c r="AK83" s="54">
        <v>466.82515301738346</v>
      </c>
      <c r="AL83" s="54">
        <v>418.14816753691741</v>
      </c>
      <c r="AM83" s="54">
        <v>375.51908798180978</v>
      </c>
      <c r="AN83" s="54">
        <v>465.64222643691755</v>
      </c>
      <c r="AO83" s="54">
        <v>413.78635286335117</v>
      </c>
      <c r="AP83" s="54">
        <v>449.22157215926183</v>
      </c>
      <c r="AQ83" s="54">
        <v>425.16283008091403</v>
      </c>
      <c r="AR83" s="54">
        <v>529.8975031676523</v>
      </c>
      <c r="AS83" s="54">
        <v>514.29532561550161</v>
      </c>
      <c r="AT83" s="54">
        <v>492.23001201854834</v>
      </c>
      <c r="AU83" s="54">
        <v>474.55130825259914</v>
      </c>
      <c r="AV83" s="54">
        <v>496.64329165563959</v>
      </c>
      <c r="AW83" s="54">
        <v>498.66722382930107</v>
      </c>
      <c r="AX83" s="54">
        <v>534.42357714892523</v>
      </c>
      <c r="AY83" s="54">
        <v>554.27345671952867</v>
      </c>
      <c r="AZ83" s="54">
        <v>514.53214289605739</v>
      </c>
      <c r="BA83" s="54">
        <v>570.13089437168446</v>
      </c>
      <c r="BB83" s="54">
        <v>611.56727410555538</v>
      </c>
      <c r="BC83" s="54">
        <v>568.24186413177745</v>
      </c>
      <c r="BD83" s="54">
        <v>673.09277655528649</v>
      </c>
      <c r="BE83" s="54">
        <v>732.63314117606785</v>
      </c>
      <c r="BF83" s="54">
        <v>610.51244160946555</v>
      </c>
      <c r="BG83" s="54">
        <v>455.18055124820768</v>
      </c>
      <c r="BH83" s="54">
        <v>500.29560627858393</v>
      </c>
      <c r="BI83" s="54">
        <v>542.77449030244225</v>
      </c>
      <c r="BJ83" s="54">
        <v>543.3867061272399</v>
      </c>
      <c r="BK83" s="54">
        <v>587.24304877777752</v>
      </c>
      <c r="BL83" s="54">
        <v>555.53110068398337</v>
      </c>
      <c r="BM83" s="54">
        <v>538.28637201120057</v>
      </c>
      <c r="BN83" s="54">
        <v>523.17849123995575</v>
      </c>
      <c r="BO83" s="54">
        <v>588.8178106948028</v>
      </c>
      <c r="BP83" s="54">
        <v>390.46921288960567</v>
      </c>
      <c r="BQ83" s="54">
        <v>461.31945125850439</v>
      </c>
      <c r="BR83" s="54">
        <v>509.80786579014324</v>
      </c>
      <c r="BS83" s="54">
        <v>529.19541965788517</v>
      </c>
      <c r="BT83" s="54">
        <v>560.24802541119607</v>
      </c>
      <c r="BU83" s="54">
        <v>571.75094537867358</v>
      </c>
      <c r="BV83" s="54">
        <v>486.18262149793924</v>
      </c>
      <c r="BW83" s="54">
        <v>485.43596438111859</v>
      </c>
      <c r="BX83" s="54">
        <v>560.87110363986369</v>
      </c>
    </row>
    <row r="84" spans="1:76" x14ac:dyDescent="0.3">
      <c r="A84" s="8" t="s">
        <v>103</v>
      </c>
      <c r="B84" s="8" t="s">
        <v>8</v>
      </c>
      <c r="C84" s="8" t="s">
        <v>109</v>
      </c>
      <c r="D84" s="8" t="s">
        <v>110</v>
      </c>
      <c r="E84" s="54">
        <v>69.19180806720459</v>
      </c>
      <c r="F84" s="54">
        <v>88.10819391397861</v>
      </c>
      <c r="G84" s="54">
        <v>198.96792115860208</v>
      </c>
      <c r="H84" s="54">
        <v>160.60091021236599</v>
      </c>
      <c r="I84" s="54">
        <v>153.82647574462371</v>
      </c>
      <c r="J84" s="54">
        <v>250.18582830286729</v>
      </c>
      <c r="K84" s="54">
        <v>24.845406795698576</v>
      </c>
      <c r="L84" s="54">
        <v>117.27313749193546</v>
      </c>
      <c r="M84" s="54">
        <v>216.15449787903219</v>
      </c>
      <c r="N84" s="54">
        <v>92.245684405913636</v>
      </c>
      <c r="O84" s="54">
        <v>153.76239043010753</v>
      </c>
      <c r="P84" s="54">
        <v>248.35971818817225</v>
      </c>
      <c r="Q84" s="54">
        <v>4.2435216386589314</v>
      </c>
      <c r="R84" s="54">
        <v>82.888411491935713</v>
      </c>
      <c r="S84" s="54">
        <v>224.08759575456716</v>
      </c>
      <c r="T84" s="54">
        <v>90.794796052637295</v>
      </c>
      <c r="U84" s="54">
        <v>152.15209987365597</v>
      </c>
      <c r="V84" s="54">
        <v>253.2258000448897</v>
      </c>
      <c r="W84" s="54">
        <v>58.626992258064561</v>
      </c>
      <c r="X84" s="54">
        <v>119.21223476036869</v>
      </c>
      <c r="Y84" s="54">
        <v>260.99631599193549</v>
      </c>
      <c r="Z84" s="54">
        <v>187.53822660483888</v>
      </c>
      <c r="AA84" s="54">
        <v>265.0554506931644</v>
      </c>
      <c r="AB84" s="54">
        <v>288.95155901612958</v>
      </c>
      <c r="AC84" s="54">
        <v>-38.015609922043112</v>
      </c>
      <c r="AD84" s="54">
        <v>11.079149043010773</v>
      </c>
      <c r="AE84" s="54">
        <v>92.230381698924944</v>
      </c>
      <c r="AF84" s="54">
        <v>4.5909046962364641</v>
      </c>
      <c r="AG84" s="54">
        <v>52.133731248966143</v>
      </c>
      <c r="AH84" s="54">
        <v>111.84398956720432</v>
      </c>
      <c r="AI84" s="54">
        <v>17.785077123656066</v>
      </c>
      <c r="AJ84" s="54">
        <v>111.10883364576473</v>
      </c>
      <c r="AK84" s="54">
        <v>197.63838606989214</v>
      </c>
      <c r="AL84" s="54">
        <v>114.83216984946232</v>
      </c>
      <c r="AM84" s="54">
        <v>156.68789916397841</v>
      </c>
      <c r="AN84" s="54">
        <v>241.22298884946258</v>
      </c>
      <c r="AO84" s="54">
        <v>-38.628844260752636</v>
      </c>
      <c r="AP84" s="54">
        <v>62.592915783724166</v>
      </c>
      <c r="AQ84" s="54">
        <v>145.65017820161285</v>
      </c>
      <c r="AR84" s="54">
        <v>20.210894158602223</v>
      </c>
      <c r="AS84" s="54">
        <v>15.683940948924779</v>
      </c>
      <c r="AT84" s="54">
        <v>70.147589620967679</v>
      </c>
      <c r="AU84" s="54">
        <v>36.731746190860505</v>
      </c>
      <c r="AV84" s="54">
        <v>116.94337318156877</v>
      </c>
      <c r="AW84" s="54">
        <v>244.95163116935493</v>
      </c>
      <c r="AX84" s="54">
        <v>183.36383014516122</v>
      </c>
      <c r="AY84" s="54">
        <v>268.77717409823543</v>
      </c>
      <c r="AZ84" s="54">
        <v>296.54478236559135</v>
      </c>
      <c r="BA84" s="54">
        <v>-99.424290010752927</v>
      </c>
      <c r="BB84" s="54">
        <v>-9.9376628333333059</v>
      </c>
      <c r="BC84" s="54">
        <v>81.822675774437911</v>
      </c>
      <c r="BD84" s="54">
        <v>122.93373507795668</v>
      </c>
      <c r="BE84" s="54">
        <v>156.99264680678959</v>
      </c>
      <c r="BF84" s="54">
        <v>173.11084891153473</v>
      </c>
      <c r="BG84" s="54">
        <v>-3.945056424731308</v>
      </c>
      <c r="BH84" s="54">
        <v>93.486093099462209</v>
      </c>
      <c r="BI84" s="54">
        <v>236.0125912691029</v>
      </c>
      <c r="BJ84" s="54">
        <v>186.54627865591377</v>
      </c>
      <c r="BK84" s="54">
        <v>299.18734333333339</v>
      </c>
      <c r="BL84" s="54">
        <v>288.72933284437164</v>
      </c>
      <c r="BM84" s="54">
        <v>10.454219529569597</v>
      </c>
      <c r="BN84" s="54">
        <v>91.997527628665637</v>
      </c>
      <c r="BO84" s="54">
        <v>228.23565961827953</v>
      </c>
      <c r="BP84" s="54">
        <v>55.056284236558838</v>
      </c>
      <c r="BQ84" s="54">
        <v>130.99589724963334</v>
      </c>
      <c r="BR84" s="54">
        <v>244.58852641397866</v>
      </c>
      <c r="BS84" s="54">
        <v>-31.470195231183105</v>
      </c>
      <c r="BT84" s="54">
        <v>77.288134808996773</v>
      </c>
      <c r="BU84" s="54">
        <v>191.37780129569859</v>
      </c>
      <c r="BV84" s="54">
        <v>63.007479486558601</v>
      </c>
      <c r="BW84" s="54">
        <v>145.85127702260303</v>
      </c>
      <c r="BX84" s="54">
        <v>260.59177907675002</v>
      </c>
    </row>
    <row r="85" spans="1:76" x14ac:dyDescent="0.3">
      <c r="A85" s="8" t="s">
        <v>103</v>
      </c>
      <c r="B85" s="8" t="s">
        <v>8</v>
      </c>
      <c r="C85" s="8" t="s">
        <v>109</v>
      </c>
      <c r="D85" s="8" t="s">
        <v>115</v>
      </c>
      <c r="E85" s="54">
        <v>368.58037493279608</v>
      </c>
      <c r="F85" s="54">
        <v>240.76557408602127</v>
      </c>
      <c r="G85" s="54">
        <v>231.45680184139806</v>
      </c>
      <c r="H85" s="54">
        <v>350.3532467876347</v>
      </c>
      <c r="I85" s="54">
        <v>255.97182525537622</v>
      </c>
      <c r="J85" s="54">
        <v>217.8091776971325</v>
      </c>
      <c r="K85" s="54">
        <v>286.64585720430136</v>
      </c>
      <c r="L85" s="54">
        <v>228.56489350806442</v>
      </c>
      <c r="M85" s="54">
        <v>224.6752451209677</v>
      </c>
      <c r="N85" s="54">
        <v>279.66610259408611</v>
      </c>
      <c r="O85" s="54">
        <v>256.2297295698923</v>
      </c>
      <c r="P85" s="54">
        <v>217.10543981182772</v>
      </c>
      <c r="Q85" s="54">
        <v>344.88915323854206</v>
      </c>
      <c r="R85" s="54">
        <v>274.6195635080644</v>
      </c>
      <c r="S85" s="54">
        <v>223.15857624543267</v>
      </c>
      <c r="T85" s="54">
        <v>318.17694482456346</v>
      </c>
      <c r="U85" s="54">
        <v>272.82528912634405</v>
      </c>
      <c r="V85" s="54">
        <v>219.60447995511001</v>
      </c>
      <c r="W85" s="54">
        <v>326.19367774193563</v>
      </c>
      <c r="X85" s="54">
        <v>264.29808923963117</v>
      </c>
      <c r="Y85" s="54">
        <v>206.70286100806456</v>
      </c>
      <c r="Z85" s="54">
        <v>249.3177443951613</v>
      </c>
      <c r="AA85" s="54">
        <v>179.36504430683553</v>
      </c>
      <c r="AB85" s="54">
        <v>193.36892298387153</v>
      </c>
      <c r="AC85" s="54">
        <v>155.85554692204306</v>
      </c>
      <c r="AD85" s="54">
        <v>137.72082295698917</v>
      </c>
      <c r="AE85" s="54">
        <v>125.84250430107546</v>
      </c>
      <c r="AF85" s="54">
        <v>178.27020630376356</v>
      </c>
      <c r="AG85" s="54">
        <v>165.50258875103373</v>
      </c>
      <c r="AH85" s="54">
        <v>144.83155743279562</v>
      </c>
      <c r="AI85" s="54">
        <v>298.86789287634394</v>
      </c>
      <c r="AJ85" s="54">
        <v>243.74688135423517</v>
      </c>
      <c r="AK85" s="54">
        <v>254.3206479301079</v>
      </c>
      <c r="AL85" s="54">
        <v>283.65322215053766</v>
      </c>
      <c r="AM85" s="54">
        <v>274.08365783602153</v>
      </c>
      <c r="AN85" s="54">
        <v>237.68708715053742</v>
      </c>
      <c r="AO85" s="54">
        <v>346.96799926075261</v>
      </c>
      <c r="AP85" s="54">
        <v>283.04109521627583</v>
      </c>
      <c r="AQ85" s="54">
        <v>294.77152479838708</v>
      </c>
      <c r="AR85" s="54">
        <v>131.63917684139781</v>
      </c>
      <c r="AS85" s="54">
        <v>168.38088805107509</v>
      </c>
      <c r="AT85" s="54">
        <v>164.69781737903233</v>
      </c>
      <c r="AU85" s="54">
        <v>313.06427280913931</v>
      </c>
      <c r="AV85" s="54">
        <v>261.98670181843096</v>
      </c>
      <c r="AW85" s="54">
        <v>218.23870383064502</v>
      </c>
      <c r="AX85" s="54">
        <v>221.54819185483876</v>
      </c>
      <c r="AY85" s="54">
        <v>169.65533390176458</v>
      </c>
      <c r="AZ85" s="54">
        <v>188.93473763440861</v>
      </c>
      <c r="BA85" s="54">
        <v>190.44579801075278</v>
      </c>
      <c r="BB85" s="54">
        <v>131.86820083333316</v>
      </c>
      <c r="BC85" s="54">
        <v>132.82475122556204</v>
      </c>
      <c r="BD85" s="54">
        <v>44.891101922043262</v>
      </c>
      <c r="BE85" s="54">
        <v>46.219459193210355</v>
      </c>
      <c r="BF85" s="54">
        <v>73.067869088465301</v>
      </c>
      <c r="BG85" s="54">
        <v>342.63218642473123</v>
      </c>
      <c r="BH85" s="54">
        <v>278.85413590053764</v>
      </c>
      <c r="BI85" s="54">
        <v>215.58560345656107</v>
      </c>
      <c r="BJ85" s="54">
        <v>217.93730134408617</v>
      </c>
      <c r="BK85" s="54">
        <v>145.89621666666665</v>
      </c>
      <c r="BL85" s="54">
        <v>183.45447988129226</v>
      </c>
      <c r="BM85" s="54">
        <v>290.64222547043016</v>
      </c>
      <c r="BN85" s="54">
        <v>250.99442437133425</v>
      </c>
      <c r="BO85" s="54">
        <v>212.29825438172045</v>
      </c>
      <c r="BP85" s="54">
        <v>322.78228376344111</v>
      </c>
      <c r="BQ85" s="54">
        <v>286.33074175036666</v>
      </c>
      <c r="BR85" s="54">
        <v>226.79321158602139</v>
      </c>
      <c r="BS85" s="54">
        <v>312.33805723118292</v>
      </c>
      <c r="BT85" s="54">
        <v>249.33121219100317</v>
      </c>
      <c r="BU85" s="54">
        <v>236.42526470430124</v>
      </c>
      <c r="BV85" s="54">
        <v>298.80531751344131</v>
      </c>
      <c r="BW85" s="54">
        <v>261.82521597739708</v>
      </c>
      <c r="BX85" s="54">
        <v>207.41342792325003</v>
      </c>
    </row>
    <row r="86" spans="1:76" x14ac:dyDescent="0.3">
      <c r="A86" s="8" t="s">
        <v>103</v>
      </c>
      <c r="B86" s="8" t="s">
        <v>8</v>
      </c>
      <c r="C86" s="8" t="s">
        <v>110</v>
      </c>
      <c r="D86" s="8" t="s">
        <v>111</v>
      </c>
      <c r="E86" s="54">
        <v>279.38365514560945</v>
      </c>
      <c r="F86" s="54">
        <v>149.72799614695342</v>
      </c>
      <c r="G86" s="54">
        <v>124.90484017697156</v>
      </c>
      <c r="H86" s="54">
        <v>330.17096112679224</v>
      </c>
      <c r="I86" s="54">
        <v>234.69013111335136</v>
      </c>
      <c r="J86" s="54">
        <v>115.52423665621281</v>
      </c>
      <c r="K86" s="54">
        <v>240.84949605734818</v>
      </c>
      <c r="L86" s="54">
        <v>134.17114156586018</v>
      </c>
      <c r="M86" s="54">
        <v>121.72056307123657</v>
      </c>
      <c r="N86" s="54">
        <v>302.81837521281398</v>
      </c>
      <c r="O86" s="54">
        <v>234.61588593189964</v>
      </c>
      <c r="P86" s="54">
        <v>116.3561954077057</v>
      </c>
      <c r="Q86" s="54">
        <v>381.06639342175907</v>
      </c>
      <c r="R86" s="54">
        <v>271.38113323252691</v>
      </c>
      <c r="S86" s="54">
        <v>124.14828476920026</v>
      </c>
      <c r="T86" s="54">
        <v>334.94984998537893</v>
      </c>
      <c r="U86" s="54">
        <v>236.12201272625444</v>
      </c>
      <c r="V86" s="54">
        <v>114.56909673156568</v>
      </c>
      <c r="W86" s="54">
        <v>330.32952655913994</v>
      </c>
      <c r="X86" s="54">
        <v>254.28806819508432</v>
      </c>
      <c r="Y86" s="54">
        <v>86.191743649193469</v>
      </c>
      <c r="Z86" s="54">
        <v>184.38929131048388</v>
      </c>
      <c r="AA86" s="54">
        <v>90.585093049474935</v>
      </c>
      <c r="AB86" s="54">
        <v>56.038765201613103</v>
      </c>
      <c r="AC86" s="54">
        <v>139.20171416890693</v>
      </c>
      <c r="AD86" s="54">
        <v>73.604813593189931</v>
      </c>
      <c r="AE86" s="54">
        <v>83.124275681003667</v>
      </c>
      <c r="AF86" s="54">
        <v>253.18955384184582</v>
      </c>
      <c r="AG86" s="54">
        <v>185.50185770609318</v>
      </c>
      <c r="AH86" s="54">
        <v>122.03168972894262</v>
      </c>
      <c r="AI86" s="54">
        <v>219.65562376792082</v>
      </c>
      <c r="AJ86" s="54">
        <v>123.82104456582366</v>
      </c>
      <c r="AK86" s="54">
        <v>141.61917448476746</v>
      </c>
      <c r="AL86" s="54">
        <v>289.27757867383508</v>
      </c>
      <c r="AM86" s="54">
        <v>247.88096718861996</v>
      </c>
      <c r="AN86" s="54">
        <v>135.68574117383503</v>
      </c>
      <c r="AO86" s="54">
        <v>328.19233910170232</v>
      </c>
      <c r="AP86" s="54">
        <v>211.14368403897865</v>
      </c>
      <c r="AQ86" s="54">
        <v>220.86855043682795</v>
      </c>
      <c r="AR86" s="54">
        <v>94.406961010304656</v>
      </c>
      <c r="AS86" s="54">
        <v>95.336815056003672</v>
      </c>
      <c r="AT86" s="54">
        <v>142.71417651209683</v>
      </c>
      <c r="AU86" s="54">
        <v>351.98415308019662</v>
      </c>
      <c r="AV86" s="54">
        <v>250.89593001637732</v>
      </c>
      <c r="AW86" s="54">
        <v>112.65716253360213</v>
      </c>
      <c r="AX86" s="54">
        <v>197.05897264784932</v>
      </c>
      <c r="AY86" s="54">
        <v>99.70330966915509</v>
      </c>
      <c r="AZ86" s="54">
        <v>69.140201792114667</v>
      </c>
      <c r="BA86" s="54">
        <v>221.20612764336946</v>
      </c>
      <c r="BB86" s="54">
        <v>116.306529861111</v>
      </c>
      <c r="BC86" s="54">
        <v>64.14451651128195</v>
      </c>
      <c r="BD86" s="54">
        <v>-39.450331664426244</v>
      </c>
      <c r="BE86" s="54">
        <v>-92.11189658528906</v>
      </c>
      <c r="BF86" s="54">
        <v>-42.866921358341578</v>
      </c>
      <c r="BG86" s="54">
        <v>415.57678774641585</v>
      </c>
      <c r="BH86" s="54">
        <v>301.36432138216838</v>
      </c>
      <c r="BI86" s="54">
        <v>121.69829926594677</v>
      </c>
      <c r="BJ86" s="54">
        <v>192.27566375448046</v>
      </c>
      <c r="BK86" s="54">
        <v>61.400430555555438</v>
      </c>
      <c r="BL86" s="54">
        <v>61.539778679029268</v>
      </c>
      <c r="BM86" s="54">
        <v>237.13061064740182</v>
      </c>
      <c r="BN86" s="54">
        <v>151.88487407991204</v>
      </c>
      <c r="BO86" s="54">
        <v>90.596093839605871</v>
      </c>
      <c r="BP86" s="54">
        <v>359.34912517921157</v>
      </c>
      <c r="BQ86" s="54">
        <v>261.15957059200889</v>
      </c>
      <c r="BR86" s="54">
        <v>125.75167323028668</v>
      </c>
      <c r="BS86" s="54">
        <v>264.45857766577086</v>
      </c>
      <c r="BT86" s="54">
        <v>163.43352656744037</v>
      </c>
      <c r="BU86" s="54">
        <v>133.80226480734802</v>
      </c>
      <c r="BV86" s="54">
        <v>337.09250122087855</v>
      </c>
      <c r="BW86" s="54">
        <v>243.60123378723731</v>
      </c>
      <c r="BX86" s="54">
        <v>100.85620740778845</v>
      </c>
    </row>
    <row r="87" spans="1:76" x14ac:dyDescent="0.3">
      <c r="A87" s="8" t="s">
        <v>103</v>
      </c>
      <c r="B87" s="8" t="s">
        <v>8</v>
      </c>
      <c r="C87" s="8" t="s">
        <v>110</v>
      </c>
      <c r="D87" s="8" t="s">
        <v>115</v>
      </c>
      <c r="E87" s="54">
        <v>211.12434592159525</v>
      </c>
      <c r="F87" s="54">
        <v>116.45628576702505</v>
      </c>
      <c r="G87" s="54">
        <v>54.820573981630986</v>
      </c>
      <c r="H87" s="54">
        <v>153.26837608557364</v>
      </c>
      <c r="I87" s="54">
        <v>93.734645631272315</v>
      </c>
      <c r="J87" s="54">
        <v>20.113204313321418</v>
      </c>
      <c r="K87" s="54">
        <v>178.67453473835161</v>
      </c>
      <c r="L87" s="54">
        <v>93.740026926075302</v>
      </c>
      <c r="M87" s="54">
        <v>41.706247807795748</v>
      </c>
      <c r="N87" s="54">
        <v>140.32122619310061</v>
      </c>
      <c r="O87" s="54">
        <v>93.938624498207886</v>
      </c>
      <c r="P87" s="54">
        <v>20.557100780465689</v>
      </c>
      <c r="Q87" s="54">
        <v>227.80434133969885</v>
      </c>
      <c r="R87" s="54">
        <v>141.63550325940832</v>
      </c>
      <c r="S87" s="54">
        <v>36.728586286338242</v>
      </c>
      <c r="T87" s="54">
        <v>166.7205651900573</v>
      </c>
      <c r="U87" s="54">
        <v>105.80747614740137</v>
      </c>
      <c r="V87" s="54">
        <v>19.790086614295266</v>
      </c>
      <c r="W87" s="54">
        <v>188.14895569892477</v>
      </c>
      <c r="X87" s="54">
        <v>116.5926087795699</v>
      </c>
      <c r="Y87" s="54">
        <v>7.3037493427419165</v>
      </c>
      <c r="Z87" s="54">
        <v>72.442716294354952</v>
      </c>
      <c r="AA87" s="54">
        <v>-12.951029142025172</v>
      </c>
      <c r="AB87" s="54">
        <v>-15.563164185483647</v>
      </c>
      <c r="AC87" s="54">
        <v>122.91150290905028</v>
      </c>
      <c r="AD87" s="54">
        <v>86.274307449820782</v>
      </c>
      <c r="AE87" s="54">
        <v>37.779812017921245</v>
      </c>
      <c r="AF87" s="54">
        <v>116.5513518543908</v>
      </c>
      <c r="AG87" s="54">
        <v>84.268193542872851</v>
      </c>
      <c r="AH87" s="54">
        <v>40.6323768382616</v>
      </c>
      <c r="AI87" s="54">
        <v>190.35272335573461</v>
      </c>
      <c r="AJ87" s="54">
        <v>106.94350407994114</v>
      </c>
      <c r="AK87" s="54">
        <v>70.727905585125868</v>
      </c>
      <c r="AL87" s="54">
        <v>131.68606317562737</v>
      </c>
      <c r="AM87" s="54">
        <v>104.37848897535839</v>
      </c>
      <c r="AN87" s="54">
        <v>37.84656367562711</v>
      </c>
      <c r="AO87" s="54">
        <v>250.62642163754467</v>
      </c>
      <c r="AP87" s="54">
        <v>157.39760558565519</v>
      </c>
      <c r="AQ87" s="54">
        <v>123.68926076478503</v>
      </c>
      <c r="AR87" s="54">
        <v>77.654004148297489</v>
      </c>
      <c r="AS87" s="54">
        <v>104.4119548929211</v>
      </c>
      <c r="AT87" s="54">
        <v>74.724750108871035</v>
      </c>
      <c r="AU87" s="54">
        <v>190.34364211066267</v>
      </c>
      <c r="AV87" s="54">
        <v>116.18611462150308</v>
      </c>
      <c r="AW87" s="54">
        <v>23.016653635752782</v>
      </c>
      <c r="AX87" s="54">
        <v>56.01687949731182</v>
      </c>
      <c r="AY87" s="54">
        <v>-21.285031114608</v>
      </c>
      <c r="AZ87" s="54">
        <v>-22.315899426523345</v>
      </c>
      <c r="BA87" s="54">
        <v>176.67601034587844</v>
      </c>
      <c r="BB87" s="54">
        <v>92.880965305555449</v>
      </c>
      <c r="BC87" s="54">
        <v>47.638496263155751</v>
      </c>
      <c r="BD87" s="54">
        <v>-31.539466257616056</v>
      </c>
      <c r="BE87" s="54">
        <v>-47.683350607921284</v>
      </c>
      <c r="BF87" s="54">
        <v>-37.843511730123794</v>
      </c>
      <c r="BG87" s="54">
        <v>230.39398582885329</v>
      </c>
      <c r="BH87" s="54">
        <v>139.15971071729405</v>
      </c>
      <c r="BI87" s="54">
        <v>25.71744000315601</v>
      </c>
      <c r="BJ87" s="54">
        <v>52.018394901433894</v>
      </c>
      <c r="BK87" s="54">
        <v>-52.329527222222168</v>
      </c>
      <c r="BL87" s="54">
        <v>-22.061679834657678</v>
      </c>
      <c r="BM87" s="54">
        <v>188.53437388216875</v>
      </c>
      <c r="BN87" s="54">
        <v>121.33085243322338</v>
      </c>
      <c r="BO87" s="54">
        <v>27.414339778673913</v>
      </c>
      <c r="BP87" s="54">
        <v>187.66004705734807</v>
      </c>
      <c r="BQ87" s="54">
        <v>125.38921254209434</v>
      </c>
      <c r="BR87" s="54">
        <v>28.901211183691601</v>
      </c>
      <c r="BS87" s="54">
        <v>223.96046910304679</v>
      </c>
      <c r="BT87" s="54">
        <v>127.57674072283697</v>
      </c>
      <c r="BU87" s="54">
        <v>61.927942488351647</v>
      </c>
      <c r="BV87" s="54">
        <v>167.69980526568162</v>
      </c>
      <c r="BW87" s="54">
        <v>101.62450547362978</v>
      </c>
      <c r="BX87" s="54">
        <v>7.979729077124964</v>
      </c>
    </row>
    <row r="88" spans="1:76" x14ac:dyDescent="0.3">
      <c r="A88" s="8" t="s">
        <v>103</v>
      </c>
      <c r="B88" s="8" t="s">
        <v>8</v>
      </c>
      <c r="C88" s="8" t="s">
        <v>111</v>
      </c>
      <c r="D88" s="8" t="s">
        <v>112</v>
      </c>
      <c r="E88" s="54">
        <v>450.34354699999989</v>
      </c>
      <c r="F88" s="54">
        <v>406.32623200000006</v>
      </c>
      <c r="G88" s="54">
        <v>304.77527699999985</v>
      </c>
      <c r="H88" s="54">
        <v>377.1615730000002</v>
      </c>
      <c r="I88" s="54">
        <v>325.40169900000018</v>
      </c>
      <c r="J88" s="54">
        <v>267.20499400000006</v>
      </c>
      <c r="K88" s="54">
        <v>423.70873600000027</v>
      </c>
      <c r="L88" s="54">
        <v>389.3619690000001</v>
      </c>
      <c r="M88" s="54">
        <v>294.37025699999998</v>
      </c>
      <c r="N88" s="54">
        <v>363.28821300000016</v>
      </c>
      <c r="O88" s="54">
        <v>325.20787999999999</v>
      </c>
      <c r="P88" s="54">
        <v>269.73484199999984</v>
      </c>
      <c r="Q88" s="54">
        <v>410.95748600000002</v>
      </c>
      <c r="R88" s="54">
        <v>377.692025</v>
      </c>
      <c r="S88" s="54">
        <v>287.95382800000004</v>
      </c>
      <c r="T88" s="54">
        <v>351.11841999999996</v>
      </c>
      <c r="U88" s="54">
        <v>310.22261100000014</v>
      </c>
      <c r="V88" s="54">
        <v>262.36971999999992</v>
      </c>
      <c r="W88" s="54">
        <v>382.74151999999992</v>
      </c>
      <c r="X88" s="54">
        <v>351.68967600000013</v>
      </c>
      <c r="Y88" s="54">
        <v>267.50082300000003</v>
      </c>
      <c r="Z88" s="54">
        <v>330.70621900000009</v>
      </c>
      <c r="AA88" s="54">
        <v>290.77950499999992</v>
      </c>
      <c r="AB88" s="54">
        <v>248.47595799999999</v>
      </c>
      <c r="AC88" s="54">
        <v>382.16006299999992</v>
      </c>
      <c r="AD88" s="54">
        <v>351.20002800000003</v>
      </c>
      <c r="AE88" s="54">
        <v>265.47082400000011</v>
      </c>
      <c r="AF88" s="54">
        <v>317.13888900000001</v>
      </c>
      <c r="AG88" s="54">
        <v>282.36367999999999</v>
      </c>
      <c r="AH88" s="54">
        <v>243.32445300000006</v>
      </c>
      <c r="AI88" s="54">
        <v>418.54703000000006</v>
      </c>
      <c r="AJ88" s="54">
        <v>380.34428500000007</v>
      </c>
      <c r="AK88" s="54">
        <v>283.2409659999999</v>
      </c>
      <c r="AL88" s="54">
        <v>336.71460800000006</v>
      </c>
      <c r="AM88" s="54">
        <v>304.42844300000019</v>
      </c>
      <c r="AN88" s="54">
        <v>256.28992400000004</v>
      </c>
      <c r="AO88" s="54">
        <v>426.86084499999998</v>
      </c>
      <c r="AP88" s="54">
        <v>389.56598900000006</v>
      </c>
      <c r="AQ88" s="54">
        <v>294.7782969999999</v>
      </c>
      <c r="AR88" s="54">
        <v>348.1499290000001</v>
      </c>
      <c r="AS88" s="54">
        <v>315.93517100000003</v>
      </c>
      <c r="AT88" s="54">
        <v>265.15459300000009</v>
      </c>
      <c r="AU88" s="54">
        <v>385.40398100000004</v>
      </c>
      <c r="AV88" s="54">
        <v>356.26992500000011</v>
      </c>
      <c r="AW88" s="54">
        <v>272.00966499999993</v>
      </c>
      <c r="AX88" s="54">
        <v>330.28797800000007</v>
      </c>
      <c r="AY88" s="54">
        <v>296.76749200000006</v>
      </c>
      <c r="AZ88" s="54">
        <v>249.72047999999992</v>
      </c>
      <c r="BA88" s="54">
        <v>408.9784919999999</v>
      </c>
      <c r="BB88" s="54">
        <v>378.06946200000004</v>
      </c>
      <c r="BC88" s="54">
        <v>285.35257300000018</v>
      </c>
      <c r="BD88" s="54">
        <v>332.17516300000005</v>
      </c>
      <c r="BE88" s="54">
        <v>296.78789400000016</v>
      </c>
      <c r="BF88" s="54">
        <v>253.82128200000008</v>
      </c>
      <c r="BG88" s="54">
        <v>396.51287000000002</v>
      </c>
      <c r="BH88" s="54">
        <v>362.85977100000014</v>
      </c>
      <c r="BI88" s="54">
        <v>269.83685200000008</v>
      </c>
      <c r="BJ88" s="54">
        <v>330.71642000000014</v>
      </c>
      <c r="BK88" s="54">
        <v>290.11644000000001</v>
      </c>
      <c r="BL88" s="54">
        <v>249.25123399999993</v>
      </c>
      <c r="BM88" s="54">
        <v>434.10355500000009</v>
      </c>
      <c r="BN88" s="54">
        <v>392.20804800000008</v>
      </c>
      <c r="BO88" s="54">
        <v>294.66608600000012</v>
      </c>
      <c r="BP88" s="54">
        <v>357.36143200000004</v>
      </c>
      <c r="BQ88" s="54">
        <v>317.87336099999999</v>
      </c>
      <c r="BR88" s="54">
        <v>263.818262</v>
      </c>
      <c r="BS88" s="54">
        <v>454.33213800000004</v>
      </c>
      <c r="BT88" s="54">
        <v>408.58065300000004</v>
      </c>
      <c r="BU88" s="54">
        <v>307.39693399999999</v>
      </c>
      <c r="BV88" s="54">
        <v>373.38720300000006</v>
      </c>
      <c r="BW88" s="54">
        <v>327.523507</v>
      </c>
      <c r="BX88" s="54">
        <v>267.19479300000006</v>
      </c>
    </row>
    <row r="89" spans="1:76" x14ac:dyDescent="0.3">
      <c r="A89" s="8" t="s">
        <v>103</v>
      </c>
      <c r="B89" s="8" t="s">
        <v>8</v>
      </c>
      <c r="C89" s="8" t="s">
        <v>111</v>
      </c>
      <c r="D89" s="8" t="s">
        <v>115</v>
      </c>
      <c r="E89" s="54">
        <v>-16.271525024809552</v>
      </c>
      <c r="F89" s="54">
        <v>-6.2377832665772015</v>
      </c>
      <c r="G89" s="54">
        <v>-36.950094624384036</v>
      </c>
      <c r="H89" s="54">
        <v>-91.405568640064999</v>
      </c>
      <c r="I89" s="54">
        <v>-76.380347722390326</v>
      </c>
      <c r="J89" s="54">
        <v>-57.117744675141857</v>
      </c>
      <c r="K89" s="54">
        <v>-16.525033982078831</v>
      </c>
      <c r="L89" s="54">
        <v>-13.551943284106137</v>
      </c>
      <c r="M89" s="54">
        <v>-44.795666063676023</v>
      </c>
      <c r="N89" s="54">
        <v>-84.020564863183324</v>
      </c>
      <c r="O89" s="54">
        <v>-76.180960333781414</v>
      </c>
      <c r="P89" s="54">
        <v>-57.304796544466853</v>
      </c>
      <c r="Q89" s="54">
        <v>-67.313239883825432</v>
      </c>
      <c r="R89" s="54">
        <v>-63.386580825772974</v>
      </c>
      <c r="S89" s="54">
        <v>-50.046238265996301</v>
      </c>
      <c r="T89" s="54">
        <v>-84.303232348319156</v>
      </c>
      <c r="U89" s="54">
        <v>-68.220650843358158</v>
      </c>
      <c r="V89" s="54">
        <v>-56.763120496507113</v>
      </c>
      <c r="W89" s="54">
        <v>-65.344237325268836</v>
      </c>
      <c r="X89" s="54">
        <v>-71.4855860372503</v>
      </c>
      <c r="Y89" s="54">
        <v>-48.392027773689449</v>
      </c>
      <c r="Z89" s="54">
        <v>-60.911269848286324</v>
      </c>
      <c r="AA89" s="54">
        <v>-66.32895501244063</v>
      </c>
      <c r="AB89" s="54">
        <v>-46.696601390120883</v>
      </c>
      <c r="AC89" s="54">
        <v>5.1825558262208471</v>
      </c>
      <c r="AD89" s="54">
        <v>18.702722091621826</v>
      </c>
      <c r="AE89" s="54">
        <v>-23.617813287186372</v>
      </c>
      <c r="AF89" s="54">
        <v>-70.829957260360786</v>
      </c>
      <c r="AG89" s="54">
        <v>-52.737515909153657</v>
      </c>
      <c r="AH89" s="54">
        <v>-45.795523451892976</v>
      </c>
      <c r="AI89" s="54">
        <v>5.4797776618502603</v>
      </c>
      <c r="AJ89" s="54">
        <v>2.81947520631598</v>
      </c>
      <c r="AK89" s="54">
        <v>-35.466054864135231</v>
      </c>
      <c r="AL89" s="54">
        <v>-82.033939289426598</v>
      </c>
      <c r="AM89" s="54">
        <v>-76.641737761368844</v>
      </c>
      <c r="AN89" s="54">
        <v>-56.418665476926535</v>
      </c>
      <c r="AO89" s="54">
        <v>-17.150395710405441</v>
      </c>
      <c r="AP89" s="54">
        <v>-13.916598335120378</v>
      </c>
      <c r="AQ89" s="54">
        <v>-45.275898449428809</v>
      </c>
      <c r="AR89" s="54">
        <v>-0.76384752021729785</v>
      </c>
      <c r="AS89" s="54">
        <v>18.72345675968856</v>
      </c>
      <c r="AT89" s="54">
        <v>-33.152797738407294</v>
      </c>
      <c r="AU89" s="54">
        <v>-77.232364092125977</v>
      </c>
      <c r="AV89" s="54">
        <v>-69.670370294108608</v>
      </c>
      <c r="AW89" s="54">
        <v>-53.148236356686752</v>
      </c>
      <c r="AX89" s="54">
        <v>-81.149198281922025</v>
      </c>
      <c r="AY89" s="54">
        <v>-78.27834187917793</v>
      </c>
      <c r="AZ89" s="54">
        <v>-59.949550689964106</v>
      </c>
      <c r="BA89" s="54">
        <v>-5.7468220176971618</v>
      </c>
      <c r="BB89" s="54">
        <v>-3.0308571840278464</v>
      </c>
      <c r="BC89" s="54">
        <v>-4.361450622184404</v>
      </c>
      <c r="BD89" s="54">
        <v>1.0018575970540677</v>
      </c>
      <c r="BE89" s="54">
        <v>21.807422409864664</v>
      </c>
      <c r="BF89" s="54">
        <v>-1.5908079486293136</v>
      </c>
      <c r="BG89" s="54">
        <v>-86.940002969870037</v>
      </c>
      <c r="BH89" s="54">
        <v>-83.982917825884968</v>
      </c>
      <c r="BI89" s="54">
        <v>-56.773357038849561</v>
      </c>
      <c r="BJ89" s="54">
        <v>-81.158493670475011</v>
      </c>
      <c r="BK89" s="54">
        <v>-77.622414513888856</v>
      </c>
      <c r="BL89" s="54">
        <v>-55.00862155038633</v>
      </c>
      <c r="BM89" s="54">
        <v>-6.8058512429995943</v>
      </c>
      <c r="BN89" s="54">
        <v>-3.9299069750275972</v>
      </c>
      <c r="BO89" s="54">
        <v>-36.061803815748192</v>
      </c>
      <c r="BP89" s="54">
        <v>-83.848167943996415</v>
      </c>
      <c r="BQ89" s="54">
        <v>-69.182822213434747</v>
      </c>
      <c r="BR89" s="54">
        <v>-56.918887381160467</v>
      </c>
      <c r="BS89" s="54">
        <v>2.6837407861782792</v>
      </c>
      <c r="BT89" s="54">
        <v>-6.4633985625224266</v>
      </c>
      <c r="BU89" s="54">
        <v>-37.180458638328858</v>
      </c>
      <c r="BV89" s="54">
        <v>-84.907959313788027</v>
      </c>
      <c r="BW89" s="54">
        <v>-76.032392011800894</v>
      </c>
      <c r="BX89" s="54">
        <v>-57.050332822024096</v>
      </c>
    </row>
    <row r="90" spans="1:76" x14ac:dyDescent="0.3">
      <c r="A90" s="8" t="s">
        <v>103</v>
      </c>
      <c r="B90" s="8" t="s">
        <v>8</v>
      </c>
      <c r="C90" s="8" t="s">
        <v>111</v>
      </c>
      <c r="D90" s="8" t="s">
        <v>118</v>
      </c>
      <c r="E90" s="54">
        <v>334.28768861011429</v>
      </c>
      <c r="F90" s="54">
        <v>301.79278304005373</v>
      </c>
      <c r="G90" s="54">
        <v>194.50831060036978</v>
      </c>
      <c r="H90" s="54">
        <v>225.17303519096112</v>
      </c>
      <c r="I90" s="54">
        <v>188.898277991566</v>
      </c>
      <c r="J90" s="54">
        <v>149.53372294491496</v>
      </c>
      <c r="K90" s="54">
        <v>310.83012361075271</v>
      </c>
      <c r="L90" s="54">
        <v>282.56055690453638</v>
      </c>
      <c r="M90" s="54">
        <v>180.69657523679439</v>
      </c>
      <c r="N90" s="54">
        <v>217.46484745709017</v>
      </c>
      <c r="O90" s="54">
        <v>188.84831879973117</v>
      </c>
      <c r="P90" s="54">
        <v>151.63510882331965</v>
      </c>
      <c r="Q90" s="54">
        <v>269.19985631970491</v>
      </c>
      <c r="R90" s="54">
        <v>242.44857337953653</v>
      </c>
      <c r="S90" s="54">
        <v>171.93185654040221</v>
      </c>
      <c r="T90" s="54">
        <v>206.64667809100857</v>
      </c>
      <c r="U90" s="54">
        <v>180.51239411898544</v>
      </c>
      <c r="V90" s="54">
        <v>145.51563270209567</v>
      </c>
      <c r="W90" s="54">
        <v>245.69228760483887</v>
      </c>
      <c r="X90" s="54">
        <v>214.83711487765001</v>
      </c>
      <c r="Y90" s="54">
        <v>155.02800346078627</v>
      </c>
      <c r="Z90" s="54">
        <v>202.82117971602821</v>
      </c>
      <c r="AA90" s="54">
        <v>164.63469386753559</v>
      </c>
      <c r="AB90" s="54">
        <v>139.39850241592745</v>
      </c>
      <c r="AC90" s="54">
        <v>287.49958862073254</v>
      </c>
      <c r="AD90" s="54">
        <v>268.52165775497292</v>
      </c>
      <c r="AE90" s="54">
        <v>168.1162830276881</v>
      </c>
      <c r="AF90" s="54">
        <v>184.99855351878369</v>
      </c>
      <c r="AG90" s="54">
        <v>165.42571045450782</v>
      </c>
      <c r="AH90" s="54">
        <v>135.43158230386422</v>
      </c>
      <c r="AI90" s="54">
        <v>319.51651784711021</v>
      </c>
      <c r="AJ90" s="54">
        <v>284.49293449878962</v>
      </c>
      <c r="AK90" s="54">
        <v>176.55621233151885</v>
      </c>
      <c r="AL90" s="54">
        <v>195.40491842634401</v>
      </c>
      <c r="AM90" s="54">
        <v>170.38984496817878</v>
      </c>
      <c r="AN90" s="54">
        <v>140.40248421384405</v>
      </c>
      <c r="AO90" s="54">
        <v>313.2130019487567</v>
      </c>
      <c r="AP90" s="54">
        <v>282.52028137392784</v>
      </c>
      <c r="AQ90" s="54">
        <v>180.76547080534277</v>
      </c>
      <c r="AR90" s="54">
        <v>254.17287936286971</v>
      </c>
      <c r="AS90" s="54">
        <v>237.67734868081325</v>
      </c>
      <c r="AT90" s="54">
        <v>162.11859023195575</v>
      </c>
      <c r="AU90" s="54">
        <v>240.8890649197246</v>
      </c>
      <c r="AV90" s="54">
        <v>219.933962198535</v>
      </c>
      <c r="AW90" s="54">
        <v>156.11951506098788</v>
      </c>
      <c r="AX90" s="54">
        <v>190.31246178084695</v>
      </c>
      <c r="AY90" s="54">
        <v>162.70455037249332</v>
      </c>
      <c r="AZ90" s="54">
        <v>132.53568958602148</v>
      </c>
      <c r="BA90" s="54">
        <v>304.40808728938219</v>
      </c>
      <c r="BB90" s="54">
        <v>278.99226493958349</v>
      </c>
      <c r="BC90" s="54">
        <v>197.0666310016893</v>
      </c>
      <c r="BD90" s="54">
        <v>241.25438218323248</v>
      </c>
      <c r="BE90" s="54">
        <v>222.77386069591887</v>
      </c>
      <c r="BF90" s="54">
        <v>171.1391369808224</v>
      </c>
      <c r="BG90" s="54">
        <v>244.78475946807788</v>
      </c>
      <c r="BH90" s="54">
        <v>217.1125489294692</v>
      </c>
      <c r="BI90" s="54">
        <v>152.04323127669028</v>
      </c>
      <c r="BJ90" s="54">
        <v>190.68177129771513</v>
      </c>
      <c r="BK90" s="54">
        <v>157.27843629166671</v>
      </c>
      <c r="BL90" s="54">
        <v>135.08965681976827</v>
      </c>
      <c r="BM90" s="54">
        <v>325.7570998792001</v>
      </c>
      <c r="BN90" s="54">
        <v>290.82409781498365</v>
      </c>
      <c r="BO90" s="54">
        <v>186.1957429605512</v>
      </c>
      <c r="BP90" s="54">
        <v>212.38235223360235</v>
      </c>
      <c r="BQ90" s="54">
        <v>186.62949754693915</v>
      </c>
      <c r="BR90" s="54">
        <v>146.68964682130391</v>
      </c>
      <c r="BS90" s="54">
        <v>349.15086522170725</v>
      </c>
      <c r="BT90" s="54">
        <v>303.63003223748655</v>
      </c>
      <c r="BU90" s="54">
        <v>196.66404206700284</v>
      </c>
      <c r="BV90" s="54">
        <v>225.76902703672718</v>
      </c>
      <c r="BW90" s="54">
        <v>190.96363341791945</v>
      </c>
      <c r="BX90" s="54">
        <v>149.56524418178574</v>
      </c>
    </row>
    <row r="91" spans="1:76" x14ac:dyDescent="0.3">
      <c r="A91" s="8" t="s">
        <v>103</v>
      </c>
      <c r="B91" s="8" t="s">
        <v>8</v>
      </c>
      <c r="C91" s="8" t="s">
        <v>115</v>
      </c>
      <c r="D91" s="8" t="s">
        <v>116</v>
      </c>
      <c r="E91" s="54">
        <v>392.33926332996185</v>
      </c>
      <c r="F91" s="54">
        <v>347.41563285331557</v>
      </c>
      <c r="G91" s="54">
        <v>254.54591399987646</v>
      </c>
      <c r="H91" s="54">
        <v>336.01364740301307</v>
      </c>
      <c r="I91" s="54">
        <v>282.54272606947796</v>
      </c>
      <c r="J91" s="54">
        <v>221.94841808502841</v>
      </c>
      <c r="K91" s="54">
        <v>366.42102439641565</v>
      </c>
      <c r="L91" s="54">
        <v>332.33830843182119</v>
      </c>
      <c r="M91" s="54">
        <v>245.97013378773514</v>
      </c>
      <c r="N91" s="54">
        <v>321.01012064763677</v>
      </c>
      <c r="O91" s="54">
        <v>282.31387506675645</v>
      </c>
      <c r="P91" s="54">
        <v>224.45243025889329</v>
      </c>
      <c r="Q91" s="54">
        <v>364.14619682676499</v>
      </c>
      <c r="R91" s="54">
        <v>330.92704054015456</v>
      </c>
      <c r="S91" s="54">
        <v>240.76422995319936</v>
      </c>
      <c r="T91" s="54">
        <v>309.20110596966401</v>
      </c>
      <c r="U91" s="54">
        <v>266.11117589367183</v>
      </c>
      <c r="V91" s="54">
        <v>217.1631010993016</v>
      </c>
      <c r="W91" s="54">
        <v>336.24182946505397</v>
      </c>
      <c r="X91" s="54">
        <v>307.1945513074499</v>
      </c>
      <c r="Y91" s="54">
        <v>220.49170797973795</v>
      </c>
      <c r="Z91" s="54">
        <v>284.62081749465739</v>
      </c>
      <c r="AA91" s="54">
        <v>246.77580837748826</v>
      </c>
      <c r="AB91" s="54">
        <v>201.60337932802429</v>
      </c>
      <c r="AC91" s="54">
        <v>321.56955025975577</v>
      </c>
      <c r="AD91" s="54">
        <v>288.67948288167588</v>
      </c>
      <c r="AE91" s="54">
        <v>213.55761605743729</v>
      </c>
      <c r="AF91" s="54">
        <v>273.3764082270722</v>
      </c>
      <c r="AG91" s="54">
        <v>235.8520911818307</v>
      </c>
      <c r="AH91" s="54">
        <v>196.40044636537857</v>
      </c>
      <c r="AI91" s="54">
        <v>356.98739871762996</v>
      </c>
      <c r="AJ91" s="54">
        <v>320.27178283373689</v>
      </c>
      <c r="AK91" s="54">
        <v>233.25315282282699</v>
      </c>
      <c r="AL91" s="54">
        <v>294.70353065788555</v>
      </c>
      <c r="AM91" s="54">
        <v>262.14607947727387</v>
      </c>
      <c r="AN91" s="54">
        <v>211.1664089953853</v>
      </c>
      <c r="AO91" s="54">
        <v>369.6194030170812</v>
      </c>
      <c r="AP91" s="54">
        <v>332.61015894202404</v>
      </c>
      <c r="AQ91" s="54">
        <v>246.46401926488571</v>
      </c>
      <c r="AR91" s="54">
        <v>289.59895027904349</v>
      </c>
      <c r="AS91" s="54">
        <v>254.29210037306228</v>
      </c>
      <c r="AT91" s="54">
        <v>215.15628772268158</v>
      </c>
      <c r="AU91" s="54">
        <v>341.21535429342509</v>
      </c>
      <c r="AV91" s="54">
        <v>311.29725093382166</v>
      </c>
      <c r="AW91" s="54">
        <v>225.83907064633735</v>
      </c>
      <c r="AX91" s="54">
        <v>288.26061820638449</v>
      </c>
      <c r="AY91" s="54">
        <v>255.00397307583555</v>
      </c>
      <c r="AZ91" s="54">
        <v>205.46737813799277</v>
      </c>
      <c r="BA91" s="54">
        <v>349.9033941035392</v>
      </c>
      <c r="BB91" s="54">
        <v>319.22389688680551</v>
      </c>
      <c r="BC91" s="54">
        <v>229.09104879943709</v>
      </c>
      <c r="BD91" s="54">
        <v>273.6704124055891</v>
      </c>
      <c r="BE91" s="54">
        <v>235.00671216802726</v>
      </c>
      <c r="BF91" s="54">
        <v>197.79391153972591</v>
      </c>
      <c r="BG91" s="54">
        <v>353.98804884397418</v>
      </c>
      <c r="BH91" s="54">
        <v>320.58486029017683</v>
      </c>
      <c r="BI91" s="54">
        <v>224.44560210776987</v>
      </c>
      <c r="BJ91" s="54">
        <v>288.68020823409489</v>
      </c>
      <c r="BK91" s="54">
        <v>248.38801190277769</v>
      </c>
      <c r="BL91" s="54">
        <v>204.02167746007714</v>
      </c>
      <c r="BM91" s="54">
        <v>374.61213637360015</v>
      </c>
      <c r="BN91" s="54">
        <v>333.1888281950055</v>
      </c>
      <c r="BO91" s="54">
        <v>244.51179461314942</v>
      </c>
      <c r="BP91" s="54">
        <v>315.19702978879917</v>
      </c>
      <c r="BQ91" s="54">
        <v>273.76309141768695</v>
      </c>
      <c r="BR91" s="54">
        <v>218.60658292623225</v>
      </c>
      <c r="BS91" s="54">
        <v>392.4370863927644</v>
      </c>
      <c r="BT91" s="54">
        <v>349.65881638750449</v>
      </c>
      <c r="BU91" s="54">
        <v>257.14810237766562</v>
      </c>
      <c r="BV91" s="54">
        <v>331.03411478775757</v>
      </c>
      <c r="BW91" s="54">
        <v>284.54189772736015</v>
      </c>
      <c r="BX91" s="54">
        <v>221.92498973940488</v>
      </c>
    </row>
    <row r="92" spans="1:76" x14ac:dyDescent="0.3">
      <c r="A92" s="8" t="s">
        <v>103</v>
      </c>
      <c r="B92" s="8" t="s">
        <v>8</v>
      </c>
      <c r="C92" s="8" t="s">
        <v>115</v>
      </c>
      <c r="D92" s="8" t="s">
        <v>117</v>
      </c>
      <c r="E92" s="54">
        <v>424.40368905992386</v>
      </c>
      <c r="F92" s="54">
        <v>369.77028010663071</v>
      </c>
      <c r="G92" s="54">
        <v>265.27160639975358</v>
      </c>
      <c r="H92" s="54">
        <v>370.29803640602597</v>
      </c>
      <c r="I92" s="54">
        <v>304.76409293895591</v>
      </c>
      <c r="J92" s="54">
        <v>230.13284097005672</v>
      </c>
      <c r="K92" s="54">
        <v>393.87505999283178</v>
      </c>
      <c r="L92" s="54">
        <v>353.18704166364267</v>
      </c>
      <c r="M92" s="54">
        <v>256.44406197547045</v>
      </c>
      <c r="N92" s="54">
        <v>351.38967089527353</v>
      </c>
      <c r="O92" s="54">
        <v>304.46144613351225</v>
      </c>
      <c r="P92" s="54">
        <v>233.1169869177867</v>
      </c>
      <c r="Q92" s="54">
        <v>399.5264048535301</v>
      </c>
      <c r="R92" s="54">
        <v>359.70046108030897</v>
      </c>
      <c r="S92" s="54">
        <v>251.16539750639853</v>
      </c>
      <c r="T92" s="54">
        <v>337.50747593932772</v>
      </c>
      <c r="U92" s="54">
        <v>284.04426298734296</v>
      </c>
      <c r="V92" s="54">
        <v>224.43042619860276</v>
      </c>
      <c r="W92" s="54">
        <v>366.29044293010747</v>
      </c>
      <c r="X92" s="54">
        <v>333.03736181490029</v>
      </c>
      <c r="Y92" s="54">
        <v>226.98275755947583</v>
      </c>
      <c r="Z92" s="54">
        <v>304.67665978931444</v>
      </c>
      <c r="AA92" s="54">
        <v>260.92801275497624</v>
      </c>
      <c r="AB92" s="54">
        <v>204.42599225604852</v>
      </c>
      <c r="AC92" s="54">
        <v>337.41105011951157</v>
      </c>
      <c r="AD92" s="54">
        <v>296.39894336335118</v>
      </c>
      <c r="AE92" s="54">
        <v>214.73857291487454</v>
      </c>
      <c r="AF92" s="54">
        <v>293.04170525414429</v>
      </c>
      <c r="AG92" s="54">
        <v>245.8132383636611</v>
      </c>
      <c r="AH92" s="54">
        <v>198.14133033075731</v>
      </c>
      <c r="AI92" s="54">
        <v>379.13717343525997</v>
      </c>
      <c r="AJ92" s="54">
        <v>336.26813766747341</v>
      </c>
      <c r="AK92" s="54">
        <v>239.91353284565409</v>
      </c>
      <c r="AL92" s="54">
        <v>320.03537491577049</v>
      </c>
      <c r="AM92" s="54">
        <v>280.74940455454731</v>
      </c>
      <c r="AN92" s="54">
        <v>217.30087879077064</v>
      </c>
      <c r="AO92" s="54">
        <v>397.75013003416217</v>
      </c>
      <c r="AP92" s="54">
        <v>353.56752668404812</v>
      </c>
      <c r="AQ92" s="54">
        <v>257.10540092977152</v>
      </c>
      <c r="AR92" s="54">
        <v>300.6779573580871</v>
      </c>
      <c r="AS92" s="54">
        <v>255.83606394612457</v>
      </c>
      <c r="AT92" s="54">
        <v>218.18890104536283</v>
      </c>
      <c r="AU92" s="54">
        <v>374.10752378685032</v>
      </c>
      <c r="AV92" s="54">
        <v>337.57856186764343</v>
      </c>
      <c r="AW92" s="54">
        <v>234.07040929267464</v>
      </c>
      <c r="AX92" s="54">
        <v>312.29085401276893</v>
      </c>
      <c r="AY92" s="54">
        <v>272.59395255167118</v>
      </c>
      <c r="AZ92" s="54">
        <v>211.1583722759851</v>
      </c>
      <c r="BA92" s="54">
        <v>372.62399460707883</v>
      </c>
      <c r="BB92" s="54">
        <v>335.99222417361108</v>
      </c>
      <c r="BC92" s="54">
        <v>229.90003919887391</v>
      </c>
      <c r="BD92" s="54">
        <v>281.60069441117861</v>
      </c>
      <c r="BE92" s="54">
        <v>232.58310913605419</v>
      </c>
      <c r="BF92" s="54">
        <v>192.53079747945179</v>
      </c>
      <c r="BG92" s="54">
        <v>390.76580168794828</v>
      </c>
      <c r="BH92" s="54">
        <v>350.88190378035409</v>
      </c>
      <c r="BI92" s="54">
        <v>233.02172261554</v>
      </c>
      <c r="BJ92" s="54">
        <v>312.78728046818992</v>
      </c>
      <c r="BK92" s="54">
        <v>264.68287180555541</v>
      </c>
      <c r="BL92" s="54">
        <v>208.64236772015454</v>
      </c>
      <c r="BM92" s="54">
        <v>401.94142874720006</v>
      </c>
      <c r="BN92" s="54">
        <v>352.61121799001091</v>
      </c>
      <c r="BO92" s="54">
        <v>253.29072042629929</v>
      </c>
      <c r="BP92" s="54">
        <v>344.50491397759862</v>
      </c>
      <c r="BQ92" s="54">
        <v>293.22749403537387</v>
      </c>
      <c r="BR92" s="54">
        <v>226.15855625246394</v>
      </c>
      <c r="BS92" s="54">
        <v>421.40846238552854</v>
      </c>
      <c r="BT92" s="54">
        <v>372.45311037500903</v>
      </c>
      <c r="BU92" s="54">
        <v>268.37865755533153</v>
      </c>
      <c r="BV92" s="54">
        <v>363.35846717551522</v>
      </c>
      <c r="BW92" s="54">
        <v>307.06498985472041</v>
      </c>
      <c r="BX92" s="54">
        <v>230.09414507880965</v>
      </c>
    </row>
    <row r="93" spans="1:76" x14ac:dyDescent="0.3">
      <c r="A93" s="8" t="s">
        <v>103</v>
      </c>
      <c r="B93" s="8" t="s">
        <v>8</v>
      </c>
      <c r="C93" s="8" t="s">
        <v>116</v>
      </c>
      <c r="D93" s="8" t="s">
        <v>117</v>
      </c>
      <c r="E93" s="54">
        <v>-58.00428367003807</v>
      </c>
      <c r="F93" s="54">
        <v>-58.910599146684397</v>
      </c>
      <c r="G93" s="54">
        <v>-50.229363000123485</v>
      </c>
      <c r="H93" s="54">
        <v>-41.147925596986987</v>
      </c>
      <c r="I93" s="54">
        <v>-42.858972930521986</v>
      </c>
      <c r="J93" s="54">
        <v>-45.256575914971677</v>
      </c>
      <c r="K93" s="54">
        <v>-57.28771160358437</v>
      </c>
      <c r="L93" s="54">
        <v>-57.023660568178869</v>
      </c>
      <c r="M93" s="54">
        <v>-48.400123212264944</v>
      </c>
      <c r="N93" s="54">
        <v>-42.278092352363352</v>
      </c>
      <c r="O93" s="54">
        <v>-42.894004933243579</v>
      </c>
      <c r="P93" s="54">
        <v>-45.282411741106586</v>
      </c>
      <c r="Q93" s="54">
        <v>-46.811289173235068</v>
      </c>
      <c r="R93" s="54">
        <v>-46.764984459845451</v>
      </c>
      <c r="S93" s="54">
        <v>-47.189598046800675</v>
      </c>
      <c r="T93" s="54">
        <v>-41.917314030336051</v>
      </c>
      <c r="U93" s="54">
        <v>-44.111435106328088</v>
      </c>
      <c r="V93" s="54">
        <v>-45.206618900698544</v>
      </c>
      <c r="W93" s="54">
        <v>-46.499690534946069</v>
      </c>
      <c r="X93" s="54">
        <v>-44.495124692550128</v>
      </c>
      <c r="Y93" s="54">
        <v>-47.009115020262058</v>
      </c>
      <c r="Z93" s="54">
        <v>-46.085401505342681</v>
      </c>
      <c r="AA93" s="54">
        <v>-44.00369662251169</v>
      </c>
      <c r="AB93" s="54">
        <v>-46.872578671975809</v>
      </c>
      <c r="AC93" s="54">
        <v>-60.590512740244186</v>
      </c>
      <c r="AD93" s="54">
        <v>-62.520545118324279</v>
      </c>
      <c r="AE93" s="54">
        <v>-51.913207942562714</v>
      </c>
      <c r="AF93" s="54">
        <v>-43.762480772927773</v>
      </c>
      <c r="AG93" s="54">
        <v>-46.511588818169415</v>
      </c>
      <c r="AH93" s="54">
        <v>-46.924006634621485</v>
      </c>
      <c r="AI93" s="54">
        <v>-61.559631282370077</v>
      </c>
      <c r="AJ93" s="54">
        <v>-60.072502166263142</v>
      </c>
      <c r="AK93" s="54">
        <v>-49.987813177172939</v>
      </c>
      <c r="AL93" s="54">
        <v>-42.011077342114511</v>
      </c>
      <c r="AM93" s="54">
        <v>-42.282363522726072</v>
      </c>
      <c r="AN93" s="54">
        <v>-45.12351500461476</v>
      </c>
      <c r="AO93" s="54">
        <v>-57.241441982918808</v>
      </c>
      <c r="AP93" s="54">
        <v>-56.955830057975888</v>
      </c>
      <c r="AQ93" s="54">
        <v>-48.31427773511421</v>
      </c>
      <c r="AR93" s="54">
        <v>-58.550978720956607</v>
      </c>
      <c r="AS93" s="54">
        <v>-61.643070626937742</v>
      </c>
      <c r="AT93" s="54">
        <v>-49.998305277318522</v>
      </c>
      <c r="AU93" s="54">
        <v>-44.188626706574972</v>
      </c>
      <c r="AV93" s="54">
        <v>-44.972674066178328</v>
      </c>
      <c r="AW93" s="54">
        <v>-46.170594353662551</v>
      </c>
      <c r="AX93" s="54">
        <v>-42.027359793615602</v>
      </c>
      <c r="AY93" s="54">
        <v>-41.763518924164522</v>
      </c>
      <c r="AZ93" s="54">
        <v>-44.25310186200737</v>
      </c>
      <c r="BA93" s="54">
        <v>-59.075097896460704</v>
      </c>
      <c r="BB93" s="54">
        <v>-58.845565113194496</v>
      </c>
      <c r="BC93" s="54">
        <v>-56.261524200563073</v>
      </c>
      <c r="BD93" s="54">
        <v>-58.504750594410957</v>
      </c>
      <c r="BE93" s="54">
        <v>-61.781181831972901</v>
      </c>
      <c r="BF93" s="54">
        <v>-56.027370460274064</v>
      </c>
      <c r="BG93" s="54">
        <v>-42.524821156026071</v>
      </c>
      <c r="BH93" s="54">
        <v>-42.274910709823033</v>
      </c>
      <c r="BI93" s="54">
        <v>-45.391249892230199</v>
      </c>
      <c r="BJ93" s="54">
        <v>-42.036211765904994</v>
      </c>
      <c r="BK93" s="54">
        <v>-41.728428097222213</v>
      </c>
      <c r="BL93" s="54">
        <v>-45.229556539922775</v>
      </c>
      <c r="BM93" s="54">
        <v>-59.491418626400062</v>
      </c>
      <c r="BN93" s="54">
        <v>-59.019219804994471</v>
      </c>
      <c r="BO93" s="54">
        <v>-50.154291386850566</v>
      </c>
      <c r="BP93" s="54">
        <v>-42.16440221120088</v>
      </c>
      <c r="BQ93" s="54">
        <v>-44.110269582313123</v>
      </c>
      <c r="BR93" s="54">
        <v>-45.211679073767883</v>
      </c>
      <c r="BS93" s="54">
        <v>-61.895051607235629</v>
      </c>
      <c r="BT93" s="54">
        <v>-58.921836612495504</v>
      </c>
      <c r="BU93" s="54">
        <v>-50.2488316223344</v>
      </c>
      <c r="BV93" s="54">
        <v>-42.353088212242376</v>
      </c>
      <c r="BW93" s="54">
        <v>-42.98160927263983</v>
      </c>
      <c r="BX93" s="54">
        <v>-45.269803260595154</v>
      </c>
    </row>
    <row r="94" spans="1:76" x14ac:dyDescent="0.3">
      <c r="A94" s="8" t="s">
        <v>103</v>
      </c>
      <c r="B94" s="8" t="s">
        <v>8</v>
      </c>
      <c r="C94" s="8" t="s">
        <v>117</v>
      </c>
      <c r="D94" s="8" t="s">
        <v>118</v>
      </c>
      <c r="E94" s="54">
        <v>116.05585838988563</v>
      </c>
      <c r="F94" s="54">
        <v>104.53344895994631</v>
      </c>
      <c r="G94" s="54">
        <v>110.26696639963008</v>
      </c>
      <c r="H94" s="54">
        <v>151.98853780903886</v>
      </c>
      <c r="I94" s="54">
        <v>136.50342100843403</v>
      </c>
      <c r="J94" s="54">
        <v>117.67127105508501</v>
      </c>
      <c r="K94" s="54">
        <v>112.87861238924735</v>
      </c>
      <c r="L94" s="54">
        <v>106.80141209546368</v>
      </c>
      <c r="M94" s="54">
        <v>113.67368176320558</v>
      </c>
      <c r="N94" s="54">
        <v>145.82336554290998</v>
      </c>
      <c r="O94" s="54">
        <v>136.35956120026881</v>
      </c>
      <c r="P94" s="54">
        <v>118.09973317668022</v>
      </c>
      <c r="Q94" s="54">
        <v>141.75762968029514</v>
      </c>
      <c r="R94" s="54">
        <v>135.24345162046359</v>
      </c>
      <c r="S94" s="54">
        <v>116.02197145959781</v>
      </c>
      <c r="T94" s="54">
        <v>144.47174190899148</v>
      </c>
      <c r="U94" s="54">
        <v>129.71021688101459</v>
      </c>
      <c r="V94" s="54">
        <v>116.85408729790426</v>
      </c>
      <c r="W94" s="54">
        <v>137.04923239516131</v>
      </c>
      <c r="X94" s="54">
        <v>136.85256112235012</v>
      </c>
      <c r="Y94" s="54">
        <v>112.47281953921373</v>
      </c>
      <c r="Z94" s="54">
        <v>127.88503928397176</v>
      </c>
      <c r="AA94" s="54">
        <v>126.14481113246445</v>
      </c>
      <c r="AB94" s="54">
        <v>109.07745558407255</v>
      </c>
      <c r="AC94" s="54">
        <v>94.660474379267498</v>
      </c>
      <c r="AD94" s="54">
        <v>82.678370245027111</v>
      </c>
      <c r="AE94" s="54">
        <v>97.354540972311881</v>
      </c>
      <c r="AF94" s="54">
        <v>132.1403354812164</v>
      </c>
      <c r="AG94" s="54">
        <v>116.93796954549218</v>
      </c>
      <c r="AH94" s="54">
        <v>107.89287069613584</v>
      </c>
      <c r="AI94" s="54">
        <v>99.030512152889827</v>
      </c>
      <c r="AJ94" s="54">
        <v>95.851350501210405</v>
      </c>
      <c r="AK94" s="54">
        <v>106.68475366848118</v>
      </c>
      <c r="AL94" s="54">
        <v>141.30968957365596</v>
      </c>
      <c r="AM94" s="54">
        <v>134.03859803182127</v>
      </c>
      <c r="AN94" s="54">
        <v>115.88743978615589</v>
      </c>
      <c r="AO94" s="54">
        <v>113.64784305124331</v>
      </c>
      <c r="AP94" s="54">
        <v>107.04570762607213</v>
      </c>
      <c r="AQ94" s="54">
        <v>114.01282619465725</v>
      </c>
      <c r="AR94" s="54">
        <v>93.977049637130378</v>
      </c>
      <c r="AS94" s="54">
        <v>78.257822319186772</v>
      </c>
      <c r="AT94" s="54">
        <v>103.03600276804437</v>
      </c>
      <c r="AU94" s="54">
        <v>144.51491608027544</v>
      </c>
      <c r="AV94" s="54">
        <v>136.33596280146509</v>
      </c>
      <c r="AW94" s="54">
        <v>115.89014993901215</v>
      </c>
      <c r="AX94" s="54">
        <v>139.97551621915315</v>
      </c>
      <c r="AY94" s="54">
        <v>134.06294162750675</v>
      </c>
      <c r="AZ94" s="54">
        <v>117.18479041397856</v>
      </c>
      <c r="BA94" s="54">
        <v>104.57040471061796</v>
      </c>
      <c r="BB94" s="54">
        <v>99.077197060416509</v>
      </c>
      <c r="BC94" s="54">
        <v>88.285941998310747</v>
      </c>
      <c r="BD94" s="54">
        <v>90.920780816767575</v>
      </c>
      <c r="BE94" s="54">
        <v>74.014033304081181</v>
      </c>
      <c r="BF94" s="54">
        <v>82.682145019177696</v>
      </c>
      <c r="BG94" s="54">
        <v>151.72811053192214</v>
      </c>
      <c r="BH94" s="54">
        <v>145.74722207053094</v>
      </c>
      <c r="BI94" s="54">
        <v>117.79362072330979</v>
      </c>
      <c r="BJ94" s="54">
        <v>140.03464870228487</v>
      </c>
      <c r="BK94" s="54">
        <v>132.83800370833333</v>
      </c>
      <c r="BL94" s="54">
        <v>114.16157718023179</v>
      </c>
      <c r="BM94" s="54">
        <v>108.34645512079987</v>
      </c>
      <c r="BN94" s="54">
        <v>101.38395018501645</v>
      </c>
      <c r="BO94" s="54">
        <v>108.47034303944881</v>
      </c>
      <c r="BP94" s="54">
        <v>144.9790797663978</v>
      </c>
      <c r="BQ94" s="54">
        <v>131.24386345306084</v>
      </c>
      <c r="BR94" s="54">
        <v>117.12861517869611</v>
      </c>
      <c r="BS94" s="54">
        <v>105.18127277829281</v>
      </c>
      <c r="BT94" s="54">
        <v>104.95062076251349</v>
      </c>
      <c r="BU94" s="54">
        <v>110.73289193299718</v>
      </c>
      <c r="BV94" s="54">
        <v>147.61817596327276</v>
      </c>
      <c r="BW94" s="54">
        <v>136.55987358208054</v>
      </c>
      <c r="BX94" s="54">
        <v>117.6295488182143</v>
      </c>
    </row>
    <row r="95" spans="1:76" x14ac:dyDescent="0.3">
      <c r="A95" s="8" t="s">
        <v>103</v>
      </c>
      <c r="B95" s="8" t="s">
        <v>9</v>
      </c>
      <c r="C95" s="8" t="s">
        <v>108</v>
      </c>
      <c r="D95" s="8" t="s">
        <v>111</v>
      </c>
      <c r="E95" s="54">
        <v>374.53584753594993</v>
      </c>
      <c r="F95" s="54">
        <v>398.31946762652336</v>
      </c>
      <c r="G95" s="54">
        <v>473.48916144319799</v>
      </c>
      <c r="H95" s="54">
        <v>553.29589652035872</v>
      </c>
      <c r="I95" s="54">
        <v>557.39403586550179</v>
      </c>
      <c r="J95" s="54">
        <v>532.21338559444462</v>
      </c>
      <c r="K95" s="54">
        <v>407.59598363584246</v>
      </c>
      <c r="L95" s="54">
        <v>419.74608864955189</v>
      </c>
      <c r="M95" s="54">
        <v>502.920860101882</v>
      </c>
      <c r="N95" s="54">
        <v>557.20233338109313</v>
      </c>
      <c r="O95" s="54">
        <v>557.12425613089135</v>
      </c>
      <c r="P95" s="54">
        <v>487.42057506469536</v>
      </c>
      <c r="Q95" s="54">
        <v>371.15290910806453</v>
      </c>
      <c r="R95" s="54">
        <v>399.29039051847082</v>
      </c>
      <c r="S95" s="54">
        <v>500.26124589940133</v>
      </c>
      <c r="T95" s="54">
        <v>488.02461892652337</v>
      </c>
      <c r="U95" s="54">
        <v>490.89101678603345</v>
      </c>
      <c r="V95" s="54">
        <v>478.53954197574569</v>
      </c>
      <c r="W95" s="54">
        <v>360.45853177777821</v>
      </c>
      <c r="X95" s="54">
        <v>378.43700668781378</v>
      </c>
      <c r="Y95" s="54">
        <v>465.99974573783419</v>
      </c>
      <c r="Z95" s="54">
        <v>503.1756679551076</v>
      </c>
      <c r="AA95" s="54">
        <v>491.76130504525094</v>
      </c>
      <c r="AB95" s="54">
        <v>467.72159006075253</v>
      </c>
      <c r="AC95" s="54">
        <v>386.07470229705922</v>
      </c>
      <c r="AD95" s="54">
        <v>376.81533287706202</v>
      </c>
      <c r="AE95" s="54">
        <v>433.2175381885304</v>
      </c>
      <c r="AF95" s="54">
        <v>523.6909664355893</v>
      </c>
      <c r="AG95" s="54">
        <v>503.12497095009667</v>
      </c>
      <c r="AH95" s="54">
        <v>485.13430738109321</v>
      </c>
      <c r="AI95" s="54">
        <v>404.27673890949836</v>
      </c>
      <c r="AJ95" s="54">
        <v>394.26746496153362</v>
      </c>
      <c r="AK95" s="54">
        <v>367.28127317616543</v>
      </c>
      <c r="AL95" s="54">
        <v>443.0635483627243</v>
      </c>
      <c r="AM95" s="54">
        <v>425.54618679648001</v>
      </c>
      <c r="AN95" s="54">
        <v>395.96630334086024</v>
      </c>
      <c r="AO95" s="54">
        <v>321.591957136649</v>
      </c>
      <c r="AP95" s="54">
        <v>333.57947306711486</v>
      </c>
      <c r="AQ95" s="54">
        <v>404.17761591908595</v>
      </c>
      <c r="AR95" s="54">
        <v>277.72223902748493</v>
      </c>
      <c r="AS95" s="54">
        <v>297.92830244901467</v>
      </c>
      <c r="AT95" s="54">
        <v>416.56080198145173</v>
      </c>
      <c r="AU95" s="54">
        <v>522.32050974740196</v>
      </c>
      <c r="AV95" s="54">
        <v>514.30143431523391</v>
      </c>
      <c r="AW95" s="54">
        <v>485.30592731765256</v>
      </c>
      <c r="AX95" s="54">
        <v>572.68024685107571</v>
      </c>
      <c r="AY95" s="54">
        <v>575.67613525134459</v>
      </c>
      <c r="AZ95" s="54">
        <v>514.01937825089635</v>
      </c>
      <c r="BA95" s="54">
        <v>410.58631517670261</v>
      </c>
      <c r="BB95" s="54">
        <v>408.82035740743714</v>
      </c>
      <c r="BC95" s="54">
        <v>441.39949394381728</v>
      </c>
      <c r="BD95" s="54">
        <v>562.5443526418461</v>
      </c>
      <c r="BE95" s="54">
        <v>549.56786291523338</v>
      </c>
      <c r="BF95" s="54">
        <v>478.2126080431899</v>
      </c>
      <c r="BG95" s="54">
        <v>533.55713670878174</v>
      </c>
      <c r="BH95" s="54">
        <v>557.48485172141591</v>
      </c>
      <c r="BI95" s="54">
        <v>504.60183954811242</v>
      </c>
      <c r="BJ95" s="54">
        <v>576.94388182974922</v>
      </c>
      <c r="BK95" s="54">
        <v>602.81266218996404</v>
      </c>
      <c r="BL95" s="54">
        <v>512.46527418225821</v>
      </c>
      <c r="BM95" s="54">
        <v>377.00651798879937</v>
      </c>
      <c r="BN95" s="54">
        <v>396.31656338781409</v>
      </c>
      <c r="BO95" s="54">
        <v>480.6879262661634</v>
      </c>
      <c r="BP95" s="54">
        <v>483.90792311039445</v>
      </c>
      <c r="BQ95" s="54">
        <v>503.08724025098581</v>
      </c>
      <c r="BR95" s="54">
        <v>479.44049769412044</v>
      </c>
      <c r="BS95" s="54">
        <v>355.90300057867432</v>
      </c>
      <c r="BT95" s="54">
        <v>382.35816711227665</v>
      </c>
      <c r="BU95" s="54">
        <v>460.81438662132655</v>
      </c>
      <c r="BV95" s="54">
        <v>550.54297250206093</v>
      </c>
      <c r="BW95" s="54">
        <v>559.1890169880827</v>
      </c>
      <c r="BX95" s="54">
        <v>524.63728587034052</v>
      </c>
    </row>
    <row r="96" spans="1:76" x14ac:dyDescent="0.3">
      <c r="A96" s="8" t="s">
        <v>103</v>
      </c>
      <c r="B96" s="8" t="s">
        <v>9</v>
      </c>
      <c r="C96" s="8" t="s">
        <v>108</v>
      </c>
      <c r="D96" s="8" t="s">
        <v>115</v>
      </c>
      <c r="E96" s="54">
        <v>508.27705846405013</v>
      </c>
      <c r="F96" s="54">
        <v>572.52806837347657</v>
      </c>
      <c r="G96" s="54">
        <v>562.27894546589209</v>
      </c>
      <c r="H96" s="54">
        <v>475.88095747964121</v>
      </c>
      <c r="I96" s="54">
        <v>575.30256613449819</v>
      </c>
      <c r="J96" s="54">
        <v>570.22656640555567</v>
      </c>
      <c r="K96" s="54">
        <v>528.48654436415757</v>
      </c>
      <c r="L96" s="54">
        <v>585.02997335044802</v>
      </c>
      <c r="M96" s="54">
        <v>575.19862589811828</v>
      </c>
      <c r="N96" s="54">
        <v>499.72124061890668</v>
      </c>
      <c r="O96" s="54">
        <v>575.53087897839168</v>
      </c>
      <c r="P96" s="54">
        <v>501.36974093530483</v>
      </c>
      <c r="Q96" s="54">
        <v>494.42277889193531</v>
      </c>
      <c r="R96" s="54">
        <v>609.11969948152955</v>
      </c>
      <c r="S96" s="54">
        <v>573.34006120739446</v>
      </c>
      <c r="T96" s="54">
        <v>398.83854107347673</v>
      </c>
      <c r="U96" s="54">
        <v>477.76376121396646</v>
      </c>
      <c r="V96" s="54">
        <v>490.38890113105072</v>
      </c>
      <c r="W96" s="54">
        <v>561.27143822222263</v>
      </c>
      <c r="X96" s="54">
        <v>674.92040131218607</v>
      </c>
      <c r="Y96" s="54">
        <v>601.77652317444654</v>
      </c>
      <c r="Z96" s="54">
        <v>502.27189404489246</v>
      </c>
      <c r="AA96" s="54">
        <v>574.31473495474927</v>
      </c>
      <c r="AB96" s="54">
        <v>552.18649393924738</v>
      </c>
      <c r="AC96" s="54">
        <v>633.10517170294077</v>
      </c>
      <c r="AD96" s="54">
        <v>672.62489112293952</v>
      </c>
      <c r="AE96" s="54">
        <v>552.70081381146838</v>
      </c>
      <c r="AF96" s="54">
        <v>535.47951556441012</v>
      </c>
      <c r="AG96" s="54">
        <v>559.13074597298021</v>
      </c>
      <c r="AH96" s="54">
        <v>545.07678661890679</v>
      </c>
      <c r="AI96" s="54">
        <v>542.12920109050185</v>
      </c>
      <c r="AJ96" s="54">
        <v>556.158250752752</v>
      </c>
      <c r="AK96" s="54">
        <v>517.40721482383537</v>
      </c>
      <c r="AL96" s="54">
        <v>667.00723563727558</v>
      </c>
      <c r="AM96" s="54">
        <v>676.71121291780548</v>
      </c>
      <c r="AN96" s="54">
        <v>608.31384865913969</v>
      </c>
      <c r="AO96" s="54">
        <v>413.78635286335117</v>
      </c>
      <c r="AP96" s="54">
        <v>444.64843893288577</v>
      </c>
      <c r="AQ96" s="54">
        <v>425.16283008091403</v>
      </c>
      <c r="AR96" s="54">
        <v>487.9398874169483</v>
      </c>
      <c r="AS96" s="54">
        <v>529.55306555098616</v>
      </c>
      <c r="AT96" s="54">
        <v>492.23001201854834</v>
      </c>
      <c r="AU96" s="54">
        <v>474.55130825259914</v>
      </c>
      <c r="AV96" s="54">
        <v>492.72406835466876</v>
      </c>
      <c r="AW96" s="54">
        <v>532.67954268234803</v>
      </c>
      <c r="AX96" s="54">
        <v>534.42357714892523</v>
      </c>
      <c r="AY96" s="54">
        <v>550.35423341855756</v>
      </c>
      <c r="AZ96" s="54">
        <v>548.54446174910402</v>
      </c>
      <c r="BA96" s="54">
        <v>554.95670082329741</v>
      </c>
      <c r="BB96" s="54">
        <v>618.54071859256283</v>
      </c>
      <c r="BC96" s="54">
        <v>484.86827005618284</v>
      </c>
      <c r="BD96" s="54">
        <v>556.6053213581539</v>
      </c>
      <c r="BE96" s="54">
        <v>624.7352890847668</v>
      </c>
      <c r="BF96" s="54">
        <v>531.00482795680978</v>
      </c>
      <c r="BG96" s="54">
        <v>456.91712329121839</v>
      </c>
      <c r="BH96" s="54">
        <v>500.29560627858393</v>
      </c>
      <c r="BI96" s="54">
        <v>527.41712865967941</v>
      </c>
      <c r="BJ96" s="54">
        <v>545.12327817025061</v>
      </c>
      <c r="BK96" s="54">
        <v>600.45445781003593</v>
      </c>
      <c r="BL96" s="54">
        <v>546.34459781774217</v>
      </c>
      <c r="BM96" s="54">
        <v>538.28637201120057</v>
      </c>
      <c r="BN96" s="54">
        <v>591.55421061218647</v>
      </c>
      <c r="BO96" s="54">
        <v>576.63987104890487</v>
      </c>
      <c r="BP96" s="54">
        <v>390.46921288960567</v>
      </c>
      <c r="BQ96" s="54">
        <v>450.26603774901417</v>
      </c>
      <c r="BR96" s="54">
        <v>491.26470762094823</v>
      </c>
      <c r="BS96" s="54">
        <v>518.9327234213257</v>
      </c>
      <c r="BT96" s="54">
        <v>583.98052688772316</v>
      </c>
      <c r="BU96" s="54">
        <v>542.14774537867333</v>
      </c>
      <c r="BV96" s="54">
        <v>486.18262149793901</v>
      </c>
      <c r="BW96" s="54">
        <v>569.26396901191742</v>
      </c>
      <c r="BX96" s="54">
        <v>558.72912812965956</v>
      </c>
    </row>
    <row r="97" spans="1:76" x14ac:dyDescent="0.3">
      <c r="A97" s="8" t="s">
        <v>103</v>
      </c>
      <c r="B97" s="8" t="s">
        <v>9</v>
      </c>
      <c r="C97" s="8" t="s">
        <v>109</v>
      </c>
      <c r="D97" s="8" t="s">
        <v>110</v>
      </c>
      <c r="E97" s="54">
        <v>18.330504126005785</v>
      </c>
      <c r="F97" s="54">
        <v>88.108193913978397</v>
      </c>
      <c r="G97" s="54">
        <v>192.9456113052297</v>
      </c>
      <c r="H97" s="54">
        <v>109.73960627116696</v>
      </c>
      <c r="I97" s="54">
        <v>148.80970155107519</v>
      </c>
      <c r="J97" s="54">
        <v>264.90703016666674</v>
      </c>
      <c r="K97" s="54">
        <v>98.797505505376364</v>
      </c>
      <c r="L97" s="54">
        <v>116.19441448118273</v>
      </c>
      <c r="M97" s="54">
        <v>216.15449787903239</v>
      </c>
      <c r="N97" s="54">
        <v>92.245684405913636</v>
      </c>
      <c r="O97" s="54">
        <v>148.76407236089116</v>
      </c>
      <c r="P97" s="54">
        <v>227.22423431720441</v>
      </c>
      <c r="Q97" s="54">
        <v>34.921011338709619</v>
      </c>
      <c r="R97" s="54">
        <v>100.9177912002942</v>
      </c>
      <c r="S97" s="54">
        <v>229.88026722340527</v>
      </c>
      <c r="T97" s="54">
        <v>73.130810913978223</v>
      </c>
      <c r="U97" s="54">
        <v>139.8865232379286</v>
      </c>
      <c r="V97" s="54">
        <v>238.87653602985682</v>
      </c>
      <c r="W97" s="54">
        <v>-37.44533333333333</v>
      </c>
      <c r="X97" s="54">
        <v>7.3753816881720891</v>
      </c>
      <c r="Y97" s="54">
        <v>122.05192682762689</v>
      </c>
      <c r="Z97" s="54">
        <v>-1.1714685483998899E-2</v>
      </c>
      <c r="AA97" s="54">
        <v>45.691715900537666</v>
      </c>
      <c r="AB97" s="54">
        <v>131.60654095161271</v>
      </c>
      <c r="AC97" s="54">
        <v>-36.712874167017183</v>
      </c>
      <c r="AD97" s="54">
        <v>7.4240832365591869</v>
      </c>
      <c r="AE97" s="54">
        <v>103.90903911827887</v>
      </c>
      <c r="AF97" s="54">
        <v>5.8936404512622831</v>
      </c>
      <c r="AG97" s="54">
        <v>51.345582365591284</v>
      </c>
      <c r="AH97" s="54">
        <v>133.58334440591381</v>
      </c>
      <c r="AI97" s="54">
        <v>39.789378198924695</v>
      </c>
      <c r="AJ97" s="54">
        <v>116.32612495583716</v>
      </c>
      <c r="AK97" s="54">
        <v>240.98694219892479</v>
      </c>
      <c r="AL97" s="54">
        <v>109.79130963440875</v>
      </c>
      <c r="AM97" s="54">
        <v>161.47008042357913</v>
      </c>
      <c r="AN97" s="54">
        <v>170.46325551612918</v>
      </c>
      <c r="AO97" s="54">
        <v>-38.628844260752636</v>
      </c>
      <c r="AP97" s="54">
        <v>60.472200018817148</v>
      </c>
      <c r="AQ97" s="54">
        <v>145.65017820161285</v>
      </c>
      <c r="AR97" s="54">
        <v>-77.724266534351159</v>
      </c>
      <c r="AS97" s="54">
        <v>14.812899658602108</v>
      </c>
      <c r="AT97" s="54">
        <v>70.147589620967679</v>
      </c>
      <c r="AU97" s="54">
        <v>36.731746190860505</v>
      </c>
      <c r="AV97" s="54">
        <v>115.1258974534135</v>
      </c>
      <c r="AW97" s="54">
        <v>243.00991934139793</v>
      </c>
      <c r="AX97" s="54">
        <v>183.36383014516122</v>
      </c>
      <c r="AY97" s="54">
        <v>266.95969837008016</v>
      </c>
      <c r="AZ97" s="54">
        <v>294.60307053763432</v>
      </c>
      <c r="BA97" s="54">
        <v>67.491839021505243</v>
      </c>
      <c r="BB97" s="54">
        <v>109.51924183736517</v>
      </c>
      <c r="BC97" s="54">
        <v>194.76683204032241</v>
      </c>
      <c r="BD97" s="54">
        <v>15.406853357526561</v>
      </c>
      <c r="BE97" s="54">
        <v>48.975397639784866</v>
      </c>
      <c r="BF97" s="54">
        <v>103.19333141397836</v>
      </c>
      <c r="BG97" s="54">
        <v>-7.6662822311825973</v>
      </c>
      <c r="BH97" s="54">
        <v>93.486093099462209</v>
      </c>
      <c r="BI97" s="54">
        <v>239.07136641293113</v>
      </c>
      <c r="BJ97" s="54">
        <v>182.82505284946237</v>
      </c>
      <c r="BK97" s="54">
        <v>298.43312397849451</v>
      </c>
      <c r="BL97" s="54">
        <v>294.64974285483868</v>
      </c>
      <c r="BM97" s="54">
        <v>10.454219529569819</v>
      </c>
      <c r="BN97" s="54">
        <v>111.14892468817206</v>
      </c>
      <c r="BO97" s="54">
        <v>222.58833921173959</v>
      </c>
      <c r="BP97" s="54">
        <v>55.056284236559058</v>
      </c>
      <c r="BQ97" s="54">
        <v>154.68178334139782</v>
      </c>
      <c r="BR97" s="54">
        <v>235.98943998593302</v>
      </c>
      <c r="BS97" s="54">
        <v>-40.943453295699037</v>
      </c>
      <c r="BT97" s="54">
        <v>50.564033115591542</v>
      </c>
      <c r="BU97" s="54">
        <v>177.64980129569852</v>
      </c>
      <c r="BV97" s="54">
        <v>63.007479486558935</v>
      </c>
      <c r="BW97" s="54">
        <v>149.51126709946229</v>
      </c>
      <c r="BX97" s="54">
        <v>259.5984729543008</v>
      </c>
    </row>
    <row r="98" spans="1:76" x14ac:dyDescent="0.3">
      <c r="A98" s="8" t="s">
        <v>103</v>
      </c>
      <c r="B98" s="8" t="s">
        <v>9</v>
      </c>
      <c r="C98" s="8" t="s">
        <v>109</v>
      </c>
      <c r="D98" s="8" t="s">
        <v>115</v>
      </c>
      <c r="E98" s="54">
        <v>347.77347786594225</v>
      </c>
      <c r="F98" s="54">
        <v>240.7655740860215</v>
      </c>
      <c r="G98" s="54">
        <v>237.47911169477032</v>
      </c>
      <c r="H98" s="54">
        <v>329.54634972078111</v>
      </c>
      <c r="I98" s="54">
        <v>260.98859944892473</v>
      </c>
      <c r="J98" s="54">
        <v>203.08797583333327</v>
      </c>
      <c r="K98" s="54">
        <v>316.89898849462384</v>
      </c>
      <c r="L98" s="54">
        <v>229.64361651881714</v>
      </c>
      <c r="M98" s="54">
        <v>224.6752451209677</v>
      </c>
      <c r="N98" s="54">
        <v>279.66610259408611</v>
      </c>
      <c r="O98" s="54">
        <v>261.22804763910892</v>
      </c>
      <c r="P98" s="54">
        <v>238.2409236827956</v>
      </c>
      <c r="Q98" s="54">
        <v>289.32150266129031</v>
      </c>
      <c r="R98" s="54">
        <v>256.59018379970576</v>
      </c>
      <c r="S98" s="54">
        <v>217.36590477659456</v>
      </c>
      <c r="T98" s="54">
        <v>310.95076908602181</v>
      </c>
      <c r="U98" s="54">
        <v>285.09086576207142</v>
      </c>
      <c r="V98" s="54">
        <v>233.95374397014314</v>
      </c>
      <c r="W98" s="54">
        <v>154.70381333333339</v>
      </c>
      <c r="X98" s="54">
        <v>140.93494231182791</v>
      </c>
      <c r="Y98" s="54">
        <v>110.44725017237312</v>
      </c>
      <c r="Z98" s="54">
        <v>169.30549568548392</v>
      </c>
      <c r="AA98" s="54">
        <v>163.5287790994623</v>
      </c>
      <c r="AB98" s="54">
        <v>119.91750104838717</v>
      </c>
      <c r="AC98" s="54">
        <v>154.55281116701713</v>
      </c>
      <c r="AD98" s="54">
        <v>141.37588876344077</v>
      </c>
      <c r="AE98" s="54">
        <v>130.62013688172104</v>
      </c>
      <c r="AF98" s="54">
        <v>176.96747054873762</v>
      </c>
      <c r="AG98" s="54">
        <v>166.29073763440871</v>
      </c>
      <c r="AH98" s="54">
        <v>123.09220259408626</v>
      </c>
      <c r="AI98" s="54">
        <v>276.86359180107536</v>
      </c>
      <c r="AJ98" s="54">
        <v>238.52959004416286</v>
      </c>
      <c r="AK98" s="54">
        <v>210.97209180107535</v>
      </c>
      <c r="AL98" s="54">
        <v>53.494082365591275</v>
      </c>
      <c r="AM98" s="54">
        <v>34.101476576420822</v>
      </c>
      <c r="AN98" s="54">
        <v>73.246820483870877</v>
      </c>
      <c r="AO98" s="54">
        <v>346.96799926075261</v>
      </c>
      <c r="AP98" s="54">
        <v>285.16181098118267</v>
      </c>
      <c r="AQ98" s="54">
        <v>294.77152479838708</v>
      </c>
      <c r="AR98" s="54">
        <v>229.57433753435109</v>
      </c>
      <c r="AS98" s="54">
        <v>169.25192934139776</v>
      </c>
      <c r="AT98" s="54">
        <v>164.69781737903233</v>
      </c>
      <c r="AU98" s="54">
        <v>313.06427280913931</v>
      </c>
      <c r="AV98" s="54">
        <v>263.80417754658646</v>
      </c>
      <c r="AW98" s="54">
        <v>220.18041565860202</v>
      </c>
      <c r="AX98" s="54">
        <v>221.54819185483876</v>
      </c>
      <c r="AY98" s="54">
        <v>171.47280962991985</v>
      </c>
      <c r="AZ98" s="54">
        <v>190.8764494623656</v>
      </c>
      <c r="BA98" s="54">
        <v>258.7296689784946</v>
      </c>
      <c r="BB98" s="54">
        <v>247.61129616263489</v>
      </c>
      <c r="BC98" s="54">
        <v>255.08059495967751</v>
      </c>
      <c r="BD98" s="54">
        <v>152.41798364247339</v>
      </c>
      <c r="BE98" s="54">
        <v>154.23670836021509</v>
      </c>
      <c r="BF98" s="54">
        <v>142.98538658602155</v>
      </c>
      <c r="BG98" s="54">
        <v>346.35341223118246</v>
      </c>
      <c r="BH98" s="54">
        <v>278.85413590053764</v>
      </c>
      <c r="BI98" s="54">
        <v>226.29178158706887</v>
      </c>
      <c r="BJ98" s="54">
        <v>221.65852715053737</v>
      </c>
      <c r="BK98" s="54">
        <v>146.65043602150541</v>
      </c>
      <c r="BL98" s="54">
        <v>191.29902314516124</v>
      </c>
      <c r="BM98" s="54">
        <v>290.64222547043016</v>
      </c>
      <c r="BN98" s="54">
        <v>231.84302731182794</v>
      </c>
      <c r="BO98" s="54">
        <v>217.94557478826039</v>
      </c>
      <c r="BP98" s="54">
        <v>322.78228376344089</v>
      </c>
      <c r="BQ98" s="54">
        <v>262.64485565860207</v>
      </c>
      <c r="BR98" s="54">
        <v>235.39229801406702</v>
      </c>
      <c r="BS98" s="54">
        <v>321.81131529569893</v>
      </c>
      <c r="BT98" s="54">
        <v>276.05531388440841</v>
      </c>
      <c r="BU98" s="54">
        <v>250.15326470430145</v>
      </c>
      <c r="BV98" s="54">
        <v>298.80531751344085</v>
      </c>
      <c r="BW98" s="54">
        <v>258.16522590053756</v>
      </c>
      <c r="BX98" s="54">
        <v>208.40673404569898</v>
      </c>
    </row>
    <row r="99" spans="1:76" x14ac:dyDescent="0.3">
      <c r="A99" s="8" t="s">
        <v>103</v>
      </c>
      <c r="B99" s="8" t="s">
        <v>9</v>
      </c>
      <c r="C99" s="8" t="s">
        <v>110</v>
      </c>
      <c r="D99" s="8" t="s">
        <v>111</v>
      </c>
      <c r="E99" s="54">
        <v>288.63116495310038</v>
      </c>
      <c r="F99" s="54">
        <v>149.72799614695353</v>
      </c>
      <c r="G99" s="54">
        <v>133.39784125224043</v>
      </c>
      <c r="H99" s="54">
        <v>339.41847093428265</v>
      </c>
      <c r="I99" s="54">
        <v>223.82045369399628</v>
      </c>
      <c r="J99" s="54">
        <v>94.763567361111029</v>
      </c>
      <c r="K99" s="54">
        <v>227.40365992831579</v>
      </c>
      <c r="L99" s="54">
        <v>131.83390837589593</v>
      </c>
      <c r="M99" s="54">
        <v>121.72056307123636</v>
      </c>
      <c r="N99" s="54">
        <v>302.81837521281398</v>
      </c>
      <c r="O99" s="54">
        <v>223.78619678193056</v>
      </c>
      <c r="P99" s="54">
        <v>146.16264702060911</v>
      </c>
      <c r="Q99" s="54">
        <v>235.42722923387106</v>
      </c>
      <c r="R99" s="54">
        <v>140.64782683805865</v>
      </c>
      <c r="S99" s="54">
        <v>106.78528654391573</v>
      </c>
      <c r="T99" s="54">
        <v>338.16148364695374</v>
      </c>
      <c r="U99" s="54">
        <v>247.56988425293324</v>
      </c>
      <c r="V99" s="54">
        <v>134.80523829122737</v>
      </c>
      <c r="W99" s="54">
        <v>137.99679444444445</v>
      </c>
      <c r="X99" s="54">
        <v>65.416768324372825</v>
      </c>
      <c r="Y99" s="54">
        <v>54.01588221424425</v>
      </c>
      <c r="Z99" s="54">
        <v>236.44806851478495</v>
      </c>
      <c r="AA99" s="54">
        <v>168.73888278449823</v>
      </c>
      <c r="AB99" s="54">
        <v>76.728432728494838</v>
      </c>
      <c r="AC99" s="54">
        <v>124.07272613088305</v>
      </c>
      <c r="AD99" s="54">
        <v>65.685504345878172</v>
      </c>
      <c r="AE99" s="54">
        <v>81.000883422940205</v>
      </c>
      <c r="AF99" s="54">
        <v>238.06056580382196</v>
      </c>
      <c r="AG99" s="54">
        <v>180.44792486903793</v>
      </c>
      <c r="AH99" s="54">
        <v>91.373625212813891</v>
      </c>
      <c r="AI99" s="54">
        <v>223.33160943100361</v>
      </c>
      <c r="AJ99" s="54">
        <v>135.12517573764714</v>
      </c>
      <c r="AK99" s="54">
        <v>37.59138609767021</v>
      </c>
      <c r="AL99" s="54">
        <v>-24.044285125448095</v>
      </c>
      <c r="AM99" s="54">
        <v>-84.957640082245376</v>
      </c>
      <c r="AN99" s="54">
        <v>-49.426254381720327</v>
      </c>
      <c r="AO99" s="54">
        <v>328.19233910170254</v>
      </c>
      <c r="AP99" s="54">
        <v>214.13443704077051</v>
      </c>
      <c r="AQ99" s="54">
        <v>220.86855043682795</v>
      </c>
      <c r="AR99" s="54">
        <v>201.75141839780332</v>
      </c>
      <c r="AS99" s="54">
        <v>93.449558926971264</v>
      </c>
      <c r="AT99" s="54">
        <v>142.71417651209683</v>
      </c>
      <c r="AU99" s="54">
        <v>351.98415308019662</v>
      </c>
      <c r="AV99" s="54">
        <v>253.45903681249382</v>
      </c>
      <c r="AW99" s="54">
        <v>108.45012023969514</v>
      </c>
      <c r="AX99" s="54">
        <v>197.05897264784932</v>
      </c>
      <c r="AY99" s="54">
        <v>102.26641646527167</v>
      </c>
      <c r="AZ99" s="54">
        <v>64.933159498207885</v>
      </c>
      <c r="BA99" s="54">
        <v>190.85774054659498</v>
      </c>
      <c r="BB99" s="54">
        <v>130.25341883512587</v>
      </c>
      <c r="BC99" s="54">
        <v>158.0967650873657</v>
      </c>
      <c r="BD99" s="54">
        <v>227.57475794130855</v>
      </c>
      <c r="BE99" s="54">
        <v>173.85073021953389</v>
      </c>
      <c r="BF99" s="54">
        <v>126.9979440636202</v>
      </c>
      <c r="BG99" s="54">
        <v>419.04993183243698</v>
      </c>
      <c r="BH99" s="54">
        <v>301.36432138216838</v>
      </c>
      <c r="BI99" s="54">
        <v>129.38485768689213</v>
      </c>
      <c r="BJ99" s="54">
        <v>195.74880784050197</v>
      </c>
      <c r="BK99" s="54">
        <v>59.766288620071606</v>
      </c>
      <c r="BL99" s="54">
        <v>65.190698185483839</v>
      </c>
      <c r="BM99" s="54">
        <v>237.1306106474016</v>
      </c>
      <c r="BN99" s="54">
        <v>119.95332082437271</v>
      </c>
      <c r="BO99" s="54">
        <v>98.560263643700736</v>
      </c>
      <c r="BP99" s="54">
        <v>359.34912517921157</v>
      </c>
      <c r="BQ99" s="54">
        <v>239.05274357302852</v>
      </c>
      <c r="BR99" s="54">
        <v>137.87858998778668</v>
      </c>
      <c r="BS99" s="54">
        <v>287.98383519265269</v>
      </c>
      <c r="BT99" s="54">
        <v>186.32852075044838</v>
      </c>
      <c r="BU99" s="54">
        <v>153.16226480734875</v>
      </c>
      <c r="BV99" s="54">
        <v>337.09250122087832</v>
      </c>
      <c r="BW99" s="54">
        <v>224.63324304883514</v>
      </c>
      <c r="BX99" s="54">
        <v>102.25702373431911</v>
      </c>
    </row>
    <row r="100" spans="1:76" x14ac:dyDescent="0.3">
      <c r="A100" s="8" t="s">
        <v>103</v>
      </c>
      <c r="B100" s="8" t="s">
        <v>9</v>
      </c>
      <c r="C100" s="8" t="s">
        <v>110</v>
      </c>
      <c r="D100" s="8" t="s">
        <v>115</v>
      </c>
      <c r="E100" s="54">
        <v>222.6837331809588</v>
      </c>
      <c r="F100" s="54">
        <v>116.45628576702516</v>
      </c>
      <c r="G100" s="54">
        <v>61.846602143898807</v>
      </c>
      <c r="H100" s="54">
        <v>164.82776334493676</v>
      </c>
      <c r="I100" s="54">
        <v>99.587548857078872</v>
      </c>
      <c r="J100" s="54">
        <v>2.9384688055555941</v>
      </c>
      <c r="K100" s="54">
        <v>161.86723957706118</v>
      </c>
      <c r="L100" s="54">
        <v>94.998537105286715</v>
      </c>
      <c r="M100" s="54">
        <v>41.706247807795634</v>
      </c>
      <c r="N100" s="54">
        <v>140.32122619310061</v>
      </c>
      <c r="O100" s="54">
        <v>99.769995578960376</v>
      </c>
      <c r="P100" s="54">
        <v>45.215165296594861</v>
      </c>
      <c r="Q100" s="54">
        <v>175.42049610483889</v>
      </c>
      <c r="R100" s="54">
        <v>120.60122693299013</v>
      </c>
      <c r="S100" s="54">
        <v>29.97046957269367</v>
      </c>
      <c r="T100" s="54">
        <v>170.73510726702534</v>
      </c>
      <c r="U100" s="54">
        <v>120.1173155557499</v>
      </c>
      <c r="V100" s="54">
        <v>36.530894631833569</v>
      </c>
      <c r="W100" s="54">
        <v>121.85854222222225</v>
      </c>
      <c r="X100" s="54">
        <v>90.268937363799267</v>
      </c>
      <c r="Y100" s="54">
        <v>12.605536701101983</v>
      </c>
      <c r="Z100" s="54">
        <v>112.8761877997313</v>
      </c>
      <c r="AA100" s="54">
        <v>86.1733281160394</v>
      </c>
      <c r="AB100" s="54">
        <v>14.141730223118486</v>
      </c>
      <c r="AC100" s="54">
        <v>121.39164452818663</v>
      </c>
      <c r="AD100" s="54">
        <v>90.538550890680966</v>
      </c>
      <c r="AE100" s="54">
        <v>35.12557169534125</v>
      </c>
      <c r="AF100" s="54">
        <v>115.03149347352726</v>
      </c>
      <c r="AG100" s="54">
        <v>85.187700573476803</v>
      </c>
      <c r="AH100" s="54">
        <v>15.26979619310065</v>
      </c>
      <c r="AI100" s="54">
        <v>164.68103876792128</v>
      </c>
      <c r="AJ100" s="54">
        <v>100.85666421819006</v>
      </c>
      <c r="AK100" s="54">
        <v>20.154590101254534</v>
      </c>
      <c r="AL100" s="54">
        <v>-19.232933240143524</v>
      </c>
      <c r="AM100" s="54">
        <v>-58.000722494175648</v>
      </c>
      <c r="AN100" s="54">
        <v>-36.400414102150556</v>
      </c>
      <c r="AO100" s="54">
        <v>250.62642163754467</v>
      </c>
      <c r="AP100" s="54">
        <v>159.87177397804663</v>
      </c>
      <c r="AQ100" s="54">
        <v>123.68926076478503</v>
      </c>
      <c r="AR100" s="54">
        <v>191.91169162340969</v>
      </c>
      <c r="AS100" s="54">
        <v>105.42816973163083</v>
      </c>
      <c r="AT100" s="54">
        <v>74.724750108871035</v>
      </c>
      <c r="AU100" s="54">
        <v>190.34364211066267</v>
      </c>
      <c r="AV100" s="54">
        <v>118.30650297101752</v>
      </c>
      <c r="AW100" s="54">
        <v>25.281984101702459</v>
      </c>
      <c r="AX100" s="54">
        <v>56.01687949731182</v>
      </c>
      <c r="AY100" s="54">
        <v>-19.164642765093333</v>
      </c>
      <c r="AZ100" s="54">
        <v>-20.050568960573557</v>
      </c>
      <c r="BA100" s="54">
        <v>138.74052647491041</v>
      </c>
      <c r="BB100" s="54">
        <v>110.31457652307397</v>
      </c>
      <c r="BC100" s="54">
        <v>72.670313952957088</v>
      </c>
      <c r="BD100" s="54">
        <v>93.908562416219027</v>
      </c>
      <c r="BE100" s="54">
        <v>78.336773420250921</v>
      </c>
      <c r="BF100" s="54">
        <v>43.726925350358492</v>
      </c>
      <c r="BG100" s="54">
        <v>234.73541593637947</v>
      </c>
      <c r="BH100" s="54">
        <v>139.15971071729405</v>
      </c>
      <c r="BI100" s="54">
        <v>31.325504518247115</v>
      </c>
      <c r="BJ100" s="54">
        <v>56.359825008960421</v>
      </c>
      <c r="BK100" s="54">
        <v>-51.44960464157711</v>
      </c>
      <c r="BL100" s="54">
        <v>-19.792189330645193</v>
      </c>
      <c r="BM100" s="54">
        <v>188.53437388216855</v>
      </c>
      <c r="BN100" s="54">
        <v>98.987555863799372</v>
      </c>
      <c r="BO100" s="54">
        <v>34.002880252970492</v>
      </c>
      <c r="BP100" s="54">
        <v>187.66004705734773</v>
      </c>
      <c r="BQ100" s="54">
        <v>97.755678768369108</v>
      </c>
      <c r="BR100" s="54">
        <v>38.933478683078057</v>
      </c>
      <c r="BS100" s="54">
        <v>235.01260351164888</v>
      </c>
      <c r="BT100" s="54">
        <v>158.75485936514312</v>
      </c>
      <c r="BU100" s="54">
        <v>77.943942488351794</v>
      </c>
      <c r="BV100" s="54">
        <v>167.69980526568119</v>
      </c>
      <c r="BW100" s="54">
        <v>97.354517050627251</v>
      </c>
      <c r="BX100" s="54">
        <v>9.1385862199822032</v>
      </c>
    </row>
    <row r="101" spans="1:76" x14ac:dyDescent="0.3">
      <c r="A101" s="8" t="s">
        <v>103</v>
      </c>
      <c r="B101" s="8" t="s">
        <v>9</v>
      </c>
      <c r="C101" s="8" t="s">
        <v>111</v>
      </c>
      <c r="D101" s="8" t="s">
        <v>112</v>
      </c>
      <c r="E101" s="54">
        <v>450.34354699999989</v>
      </c>
      <c r="F101" s="54">
        <v>406.32623200000006</v>
      </c>
      <c r="G101" s="54">
        <v>304.77527699999985</v>
      </c>
      <c r="H101" s="54">
        <v>377.1615730000002</v>
      </c>
      <c r="I101" s="54">
        <v>325.40169900000018</v>
      </c>
      <c r="J101" s="54">
        <v>267.20499400000006</v>
      </c>
      <c r="K101" s="54">
        <v>423.70873600000027</v>
      </c>
      <c r="L101" s="54">
        <v>389.3619690000001</v>
      </c>
      <c r="M101" s="54">
        <v>294.37025699999998</v>
      </c>
      <c r="N101" s="54">
        <v>363.28821300000016</v>
      </c>
      <c r="O101" s="54">
        <v>325.20787999999999</v>
      </c>
      <c r="P101" s="54">
        <v>269.73484199999984</v>
      </c>
      <c r="Q101" s="54">
        <v>410.95748600000002</v>
      </c>
      <c r="R101" s="54">
        <v>377.692025</v>
      </c>
      <c r="S101" s="54">
        <v>287.95382800000004</v>
      </c>
      <c r="T101" s="54">
        <v>351.11841999999996</v>
      </c>
      <c r="U101" s="54">
        <v>310.22261100000014</v>
      </c>
      <c r="V101" s="54">
        <v>262.36971999999992</v>
      </c>
      <c r="W101" s="54">
        <v>382.74151999999992</v>
      </c>
      <c r="X101" s="54">
        <v>351.68967600000013</v>
      </c>
      <c r="Y101" s="54">
        <v>267.50082300000003</v>
      </c>
      <c r="Z101" s="54">
        <v>330.70621900000009</v>
      </c>
      <c r="AA101" s="54">
        <v>290.77950499999992</v>
      </c>
      <c r="AB101" s="54">
        <v>248.47595799999999</v>
      </c>
      <c r="AC101" s="54">
        <v>382.16006299999992</v>
      </c>
      <c r="AD101" s="54">
        <v>351.20002800000003</v>
      </c>
      <c r="AE101" s="54">
        <v>265.47082400000011</v>
      </c>
      <c r="AF101" s="54">
        <v>317.13888900000001</v>
      </c>
      <c r="AG101" s="54">
        <v>282.36367999999999</v>
      </c>
      <c r="AH101" s="54">
        <v>243.32445300000006</v>
      </c>
      <c r="AI101" s="54">
        <v>418.54703000000006</v>
      </c>
      <c r="AJ101" s="54">
        <v>380.34428500000007</v>
      </c>
      <c r="AK101" s="54">
        <v>283.2409659999999</v>
      </c>
      <c r="AL101" s="54">
        <v>336.71460800000006</v>
      </c>
      <c r="AM101" s="54">
        <v>304.42844300000019</v>
      </c>
      <c r="AN101" s="54">
        <v>256.28992400000004</v>
      </c>
      <c r="AO101" s="54">
        <v>426.86084499999998</v>
      </c>
      <c r="AP101" s="54">
        <v>389.56598900000006</v>
      </c>
      <c r="AQ101" s="54">
        <v>294.7782969999999</v>
      </c>
      <c r="AR101" s="54">
        <v>348.1499290000001</v>
      </c>
      <c r="AS101" s="54">
        <v>315.93517100000003</v>
      </c>
      <c r="AT101" s="54">
        <v>265.15459300000009</v>
      </c>
      <c r="AU101" s="54">
        <v>385.40398100000004</v>
      </c>
      <c r="AV101" s="54">
        <v>356.26992500000011</v>
      </c>
      <c r="AW101" s="54">
        <v>272.00966499999993</v>
      </c>
      <c r="AX101" s="54">
        <v>330.28797800000007</v>
      </c>
      <c r="AY101" s="54">
        <v>296.76749200000006</v>
      </c>
      <c r="AZ101" s="54">
        <v>249.72047999999992</v>
      </c>
      <c r="BA101" s="54">
        <v>408.9784919999999</v>
      </c>
      <c r="BB101" s="54">
        <v>378.06946200000004</v>
      </c>
      <c r="BC101" s="54">
        <v>285.35257300000018</v>
      </c>
      <c r="BD101" s="54">
        <v>332.17516300000005</v>
      </c>
      <c r="BE101" s="54">
        <v>296.78789400000016</v>
      </c>
      <c r="BF101" s="54">
        <v>253.82128200000008</v>
      </c>
      <c r="BG101" s="54">
        <v>396.51287000000002</v>
      </c>
      <c r="BH101" s="54">
        <v>362.85977100000014</v>
      </c>
      <c r="BI101" s="54">
        <v>269.83685200000008</v>
      </c>
      <c r="BJ101" s="54">
        <v>330.71642000000014</v>
      </c>
      <c r="BK101" s="54">
        <v>290.11644000000001</v>
      </c>
      <c r="BL101" s="54">
        <v>249.25123399999993</v>
      </c>
      <c r="BM101" s="54">
        <v>434.10355500000009</v>
      </c>
      <c r="BN101" s="54">
        <v>392.20804800000008</v>
      </c>
      <c r="BO101" s="54">
        <v>294.66608600000012</v>
      </c>
      <c r="BP101" s="54">
        <v>357.36143200000004</v>
      </c>
      <c r="BQ101" s="54">
        <v>317.87336099999999</v>
      </c>
      <c r="BR101" s="54">
        <v>263.818262</v>
      </c>
      <c r="BS101" s="54">
        <v>454.33213800000004</v>
      </c>
      <c r="BT101" s="54">
        <v>408.58065300000004</v>
      </c>
      <c r="BU101" s="54">
        <v>307.39693399999999</v>
      </c>
      <c r="BV101" s="54">
        <v>373.38720300000006</v>
      </c>
      <c r="BW101" s="54">
        <v>327.523507</v>
      </c>
      <c r="BX101" s="54">
        <v>267.19479300000006</v>
      </c>
    </row>
    <row r="102" spans="1:76" x14ac:dyDescent="0.3">
      <c r="A102" s="8" t="s">
        <v>103</v>
      </c>
      <c r="B102" s="8" t="s">
        <v>9</v>
      </c>
      <c r="C102" s="8" t="s">
        <v>111</v>
      </c>
      <c r="D102" s="8" t="s">
        <v>115</v>
      </c>
      <c r="E102" s="54">
        <v>-13.381678209968717</v>
      </c>
      <c r="F102" s="54">
        <v>-6.2377832665769795</v>
      </c>
      <c r="G102" s="54">
        <v>-36.988699174726136</v>
      </c>
      <c r="H102" s="54">
        <v>-88.515721825224162</v>
      </c>
      <c r="I102" s="54">
        <v>-65.197121915938624</v>
      </c>
      <c r="J102" s="54">
        <v>-57.023377996527792</v>
      </c>
      <c r="K102" s="54">
        <v>-20.726857772401463</v>
      </c>
      <c r="L102" s="54">
        <v>-11.147289905970027</v>
      </c>
      <c r="M102" s="54">
        <v>-44.79566606367613</v>
      </c>
      <c r="N102" s="54">
        <v>-84.020564863183324</v>
      </c>
      <c r="O102" s="54">
        <v>-65.038876304486351</v>
      </c>
      <c r="P102" s="54">
        <v>-57.440280415434586</v>
      </c>
      <c r="Q102" s="54">
        <v>-15.576646192540288</v>
      </c>
      <c r="R102" s="54">
        <v>2.5460284259558597</v>
      </c>
      <c r="S102" s="54">
        <v>-44.262951910426843</v>
      </c>
      <c r="T102" s="54">
        <v>-83.299596829077061</v>
      </c>
      <c r="U102" s="54">
        <v>-64.643190991270913</v>
      </c>
      <c r="V102" s="54">
        <v>-56.855102958141998</v>
      </c>
      <c r="W102" s="54">
        <v>5.1459101388888762</v>
      </c>
      <c r="X102" s="54">
        <v>26.816222820116529</v>
      </c>
      <c r="Y102" s="54">
        <v>-24.305773858076087</v>
      </c>
      <c r="Z102" s="54">
        <v>-63.122901971942255</v>
      </c>
      <c r="AA102" s="54">
        <v>-40.831805653281819</v>
      </c>
      <c r="AB102" s="54">
        <v>-37.348972787970446</v>
      </c>
      <c r="AC102" s="54">
        <v>13.498279564338024</v>
      </c>
      <c r="AD102" s="54">
        <v>26.850472951836846</v>
      </c>
      <c r="AE102" s="54">
        <v>-24.281373367831648</v>
      </c>
      <c r="AF102" s="54">
        <v>-62.514233522243167</v>
      </c>
      <c r="AG102" s="54">
        <v>-48.889177613041127</v>
      </c>
      <c r="AH102" s="54">
        <v>-45.656168613183226</v>
      </c>
      <c r="AI102" s="54">
        <v>-16.071476818436459</v>
      </c>
      <c r="AJ102" s="54">
        <v>-8.8107366723870761</v>
      </c>
      <c r="AK102" s="54">
        <v>-8.3786737351030371</v>
      </c>
      <c r="AL102" s="54">
        <v>0.60297827329736098</v>
      </c>
      <c r="AM102" s="54">
        <v>9.5979831807714291</v>
      </c>
      <c r="AN102" s="54">
        <v>3.5910984119622569</v>
      </c>
      <c r="AO102" s="54">
        <v>-17.150395710405554</v>
      </c>
      <c r="AP102" s="54">
        <v>-13.930192666946617</v>
      </c>
      <c r="AQ102" s="54">
        <v>-45.275898449428809</v>
      </c>
      <c r="AR102" s="54">
        <v>17.839132218930189</v>
      </c>
      <c r="AS102" s="54">
        <v>20.665152969365998</v>
      </c>
      <c r="AT102" s="54">
        <v>-33.152797738407294</v>
      </c>
      <c r="AU102" s="54">
        <v>-77.232364092125977</v>
      </c>
      <c r="AV102" s="54">
        <v>-69.682020779545439</v>
      </c>
      <c r="AW102" s="54">
        <v>-48.819837073532653</v>
      </c>
      <c r="AX102" s="54">
        <v>-81.149198281922025</v>
      </c>
      <c r="AY102" s="54">
        <v>-78.289992364614875</v>
      </c>
      <c r="AZ102" s="54">
        <v>-55.621151406810007</v>
      </c>
      <c r="BA102" s="54">
        <v>-15.230692985439109</v>
      </c>
      <c r="BB102" s="54">
        <v>1.3275456203518665</v>
      </c>
      <c r="BC102" s="54">
        <v>-44.307742714885691</v>
      </c>
      <c r="BD102" s="54">
        <v>-71.802801901153728</v>
      </c>
      <c r="BE102" s="54">
        <v>-49.90412632202046</v>
      </c>
      <c r="BF102" s="54">
        <v>-46.578521026993783</v>
      </c>
      <c r="BG102" s="54">
        <v>-85.854645442988485</v>
      </c>
      <c r="BH102" s="54">
        <v>-83.982917825884968</v>
      </c>
      <c r="BI102" s="54">
        <v>-57.371407665622208</v>
      </c>
      <c r="BJ102" s="54">
        <v>-80.073136143593231</v>
      </c>
      <c r="BK102" s="54">
        <v>-75.94113386872759</v>
      </c>
      <c r="BL102" s="54">
        <v>-55.588328363911252</v>
      </c>
      <c r="BM102" s="54">
        <v>-6.8058512429995943</v>
      </c>
      <c r="BN102" s="54">
        <v>-0.73015861738345844</v>
      </c>
      <c r="BO102" s="54">
        <v>-36.098004587584938</v>
      </c>
      <c r="BP102" s="54">
        <v>-83.848167943996515</v>
      </c>
      <c r="BQ102" s="54">
        <v>-76.091205656866109</v>
      </c>
      <c r="BR102" s="54">
        <v>-56.974009730058171</v>
      </c>
      <c r="BS102" s="54">
        <v>-3.730444361671359</v>
      </c>
      <c r="BT102" s="54">
        <v>2.6108190548270738</v>
      </c>
      <c r="BU102" s="54">
        <v>-37.268458638329172</v>
      </c>
      <c r="BV102" s="54">
        <v>-84.90795931378814</v>
      </c>
      <c r="BW102" s="54">
        <v>-67.379889117551556</v>
      </c>
      <c r="BX102" s="54">
        <v>-57.056700168962806</v>
      </c>
    </row>
    <row r="103" spans="1:76" x14ac:dyDescent="0.3">
      <c r="A103" s="8" t="s">
        <v>103</v>
      </c>
      <c r="B103" s="8" t="s">
        <v>9</v>
      </c>
      <c r="C103" s="8" t="s">
        <v>111</v>
      </c>
      <c r="D103" s="8" t="s">
        <v>118</v>
      </c>
      <c r="E103" s="54">
        <v>336.02159669901897</v>
      </c>
      <c r="F103" s="54">
        <v>301.79278304005373</v>
      </c>
      <c r="G103" s="54">
        <v>194.48514787016447</v>
      </c>
      <c r="H103" s="54">
        <v>226.9069432798656</v>
      </c>
      <c r="I103" s="54">
        <v>195.60821347543666</v>
      </c>
      <c r="J103" s="54">
        <v>149.5903429520834</v>
      </c>
      <c r="K103" s="54">
        <v>308.30902933655932</v>
      </c>
      <c r="L103" s="54">
        <v>284.00334893141775</v>
      </c>
      <c r="M103" s="54">
        <v>180.69657523679439</v>
      </c>
      <c r="N103" s="54">
        <v>217.46484745709017</v>
      </c>
      <c r="O103" s="54">
        <v>195.53356921730824</v>
      </c>
      <c r="P103" s="54">
        <v>151.55381850073923</v>
      </c>
      <c r="Q103" s="54">
        <v>300.24181253447568</v>
      </c>
      <c r="R103" s="54">
        <v>282.00813893057352</v>
      </c>
      <c r="S103" s="54">
        <v>175.40182835374395</v>
      </c>
      <c r="T103" s="54">
        <v>207.24885940255388</v>
      </c>
      <c r="U103" s="54">
        <v>182.65887003023749</v>
      </c>
      <c r="V103" s="54">
        <v>145.46044322511486</v>
      </c>
      <c r="W103" s="54">
        <v>287.98637608333343</v>
      </c>
      <c r="X103" s="54">
        <v>273.81820019206992</v>
      </c>
      <c r="Y103" s="54">
        <v>169.47975581015439</v>
      </c>
      <c r="Z103" s="54">
        <v>201.49420044183475</v>
      </c>
      <c r="AA103" s="54">
        <v>179.93298348303099</v>
      </c>
      <c r="AB103" s="54">
        <v>145.00707957721781</v>
      </c>
      <c r="AC103" s="54">
        <v>292.489022863603</v>
      </c>
      <c r="AD103" s="54">
        <v>273.41030827110234</v>
      </c>
      <c r="AE103" s="54">
        <v>167.718146979301</v>
      </c>
      <c r="AF103" s="54">
        <v>189.98798776165415</v>
      </c>
      <c r="AG103" s="54">
        <v>167.7347134321756</v>
      </c>
      <c r="AH103" s="54">
        <v>135.51519520709022</v>
      </c>
      <c r="AI103" s="54">
        <v>306.58576515893833</v>
      </c>
      <c r="AJ103" s="54">
        <v>277.51480737156788</v>
      </c>
      <c r="AK103" s="54">
        <v>192.80864100893825</v>
      </c>
      <c r="AL103" s="54">
        <v>244.98706896397883</v>
      </c>
      <c r="AM103" s="54">
        <v>222.13367753346301</v>
      </c>
      <c r="AN103" s="54">
        <v>176.4083425471774</v>
      </c>
      <c r="AO103" s="54">
        <v>313.21300194875687</v>
      </c>
      <c r="AP103" s="54">
        <v>282.5121247748321</v>
      </c>
      <c r="AQ103" s="54">
        <v>180.76547080534277</v>
      </c>
      <c r="AR103" s="54">
        <v>265.33466720635812</v>
      </c>
      <c r="AS103" s="54">
        <v>238.8423664066197</v>
      </c>
      <c r="AT103" s="54">
        <v>162.11859023195575</v>
      </c>
      <c r="AU103" s="54">
        <v>240.8890649197246</v>
      </c>
      <c r="AV103" s="54">
        <v>219.92697190727296</v>
      </c>
      <c r="AW103" s="54">
        <v>158.71655463088041</v>
      </c>
      <c r="AX103" s="54">
        <v>190.31246178084695</v>
      </c>
      <c r="AY103" s="54">
        <v>162.69756008123116</v>
      </c>
      <c r="AZ103" s="54">
        <v>135.13272915591401</v>
      </c>
      <c r="BA103" s="54">
        <v>298.71776470873669</v>
      </c>
      <c r="BB103" s="54">
        <v>281.60730662221113</v>
      </c>
      <c r="BC103" s="54">
        <v>173.09885574606864</v>
      </c>
      <c r="BD103" s="54">
        <v>197.57158648430794</v>
      </c>
      <c r="BE103" s="54">
        <v>179.74693145678776</v>
      </c>
      <c r="BF103" s="54">
        <v>144.14650913380379</v>
      </c>
      <c r="BG103" s="54">
        <v>245.43597398420692</v>
      </c>
      <c r="BH103" s="54">
        <v>217.1125489294692</v>
      </c>
      <c r="BI103" s="54">
        <v>151.68440090062674</v>
      </c>
      <c r="BJ103" s="54">
        <v>191.33298581384418</v>
      </c>
      <c r="BK103" s="54">
        <v>158.28720467876346</v>
      </c>
      <c r="BL103" s="54">
        <v>134.74183273165329</v>
      </c>
      <c r="BM103" s="54">
        <v>325.7570998792001</v>
      </c>
      <c r="BN103" s="54">
        <v>292.74394682957006</v>
      </c>
      <c r="BO103" s="54">
        <v>186.17402249744907</v>
      </c>
      <c r="BP103" s="54">
        <v>212.38235223360235</v>
      </c>
      <c r="BQ103" s="54">
        <v>182.48446748088031</v>
      </c>
      <c r="BR103" s="54">
        <v>146.65657341196516</v>
      </c>
      <c r="BS103" s="54">
        <v>345.30235413299738</v>
      </c>
      <c r="BT103" s="54">
        <v>309.07456280789614</v>
      </c>
      <c r="BU103" s="54">
        <v>196.61124206700242</v>
      </c>
      <c r="BV103" s="54">
        <v>225.76902703672741</v>
      </c>
      <c r="BW103" s="54">
        <v>196.15513515446915</v>
      </c>
      <c r="BX103" s="54">
        <v>149.56142377362235</v>
      </c>
    </row>
    <row r="104" spans="1:76" x14ac:dyDescent="0.3">
      <c r="A104" s="8" t="s">
        <v>103</v>
      </c>
      <c r="B104" s="8" t="s">
        <v>9</v>
      </c>
      <c r="C104" s="8" t="s">
        <v>115</v>
      </c>
      <c r="D104" s="8" t="s">
        <v>116</v>
      </c>
      <c r="E104" s="54">
        <v>391.76129396699366</v>
      </c>
      <c r="F104" s="54">
        <v>347.41563285331557</v>
      </c>
      <c r="G104" s="54">
        <v>254.55363490994509</v>
      </c>
      <c r="H104" s="54">
        <v>335.43567804004493</v>
      </c>
      <c r="I104" s="54">
        <v>280.30608090818788</v>
      </c>
      <c r="J104" s="54">
        <v>221.92954474930571</v>
      </c>
      <c r="K104" s="54">
        <v>367.26138915448024</v>
      </c>
      <c r="L104" s="54">
        <v>331.85737775619396</v>
      </c>
      <c r="M104" s="54">
        <v>245.97013378773514</v>
      </c>
      <c r="N104" s="54">
        <v>321.01012064763677</v>
      </c>
      <c r="O104" s="54">
        <v>280.08545826089738</v>
      </c>
      <c r="P104" s="54">
        <v>224.47952703308681</v>
      </c>
      <c r="Q104" s="54">
        <v>353.79887808850799</v>
      </c>
      <c r="R104" s="54">
        <v>317.74051868980899</v>
      </c>
      <c r="S104" s="54">
        <v>239.60757268208545</v>
      </c>
      <c r="T104" s="54">
        <v>309.00037886581532</v>
      </c>
      <c r="U104" s="54">
        <v>265.39568392325407</v>
      </c>
      <c r="V104" s="54">
        <v>217.18149759162841</v>
      </c>
      <c r="W104" s="54">
        <v>322.14379997222233</v>
      </c>
      <c r="X104" s="54">
        <v>287.53418953597645</v>
      </c>
      <c r="Y104" s="54">
        <v>215.67445719661515</v>
      </c>
      <c r="Z104" s="54">
        <v>285.06314391938849</v>
      </c>
      <c r="AA104" s="54">
        <v>241.67637850565637</v>
      </c>
      <c r="AB104" s="54">
        <v>199.73385360759411</v>
      </c>
      <c r="AC104" s="54">
        <v>319.9064055121321</v>
      </c>
      <c r="AD104" s="54">
        <v>287.04993270963274</v>
      </c>
      <c r="AE104" s="54">
        <v>213.69032807356646</v>
      </c>
      <c r="AF104" s="54">
        <v>271.71326347944859</v>
      </c>
      <c r="AG104" s="54">
        <v>235.08242352260811</v>
      </c>
      <c r="AH104" s="54">
        <v>196.37257539763675</v>
      </c>
      <c r="AI104" s="54">
        <v>361.29764961368704</v>
      </c>
      <c r="AJ104" s="54">
        <v>322.59782520947743</v>
      </c>
      <c r="AK104" s="54">
        <v>227.83567659702064</v>
      </c>
      <c r="AL104" s="54">
        <v>278.17614714534034</v>
      </c>
      <c r="AM104" s="54">
        <v>244.89813528884574</v>
      </c>
      <c r="AN104" s="54">
        <v>199.16445621760758</v>
      </c>
      <c r="AO104" s="54">
        <v>369.61940301708097</v>
      </c>
      <c r="AP104" s="54">
        <v>332.61287780838944</v>
      </c>
      <c r="AQ104" s="54">
        <v>246.46401926488571</v>
      </c>
      <c r="AR104" s="54">
        <v>285.87835433121398</v>
      </c>
      <c r="AS104" s="54">
        <v>253.90376113112677</v>
      </c>
      <c r="AT104" s="54">
        <v>215.15628772268158</v>
      </c>
      <c r="AU104" s="54">
        <v>341.21535429342509</v>
      </c>
      <c r="AV104" s="54">
        <v>311.29958103090894</v>
      </c>
      <c r="AW104" s="54">
        <v>224.97339078970668</v>
      </c>
      <c r="AX104" s="54">
        <v>288.26061820638449</v>
      </c>
      <c r="AY104" s="54">
        <v>255.00630317292283</v>
      </c>
      <c r="AZ104" s="54">
        <v>204.6016982813621</v>
      </c>
      <c r="BA104" s="54">
        <v>351.80016829708791</v>
      </c>
      <c r="BB104" s="54">
        <v>318.35221632592982</v>
      </c>
      <c r="BC104" s="54">
        <v>237.08030721797724</v>
      </c>
      <c r="BD104" s="54">
        <v>288.23134430523089</v>
      </c>
      <c r="BE104" s="54">
        <v>249.34902191440412</v>
      </c>
      <c r="BF104" s="54">
        <v>206.79145415539878</v>
      </c>
      <c r="BG104" s="54">
        <v>353.77097733859773</v>
      </c>
      <c r="BH104" s="54">
        <v>320.58486029017683</v>
      </c>
      <c r="BI104" s="54">
        <v>224.56521223312453</v>
      </c>
      <c r="BJ104" s="54">
        <v>288.46313672871872</v>
      </c>
      <c r="BK104" s="54">
        <v>248.05175577374561</v>
      </c>
      <c r="BL104" s="54">
        <v>204.13761882278214</v>
      </c>
      <c r="BM104" s="54">
        <v>374.61213637360015</v>
      </c>
      <c r="BN104" s="54">
        <v>332.54887852347667</v>
      </c>
      <c r="BO104" s="54">
        <v>244.51903476751701</v>
      </c>
      <c r="BP104" s="54">
        <v>315.1970297887994</v>
      </c>
      <c r="BQ104" s="54">
        <v>275.14476810637302</v>
      </c>
      <c r="BR104" s="54">
        <v>218.61760739601178</v>
      </c>
      <c r="BS104" s="54">
        <v>393.71992342233432</v>
      </c>
      <c r="BT104" s="54">
        <v>347.84397286403458</v>
      </c>
      <c r="BU104" s="54">
        <v>257.16570237766587</v>
      </c>
      <c r="BV104" s="54">
        <v>331.03411478775757</v>
      </c>
      <c r="BW104" s="54">
        <v>282.8113971485102</v>
      </c>
      <c r="BX104" s="54">
        <v>221.92626320879262</v>
      </c>
    </row>
    <row r="105" spans="1:76" x14ac:dyDescent="0.3">
      <c r="A105" s="8" t="s">
        <v>103</v>
      </c>
      <c r="B105" s="8" t="s">
        <v>9</v>
      </c>
      <c r="C105" s="8" t="s">
        <v>115</v>
      </c>
      <c r="D105" s="8" t="s">
        <v>117</v>
      </c>
      <c r="E105" s="54">
        <v>423.24775033398754</v>
      </c>
      <c r="F105" s="54">
        <v>369.77028010663071</v>
      </c>
      <c r="G105" s="54">
        <v>265.28704821989038</v>
      </c>
      <c r="H105" s="54">
        <v>369.14209768008988</v>
      </c>
      <c r="I105" s="54">
        <v>300.29080261637529</v>
      </c>
      <c r="J105" s="54">
        <v>230.09509429861109</v>
      </c>
      <c r="K105" s="54">
        <v>395.55578950896074</v>
      </c>
      <c r="L105" s="54">
        <v>352.22518031238792</v>
      </c>
      <c r="M105" s="54">
        <v>256.44406197547045</v>
      </c>
      <c r="N105" s="54">
        <v>351.38967089527353</v>
      </c>
      <c r="O105" s="54">
        <v>300.00461252179434</v>
      </c>
      <c r="P105" s="54">
        <v>233.17118046617381</v>
      </c>
      <c r="Q105" s="54">
        <v>378.83176737701632</v>
      </c>
      <c r="R105" s="54">
        <v>333.32741737961749</v>
      </c>
      <c r="S105" s="54">
        <v>248.85208296417071</v>
      </c>
      <c r="T105" s="54">
        <v>337.10602173163085</v>
      </c>
      <c r="U105" s="54">
        <v>282.61327904650835</v>
      </c>
      <c r="V105" s="54">
        <v>224.46721918325662</v>
      </c>
      <c r="W105" s="54">
        <v>338.09438394444436</v>
      </c>
      <c r="X105" s="54">
        <v>293.71663827195363</v>
      </c>
      <c r="Y105" s="54">
        <v>217.34825599323048</v>
      </c>
      <c r="Z105" s="54">
        <v>305.56131263877705</v>
      </c>
      <c r="AA105" s="54">
        <v>250.72915301131249</v>
      </c>
      <c r="AB105" s="54">
        <v>200.68694081518834</v>
      </c>
      <c r="AC105" s="54">
        <v>334.08476062426428</v>
      </c>
      <c r="AD105" s="54">
        <v>293.1398430192653</v>
      </c>
      <c r="AE105" s="54">
        <v>215.00399694713269</v>
      </c>
      <c r="AF105" s="54">
        <v>289.71541575889728</v>
      </c>
      <c r="AG105" s="54">
        <v>244.27390304521657</v>
      </c>
      <c r="AH105" s="54">
        <v>198.08558839527325</v>
      </c>
      <c r="AI105" s="54">
        <v>387.75767522737436</v>
      </c>
      <c r="AJ105" s="54">
        <v>340.92022241895472</v>
      </c>
      <c r="AK105" s="54">
        <v>229.07858039404115</v>
      </c>
      <c r="AL105" s="54">
        <v>286.98060789068091</v>
      </c>
      <c r="AM105" s="54">
        <v>246.25351617769132</v>
      </c>
      <c r="AN105" s="54">
        <v>193.29697323521501</v>
      </c>
      <c r="AO105" s="54">
        <v>397.75013003416217</v>
      </c>
      <c r="AP105" s="54">
        <v>353.57296441677886</v>
      </c>
      <c r="AQ105" s="54">
        <v>257.10540092977152</v>
      </c>
      <c r="AR105" s="54">
        <v>293.23676546242791</v>
      </c>
      <c r="AS105" s="54">
        <v>255.0593854622536</v>
      </c>
      <c r="AT105" s="54">
        <v>218.18890104536283</v>
      </c>
      <c r="AU105" s="54">
        <v>374.10752378685032</v>
      </c>
      <c r="AV105" s="54">
        <v>337.58322206181799</v>
      </c>
      <c r="AW105" s="54">
        <v>232.33904957941286</v>
      </c>
      <c r="AX105" s="54">
        <v>312.29085401276893</v>
      </c>
      <c r="AY105" s="54">
        <v>272.59861274584597</v>
      </c>
      <c r="AZ105" s="54">
        <v>209.427012562724</v>
      </c>
      <c r="BA105" s="54">
        <v>376.41754299417562</v>
      </c>
      <c r="BB105" s="54">
        <v>334.24886305185919</v>
      </c>
      <c r="BC105" s="54">
        <v>245.8785560359542</v>
      </c>
      <c r="BD105" s="54">
        <v>310.72255821046156</v>
      </c>
      <c r="BE105" s="54">
        <v>261.2677286288083</v>
      </c>
      <c r="BF105" s="54">
        <v>210.52588271079742</v>
      </c>
      <c r="BG105" s="54">
        <v>390.33165867719543</v>
      </c>
      <c r="BH105" s="54">
        <v>350.88190378035409</v>
      </c>
      <c r="BI105" s="54">
        <v>233.26094286624888</v>
      </c>
      <c r="BJ105" s="54">
        <v>312.3531374574373</v>
      </c>
      <c r="BK105" s="54">
        <v>264.01035954749096</v>
      </c>
      <c r="BL105" s="54">
        <v>208.87425044556451</v>
      </c>
      <c r="BM105" s="54">
        <v>401.94142874720006</v>
      </c>
      <c r="BN105" s="54">
        <v>351.33131864695332</v>
      </c>
      <c r="BO105" s="54">
        <v>253.30520073503382</v>
      </c>
      <c r="BP105" s="54">
        <v>344.50491397759839</v>
      </c>
      <c r="BQ105" s="54">
        <v>295.99084741274663</v>
      </c>
      <c r="BR105" s="54">
        <v>226.18060519202322</v>
      </c>
      <c r="BS105" s="54">
        <v>423.97413644466855</v>
      </c>
      <c r="BT105" s="54">
        <v>368.82342332806917</v>
      </c>
      <c r="BU105" s="54">
        <v>268.41385755533184</v>
      </c>
      <c r="BV105" s="54">
        <v>363.35846717551522</v>
      </c>
      <c r="BW105" s="54">
        <v>303.60398869702078</v>
      </c>
      <c r="BX105" s="54">
        <v>230.0966920175851</v>
      </c>
    </row>
    <row r="106" spans="1:76" x14ac:dyDescent="0.3">
      <c r="A106" s="8" t="s">
        <v>103</v>
      </c>
      <c r="B106" s="8" t="s">
        <v>9</v>
      </c>
      <c r="C106" s="8" t="s">
        <v>116</v>
      </c>
      <c r="D106" s="8" t="s">
        <v>117</v>
      </c>
      <c r="E106" s="54">
        <v>-58.582253033006239</v>
      </c>
      <c r="F106" s="54">
        <v>-58.910599146684504</v>
      </c>
      <c r="G106" s="54">
        <v>-50.221642090054971</v>
      </c>
      <c r="H106" s="54">
        <v>-41.725894959955156</v>
      </c>
      <c r="I106" s="54">
        <v>-45.095618091812064</v>
      </c>
      <c r="J106" s="54">
        <v>-45.275449250694379</v>
      </c>
      <c r="K106" s="54">
        <v>-56.447346845519995</v>
      </c>
      <c r="L106" s="54">
        <v>-57.504591243805912</v>
      </c>
      <c r="M106" s="54">
        <v>-48.40012321226483</v>
      </c>
      <c r="N106" s="54">
        <v>-42.278092352363352</v>
      </c>
      <c r="O106" s="54">
        <v>-45.122421739102634</v>
      </c>
      <c r="P106" s="54">
        <v>-45.255314966913154</v>
      </c>
      <c r="Q106" s="54">
        <v>-57.158607911492076</v>
      </c>
      <c r="R106" s="54">
        <v>-59.951506310191085</v>
      </c>
      <c r="S106" s="54">
        <v>-48.346255317914697</v>
      </c>
      <c r="T106" s="54">
        <v>-42.118041134184601</v>
      </c>
      <c r="U106" s="54">
        <v>-44.826927076745847</v>
      </c>
      <c r="V106" s="54">
        <v>-45.188222408371615</v>
      </c>
      <c r="W106" s="54">
        <v>-60.597720027777747</v>
      </c>
      <c r="X106" s="54">
        <v>-64.155486464023468</v>
      </c>
      <c r="Y106" s="54">
        <v>-51.826365803384846</v>
      </c>
      <c r="Z106" s="54">
        <v>-45.643075080611609</v>
      </c>
      <c r="AA106" s="54">
        <v>-49.103126494343563</v>
      </c>
      <c r="AB106" s="54">
        <v>-48.742104392405892</v>
      </c>
      <c r="AC106" s="54">
        <v>-62.253657487867819</v>
      </c>
      <c r="AD106" s="54">
        <v>-64.150095290367304</v>
      </c>
      <c r="AE106" s="54">
        <v>-51.78049592643363</v>
      </c>
      <c r="AF106" s="54">
        <v>-45.425625520551407</v>
      </c>
      <c r="AG106" s="54">
        <v>-47.281256477391899</v>
      </c>
      <c r="AH106" s="54">
        <v>-46.951877602363304</v>
      </c>
      <c r="AI106" s="54">
        <v>-57.249380386312779</v>
      </c>
      <c r="AJ106" s="54">
        <v>-57.746459790522621</v>
      </c>
      <c r="AK106" s="54">
        <v>-55.405289402979506</v>
      </c>
      <c r="AL106" s="54">
        <v>-58.538460854659526</v>
      </c>
      <c r="AM106" s="54">
        <v>-59.530307711154194</v>
      </c>
      <c r="AN106" s="54">
        <v>-57.125467782392469</v>
      </c>
      <c r="AO106" s="54">
        <v>-57.241441982919028</v>
      </c>
      <c r="AP106" s="54">
        <v>-56.953111191610731</v>
      </c>
      <c r="AQ106" s="54">
        <v>-48.31427773511421</v>
      </c>
      <c r="AR106" s="54">
        <v>-62.27157466878608</v>
      </c>
      <c r="AS106" s="54">
        <v>-62.031409868873233</v>
      </c>
      <c r="AT106" s="54">
        <v>-49.998305277318522</v>
      </c>
      <c r="AU106" s="54">
        <v>-44.188626706574972</v>
      </c>
      <c r="AV106" s="54">
        <v>-44.970343969090941</v>
      </c>
      <c r="AW106" s="54">
        <v>-47.036274210293442</v>
      </c>
      <c r="AX106" s="54">
        <v>-42.027359793615602</v>
      </c>
      <c r="AY106" s="54">
        <v>-41.761188827077021</v>
      </c>
      <c r="AZ106" s="54">
        <v>-45.118781718637926</v>
      </c>
      <c r="BA106" s="54">
        <v>-57.178323702912202</v>
      </c>
      <c r="BB106" s="54">
        <v>-59.717245674070327</v>
      </c>
      <c r="BC106" s="54">
        <v>-48.272265782022927</v>
      </c>
      <c r="BD106" s="54">
        <v>-43.943818694769377</v>
      </c>
      <c r="BE106" s="54">
        <v>-47.438872085595939</v>
      </c>
      <c r="BF106" s="54">
        <v>-47.029827844601193</v>
      </c>
      <c r="BG106" s="54">
        <v>-42.741892661402268</v>
      </c>
      <c r="BH106" s="54">
        <v>-42.274910709823033</v>
      </c>
      <c r="BI106" s="54">
        <v>-45.271639766875538</v>
      </c>
      <c r="BJ106" s="54">
        <v>-42.253283271281418</v>
      </c>
      <c r="BK106" s="54">
        <v>-42.064684226254421</v>
      </c>
      <c r="BL106" s="54">
        <v>-45.113615177217795</v>
      </c>
      <c r="BM106" s="54">
        <v>-59.491418626400062</v>
      </c>
      <c r="BN106" s="54">
        <v>-59.659169476523388</v>
      </c>
      <c r="BO106" s="54">
        <v>-50.147051232483086</v>
      </c>
      <c r="BP106" s="54">
        <v>-42.16440221120066</v>
      </c>
      <c r="BQ106" s="54">
        <v>-42.72859289362696</v>
      </c>
      <c r="BR106" s="54">
        <v>-45.200654603988369</v>
      </c>
      <c r="BS106" s="54">
        <v>-60.612214577665746</v>
      </c>
      <c r="BT106" s="54">
        <v>-60.73668013596545</v>
      </c>
      <c r="BU106" s="54">
        <v>-50.231231622334114</v>
      </c>
      <c r="BV106" s="54">
        <v>-42.353088212242483</v>
      </c>
      <c r="BW106" s="54">
        <v>-44.712109851489771</v>
      </c>
      <c r="BX106" s="54">
        <v>-45.268529791207435</v>
      </c>
    </row>
    <row r="107" spans="1:76" x14ac:dyDescent="0.3">
      <c r="A107" s="8" t="s">
        <v>103</v>
      </c>
      <c r="B107" s="8" t="s">
        <v>9</v>
      </c>
      <c r="C107" s="8" t="s">
        <v>117</v>
      </c>
      <c r="D107" s="8" t="s">
        <v>118</v>
      </c>
      <c r="E107" s="54">
        <v>114.32195030098113</v>
      </c>
      <c r="F107" s="54">
        <v>104.53344895994631</v>
      </c>
      <c r="G107" s="54">
        <v>110.29012912983549</v>
      </c>
      <c r="H107" s="54">
        <v>150.2546297201346</v>
      </c>
      <c r="I107" s="54">
        <v>129.79348552456338</v>
      </c>
      <c r="J107" s="54">
        <v>117.61465104791657</v>
      </c>
      <c r="K107" s="54">
        <v>115.39970666344091</v>
      </c>
      <c r="L107" s="54">
        <v>105.35862006858233</v>
      </c>
      <c r="M107" s="54">
        <v>113.67368176320558</v>
      </c>
      <c r="N107" s="54">
        <v>145.82336554290998</v>
      </c>
      <c r="O107" s="54">
        <v>129.67431078269175</v>
      </c>
      <c r="P107" s="54">
        <v>118.18102349926075</v>
      </c>
      <c r="Q107" s="54">
        <v>110.71567346552413</v>
      </c>
      <c r="R107" s="54">
        <v>95.683886069426464</v>
      </c>
      <c r="S107" s="54">
        <v>112.55199964625606</v>
      </c>
      <c r="T107" s="54">
        <v>143.86956059744617</v>
      </c>
      <c r="U107" s="54">
        <v>127.56374096976253</v>
      </c>
      <c r="V107" s="54">
        <v>116.90927677488516</v>
      </c>
      <c r="W107" s="54">
        <v>94.755143916666611</v>
      </c>
      <c r="X107" s="54">
        <v>77.871475807930082</v>
      </c>
      <c r="Y107" s="54">
        <v>98.021067189845596</v>
      </c>
      <c r="Z107" s="54">
        <v>129.21201855816534</v>
      </c>
      <c r="AA107" s="54">
        <v>110.84652151696905</v>
      </c>
      <c r="AB107" s="54">
        <v>103.46887842278218</v>
      </c>
      <c r="AC107" s="54">
        <v>89.671040136396925</v>
      </c>
      <c r="AD107" s="54">
        <v>77.789719728897808</v>
      </c>
      <c r="AE107" s="54">
        <v>97.752677020699011</v>
      </c>
      <c r="AF107" s="54">
        <v>127.15090123834582</v>
      </c>
      <c r="AG107" s="54">
        <v>114.62896656782451</v>
      </c>
      <c r="AH107" s="54">
        <v>107.80925779290985</v>
      </c>
      <c r="AI107" s="54">
        <v>111.96126484106172</v>
      </c>
      <c r="AJ107" s="54">
        <v>102.8294776284322</v>
      </c>
      <c r="AK107" s="54">
        <v>90.43232499106179</v>
      </c>
      <c r="AL107" s="54">
        <v>91.72753903602127</v>
      </c>
      <c r="AM107" s="54">
        <v>82.294765466537129</v>
      </c>
      <c r="AN107" s="54">
        <v>79.881581452822644</v>
      </c>
      <c r="AO107" s="54">
        <v>113.64784305124309</v>
      </c>
      <c r="AP107" s="54">
        <v>107.05386422516794</v>
      </c>
      <c r="AQ107" s="54">
        <v>114.01282619465725</v>
      </c>
      <c r="AR107" s="54">
        <v>82.815261793641952</v>
      </c>
      <c r="AS107" s="54">
        <v>77.092804593380308</v>
      </c>
      <c r="AT107" s="54">
        <v>103.03600276804437</v>
      </c>
      <c r="AU107" s="54">
        <v>144.51491608027544</v>
      </c>
      <c r="AV107" s="54">
        <v>136.34295309272716</v>
      </c>
      <c r="AW107" s="54">
        <v>113.2931103691196</v>
      </c>
      <c r="AX107" s="54">
        <v>139.97551621915315</v>
      </c>
      <c r="AY107" s="54">
        <v>134.06993191876882</v>
      </c>
      <c r="AZ107" s="54">
        <v>114.58775084408602</v>
      </c>
      <c r="BA107" s="54">
        <v>110.26072729126335</v>
      </c>
      <c r="BB107" s="54">
        <v>96.462155377788903</v>
      </c>
      <c r="BC107" s="54">
        <v>112.25371725393141</v>
      </c>
      <c r="BD107" s="54">
        <v>134.60357651569223</v>
      </c>
      <c r="BE107" s="54">
        <v>117.04096254321227</v>
      </c>
      <c r="BF107" s="54">
        <v>109.67477286619621</v>
      </c>
      <c r="BG107" s="54">
        <v>151.0768960157931</v>
      </c>
      <c r="BH107" s="54">
        <v>145.74722207053094</v>
      </c>
      <c r="BI107" s="54">
        <v>118.15245109937322</v>
      </c>
      <c r="BJ107" s="54">
        <v>139.38343418615597</v>
      </c>
      <c r="BK107" s="54">
        <v>131.82923532123658</v>
      </c>
      <c r="BL107" s="54">
        <v>114.50940126834675</v>
      </c>
      <c r="BM107" s="54">
        <v>108.34645512079987</v>
      </c>
      <c r="BN107" s="54">
        <v>99.464101170430027</v>
      </c>
      <c r="BO107" s="54">
        <v>108.49206350255092</v>
      </c>
      <c r="BP107" s="54">
        <v>144.97907976639769</v>
      </c>
      <c r="BQ107" s="54">
        <v>135.38889351911965</v>
      </c>
      <c r="BR107" s="54">
        <v>117.16168858803488</v>
      </c>
      <c r="BS107" s="54">
        <v>109.02978386700268</v>
      </c>
      <c r="BT107" s="54">
        <v>99.506090192103883</v>
      </c>
      <c r="BU107" s="54">
        <v>110.78569193299769</v>
      </c>
      <c r="BV107" s="54">
        <v>147.61817596327265</v>
      </c>
      <c r="BW107" s="54">
        <v>131.36837184553085</v>
      </c>
      <c r="BX107" s="54">
        <v>117.63336922637768</v>
      </c>
    </row>
    <row r="108" spans="1:76" x14ac:dyDescent="0.3">
      <c r="A108" s="8" t="s">
        <v>103</v>
      </c>
      <c r="B108" s="8" t="s">
        <v>10</v>
      </c>
      <c r="C108" s="8" t="s">
        <v>108</v>
      </c>
      <c r="D108" s="8" t="s">
        <v>111</v>
      </c>
      <c r="E108" s="54">
        <v>348.27041555797501</v>
      </c>
      <c r="F108" s="54">
        <v>394.62853689394439</v>
      </c>
      <c r="G108" s="54">
        <v>497.74391668073469</v>
      </c>
      <c r="H108" s="54">
        <v>548.05412045636206</v>
      </c>
      <c r="I108" s="54">
        <v>535.86347823109338</v>
      </c>
      <c r="J108" s="54">
        <v>519.22853061714466</v>
      </c>
      <c r="K108" s="54">
        <v>400.87306557132621</v>
      </c>
      <c r="L108" s="54">
        <v>413.56141005457016</v>
      </c>
      <c r="M108" s="54">
        <v>524.2433975212366</v>
      </c>
      <c r="N108" s="54">
        <v>557.20233338109335</v>
      </c>
      <c r="O108" s="54">
        <v>535.99128414695338</v>
      </c>
      <c r="P108" s="54">
        <v>542.15918280663072</v>
      </c>
      <c r="Q108" s="54">
        <v>490.72937818333327</v>
      </c>
      <c r="R108" s="54">
        <v>533.68856523521504</v>
      </c>
      <c r="S108" s="54">
        <v>521.86476793440863</v>
      </c>
      <c r="T108" s="54">
        <v>488.02461892652337</v>
      </c>
      <c r="U108" s="54">
        <v>514.99166717302876</v>
      </c>
      <c r="V108" s="54">
        <v>516.39985793189976</v>
      </c>
      <c r="W108" s="54">
        <v>530.35888479569883</v>
      </c>
      <c r="X108" s="54">
        <v>507.88331734882132</v>
      </c>
      <c r="Y108" s="54">
        <v>502.10094270220537</v>
      </c>
      <c r="Z108" s="54">
        <v>578.68718049991048</v>
      </c>
      <c r="AA108" s="54">
        <v>558.69365078001795</v>
      </c>
      <c r="AB108" s="54">
        <v>526.72066972147059</v>
      </c>
      <c r="AC108" s="54">
        <v>335.89384376191742</v>
      </c>
      <c r="AD108" s="54">
        <v>356.30915716379951</v>
      </c>
      <c r="AE108" s="54">
        <v>492.37160626021523</v>
      </c>
      <c r="AF108" s="54">
        <v>495.25682041657706</v>
      </c>
      <c r="AG108" s="54">
        <v>458.6179998996418</v>
      </c>
      <c r="AH108" s="54">
        <v>502.86208368216847</v>
      </c>
      <c r="AI108" s="54">
        <v>404.27673890949836</v>
      </c>
      <c r="AJ108" s="54">
        <v>383.6955840398748</v>
      </c>
      <c r="AK108" s="54">
        <v>445.09454653628899</v>
      </c>
      <c r="AL108" s="54">
        <v>559.55100355985678</v>
      </c>
      <c r="AM108" s="54">
        <v>525.55373492141587</v>
      </c>
      <c r="AN108" s="54">
        <v>497.07706774041083</v>
      </c>
      <c r="AO108" s="54">
        <v>310.0766212320878</v>
      </c>
      <c r="AP108" s="54">
        <v>333.57947306711486</v>
      </c>
      <c r="AQ108" s="54">
        <v>412.20087028467731</v>
      </c>
      <c r="AR108" s="54">
        <v>445.10395400305572</v>
      </c>
      <c r="AS108" s="54">
        <v>485.43167162464187</v>
      </c>
      <c r="AT108" s="54">
        <v>455.03248656926519</v>
      </c>
      <c r="AU108" s="54">
        <v>522.32050974740196</v>
      </c>
      <c r="AV108" s="54">
        <v>519.4649294608646</v>
      </c>
      <c r="AW108" s="54">
        <v>474.17344617069898</v>
      </c>
      <c r="AX108" s="54">
        <v>572.68024685107571</v>
      </c>
      <c r="AY108" s="54">
        <v>580.83963039697585</v>
      </c>
      <c r="AZ108" s="54">
        <v>502.88689710394266</v>
      </c>
      <c r="BA108" s="54">
        <v>492.23122320537647</v>
      </c>
      <c r="BB108" s="54">
        <v>512.41602411666668</v>
      </c>
      <c r="BC108" s="54">
        <v>478.99992018428651</v>
      </c>
      <c r="BD108" s="54">
        <v>577.9154255450718</v>
      </c>
      <c r="BE108" s="54">
        <v>601.05321577544805</v>
      </c>
      <c r="BF108" s="54">
        <v>513.80769531591739</v>
      </c>
      <c r="BG108" s="54">
        <v>535.29370875179211</v>
      </c>
      <c r="BH108" s="54">
        <v>557.48485172141568</v>
      </c>
      <c r="BI108" s="54">
        <v>517.53520017771757</v>
      </c>
      <c r="BJ108" s="54">
        <v>578.68045387275993</v>
      </c>
      <c r="BK108" s="54">
        <v>598.48847122222253</v>
      </c>
      <c r="BL108" s="54">
        <v>529.52139312234124</v>
      </c>
      <c r="BM108" s="54">
        <v>330.79899056944464</v>
      </c>
      <c r="BN108" s="54">
        <v>344.44230956702506</v>
      </c>
      <c r="BO108" s="54">
        <v>501.95228253817214</v>
      </c>
      <c r="BP108" s="54">
        <v>483.90792311039445</v>
      </c>
      <c r="BQ108" s="54">
        <v>504.26857587672202</v>
      </c>
      <c r="BR108" s="54">
        <v>515.48356719910407</v>
      </c>
      <c r="BS108" s="54">
        <v>363.33345412706097</v>
      </c>
      <c r="BT108" s="54">
        <v>363.94314664632634</v>
      </c>
      <c r="BU108" s="54">
        <v>505.93944511594981</v>
      </c>
      <c r="BV108" s="54">
        <v>557.9734260504481</v>
      </c>
      <c r="BW108" s="54">
        <v>534.46433978378138</v>
      </c>
      <c r="BX108" s="54">
        <v>559.39967275206095</v>
      </c>
    </row>
    <row r="109" spans="1:76" x14ac:dyDescent="0.3">
      <c r="A109" s="8" t="s">
        <v>103</v>
      </c>
      <c r="B109" s="8" t="s">
        <v>10</v>
      </c>
      <c r="C109" s="8" t="s">
        <v>108</v>
      </c>
      <c r="D109" s="8" t="s">
        <v>115</v>
      </c>
      <c r="E109" s="54">
        <v>534.54249044202504</v>
      </c>
      <c r="F109" s="54">
        <v>566.92504897618585</v>
      </c>
      <c r="G109" s="54">
        <v>559.56552931926512</v>
      </c>
      <c r="H109" s="54">
        <v>481.12273354363788</v>
      </c>
      <c r="I109" s="54">
        <v>480.19312376890656</v>
      </c>
      <c r="J109" s="54">
        <v>530.55481471618896</v>
      </c>
      <c r="K109" s="54">
        <v>535.20946242867365</v>
      </c>
      <c r="L109" s="54">
        <v>566.13434194543038</v>
      </c>
      <c r="M109" s="54">
        <v>553.87608847876345</v>
      </c>
      <c r="N109" s="54">
        <v>499.72124061890645</v>
      </c>
      <c r="O109" s="54">
        <v>480.4529558530466</v>
      </c>
      <c r="P109" s="54">
        <v>585.23113319336926</v>
      </c>
      <c r="Q109" s="54">
        <v>470.8556498166667</v>
      </c>
      <c r="R109" s="54">
        <v>494.42738476478468</v>
      </c>
      <c r="S109" s="54">
        <v>569.08757606559118</v>
      </c>
      <c r="T109" s="54">
        <v>398.83854107347673</v>
      </c>
      <c r="U109" s="54">
        <v>453.66311082697132</v>
      </c>
      <c r="V109" s="54">
        <v>547.96070206810009</v>
      </c>
      <c r="W109" s="54">
        <v>487.65807520430093</v>
      </c>
      <c r="X109" s="54">
        <v>464.08348301960058</v>
      </c>
      <c r="Y109" s="54">
        <v>563.0348982087894</v>
      </c>
      <c r="Z109" s="54">
        <v>543.40038150008945</v>
      </c>
      <c r="AA109" s="54">
        <v>526.6073392199819</v>
      </c>
      <c r="AB109" s="54">
        <v>576.46490118952397</v>
      </c>
      <c r="AC109" s="54">
        <v>488.88603023808241</v>
      </c>
      <c r="AD109" s="54">
        <v>530.3907868362005</v>
      </c>
      <c r="AE109" s="54">
        <v>531.39498573978528</v>
      </c>
      <c r="AF109" s="54">
        <v>459.56540158342273</v>
      </c>
      <c r="AG109" s="54">
        <v>415.75464010035824</v>
      </c>
      <c r="AH109" s="54">
        <v>528.19057031783086</v>
      </c>
      <c r="AI109" s="54">
        <v>542.12920109050185</v>
      </c>
      <c r="AJ109" s="54">
        <v>523.85869596012549</v>
      </c>
      <c r="AK109" s="54">
        <v>439.59394146371153</v>
      </c>
      <c r="AL109" s="54">
        <v>550.51978044014311</v>
      </c>
      <c r="AM109" s="54">
        <v>509.87380907858437</v>
      </c>
      <c r="AN109" s="54">
        <v>507.20308425958916</v>
      </c>
      <c r="AO109" s="54">
        <v>396.30549095769106</v>
      </c>
      <c r="AP109" s="54">
        <v>444.64843893288577</v>
      </c>
      <c r="AQ109" s="54">
        <v>437.34253571532264</v>
      </c>
      <c r="AR109" s="54">
        <v>334.6908301867233</v>
      </c>
      <c r="AS109" s="54">
        <v>406.84969637535875</v>
      </c>
      <c r="AT109" s="54">
        <v>453.75832743073465</v>
      </c>
      <c r="AU109" s="54">
        <v>474.55130825259914</v>
      </c>
      <c r="AV109" s="54">
        <v>500.56251495661087</v>
      </c>
      <c r="AW109" s="54">
        <v>498.66722382930107</v>
      </c>
      <c r="AX109" s="54">
        <v>534.42357714892523</v>
      </c>
      <c r="AY109" s="54">
        <v>558.19268002049967</v>
      </c>
      <c r="AZ109" s="54">
        <v>514.53214289605739</v>
      </c>
      <c r="BA109" s="54">
        <v>473.31179279462378</v>
      </c>
      <c r="BB109" s="54">
        <v>514.94505188333335</v>
      </c>
      <c r="BC109" s="54">
        <v>497.37311563389517</v>
      </c>
      <c r="BD109" s="54">
        <v>541.23424845492821</v>
      </c>
      <c r="BE109" s="54">
        <v>588.87099622455173</v>
      </c>
      <c r="BF109" s="54">
        <v>525.62792250226437</v>
      </c>
      <c r="BG109" s="54">
        <v>455.18055124820768</v>
      </c>
      <c r="BH109" s="54">
        <v>500.29560627858416</v>
      </c>
      <c r="BI109" s="54">
        <v>551.38206927361</v>
      </c>
      <c r="BJ109" s="54">
        <v>543.3867061272399</v>
      </c>
      <c r="BK109" s="54">
        <v>587.24304877777752</v>
      </c>
      <c r="BL109" s="54">
        <v>580.56711232898613</v>
      </c>
      <c r="BM109" s="54">
        <v>390.09389943055538</v>
      </c>
      <c r="BN109" s="54">
        <v>460.24159443297498</v>
      </c>
      <c r="BO109" s="54">
        <v>497.81554546182804</v>
      </c>
      <c r="BP109" s="54">
        <v>390.46921288960567</v>
      </c>
      <c r="BQ109" s="54">
        <v>449.08470212327802</v>
      </c>
      <c r="BR109" s="54">
        <v>545.97990880089583</v>
      </c>
      <c r="BS109" s="54">
        <v>511.502269872939</v>
      </c>
      <c r="BT109" s="54">
        <v>485.75554735367388</v>
      </c>
      <c r="BU109" s="54">
        <v>546.12668688405017</v>
      </c>
      <c r="BV109" s="54">
        <v>478.7521679495519</v>
      </c>
      <c r="BW109" s="54">
        <v>477.34864621621864</v>
      </c>
      <c r="BX109" s="54">
        <v>573.07074124793894</v>
      </c>
    </row>
    <row r="110" spans="1:76" x14ac:dyDescent="0.3">
      <c r="A110" s="8" t="s">
        <v>103</v>
      </c>
      <c r="B110" s="8" t="s">
        <v>10</v>
      </c>
      <c r="C110" s="8" t="s">
        <v>109</v>
      </c>
      <c r="D110" s="8" t="s">
        <v>110</v>
      </c>
      <c r="E110" s="54">
        <v>-19.922580965053839</v>
      </c>
      <c r="F110" s="54">
        <v>85.509885275520176</v>
      </c>
      <c r="G110" s="54">
        <v>232.61075019086007</v>
      </c>
      <c r="H110" s="54">
        <v>52.08006956720412</v>
      </c>
      <c r="I110" s="54">
        <v>169.32422090591393</v>
      </c>
      <c r="J110" s="54">
        <v>267.17183045340499</v>
      </c>
      <c r="K110" s="54">
        <v>24.845406795698466</v>
      </c>
      <c r="L110" s="54">
        <v>117.27313749193546</v>
      </c>
      <c r="M110" s="54">
        <v>261.84564949193543</v>
      </c>
      <c r="N110" s="54">
        <v>92.245684405913636</v>
      </c>
      <c r="O110" s="54">
        <v>169.88535817204286</v>
      </c>
      <c r="P110" s="54">
        <v>262.62891947849477</v>
      </c>
      <c r="Q110" s="54">
        <v>-13.420463499999924</v>
      </c>
      <c r="R110" s="54">
        <v>63.481959879032161</v>
      </c>
      <c r="S110" s="54">
        <v>237.80150764516117</v>
      </c>
      <c r="T110" s="54">
        <v>73.130810913978323</v>
      </c>
      <c r="U110" s="54">
        <v>191.53077406720431</v>
      </c>
      <c r="V110" s="54">
        <v>265.12868913978525</v>
      </c>
      <c r="W110" s="54">
        <v>48.86285741935459</v>
      </c>
      <c r="X110" s="54">
        <v>108.52639460837598</v>
      </c>
      <c r="Y110" s="54">
        <v>252.18373237430347</v>
      </c>
      <c r="Z110" s="54">
        <v>186.57581219623643</v>
      </c>
      <c r="AA110" s="54">
        <v>269.56105676075248</v>
      </c>
      <c r="AB110" s="54">
        <v>272.97291518344366</v>
      </c>
      <c r="AC110" s="54">
        <v>-76.12899959946229</v>
      </c>
      <c r="AD110" s="54">
        <v>13.505295279569673</v>
      </c>
      <c r="AE110" s="54">
        <v>166.06876212903222</v>
      </c>
      <c r="AF110" s="54">
        <v>4.5909046962364641</v>
      </c>
      <c r="AG110" s="54">
        <v>63.335259784946253</v>
      </c>
      <c r="AH110" s="54">
        <v>171.09054505107534</v>
      </c>
      <c r="AI110" s="54">
        <v>39.789378198924695</v>
      </c>
      <c r="AJ110" s="54">
        <v>118.17005767473121</v>
      </c>
      <c r="AK110" s="54">
        <v>231.98735654204739</v>
      </c>
      <c r="AL110" s="54">
        <v>2.2644279139785173</v>
      </c>
      <c r="AM110" s="54">
        <v>56.817601099462323</v>
      </c>
      <c r="AN110" s="54">
        <v>139.95829351516576</v>
      </c>
      <c r="AO110" s="54">
        <v>-46.735308164685406</v>
      </c>
      <c r="AP110" s="54">
        <v>60.472200018817148</v>
      </c>
      <c r="AQ110" s="54">
        <v>151.29831755645151</v>
      </c>
      <c r="AR110" s="54">
        <v>50.132175415959715</v>
      </c>
      <c r="AS110" s="54">
        <v>156.83440503494617</v>
      </c>
      <c r="AT110" s="54">
        <v>215.55834230913962</v>
      </c>
      <c r="AU110" s="54">
        <v>36.731746190860505</v>
      </c>
      <c r="AV110" s="54">
        <v>118.76084890972416</v>
      </c>
      <c r="AW110" s="54">
        <v>244.9516311693547</v>
      </c>
      <c r="AX110" s="54">
        <v>183.36383014516122</v>
      </c>
      <c r="AY110" s="54">
        <v>270.59464982639071</v>
      </c>
      <c r="AZ110" s="54">
        <v>296.54478236559135</v>
      </c>
      <c r="BA110" s="54">
        <v>-5.525283774193368</v>
      </c>
      <c r="BB110" s="54">
        <v>81.795670500000028</v>
      </c>
      <c r="BC110" s="54">
        <v>218.25044723093833</v>
      </c>
      <c r="BD110" s="54">
        <v>184.48865529301116</v>
      </c>
      <c r="BE110" s="54">
        <v>284.77483376881696</v>
      </c>
      <c r="BF110" s="54">
        <v>296.60098595943293</v>
      </c>
      <c r="BG110" s="54">
        <v>-3.945056424731308</v>
      </c>
      <c r="BH110" s="54">
        <v>93.486093099462096</v>
      </c>
      <c r="BI110" s="54">
        <v>230.46527936502082</v>
      </c>
      <c r="BJ110" s="54">
        <v>186.54627865591377</v>
      </c>
      <c r="BK110" s="54">
        <v>299.18734333333339</v>
      </c>
      <c r="BL110" s="54">
        <v>272.59441663921382</v>
      </c>
      <c r="BM110" s="54">
        <v>94.214667916667111</v>
      </c>
      <c r="BN110" s="54">
        <v>61.696592215053748</v>
      </c>
      <c r="BO110" s="54">
        <v>258.074799403226</v>
      </c>
      <c r="BP110" s="54">
        <v>55.056284236558952</v>
      </c>
      <c r="BQ110" s="54">
        <v>157.21321682511856</v>
      </c>
      <c r="BR110" s="54">
        <v>261.36271996236559</v>
      </c>
      <c r="BS110" s="54">
        <v>40.79153573655914</v>
      </c>
      <c r="BT110" s="54">
        <v>36.573653545698861</v>
      </c>
      <c r="BU110" s="54">
        <v>206.57797806989308</v>
      </c>
      <c r="BV110" s="54">
        <v>144.74246851881745</v>
      </c>
      <c r="BW110" s="54">
        <v>163.18124451881744</v>
      </c>
      <c r="BX110" s="54">
        <v>174.53726198655971</v>
      </c>
    </row>
    <row r="111" spans="1:76" x14ac:dyDescent="0.3">
      <c r="A111" s="8" t="s">
        <v>103</v>
      </c>
      <c r="B111" s="8" t="s">
        <v>10</v>
      </c>
      <c r="C111" s="8" t="s">
        <v>109</v>
      </c>
      <c r="D111" s="8" t="s">
        <v>115</v>
      </c>
      <c r="E111" s="54">
        <v>304.77903396505377</v>
      </c>
      <c r="F111" s="54">
        <v>243.36388272447974</v>
      </c>
      <c r="G111" s="54">
        <v>197.81397280913981</v>
      </c>
      <c r="H111" s="54">
        <v>305.95835743279576</v>
      </c>
      <c r="I111" s="54">
        <v>240.4740800940861</v>
      </c>
      <c r="J111" s="54">
        <v>200.82317554659502</v>
      </c>
      <c r="K111" s="54">
        <v>286.64585720430136</v>
      </c>
      <c r="L111" s="54">
        <v>228.56489350806442</v>
      </c>
      <c r="M111" s="54">
        <v>178.98409350806455</v>
      </c>
      <c r="N111" s="54">
        <v>279.66610259408611</v>
      </c>
      <c r="O111" s="54">
        <v>240.10676182795709</v>
      </c>
      <c r="P111" s="54">
        <v>198.12465852150575</v>
      </c>
      <c r="Q111" s="54">
        <v>337.66297749999995</v>
      </c>
      <c r="R111" s="54">
        <v>294.02601512096771</v>
      </c>
      <c r="S111" s="54">
        <v>209.44466435483866</v>
      </c>
      <c r="T111" s="54">
        <v>310.95076908602158</v>
      </c>
      <c r="U111" s="54">
        <v>233.44661493279563</v>
      </c>
      <c r="V111" s="54">
        <v>207.09879086021553</v>
      </c>
      <c r="W111" s="54">
        <v>303.59562258064534</v>
      </c>
      <c r="X111" s="54">
        <v>274.98392939162409</v>
      </c>
      <c r="Y111" s="54">
        <v>195.02618771470225</v>
      </c>
      <c r="Z111" s="54">
        <v>217.91796880376359</v>
      </c>
      <c r="AA111" s="54">
        <v>174.85943823924742</v>
      </c>
      <c r="AB111" s="54">
        <v>163.17321990556289</v>
      </c>
      <c r="AC111" s="54">
        <v>193.96893659946235</v>
      </c>
      <c r="AD111" s="54">
        <v>135.29467672043018</v>
      </c>
      <c r="AE111" s="54">
        <v>68.460413870967685</v>
      </c>
      <c r="AF111" s="54">
        <v>178.27020630376356</v>
      </c>
      <c r="AG111" s="54">
        <v>154.30106021505375</v>
      </c>
      <c r="AH111" s="54">
        <v>85.585001948924599</v>
      </c>
      <c r="AI111" s="54">
        <v>276.86359180107513</v>
      </c>
      <c r="AJ111" s="54">
        <v>236.68565732526869</v>
      </c>
      <c r="AK111" s="54">
        <v>219.97167745795255</v>
      </c>
      <c r="AL111" s="54">
        <v>161.02096408602139</v>
      </c>
      <c r="AM111" s="54">
        <v>138.75395590053762</v>
      </c>
      <c r="AN111" s="54">
        <v>103.75178248483429</v>
      </c>
      <c r="AO111" s="54">
        <v>355.07446316468537</v>
      </c>
      <c r="AP111" s="54">
        <v>285.16181098118267</v>
      </c>
      <c r="AQ111" s="54">
        <v>289.12338544354844</v>
      </c>
      <c r="AR111" s="54">
        <v>336.9178955840402</v>
      </c>
      <c r="AS111" s="54">
        <v>262.43042396505365</v>
      </c>
      <c r="AT111" s="54">
        <v>254.48706469086014</v>
      </c>
      <c r="AU111" s="54">
        <v>313.06427280913954</v>
      </c>
      <c r="AV111" s="54">
        <v>260.16922609027569</v>
      </c>
      <c r="AW111" s="54">
        <v>218.23870383064525</v>
      </c>
      <c r="AX111" s="54">
        <v>221.54819185483876</v>
      </c>
      <c r="AY111" s="54">
        <v>167.83785817360908</v>
      </c>
      <c r="AZ111" s="54">
        <v>188.93473763440861</v>
      </c>
      <c r="BA111" s="54">
        <v>334.79842177419414</v>
      </c>
      <c r="BB111" s="54">
        <v>275.33486750000003</v>
      </c>
      <c r="BC111" s="54">
        <v>231.59697976906156</v>
      </c>
      <c r="BD111" s="54">
        <v>221.58781170698938</v>
      </c>
      <c r="BE111" s="54">
        <v>153.63727223118272</v>
      </c>
      <c r="BF111" s="54">
        <v>184.7777320405668</v>
      </c>
      <c r="BG111" s="54">
        <v>342.63218642473123</v>
      </c>
      <c r="BH111" s="54">
        <v>278.85413590053787</v>
      </c>
      <c r="BI111" s="54">
        <v>208.23541518365275</v>
      </c>
      <c r="BJ111" s="54">
        <v>217.93730134408617</v>
      </c>
      <c r="BK111" s="54">
        <v>145.89621666666665</v>
      </c>
      <c r="BL111" s="54">
        <v>162.07571590945847</v>
      </c>
      <c r="BM111" s="54">
        <v>423.61732708333386</v>
      </c>
      <c r="BN111" s="54">
        <v>281.29535978494613</v>
      </c>
      <c r="BO111" s="54">
        <v>182.45911459677399</v>
      </c>
      <c r="BP111" s="54">
        <v>322.78228376344089</v>
      </c>
      <c r="BQ111" s="54">
        <v>260.11342217488129</v>
      </c>
      <c r="BR111" s="54">
        <v>210.01901803763445</v>
      </c>
      <c r="BS111" s="54">
        <v>355.24835626344122</v>
      </c>
      <c r="BT111" s="54">
        <v>290.04569345430099</v>
      </c>
      <c r="BU111" s="54">
        <v>151.7344279301085</v>
      </c>
      <c r="BV111" s="54">
        <v>332.24235848118269</v>
      </c>
      <c r="BW111" s="54">
        <v>244.49524848118264</v>
      </c>
      <c r="BX111" s="54">
        <v>63.35587501344164</v>
      </c>
    </row>
    <row r="112" spans="1:76" x14ac:dyDescent="0.3">
      <c r="A112" s="8" t="s">
        <v>103</v>
      </c>
      <c r="B112" s="8" t="s">
        <v>10</v>
      </c>
      <c r="C112" s="8" t="s">
        <v>110</v>
      </c>
      <c r="D112" s="8" t="s">
        <v>111</v>
      </c>
      <c r="E112" s="54">
        <v>250.92202890905014</v>
      </c>
      <c r="F112" s="54">
        <v>153.39227756016371</v>
      </c>
      <c r="G112" s="54">
        <v>93.504866413530394</v>
      </c>
      <c r="H112" s="54">
        <v>349.90202306227627</v>
      </c>
      <c r="I112" s="54">
        <v>220.22556896281387</v>
      </c>
      <c r="J112" s="54">
        <v>99.670634649044132</v>
      </c>
      <c r="K112" s="54">
        <v>240.84949605734818</v>
      </c>
      <c r="L112" s="54">
        <v>134.17114156586018</v>
      </c>
      <c r="M112" s="54">
        <v>79.075488232526851</v>
      </c>
      <c r="N112" s="54">
        <v>302.81837521281398</v>
      </c>
      <c r="O112" s="54">
        <v>219.56778270609334</v>
      </c>
      <c r="P112" s="54">
        <v>92.125431536738361</v>
      </c>
      <c r="Q112" s="54">
        <v>384.27802708333326</v>
      </c>
      <c r="R112" s="54">
        <v>319.57382140457003</v>
      </c>
      <c r="S112" s="54">
        <v>110.35865723118276</v>
      </c>
      <c r="T112" s="54">
        <v>338.16148364695374</v>
      </c>
      <c r="U112" s="54">
        <v>199.36858347894258</v>
      </c>
      <c r="V112" s="54">
        <v>97.257453136200823</v>
      </c>
      <c r="W112" s="54">
        <v>336.7108844086024</v>
      </c>
      <c r="X112" s="54">
        <v>273.96790394972601</v>
      </c>
      <c r="Y112" s="54">
        <v>80.757317084987122</v>
      </c>
      <c r="Z112" s="54">
        <v>192.24104342517933</v>
      </c>
      <c r="AA112" s="54">
        <v>102.72417131496425</v>
      </c>
      <c r="AB112" s="54">
        <v>52.201268171456761</v>
      </c>
      <c r="AC112" s="54">
        <v>206.83444320116462</v>
      </c>
      <c r="AD112" s="54">
        <v>101.76174377240143</v>
      </c>
      <c r="AE112" s="54">
        <v>37.992043279569842</v>
      </c>
      <c r="AF112" s="54">
        <v>253.18955384184605</v>
      </c>
      <c r="AG112" s="54">
        <v>194.30863620071693</v>
      </c>
      <c r="AH112" s="54">
        <v>56.254696610663181</v>
      </c>
      <c r="AI112" s="54">
        <v>223.33160943100361</v>
      </c>
      <c r="AJ112" s="54">
        <v>139.1203632952508</v>
      </c>
      <c r="AK112" s="54">
        <v>128.00407937742241</v>
      </c>
      <c r="AL112" s="54">
        <v>242.98080448028659</v>
      </c>
      <c r="AM112" s="54">
        <v>188.29532138216842</v>
      </c>
      <c r="AN112" s="54">
        <v>94.391456819178487</v>
      </c>
      <c r="AO112" s="54">
        <v>339.62453178673593</v>
      </c>
      <c r="AP112" s="54">
        <v>214.13443704077051</v>
      </c>
      <c r="AQ112" s="54">
        <v>212.90322570564535</v>
      </c>
      <c r="AR112" s="54">
        <v>372.6410515448004</v>
      </c>
      <c r="AS112" s="54">
        <v>244.36282057571668</v>
      </c>
      <c r="AT112" s="54">
        <v>165.77080733646966</v>
      </c>
      <c r="AU112" s="54">
        <v>351.98415308019679</v>
      </c>
      <c r="AV112" s="54">
        <v>248.33282322026062</v>
      </c>
      <c r="AW112" s="54">
        <v>112.65716253360225</v>
      </c>
      <c r="AX112" s="54">
        <v>197.05897264784932</v>
      </c>
      <c r="AY112" s="54">
        <v>97.14020287303849</v>
      </c>
      <c r="AZ112" s="54">
        <v>69.140201792114667</v>
      </c>
      <c r="BA112" s="54">
        <v>377.16792448924764</v>
      </c>
      <c r="BB112" s="54">
        <v>272.66208541666657</v>
      </c>
      <c r="BC112" s="54">
        <v>142.7780213337</v>
      </c>
      <c r="BD112" s="54">
        <v>196.83261213485682</v>
      </c>
      <c r="BE112" s="54">
        <v>77.128448499104053</v>
      </c>
      <c r="BF112" s="54">
        <v>67.895042245438304</v>
      </c>
      <c r="BG112" s="54">
        <v>415.57678774641585</v>
      </c>
      <c r="BH112" s="54">
        <v>301.36432138216861</v>
      </c>
      <c r="BI112" s="54">
        <v>118.27745692509617</v>
      </c>
      <c r="BJ112" s="54">
        <v>192.27566375448058</v>
      </c>
      <c r="BK112" s="54">
        <v>61.400430555555438</v>
      </c>
      <c r="BL112" s="54">
        <v>51.589913685848643</v>
      </c>
      <c r="BM112" s="54">
        <v>324.80689548611139</v>
      </c>
      <c r="BN112" s="54">
        <v>210.58708046594998</v>
      </c>
      <c r="BO112" s="54">
        <v>93.167563373655724</v>
      </c>
      <c r="BP112" s="54">
        <v>359.34912517921157</v>
      </c>
      <c r="BQ112" s="54">
        <v>236.69007232155593</v>
      </c>
      <c r="BR112" s="54">
        <v>102.09575925179215</v>
      </c>
      <c r="BS112" s="54">
        <v>273.12292809587825</v>
      </c>
      <c r="BT112" s="54">
        <v>234.15603168234767</v>
      </c>
      <c r="BU112" s="54">
        <v>82.553747818100646</v>
      </c>
      <c r="BV112" s="54">
        <v>322.23159412410382</v>
      </c>
      <c r="BW112" s="54">
        <v>227.426597457437</v>
      </c>
      <c r="BX112" s="54">
        <v>52.37384997087846</v>
      </c>
    </row>
    <row r="113" spans="1:76" x14ac:dyDescent="0.3">
      <c r="A113" s="8" t="s">
        <v>103</v>
      </c>
      <c r="B113" s="8" t="s">
        <v>10</v>
      </c>
      <c r="C113" s="8" t="s">
        <v>110</v>
      </c>
      <c r="D113" s="8" t="s">
        <v>115</v>
      </c>
      <c r="E113" s="54">
        <v>213.14731312589606</v>
      </c>
      <c r="F113" s="54">
        <v>119.48764584522652</v>
      </c>
      <c r="G113" s="54">
        <v>15.570606777329798</v>
      </c>
      <c r="H113" s="54">
        <v>177.93220350492868</v>
      </c>
      <c r="I113" s="54">
        <v>75.653942943100461</v>
      </c>
      <c r="J113" s="54">
        <v>0.29620180436085164</v>
      </c>
      <c r="K113" s="54">
        <v>178.67453473835161</v>
      </c>
      <c r="L113" s="54">
        <v>93.740026926075302</v>
      </c>
      <c r="M113" s="54">
        <v>-11.600095740591399</v>
      </c>
      <c r="N113" s="54">
        <v>140.32122619310061</v>
      </c>
      <c r="O113" s="54">
        <v>75.128495465949911</v>
      </c>
      <c r="P113" s="54">
        <v>0.76864594175640732</v>
      </c>
      <c r="Q113" s="54">
        <v>231.81888341666678</v>
      </c>
      <c r="R113" s="54">
        <v>164.27636347446239</v>
      </c>
      <c r="S113" s="54">
        <v>20.729022413978448</v>
      </c>
      <c r="T113" s="54">
        <v>170.73510726702534</v>
      </c>
      <c r="U113" s="54">
        <v>59.865689588261553</v>
      </c>
      <c r="V113" s="54">
        <v>5.5015160035843946</v>
      </c>
      <c r="W113" s="54">
        <v>177.96565301075296</v>
      </c>
      <c r="X113" s="54">
        <v>129.05942229022793</v>
      </c>
      <c r="Y113" s="54">
        <v>3.9255922893164374</v>
      </c>
      <c r="Z113" s="54">
        <v>51.990739771057505</v>
      </c>
      <c r="AA113" s="54">
        <v>-18.207569554211322</v>
      </c>
      <c r="AB113" s="54">
        <v>-27.70431098801329</v>
      </c>
      <c r="AC113" s="54">
        <v>167.37712419937267</v>
      </c>
      <c r="AD113" s="54">
        <v>83.443803507168624</v>
      </c>
      <c r="AE113" s="54">
        <v>-37.394105150537648</v>
      </c>
      <c r="AF113" s="54">
        <v>116.5513518543908</v>
      </c>
      <c r="AG113" s="54">
        <v>71.199743584229424</v>
      </c>
      <c r="AH113" s="54">
        <v>-28.488604559587905</v>
      </c>
      <c r="AI113" s="54">
        <v>164.68103876792117</v>
      </c>
      <c r="AJ113" s="54">
        <v>98.705409379480358</v>
      </c>
      <c r="AK113" s="54">
        <v>30.654106700944705</v>
      </c>
      <c r="AL113" s="54">
        <v>106.21509543369167</v>
      </c>
      <c r="AM113" s="54">
        <v>64.093836717293854</v>
      </c>
      <c r="AN113" s="54">
        <v>-0.81129176769323408</v>
      </c>
      <c r="AO113" s="54">
        <v>260.08396285879985</v>
      </c>
      <c r="AP113" s="54">
        <v>159.87177397804663</v>
      </c>
      <c r="AQ113" s="54">
        <v>117.09976485080664</v>
      </c>
      <c r="AR113" s="54">
        <v>199.54584268138032</v>
      </c>
      <c r="AS113" s="54">
        <v>96.536413459229365</v>
      </c>
      <c r="AT113" s="54">
        <v>61.878871972670389</v>
      </c>
      <c r="AU113" s="54">
        <v>190.34364211066278</v>
      </c>
      <c r="AV113" s="54">
        <v>114.06572627198841</v>
      </c>
      <c r="AW113" s="54">
        <v>23.016653635752782</v>
      </c>
      <c r="AX113" s="54">
        <v>56.01687949731182</v>
      </c>
      <c r="AY113" s="54">
        <v>-23.405419464122666</v>
      </c>
      <c r="AZ113" s="54">
        <v>-22.315899426523345</v>
      </c>
      <c r="BA113" s="54">
        <v>225.96158973655943</v>
      </c>
      <c r="BB113" s="54">
        <v>142.65874308333338</v>
      </c>
      <c r="BC113" s="54">
        <v>45.272762897238472</v>
      </c>
      <c r="BD113" s="54">
        <v>55.480880158154335</v>
      </c>
      <c r="BE113" s="54">
        <v>-39.962568730286698</v>
      </c>
      <c r="BF113" s="54">
        <v>-25.115338286005205</v>
      </c>
      <c r="BG113" s="54">
        <v>230.39398582885329</v>
      </c>
      <c r="BH113" s="54">
        <v>139.15971071729416</v>
      </c>
      <c r="BI113" s="54">
        <v>23.590970439924639</v>
      </c>
      <c r="BJ113" s="54">
        <v>52.018394901433894</v>
      </c>
      <c r="BK113" s="54">
        <v>-52.329527222222168</v>
      </c>
      <c r="BL113" s="54">
        <v>-28.246731046634665</v>
      </c>
      <c r="BM113" s="54">
        <v>235.30421743055575</v>
      </c>
      <c r="BN113" s="54">
        <v>156.68194374910405</v>
      </c>
      <c r="BO113" s="54">
        <v>-7.3979899704301744</v>
      </c>
      <c r="BP113" s="54">
        <v>187.66004705734784</v>
      </c>
      <c r="BQ113" s="54">
        <v>94.802339704028299</v>
      </c>
      <c r="BR113" s="54">
        <v>9.3313187105734663</v>
      </c>
      <c r="BS113" s="54">
        <v>216.43646964068085</v>
      </c>
      <c r="BT113" s="54">
        <v>175.07696886335123</v>
      </c>
      <c r="BU113" s="54">
        <v>-2.1327037482076205</v>
      </c>
      <c r="BV113" s="54">
        <v>149.12367139471328</v>
      </c>
      <c r="BW113" s="54">
        <v>81.40621006137971</v>
      </c>
      <c r="BX113" s="54">
        <v>-45.031380984318801</v>
      </c>
    </row>
    <row r="114" spans="1:76" x14ac:dyDescent="0.3">
      <c r="A114" s="8" t="s">
        <v>103</v>
      </c>
      <c r="B114" s="8" t="s">
        <v>10</v>
      </c>
      <c r="C114" s="8" t="s">
        <v>111</v>
      </c>
      <c r="D114" s="8" t="s">
        <v>112</v>
      </c>
      <c r="E114" s="54">
        <v>450.34354699999989</v>
      </c>
      <c r="F114" s="54">
        <v>406.32623200000006</v>
      </c>
      <c r="G114" s="54">
        <v>304.77527699999985</v>
      </c>
      <c r="H114" s="54">
        <v>377.1615730000002</v>
      </c>
      <c r="I114" s="54">
        <v>325.40169900000018</v>
      </c>
      <c r="J114" s="54">
        <v>267.20499400000006</v>
      </c>
      <c r="K114" s="54">
        <v>423.70873600000027</v>
      </c>
      <c r="L114" s="54">
        <v>389.3619690000001</v>
      </c>
      <c r="M114" s="54">
        <v>294.37025699999998</v>
      </c>
      <c r="N114" s="54">
        <v>363.28821300000016</v>
      </c>
      <c r="O114" s="54">
        <v>325.20787999999999</v>
      </c>
      <c r="P114" s="54">
        <v>269.73484199999984</v>
      </c>
      <c r="Q114" s="54">
        <v>410.95748600000002</v>
      </c>
      <c r="R114" s="54">
        <v>377.692025</v>
      </c>
      <c r="S114" s="54">
        <v>287.95382800000004</v>
      </c>
      <c r="T114" s="54">
        <v>351.11841999999996</v>
      </c>
      <c r="U114" s="54">
        <v>310.22261100000014</v>
      </c>
      <c r="V114" s="54">
        <v>262.36971999999992</v>
      </c>
      <c r="W114" s="54">
        <v>382.74151999999992</v>
      </c>
      <c r="X114" s="54">
        <v>351.68967600000013</v>
      </c>
      <c r="Y114" s="54">
        <v>267.50082300000003</v>
      </c>
      <c r="Z114" s="54">
        <v>330.70621900000009</v>
      </c>
      <c r="AA114" s="54">
        <v>290.77950499999992</v>
      </c>
      <c r="AB114" s="54">
        <v>248.47595799999999</v>
      </c>
      <c r="AC114" s="54">
        <v>382.16006299999992</v>
      </c>
      <c r="AD114" s="54">
        <v>351.20002800000003</v>
      </c>
      <c r="AE114" s="54">
        <v>265.47082400000011</v>
      </c>
      <c r="AF114" s="54">
        <v>317.13888900000001</v>
      </c>
      <c r="AG114" s="54">
        <v>282.36367999999999</v>
      </c>
      <c r="AH114" s="54">
        <v>243.32445300000006</v>
      </c>
      <c r="AI114" s="54">
        <v>418.54703000000006</v>
      </c>
      <c r="AJ114" s="54">
        <v>380.34428500000007</v>
      </c>
      <c r="AK114" s="54">
        <v>283.2409659999999</v>
      </c>
      <c r="AL114" s="54">
        <v>336.71460800000006</v>
      </c>
      <c r="AM114" s="54">
        <v>304.42844300000019</v>
      </c>
      <c r="AN114" s="54">
        <v>256.28992400000004</v>
      </c>
      <c r="AO114" s="54">
        <v>426.86084499999998</v>
      </c>
      <c r="AP114" s="54">
        <v>389.56598900000006</v>
      </c>
      <c r="AQ114" s="54">
        <v>294.7782969999999</v>
      </c>
      <c r="AR114" s="54">
        <v>348.1499290000001</v>
      </c>
      <c r="AS114" s="54">
        <v>315.93517100000003</v>
      </c>
      <c r="AT114" s="54">
        <v>265.15459300000009</v>
      </c>
      <c r="AU114" s="54">
        <v>385.40398100000004</v>
      </c>
      <c r="AV114" s="54">
        <v>356.26992500000011</v>
      </c>
      <c r="AW114" s="54">
        <v>272.00966499999993</v>
      </c>
      <c r="AX114" s="54">
        <v>330.28797800000007</v>
      </c>
      <c r="AY114" s="54">
        <v>296.76749200000006</v>
      </c>
      <c r="AZ114" s="54">
        <v>249.72047999999992</v>
      </c>
      <c r="BA114" s="54">
        <v>408.9784919999999</v>
      </c>
      <c r="BB114" s="54">
        <v>378.06946200000004</v>
      </c>
      <c r="BC114" s="54">
        <v>285.35257300000018</v>
      </c>
      <c r="BD114" s="54">
        <v>332.17516300000005</v>
      </c>
      <c r="BE114" s="54">
        <v>296.78789400000016</v>
      </c>
      <c r="BF114" s="54">
        <v>253.82128200000008</v>
      </c>
      <c r="BG114" s="54">
        <v>396.51287000000002</v>
      </c>
      <c r="BH114" s="54">
        <v>362.85977100000014</v>
      </c>
      <c r="BI114" s="54">
        <v>269.83685200000008</v>
      </c>
      <c r="BJ114" s="54">
        <v>330.71642000000014</v>
      </c>
      <c r="BK114" s="54">
        <v>290.11644000000001</v>
      </c>
      <c r="BL114" s="54">
        <v>249.25123399999993</v>
      </c>
      <c r="BM114" s="54">
        <v>434.10355500000009</v>
      </c>
      <c r="BN114" s="54">
        <v>392.20804800000008</v>
      </c>
      <c r="BO114" s="54">
        <v>294.66608600000012</v>
      </c>
      <c r="BP114" s="54">
        <v>357.36143200000004</v>
      </c>
      <c r="BQ114" s="54">
        <v>317.87336099999999</v>
      </c>
      <c r="BR114" s="54">
        <v>263.818262</v>
      </c>
      <c r="BS114" s="54">
        <v>454.33213800000004</v>
      </c>
      <c r="BT114" s="54">
        <v>408.58065300000004</v>
      </c>
      <c r="BU114" s="54">
        <v>307.39693399999999</v>
      </c>
      <c r="BV114" s="54">
        <v>373.38720300000006</v>
      </c>
      <c r="BW114" s="54">
        <v>327.523507</v>
      </c>
      <c r="BX114" s="54">
        <v>267.19479300000006</v>
      </c>
    </row>
    <row r="115" spans="1:76" x14ac:dyDescent="0.3">
      <c r="A115" s="8" t="s">
        <v>103</v>
      </c>
      <c r="B115" s="8" t="s">
        <v>10</v>
      </c>
      <c r="C115" s="8" t="s">
        <v>111</v>
      </c>
      <c r="D115" s="8" t="s">
        <v>115</v>
      </c>
      <c r="E115" s="54">
        <v>3.0342167762656969</v>
      </c>
      <c r="F115" s="54">
        <v>-6.2544390911825065</v>
      </c>
      <c r="G115" s="54">
        <v>-46.762586425459276</v>
      </c>
      <c r="H115" s="54">
        <v>-85.239611785226316</v>
      </c>
      <c r="I115" s="54">
        <v>-80.900523394433321</v>
      </c>
      <c r="J115" s="54">
        <v>-62.071995302382057</v>
      </c>
      <c r="K115" s="54">
        <v>-16.525033982078831</v>
      </c>
      <c r="L115" s="54">
        <v>-13.551943284106137</v>
      </c>
      <c r="M115" s="54">
        <v>-58.12225195077292</v>
      </c>
      <c r="N115" s="54">
        <v>-84.020564863183324</v>
      </c>
      <c r="O115" s="54">
        <v>-80.883492591845908</v>
      </c>
      <c r="P115" s="54">
        <v>-57.001910254144136</v>
      </c>
      <c r="Q115" s="54">
        <v>-66.309604364583336</v>
      </c>
      <c r="R115" s="54">
        <v>-76.526365772009441</v>
      </c>
      <c r="S115" s="54">
        <v>-53.427393959005528</v>
      </c>
      <c r="T115" s="54">
        <v>-83.299596829077061</v>
      </c>
      <c r="U115" s="54">
        <v>-79.706097483142941</v>
      </c>
      <c r="V115" s="54">
        <v>-56.659771207437259</v>
      </c>
      <c r="W115" s="54">
        <v>-76.9700629973118</v>
      </c>
      <c r="X115" s="54">
        <v>-74.435373250907872</v>
      </c>
      <c r="Y115" s="54">
        <v>-47.529128961129594</v>
      </c>
      <c r="Z115" s="54">
        <v>-81.157597312444096</v>
      </c>
      <c r="AA115" s="54">
        <v>-77.858284237511285</v>
      </c>
      <c r="AB115" s="54">
        <v>-53.404025848170498</v>
      </c>
      <c r="AC115" s="54">
        <v>-3.7386838511984655</v>
      </c>
      <c r="AD115" s="54">
        <v>-1.0182372273745965</v>
      </c>
      <c r="AE115" s="54">
        <v>-51.790605912634405</v>
      </c>
      <c r="AF115" s="54">
        <v>-70.829957260360786</v>
      </c>
      <c r="AG115" s="54">
        <v>-68.043089937276036</v>
      </c>
      <c r="AH115" s="54">
        <v>-56.525638801355413</v>
      </c>
      <c r="AI115" s="54">
        <v>-16.071476818436459</v>
      </c>
      <c r="AJ115" s="54">
        <v>-12.921170024921548</v>
      </c>
      <c r="AK115" s="54">
        <v>-57.011969585180509</v>
      </c>
      <c r="AL115" s="54">
        <v>-72.201681224910445</v>
      </c>
      <c r="AM115" s="54">
        <v>-69.614198325884786</v>
      </c>
      <c r="AN115" s="54">
        <v>-59.603129337756691</v>
      </c>
      <c r="AO115" s="54">
        <v>-17.202360222610125</v>
      </c>
      <c r="AP115" s="54">
        <v>-13.930192666946617</v>
      </c>
      <c r="AQ115" s="54">
        <v>-45.239692427923359</v>
      </c>
      <c r="AR115" s="54">
        <v>-83.241275204464998</v>
      </c>
      <c r="AS115" s="54">
        <v>-80.324452765401006</v>
      </c>
      <c r="AT115" s="54">
        <v>-57.197600605790825</v>
      </c>
      <c r="AU115" s="54">
        <v>-77.232364092125977</v>
      </c>
      <c r="AV115" s="54">
        <v>-69.658719808671663</v>
      </c>
      <c r="AW115" s="54">
        <v>-53.148236356686752</v>
      </c>
      <c r="AX115" s="54">
        <v>-81.149198281922025</v>
      </c>
      <c r="AY115" s="54">
        <v>-78.266691393741098</v>
      </c>
      <c r="AZ115" s="54">
        <v>-59.949550689964106</v>
      </c>
      <c r="BA115" s="54">
        <v>-66.258760503360207</v>
      </c>
      <c r="BB115" s="54">
        <v>-63.419746072916674</v>
      </c>
      <c r="BC115" s="54">
        <v>-55.281691160633528</v>
      </c>
      <c r="BD115" s="54">
        <v>-81.409722465669802</v>
      </c>
      <c r="BE115" s="54">
        <v>-78.177206859655016</v>
      </c>
      <c r="BF115" s="54">
        <v>-61.270905117902899</v>
      </c>
      <c r="BG115" s="54">
        <v>-86.940002969870037</v>
      </c>
      <c r="BH115" s="54">
        <v>-83.982917825884854</v>
      </c>
      <c r="BI115" s="54">
        <v>-56.230182748241539</v>
      </c>
      <c r="BJ115" s="54">
        <v>-81.158493670474897</v>
      </c>
      <c r="BK115" s="54">
        <v>-77.622414513888856</v>
      </c>
      <c r="BL115" s="54">
        <v>-53.428744338631432</v>
      </c>
      <c r="BM115" s="54">
        <v>-26.526146605902802</v>
      </c>
      <c r="BN115" s="54">
        <v>-14.105467479390787</v>
      </c>
      <c r="BO115" s="54">
        <v>-63.778219586357544</v>
      </c>
      <c r="BP115" s="54">
        <v>-83.848167943996515</v>
      </c>
      <c r="BQ115" s="54">
        <v>-76.829540422951311</v>
      </c>
      <c r="BR115" s="54">
        <v>-56.811360499440021</v>
      </c>
      <c r="BS115" s="54">
        <v>-8.3744778294131414</v>
      </c>
      <c r="BT115" s="54">
        <v>-15.039793153953873</v>
      </c>
      <c r="BU115" s="54">
        <v>-53.1956201974686</v>
      </c>
      <c r="BV115" s="54">
        <v>-89.551992781530032</v>
      </c>
      <c r="BW115" s="54">
        <v>-81.086965864863416</v>
      </c>
      <c r="BX115" s="54">
        <v>-66.507191970038065</v>
      </c>
    </row>
    <row r="116" spans="1:76" x14ac:dyDescent="0.3">
      <c r="A116" s="8" t="s">
        <v>103</v>
      </c>
      <c r="B116" s="8" t="s">
        <v>10</v>
      </c>
      <c r="C116" s="8" t="s">
        <v>111</v>
      </c>
      <c r="D116" s="8" t="s">
        <v>118</v>
      </c>
      <c r="E116" s="54">
        <v>345.87113369075962</v>
      </c>
      <c r="F116" s="54">
        <v>301.78278954529048</v>
      </c>
      <c r="G116" s="54">
        <v>188.62081551972443</v>
      </c>
      <c r="H116" s="54">
        <v>228.87260930386444</v>
      </c>
      <c r="I116" s="54">
        <v>186.18617258834047</v>
      </c>
      <c r="J116" s="54">
        <v>146.5611725685707</v>
      </c>
      <c r="K116" s="54">
        <v>310.83012361075293</v>
      </c>
      <c r="L116" s="54">
        <v>282.56055690453638</v>
      </c>
      <c r="M116" s="54">
        <v>172.70062370453633</v>
      </c>
      <c r="N116" s="54">
        <v>217.46484745709017</v>
      </c>
      <c r="O116" s="54">
        <v>186.02679944489253</v>
      </c>
      <c r="P116" s="54">
        <v>151.81684059751333</v>
      </c>
      <c r="Q116" s="54">
        <v>269.80203763125002</v>
      </c>
      <c r="R116" s="54">
        <v>234.56470241179451</v>
      </c>
      <c r="S116" s="54">
        <v>169.90316312459686</v>
      </c>
      <c r="T116" s="54">
        <v>207.24885940255388</v>
      </c>
      <c r="U116" s="54">
        <v>173.62112613511428</v>
      </c>
      <c r="V116" s="54">
        <v>145.5776422755377</v>
      </c>
      <c r="W116" s="54">
        <v>238.71679220161312</v>
      </c>
      <c r="X116" s="54">
        <v>213.0672425494553</v>
      </c>
      <c r="Y116" s="54">
        <v>155.54574274832211</v>
      </c>
      <c r="Z116" s="54">
        <v>190.6733832375339</v>
      </c>
      <c r="AA116" s="54">
        <v>157.71709633249321</v>
      </c>
      <c r="AB116" s="54">
        <v>135.37404774109774</v>
      </c>
      <c r="AC116" s="54">
        <v>282.14684481428077</v>
      </c>
      <c r="AD116" s="54">
        <v>256.68908216357522</v>
      </c>
      <c r="AE116" s="54">
        <v>151.21260745241938</v>
      </c>
      <c r="AF116" s="54">
        <v>184.99855351878369</v>
      </c>
      <c r="AG116" s="54">
        <v>156.24236603763453</v>
      </c>
      <c r="AH116" s="54">
        <v>128.99351309418682</v>
      </c>
      <c r="AI116" s="54">
        <v>306.58576515893833</v>
      </c>
      <c r="AJ116" s="54">
        <v>275.048547360047</v>
      </c>
      <c r="AK116" s="54">
        <v>163.62866349889171</v>
      </c>
      <c r="AL116" s="54">
        <v>201.30427326505361</v>
      </c>
      <c r="AM116" s="54">
        <v>174.6063686294691</v>
      </c>
      <c r="AN116" s="54">
        <v>138.49180589734601</v>
      </c>
      <c r="AO116" s="54">
        <v>313.18182324143385</v>
      </c>
      <c r="AP116" s="54">
        <v>282.5121247748321</v>
      </c>
      <c r="AQ116" s="54">
        <v>180.78719441824597</v>
      </c>
      <c r="AR116" s="54">
        <v>204.68642275232108</v>
      </c>
      <c r="AS116" s="54">
        <v>178.24860296575952</v>
      </c>
      <c r="AT116" s="54">
        <v>147.69170851152569</v>
      </c>
      <c r="AU116" s="54">
        <v>240.8890649197246</v>
      </c>
      <c r="AV116" s="54">
        <v>219.94095248979707</v>
      </c>
      <c r="AW116" s="54">
        <v>156.11951506098788</v>
      </c>
      <c r="AX116" s="54">
        <v>190.31246178084695</v>
      </c>
      <c r="AY116" s="54">
        <v>162.71154066375539</v>
      </c>
      <c r="AZ116" s="54">
        <v>132.53568958602148</v>
      </c>
      <c r="BA116" s="54">
        <v>268.10092419798394</v>
      </c>
      <c r="BB116" s="54">
        <v>242.75893160624994</v>
      </c>
      <c r="BC116" s="54">
        <v>166.5144866786199</v>
      </c>
      <c r="BD116" s="54">
        <v>191.80743414559819</v>
      </c>
      <c r="BE116" s="54">
        <v>162.78308313420698</v>
      </c>
      <c r="BF116" s="54">
        <v>135.3310786792583</v>
      </c>
      <c r="BG116" s="54">
        <v>244.78475946807788</v>
      </c>
      <c r="BH116" s="54">
        <v>217.11254892946897</v>
      </c>
      <c r="BI116" s="54">
        <v>152.36913585105526</v>
      </c>
      <c r="BJ116" s="54">
        <v>190.68177129771536</v>
      </c>
      <c r="BK116" s="54">
        <v>157.27843629166671</v>
      </c>
      <c r="BL116" s="54">
        <v>136.03758314682113</v>
      </c>
      <c r="BM116" s="54">
        <v>313.92492266145842</v>
      </c>
      <c r="BN116" s="54">
        <v>284.71876151236563</v>
      </c>
      <c r="BO116" s="54">
        <v>169.5658934981854</v>
      </c>
      <c r="BP116" s="54">
        <v>212.38235223360215</v>
      </c>
      <c r="BQ116" s="54">
        <v>182.04146662122932</v>
      </c>
      <c r="BR116" s="54">
        <v>146.75416295033617</v>
      </c>
      <c r="BS116" s="54">
        <v>342.51593405235224</v>
      </c>
      <c r="BT116" s="54">
        <v>298.48419548262785</v>
      </c>
      <c r="BU116" s="54">
        <v>187.05494513151888</v>
      </c>
      <c r="BV116" s="54">
        <v>222.98260695608207</v>
      </c>
      <c r="BW116" s="54">
        <v>187.93088910608179</v>
      </c>
      <c r="BX116" s="54">
        <v>143.89112869297739</v>
      </c>
    </row>
    <row r="117" spans="1:76" x14ac:dyDescent="0.3">
      <c r="A117" s="8" t="s">
        <v>103</v>
      </c>
      <c r="B117" s="8" t="s">
        <v>10</v>
      </c>
      <c r="C117" s="8" t="s">
        <v>115</v>
      </c>
      <c r="D117" s="8" t="s">
        <v>116</v>
      </c>
      <c r="E117" s="54">
        <v>388.47811496974691</v>
      </c>
      <c r="F117" s="54">
        <v>347.41896401823658</v>
      </c>
      <c r="G117" s="54">
        <v>256.50841236009182</v>
      </c>
      <c r="H117" s="54">
        <v>334.78045603204532</v>
      </c>
      <c r="I117" s="54">
        <v>283.44676120388647</v>
      </c>
      <c r="J117" s="54">
        <v>222.93926821047626</v>
      </c>
      <c r="K117" s="54">
        <v>366.42102439641587</v>
      </c>
      <c r="L117" s="54">
        <v>332.33830843182119</v>
      </c>
      <c r="M117" s="54">
        <v>248.63545096515449</v>
      </c>
      <c r="N117" s="54">
        <v>321.01012064763654</v>
      </c>
      <c r="O117" s="54">
        <v>283.25438151836926</v>
      </c>
      <c r="P117" s="54">
        <v>224.39185300082886</v>
      </c>
      <c r="Q117" s="54">
        <v>363.94546972291653</v>
      </c>
      <c r="R117" s="54">
        <v>333.55499752940187</v>
      </c>
      <c r="S117" s="54">
        <v>241.4404610918013</v>
      </c>
      <c r="T117" s="54">
        <v>309.00037886581532</v>
      </c>
      <c r="U117" s="54">
        <v>268.40826522162865</v>
      </c>
      <c r="V117" s="54">
        <v>217.14243124148734</v>
      </c>
      <c r="W117" s="54">
        <v>338.56699459946225</v>
      </c>
      <c r="X117" s="54">
        <v>307.78450875018137</v>
      </c>
      <c r="Y117" s="54">
        <v>220.31912821722634</v>
      </c>
      <c r="Z117" s="54">
        <v>288.67008298748863</v>
      </c>
      <c r="AA117" s="54">
        <v>249.08167422250239</v>
      </c>
      <c r="AB117" s="54">
        <v>202.9448642196341</v>
      </c>
      <c r="AC117" s="54">
        <v>323.35379819523968</v>
      </c>
      <c r="AD117" s="54">
        <v>292.62367474547511</v>
      </c>
      <c r="AE117" s="54">
        <v>219.19217458252695</v>
      </c>
      <c r="AF117" s="54">
        <v>273.3764082270722</v>
      </c>
      <c r="AG117" s="54">
        <v>238.91320598745526</v>
      </c>
      <c r="AH117" s="54">
        <v>198.54646943527109</v>
      </c>
      <c r="AI117" s="54">
        <v>361.29764961368704</v>
      </c>
      <c r="AJ117" s="54">
        <v>323.41991187998428</v>
      </c>
      <c r="AK117" s="54">
        <v>237.56233576703622</v>
      </c>
      <c r="AL117" s="54">
        <v>292.73707904498212</v>
      </c>
      <c r="AM117" s="54">
        <v>260.74057159017696</v>
      </c>
      <c r="AN117" s="54">
        <v>211.80330176755135</v>
      </c>
      <c r="AO117" s="54">
        <v>369.62979591952228</v>
      </c>
      <c r="AP117" s="54">
        <v>332.61287780838944</v>
      </c>
      <c r="AQ117" s="54">
        <v>246.45677806058464</v>
      </c>
      <c r="AR117" s="54">
        <v>306.09443581589278</v>
      </c>
      <c r="AS117" s="54">
        <v>274.1016822780802</v>
      </c>
      <c r="AT117" s="54">
        <v>219.96524829615828</v>
      </c>
      <c r="AU117" s="54">
        <v>341.21535429342509</v>
      </c>
      <c r="AV117" s="54">
        <v>311.29492083673438</v>
      </c>
      <c r="AW117" s="54">
        <v>225.83907064633735</v>
      </c>
      <c r="AX117" s="54">
        <v>288.26061820638449</v>
      </c>
      <c r="AY117" s="54">
        <v>255.00164297874827</v>
      </c>
      <c r="AZ117" s="54">
        <v>205.46737813799277</v>
      </c>
      <c r="BA117" s="54">
        <v>362.00578180067231</v>
      </c>
      <c r="BB117" s="54">
        <v>331.3016746645834</v>
      </c>
      <c r="BC117" s="54">
        <v>239.27509690712668</v>
      </c>
      <c r="BD117" s="54">
        <v>290.15272841813402</v>
      </c>
      <c r="BE117" s="54">
        <v>255.00363802193093</v>
      </c>
      <c r="BF117" s="54">
        <v>209.72993097358051</v>
      </c>
      <c r="BG117" s="54">
        <v>353.98804884397418</v>
      </c>
      <c r="BH117" s="54">
        <v>320.58486029017683</v>
      </c>
      <c r="BI117" s="54">
        <v>224.33696724964824</v>
      </c>
      <c r="BJ117" s="54">
        <v>288.68020823409489</v>
      </c>
      <c r="BK117" s="54">
        <v>248.38801190277769</v>
      </c>
      <c r="BL117" s="54">
        <v>203.70570201772642</v>
      </c>
      <c r="BM117" s="54">
        <v>378.55619544618071</v>
      </c>
      <c r="BN117" s="54">
        <v>335.22394029587832</v>
      </c>
      <c r="BO117" s="54">
        <v>250.05507776727143</v>
      </c>
      <c r="BP117" s="54">
        <v>315.19702978879917</v>
      </c>
      <c r="BQ117" s="54">
        <v>275.29243505959022</v>
      </c>
      <c r="BR117" s="54">
        <v>218.5850775498881</v>
      </c>
      <c r="BS117" s="54">
        <v>394.64873011588276</v>
      </c>
      <c r="BT117" s="54">
        <v>351.37409530579066</v>
      </c>
      <c r="BU117" s="54">
        <v>260.35113468949379</v>
      </c>
      <c r="BV117" s="54">
        <v>331.96292148130601</v>
      </c>
      <c r="BW117" s="54">
        <v>285.5528124979727</v>
      </c>
      <c r="BX117" s="54">
        <v>223.81636156900763</v>
      </c>
    </row>
    <row r="118" spans="1:76" x14ac:dyDescent="0.3">
      <c r="A118" s="8" t="s">
        <v>103</v>
      </c>
      <c r="B118" s="8" t="s">
        <v>10</v>
      </c>
      <c r="C118" s="8" t="s">
        <v>115</v>
      </c>
      <c r="D118" s="8" t="s">
        <v>117</v>
      </c>
      <c r="E118" s="54">
        <v>416.68139233949364</v>
      </c>
      <c r="F118" s="54">
        <v>369.77694243647295</v>
      </c>
      <c r="G118" s="54">
        <v>269.19660312018334</v>
      </c>
      <c r="H118" s="54">
        <v>367.83165366409065</v>
      </c>
      <c r="I118" s="54">
        <v>306.57216320777314</v>
      </c>
      <c r="J118" s="54">
        <v>232.11454122095265</v>
      </c>
      <c r="K118" s="54">
        <v>393.87505999283155</v>
      </c>
      <c r="L118" s="54">
        <v>353.18704166364267</v>
      </c>
      <c r="M118" s="54">
        <v>261.7746963303087</v>
      </c>
      <c r="N118" s="54">
        <v>351.38967089527353</v>
      </c>
      <c r="O118" s="54">
        <v>306.34245903673832</v>
      </c>
      <c r="P118" s="54">
        <v>232.99583240165765</v>
      </c>
      <c r="Q118" s="54">
        <v>399.12495064583339</v>
      </c>
      <c r="R118" s="54">
        <v>364.95637505880364</v>
      </c>
      <c r="S118" s="54">
        <v>252.51785978360198</v>
      </c>
      <c r="T118" s="54">
        <v>337.10602173163085</v>
      </c>
      <c r="U118" s="54">
        <v>288.63844164325701</v>
      </c>
      <c r="V118" s="54">
        <v>224.38908648297496</v>
      </c>
      <c r="W118" s="54">
        <v>370.94077319892472</v>
      </c>
      <c r="X118" s="54">
        <v>334.2172767003633</v>
      </c>
      <c r="Y118" s="54">
        <v>226.63759803445171</v>
      </c>
      <c r="Z118" s="54">
        <v>312.7751907749776</v>
      </c>
      <c r="AA118" s="54">
        <v>265.53974444500449</v>
      </c>
      <c r="AB118" s="54">
        <v>207.10896203926811</v>
      </c>
      <c r="AC118" s="54">
        <v>340.97954599047944</v>
      </c>
      <c r="AD118" s="54">
        <v>304.2873270909501</v>
      </c>
      <c r="AE118" s="54">
        <v>226.00768996505383</v>
      </c>
      <c r="AF118" s="54">
        <v>293.04170525414429</v>
      </c>
      <c r="AG118" s="54">
        <v>251.93546797491041</v>
      </c>
      <c r="AH118" s="54">
        <v>202.43337647054216</v>
      </c>
      <c r="AI118" s="54">
        <v>387.75767522737436</v>
      </c>
      <c r="AJ118" s="54">
        <v>342.56439575996865</v>
      </c>
      <c r="AK118" s="54">
        <v>248.53189873407212</v>
      </c>
      <c r="AL118" s="54">
        <v>316.10247168996432</v>
      </c>
      <c r="AM118" s="54">
        <v>277.93838878035393</v>
      </c>
      <c r="AN118" s="54">
        <v>218.57466433510274</v>
      </c>
      <c r="AO118" s="54">
        <v>397.77091583904388</v>
      </c>
      <c r="AP118" s="54">
        <v>353.57296441677886</v>
      </c>
      <c r="AQ118" s="54">
        <v>257.09091852116939</v>
      </c>
      <c r="AR118" s="54">
        <v>333.66892843178618</v>
      </c>
      <c r="AS118" s="54">
        <v>295.45522775616041</v>
      </c>
      <c r="AT118" s="54">
        <v>227.80682219231619</v>
      </c>
      <c r="AU118" s="54">
        <v>374.10752378685032</v>
      </c>
      <c r="AV118" s="54">
        <v>337.5739016734687</v>
      </c>
      <c r="AW118" s="54">
        <v>234.07040929267464</v>
      </c>
      <c r="AX118" s="54">
        <v>312.29085401276893</v>
      </c>
      <c r="AY118" s="54">
        <v>272.58929235749639</v>
      </c>
      <c r="AZ118" s="54">
        <v>211.1583722759851</v>
      </c>
      <c r="BA118" s="54">
        <v>396.82877000134397</v>
      </c>
      <c r="BB118" s="54">
        <v>360.14777972916676</v>
      </c>
      <c r="BC118" s="54">
        <v>250.26813541425352</v>
      </c>
      <c r="BD118" s="54">
        <v>314.56532643626798</v>
      </c>
      <c r="BE118" s="54">
        <v>272.57696084386197</v>
      </c>
      <c r="BF118" s="54">
        <v>216.40283634716062</v>
      </c>
      <c r="BG118" s="54">
        <v>390.76580168794828</v>
      </c>
      <c r="BH118" s="54">
        <v>350.88190378035409</v>
      </c>
      <c r="BI118" s="54">
        <v>232.80445289929651</v>
      </c>
      <c r="BJ118" s="54">
        <v>312.78728046818992</v>
      </c>
      <c r="BK118" s="54">
        <v>264.68287180555541</v>
      </c>
      <c r="BL118" s="54">
        <v>208.01041683545262</v>
      </c>
      <c r="BM118" s="54">
        <v>409.82954689236118</v>
      </c>
      <c r="BN118" s="54">
        <v>356.68144219175633</v>
      </c>
      <c r="BO118" s="54">
        <v>264.37728673454308</v>
      </c>
      <c r="BP118" s="54">
        <v>344.50491397759885</v>
      </c>
      <c r="BQ118" s="54">
        <v>296.28618131918063</v>
      </c>
      <c r="BR118" s="54">
        <v>226.11554549977586</v>
      </c>
      <c r="BS118" s="54">
        <v>425.83174983176519</v>
      </c>
      <c r="BT118" s="54">
        <v>375.88366821158161</v>
      </c>
      <c r="BU118" s="54">
        <v>274.78472217898741</v>
      </c>
      <c r="BV118" s="54">
        <v>365.21608056261215</v>
      </c>
      <c r="BW118" s="54">
        <v>309.08681939594527</v>
      </c>
      <c r="BX118" s="54">
        <v>233.87688873801517</v>
      </c>
    </row>
    <row r="119" spans="1:76" x14ac:dyDescent="0.3">
      <c r="A119" s="8" t="s">
        <v>103</v>
      </c>
      <c r="B119" s="8" t="s">
        <v>10</v>
      </c>
      <c r="C119" s="8" t="s">
        <v>116</v>
      </c>
      <c r="D119" s="8" t="s">
        <v>117</v>
      </c>
      <c r="E119" s="54">
        <v>-61.865432030253189</v>
      </c>
      <c r="F119" s="54">
        <v>-58.907267981763376</v>
      </c>
      <c r="G119" s="54">
        <v>-48.266864639908036</v>
      </c>
      <c r="H119" s="54">
        <v>-42.381116967954881</v>
      </c>
      <c r="I119" s="54">
        <v>-41.954937796113477</v>
      </c>
      <c r="J119" s="54">
        <v>-44.265725789523813</v>
      </c>
      <c r="K119" s="54">
        <v>-57.28771160358437</v>
      </c>
      <c r="L119" s="54">
        <v>-57.023660568178869</v>
      </c>
      <c r="M119" s="54">
        <v>-45.734806034845477</v>
      </c>
      <c r="N119" s="54">
        <v>-42.278092352363572</v>
      </c>
      <c r="O119" s="54">
        <v>-41.953498481630767</v>
      </c>
      <c r="P119" s="54">
        <v>-45.342988999170998</v>
      </c>
      <c r="Q119" s="54">
        <v>-47.012016277083291</v>
      </c>
      <c r="R119" s="54">
        <v>-44.137027470598333</v>
      </c>
      <c r="S119" s="54">
        <v>-46.513366908198741</v>
      </c>
      <c r="T119" s="54">
        <v>-42.118041134184715</v>
      </c>
      <c r="U119" s="54">
        <v>-41.814345778371397</v>
      </c>
      <c r="V119" s="54">
        <v>-45.227288758512564</v>
      </c>
      <c r="W119" s="54">
        <v>-44.174525400537675</v>
      </c>
      <c r="X119" s="54">
        <v>-43.905167249818518</v>
      </c>
      <c r="Y119" s="54">
        <v>-47.181694782773789</v>
      </c>
      <c r="Z119" s="54">
        <v>-42.036136012511435</v>
      </c>
      <c r="AA119" s="54">
        <v>-41.697830777497671</v>
      </c>
      <c r="AB119" s="54">
        <v>-45.531093780365907</v>
      </c>
      <c r="AC119" s="54">
        <v>-58.806264804760254</v>
      </c>
      <c r="AD119" s="54">
        <v>-58.576353254525038</v>
      </c>
      <c r="AE119" s="54">
        <v>-46.278649417473176</v>
      </c>
      <c r="AF119" s="54">
        <v>-43.76248077292788</v>
      </c>
      <c r="AG119" s="54">
        <v>-43.45047401254476</v>
      </c>
      <c r="AH119" s="54">
        <v>-44.777983564728949</v>
      </c>
      <c r="AI119" s="54">
        <v>-57.249380386313</v>
      </c>
      <c r="AJ119" s="54">
        <v>-56.924373120015638</v>
      </c>
      <c r="AK119" s="54">
        <v>-45.678630232963926</v>
      </c>
      <c r="AL119" s="54">
        <v>-43.977528955017945</v>
      </c>
      <c r="AM119" s="54">
        <v>-43.687871409822996</v>
      </c>
      <c r="AN119" s="54">
        <v>-44.486622232448703</v>
      </c>
      <c r="AO119" s="54">
        <v>-57.231049080477717</v>
      </c>
      <c r="AP119" s="54">
        <v>-56.953111191610731</v>
      </c>
      <c r="AQ119" s="54">
        <v>-48.321518939415384</v>
      </c>
      <c r="AR119" s="54">
        <v>-42.055493184107064</v>
      </c>
      <c r="AS119" s="54">
        <v>-41.833488721919835</v>
      </c>
      <c r="AT119" s="54">
        <v>-45.189344703841726</v>
      </c>
      <c r="AU119" s="54">
        <v>-44.188626706574972</v>
      </c>
      <c r="AV119" s="54">
        <v>-44.975004163265723</v>
      </c>
      <c r="AW119" s="54">
        <v>-46.170594353662551</v>
      </c>
      <c r="AX119" s="54">
        <v>-42.027359793615602</v>
      </c>
      <c r="AY119" s="54">
        <v>-41.765849021251796</v>
      </c>
      <c r="AZ119" s="54">
        <v>-44.25310186200737</v>
      </c>
      <c r="BA119" s="54">
        <v>-46.972710199327807</v>
      </c>
      <c r="BB119" s="54">
        <v>-46.767787335416642</v>
      </c>
      <c r="BC119" s="54">
        <v>-46.077476092873269</v>
      </c>
      <c r="BD119" s="54">
        <v>-42.022434581866051</v>
      </c>
      <c r="BE119" s="54">
        <v>-41.784255978069005</v>
      </c>
      <c r="BF119" s="54">
        <v>-44.091351026419588</v>
      </c>
      <c r="BG119" s="54">
        <v>-42.524821156026071</v>
      </c>
      <c r="BH119" s="54">
        <v>-42.274910709823033</v>
      </c>
      <c r="BI119" s="54">
        <v>-45.499884750351718</v>
      </c>
      <c r="BJ119" s="54">
        <v>-42.036211765905222</v>
      </c>
      <c r="BK119" s="54">
        <v>-41.728428097222213</v>
      </c>
      <c r="BL119" s="54">
        <v>-45.545531982273623</v>
      </c>
      <c r="BM119" s="54">
        <v>-55.547359553819398</v>
      </c>
      <c r="BN119" s="54">
        <v>-56.984107704121769</v>
      </c>
      <c r="BO119" s="54">
        <v>-44.611008232728565</v>
      </c>
      <c r="BP119" s="54">
        <v>-42.164402211200766</v>
      </c>
      <c r="BQ119" s="54">
        <v>-42.580925940409742</v>
      </c>
      <c r="BR119" s="54">
        <v>-45.233184450112041</v>
      </c>
      <c r="BS119" s="54">
        <v>-59.683407884117415</v>
      </c>
      <c r="BT119" s="54">
        <v>-57.206557694209351</v>
      </c>
      <c r="BU119" s="54">
        <v>-47.045799310506233</v>
      </c>
      <c r="BV119" s="54">
        <v>-41.424281518694038</v>
      </c>
      <c r="BW119" s="54">
        <v>-41.970694502027172</v>
      </c>
      <c r="BX119" s="54">
        <v>-43.378431430992514</v>
      </c>
    </row>
    <row r="120" spans="1:76" x14ac:dyDescent="0.3">
      <c r="A120" s="8" t="s">
        <v>103</v>
      </c>
      <c r="B120" s="8" t="s">
        <v>10</v>
      </c>
      <c r="C120" s="8" t="s">
        <v>117</v>
      </c>
      <c r="D120" s="8" t="s">
        <v>118</v>
      </c>
      <c r="E120" s="54">
        <v>104.47241330924051</v>
      </c>
      <c r="F120" s="54">
        <v>104.54344245470948</v>
      </c>
      <c r="G120" s="54">
        <v>116.15446148027553</v>
      </c>
      <c r="H120" s="54">
        <v>148.28896369613577</v>
      </c>
      <c r="I120" s="54">
        <v>139.21552641165968</v>
      </c>
      <c r="J120" s="54">
        <v>120.64382143142937</v>
      </c>
      <c r="K120" s="54">
        <v>112.87861238924712</v>
      </c>
      <c r="L120" s="54">
        <v>106.80141209546368</v>
      </c>
      <c r="M120" s="54">
        <v>121.66963329546365</v>
      </c>
      <c r="N120" s="54">
        <v>145.82336554290987</v>
      </c>
      <c r="O120" s="54">
        <v>139.18108055510748</v>
      </c>
      <c r="P120" s="54">
        <v>117.91800140248665</v>
      </c>
      <c r="Q120" s="54">
        <v>141.15544836875006</v>
      </c>
      <c r="R120" s="54">
        <v>143.1273225882056</v>
      </c>
      <c r="S120" s="54">
        <v>118.05066487540317</v>
      </c>
      <c r="T120" s="54">
        <v>143.86956059744617</v>
      </c>
      <c r="U120" s="54">
        <v>136.60148486488578</v>
      </c>
      <c r="V120" s="54">
        <v>116.79207772446243</v>
      </c>
      <c r="W120" s="54">
        <v>144.02472779838703</v>
      </c>
      <c r="X120" s="54">
        <v>138.62243345054458</v>
      </c>
      <c r="Y120" s="54">
        <v>111.95508025167788</v>
      </c>
      <c r="Z120" s="54">
        <v>140.03283576246605</v>
      </c>
      <c r="AA120" s="54">
        <v>133.06240866750673</v>
      </c>
      <c r="AB120" s="54">
        <v>113.10191025890227</v>
      </c>
      <c r="AC120" s="54">
        <v>100.01321818571928</v>
      </c>
      <c r="AD120" s="54">
        <v>94.510945836424838</v>
      </c>
      <c r="AE120" s="54">
        <v>114.25821654758062</v>
      </c>
      <c r="AF120" s="54">
        <v>132.1403354812164</v>
      </c>
      <c r="AG120" s="54">
        <v>126.12131396236559</v>
      </c>
      <c r="AH120" s="54">
        <v>114.33093990581322</v>
      </c>
      <c r="AI120" s="54">
        <v>111.96126484106151</v>
      </c>
      <c r="AJ120" s="54">
        <v>105.29573763995292</v>
      </c>
      <c r="AK120" s="54">
        <v>119.61230250110833</v>
      </c>
      <c r="AL120" s="54">
        <v>135.41033473494636</v>
      </c>
      <c r="AM120" s="54">
        <v>129.82207437053094</v>
      </c>
      <c r="AN120" s="54">
        <v>117.79811810265394</v>
      </c>
      <c r="AO120" s="54">
        <v>113.67902175856615</v>
      </c>
      <c r="AP120" s="54">
        <v>107.05386422516794</v>
      </c>
      <c r="AQ120" s="54">
        <v>113.99110258175394</v>
      </c>
      <c r="AR120" s="54">
        <v>143.46350624767899</v>
      </c>
      <c r="AS120" s="54">
        <v>137.68656803424062</v>
      </c>
      <c r="AT120" s="54">
        <v>117.46288448847442</v>
      </c>
      <c r="AU120" s="54">
        <v>144.51491608027544</v>
      </c>
      <c r="AV120" s="54">
        <v>136.32897251020293</v>
      </c>
      <c r="AW120" s="54">
        <v>115.89014993901215</v>
      </c>
      <c r="AX120" s="54">
        <v>139.97551621915315</v>
      </c>
      <c r="AY120" s="54">
        <v>134.05595133624459</v>
      </c>
      <c r="AZ120" s="54">
        <v>117.18479041397856</v>
      </c>
      <c r="BA120" s="54">
        <v>140.87756780201599</v>
      </c>
      <c r="BB120" s="54">
        <v>135.31053039375007</v>
      </c>
      <c r="BC120" s="54">
        <v>118.83808632138016</v>
      </c>
      <c r="BD120" s="54">
        <v>140.36772885440186</v>
      </c>
      <c r="BE120" s="54">
        <v>134.00481086579296</v>
      </c>
      <c r="BF120" s="54">
        <v>118.49020332074178</v>
      </c>
      <c r="BG120" s="54">
        <v>151.72811053192214</v>
      </c>
      <c r="BH120" s="54">
        <v>145.74722207053102</v>
      </c>
      <c r="BI120" s="54">
        <v>117.4677161489448</v>
      </c>
      <c r="BJ120" s="54">
        <v>140.03464870228476</v>
      </c>
      <c r="BK120" s="54">
        <v>132.83800370833333</v>
      </c>
      <c r="BL120" s="54">
        <v>113.21365085317892</v>
      </c>
      <c r="BM120" s="54">
        <v>120.17863233854165</v>
      </c>
      <c r="BN120" s="54">
        <v>107.48928648763444</v>
      </c>
      <c r="BO120" s="54">
        <v>125.10019250181459</v>
      </c>
      <c r="BP120" s="54">
        <v>144.97907976639789</v>
      </c>
      <c r="BQ120" s="54">
        <v>135.83189437877076</v>
      </c>
      <c r="BR120" s="54">
        <v>117.06409904966387</v>
      </c>
      <c r="BS120" s="54">
        <v>111.81620394764779</v>
      </c>
      <c r="BT120" s="54">
        <v>110.09645751737219</v>
      </c>
      <c r="BU120" s="54">
        <v>120.34198886848114</v>
      </c>
      <c r="BV120" s="54">
        <v>150.40459604391799</v>
      </c>
      <c r="BW120" s="54">
        <v>139.5926178939182</v>
      </c>
      <c r="BX120" s="54">
        <v>123.30366430702267</v>
      </c>
    </row>
    <row r="121" spans="1:76" x14ac:dyDescent="0.3">
      <c r="A121" s="8" t="s">
        <v>104</v>
      </c>
      <c r="B121" s="8" t="s">
        <v>8</v>
      </c>
      <c r="C121" s="8" t="s">
        <v>108</v>
      </c>
      <c r="D121" s="8" t="s">
        <v>111</v>
      </c>
      <c r="E121" s="54">
        <v>322.54655653506006</v>
      </c>
      <c r="F121" s="54">
        <v>334.36230624228648</v>
      </c>
      <c r="G121" s="54">
        <v>453.63777096080395</v>
      </c>
      <c r="H121" s="54">
        <v>336.70285520931276</v>
      </c>
      <c r="I121" s="54">
        <v>341.65996149548295</v>
      </c>
      <c r="J121" s="54">
        <v>463.48548688580115</v>
      </c>
      <c r="K121" s="54">
        <v>372.39424300302494</v>
      </c>
      <c r="L121" s="54">
        <v>396.31388501906952</v>
      </c>
      <c r="M121" s="54">
        <v>486.96398669573227</v>
      </c>
      <c r="N121" s="54">
        <v>554.8067796539724</v>
      </c>
      <c r="O121" s="54">
        <v>534.67713265667771</v>
      </c>
      <c r="P121" s="54">
        <v>515.66514611999924</v>
      </c>
      <c r="Q121" s="54">
        <v>370.81942457907326</v>
      </c>
      <c r="R121" s="54">
        <v>387.42036607394726</v>
      </c>
      <c r="S121" s="54">
        <v>496.64729102479765</v>
      </c>
      <c r="T121" s="54">
        <v>485.7093138613082</v>
      </c>
      <c r="U121" s="54">
        <v>499.23933576662296</v>
      </c>
      <c r="V121" s="54">
        <v>506.10283450864358</v>
      </c>
      <c r="W121" s="54">
        <v>543.23358695620061</v>
      </c>
      <c r="X121" s="54">
        <v>562.531436474835</v>
      </c>
      <c r="Y121" s="54">
        <v>506.77484475203573</v>
      </c>
      <c r="Z121" s="54">
        <v>577.88923730204215</v>
      </c>
      <c r="AA121" s="54">
        <v>603.09777409785409</v>
      </c>
      <c r="AB121" s="54">
        <v>518.1269428740485</v>
      </c>
      <c r="AC121" s="54">
        <v>507.19865029989529</v>
      </c>
      <c r="AD121" s="54">
        <v>544.84176454544399</v>
      </c>
      <c r="AE121" s="54">
        <v>441.47156295636569</v>
      </c>
      <c r="AF121" s="54">
        <v>570.36815994690767</v>
      </c>
      <c r="AG121" s="54">
        <v>514.89996363175078</v>
      </c>
      <c r="AH121" s="54">
        <v>483.52980500687551</v>
      </c>
      <c r="AI121" s="54">
        <v>401.51680378963283</v>
      </c>
      <c r="AJ121" s="54">
        <v>404.35924263563197</v>
      </c>
      <c r="AK121" s="54">
        <v>448.82200255538174</v>
      </c>
      <c r="AL121" s="54">
        <v>495.302291373233</v>
      </c>
      <c r="AM121" s="54">
        <v>465.47172556362335</v>
      </c>
      <c r="AN121" s="54">
        <v>459.18792775778149</v>
      </c>
      <c r="AO121" s="54">
        <v>360.94035412737014</v>
      </c>
      <c r="AP121" s="54">
        <v>389.23194306660315</v>
      </c>
      <c r="AQ121" s="54">
        <v>427.12233848573231</v>
      </c>
      <c r="AR121" s="54">
        <v>564.88891749228401</v>
      </c>
      <c r="AS121" s="54">
        <v>496.2841549713437</v>
      </c>
      <c r="AT121" s="54">
        <v>484.16506663209071</v>
      </c>
      <c r="AU121" s="54">
        <v>527.17207893147065</v>
      </c>
      <c r="AV121" s="54">
        <v>512.50791239731575</v>
      </c>
      <c r="AW121" s="54">
        <v>493.42948694925195</v>
      </c>
      <c r="AX121" s="54">
        <v>577.89525570008777</v>
      </c>
      <c r="AY121" s="54">
        <v>573.68086329780408</v>
      </c>
      <c r="AZ121" s="54">
        <v>522.28991468573497</v>
      </c>
      <c r="BA121" s="54">
        <v>370.24539879979648</v>
      </c>
      <c r="BB121" s="54">
        <v>385.32406649919551</v>
      </c>
      <c r="BC121" s="54">
        <v>414.87124187119974</v>
      </c>
      <c r="BD121" s="54">
        <v>483.1513803976548</v>
      </c>
      <c r="BE121" s="54">
        <v>506.71939667872243</v>
      </c>
      <c r="BF121" s="54">
        <v>450.64006560618952</v>
      </c>
      <c r="BG121" s="54">
        <v>338.9890329360843</v>
      </c>
      <c r="BH121" s="54">
        <v>352.45769614615676</v>
      </c>
      <c r="BI121" s="54">
        <v>460.23270827920794</v>
      </c>
      <c r="BJ121" s="54">
        <v>499.29710070539437</v>
      </c>
      <c r="BK121" s="54">
        <v>496.22926964340519</v>
      </c>
      <c r="BL121" s="54">
        <v>481.00700792766492</v>
      </c>
      <c r="BM121" s="54">
        <v>375.83896987836465</v>
      </c>
      <c r="BN121" s="54">
        <v>396.01945169204788</v>
      </c>
      <c r="BO121" s="54">
        <v>486.76696378649285</v>
      </c>
      <c r="BP121" s="54">
        <v>481.55145108701799</v>
      </c>
      <c r="BQ121" s="54">
        <v>500.32822500127105</v>
      </c>
      <c r="BR121" s="54">
        <v>489.91596989618478</v>
      </c>
      <c r="BS121" s="54">
        <v>400.44511598768651</v>
      </c>
      <c r="BT121" s="54">
        <v>413.23484246983423</v>
      </c>
      <c r="BU121" s="54">
        <v>492.3039554051021</v>
      </c>
      <c r="BV121" s="54">
        <v>557.92022841131097</v>
      </c>
      <c r="BW121" s="54">
        <v>534.65859369617124</v>
      </c>
      <c r="BX121" s="54">
        <v>524.28638450243284</v>
      </c>
    </row>
    <row r="122" spans="1:76" x14ac:dyDescent="0.3">
      <c r="A122" s="8" t="s">
        <v>104</v>
      </c>
      <c r="B122" s="8" t="s">
        <v>8</v>
      </c>
      <c r="C122" s="8" t="s">
        <v>108</v>
      </c>
      <c r="D122" s="8" t="s">
        <v>115</v>
      </c>
      <c r="E122" s="54">
        <v>356.85947852493996</v>
      </c>
      <c r="F122" s="54">
        <v>433.95870511771341</v>
      </c>
      <c r="G122" s="54">
        <v>495.81616949919629</v>
      </c>
      <c r="H122" s="54">
        <v>490.53076733068713</v>
      </c>
      <c r="I122" s="54">
        <v>590.12860652451707</v>
      </c>
      <c r="J122" s="54">
        <v>561.86042523419894</v>
      </c>
      <c r="K122" s="54">
        <v>555.21411027697479</v>
      </c>
      <c r="L122" s="54">
        <v>585.85725736492873</v>
      </c>
      <c r="M122" s="54">
        <v>585.26809416426761</v>
      </c>
      <c r="N122" s="54">
        <v>494.85103008602783</v>
      </c>
      <c r="O122" s="54">
        <v>489.28897060731981</v>
      </c>
      <c r="P122" s="54">
        <v>543.33047303999456</v>
      </c>
      <c r="Q122" s="54">
        <v>492.52102030092601</v>
      </c>
      <c r="R122" s="54">
        <v>529.13119592605256</v>
      </c>
      <c r="S122" s="54">
        <v>566.87607350258088</v>
      </c>
      <c r="T122" s="54">
        <v>394.13147773869173</v>
      </c>
      <c r="U122" s="54">
        <v>463.21099001337717</v>
      </c>
      <c r="V122" s="54">
        <v>531.34042817873501</v>
      </c>
      <c r="W122" s="54">
        <v>467.12854264379945</v>
      </c>
      <c r="X122" s="54">
        <v>510.555418005165</v>
      </c>
      <c r="Y122" s="54">
        <v>530.60075123884155</v>
      </c>
      <c r="Z122" s="54">
        <v>537.58420031795788</v>
      </c>
      <c r="AA122" s="54">
        <v>593.02762580214608</v>
      </c>
      <c r="AB122" s="54">
        <v>554.35879776595186</v>
      </c>
      <c r="AC122" s="54">
        <v>504.33802244010485</v>
      </c>
      <c r="AD122" s="54">
        <v>529.23417889455607</v>
      </c>
      <c r="AE122" s="54">
        <v>467.45571966363485</v>
      </c>
      <c r="AF122" s="54">
        <v>572.5112842730922</v>
      </c>
      <c r="AG122" s="54">
        <v>576.04694122978754</v>
      </c>
      <c r="AH122" s="54">
        <v>541.81479993312439</v>
      </c>
      <c r="AI122" s="54">
        <v>536.51819561036734</v>
      </c>
      <c r="AJ122" s="54">
        <v>566.33601721008199</v>
      </c>
      <c r="AK122" s="54">
        <v>495.89124612461808</v>
      </c>
      <c r="AL122" s="54">
        <v>413.63420046676703</v>
      </c>
      <c r="AM122" s="54">
        <v>391.82353092209144</v>
      </c>
      <c r="AN122" s="54">
        <v>462.20642576221871</v>
      </c>
      <c r="AO122" s="54">
        <v>560.3007389726298</v>
      </c>
      <c r="AP122" s="54">
        <v>563.10124805339728</v>
      </c>
      <c r="AQ122" s="54">
        <v>494.28550157426776</v>
      </c>
      <c r="AR122" s="54">
        <v>515.34822592771604</v>
      </c>
      <c r="AS122" s="54">
        <v>422.84939429437031</v>
      </c>
      <c r="AT122" s="54">
        <v>497.08265550790929</v>
      </c>
      <c r="AU122" s="54">
        <v>477.81187944852957</v>
      </c>
      <c r="AV122" s="54">
        <v>490.43850592287083</v>
      </c>
      <c r="AW122" s="54">
        <v>544.08783775074835</v>
      </c>
      <c r="AX122" s="54">
        <v>538.4230287399123</v>
      </c>
      <c r="AY122" s="54">
        <v>546.31755912748781</v>
      </c>
      <c r="AZ122" s="54">
        <v>560.25156371426533</v>
      </c>
      <c r="BA122" s="54">
        <v>470.47804736020373</v>
      </c>
      <c r="BB122" s="54">
        <v>525.81945706080478</v>
      </c>
      <c r="BC122" s="54">
        <v>443.62805431425568</v>
      </c>
      <c r="BD122" s="54">
        <v>434.95479034234495</v>
      </c>
      <c r="BE122" s="54">
        <v>482.86905744127773</v>
      </c>
      <c r="BF122" s="54">
        <v>488.28639929926499</v>
      </c>
      <c r="BG122" s="54">
        <v>449.15496966391567</v>
      </c>
      <c r="BH122" s="54">
        <v>503.6655664338432</v>
      </c>
      <c r="BI122" s="54">
        <v>517.81050415611696</v>
      </c>
      <c r="BJ122" s="54">
        <v>421.75573089460562</v>
      </c>
      <c r="BK122" s="54">
        <v>506.83552155659493</v>
      </c>
      <c r="BL122" s="54">
        <v>497.74296279233488</v>
      </c>
      <c r="BM122" s="54">
        <v>530.77184902163538</v>
      </c>
      <c r="BN122" s="54">
        <v>591.44063004795271</v>
      </c>
      <c r="BO122" s="54">
        <v>584.86754249350724</v>
      </c>
      <c r="BP122" s="54">
        <v>385.67845627298203</v>
      </c>
      <c r="BQ122" s="54">
        <v>446.66758577872923</v>
      </c>
      <c r="BR122" s="54">
        <v>506.27114086381539</v>
      </c>
      <c r="BS122" s="54">
        <v>465.30396525231367</v>
      </c>
      <c r="BT122" s="54">
        <v>544.93223847016577</v>
      </c>
      <c r="BU122" s="54">
        <v>553.61423791489779</v>
      </c>
      <c r="BV122" s="54">
        <v>471.33762152868906</v>
      </c>
      <c r="BW122" s="54">
        <v>476.53134286382846</v>
      </c>
      <c r="BX122" s="54">
        <v>557.28911322940405</v>
      </c>
    </row>
    <row r="123" spans="1:76" x14ac:dyDescent="0.3">
      <c r="A123" s="8" t="s">
        <v>104</v>
      </c>
      <c r="B123" s="8" t="s">
        <v>8</v>
      </c>
      <c r="C123" s="8" t="s">
        <v>109</v>
      </c>
      <c r="D123" s="8" t="s">
        <v>110</v>
      </c>
      <c r="E123" s="54">
        <v>93.844664928521397</v>
      </c>
      <c r="F123" s="54">
        <v>30.057359187597331</v>
      </c>
      <c r="G123" s="54">
        <v>148.75751864975805</v>
      </c>
      <c r="H123" s="54">
        <v>-72.577000704865725</v>
      </c>
      <c r="I123" s="54">
        <v>13.711738362285008</v>
      </c>
      <c r="J123" s="54">
        <v>91.701138915645245</v>
      </c>
      <c r="K123" s="54">
        <v>36.287448455053607</v>
      </c>
      <c r="L123" s="54">
        <v>111.65032336732806</v>
      </c>
      <c r="M123" s="54">
        <v>220.56963855674749</v>
      </c>
      <c r="N123" s="54">
        <v>81.727904690833128</v>
      </c>
      <c r="O123" s="54">
        <v>154.23440483488181</v>
      </c>
      <c r="P123" s="54">
        <v>240.55045945607367</v>
      </c>
      <c r="Q123" s="54">
        <v>24.696049409085873</v>
      </c>
      <c r="R123" s="54">
        <v>118.05819630577952</v>
      </c>
      <c r="S123" s="54">
        <v>220.33611455249292</v>
      </c>
      <c r="T123" s="54">
        <v>62.965366334945983</v>
      </c>
      <c r="U123" s="54">
        <v>153.17783592615598</v>
      </c>
      <c r="V123" s="54">
        <v>251.90220369002003</v>
      </c>
      <c r="W123" s="54">
        <v>40.054621320429803</v>
      </c>
      <c r="X123" s="54">
        <v>115.64333639107538</v>
      </c>
      <c r="Y123" s="54">
        <v>239.77705549511086</v>
      </c>
      <c r="Z123" s="54">
        <v>192.21171639776901</v>
      </c>
      <c r="AA123" s="54">
        <v>293.75155334986556</v>
      </c>
      <c r="AB123" s="54">
        <v>294.47971357403225</v>
      </c>
      <c r="AC123" s="54">
        <v>58.8885706195964</v>
      </c>
      <c r="AD123" s="54">
        <v>133.70507210005167</v>
      </c>
      <c r="AE123" s="54">
        <v>221.59395127935454</v>
      </c>
      <c r="AF123" s="54">
        <v>49.757609442123481</v>
      </c>
      <c r="AG123" s="54">
        <v>52.77069840430093</v>
      </c>
      <c r="AH123" s="54">
        <v>126.53870903276865</v>
      </c>
      <c r="AI123" s="54">
        <v>27.671766604569935</v>
      </c>
      <c r="AJ123" s="54">
        <v>116.38472870112516</v>
      </c>
      <c r="AK123" s="54">
        <v>198.23982369403237</v>
      </c>
      <c r="AL123" s="54">
        <v>105.08373885978483</v>
      </c>
      <c r="AM123" s="54">
        <v>156.26907014074888</v>
      </c>
      <c r="AN123" s="54">
        <v>233.80298217881702</v>
      </c>
      <c r="AO123" s="54">
        <v>35.705318909543095</v>
      </c>
      <c r="AP123" s="54">
        <v>112.98408330932797</v>
      </c>
      <c r="AQ123" s="54">
        <v>177.44099965674732</v>
      </c>
      <c r="AR123" s="54">
        <v>125.99395626792975</v>
      </c>
      <c r="AS123" s="54">
        <v>156.45232467300696</v>
      </c>
      <c r="AT123" s="54">
        <v>229.62104401180116</v>
      </c>
      <c r="AU123" s="54">
        <v>42.209075609758614</v>
      </c>
      <c r="AV123" s="54">
        <v>106.26669368725217</v>
      </c>
      <c r="AW123" s="54">
        <v>242.11623358857537</v>
      </c>
      <c r="AX123" s="54">
        <v>190.4368567476883</v>
      </c>
      <c r="AY123" s="54">
        <v>258.34079537298481</v>
      </c>
      <c r="AZ123" s="54">
        <v>294.35469264086021</v>
      </c>
      <c r="BA123" s="54">
        <v>15.032246207418831</v>
      </c>
      <c r="BB123" s="54">
        <v>115.65575362220437</v>
      </c>
      <c r="BC123" s="54">
        <v>169.15491130891746</v>
      </c>
      <c r="BD123" s="54">
        <v>-48.558540474489817</v>
      </c>
      <c r="BE123" s="54">
        <v>54.917829418333341</v>
      </c>
      <c r="BF123" s="54">
        <v>77.612772450503471</v>
      </c>
      <c r="BG123" s="54">
        <v>37.753751075537579</v>
      </c>
      <c r="BH123" s="54">
        <v>116.992659546586</v>
      </c>
      <c r="BI123" s="54">
        <v>239.18329962740259</v>
      </c>
      <c r="BJ123" s="54">
        <v>122.62311778655921</v>
      </c>
      <c r="BK123" s="54">
        <v>176.82591414301098</v>
      </c>
      <c r="BL123" s="54">
        <v>266.44484243392475</v>
      </c>
      <c r="BM123" s="54">
        <v>-3.6783644686828598</v>
      </c>
      <c r="BN123" s="54">
        <v>100.45147680010236</v>
      </c>
      <c r="BO123" s="54">
        <v>219.70460116069913</v>
      </c>
      <c r="BP123" s="54">
        <v>44.710094390752687</v>
      </c>
      <c r="BQ123" s="54">
        <v>144.05827049147325</v>
      </c>
      <c r="BR123" s="54">
        <v>236.95056221575263</v>
      </c>
      <c r="BS123" s="54">
        <v>173.4062641068279</v>
      </c>
      <c r="BT123" s="54">
        <v>112.69903106420442</v>
      </c>
      <c r="BU123" s="54">
        <v>169.54052984629021</v>
      </c>
      <c r="BV123" s="54">
        <v>160.43075341905922</v>
      </c>
      <c r="BW123" s="54">
        <v>155.35603909518804</v>
      </c>
      <c r="BX123" s="54">
        <v>252.85605886005658</v>
      </c>
    </row>
    <row r="124" spans="1:76" x14ac:dyDescent="0.3">
      <c r="A124" s="8" t="s">
        <v>104</v>
      </c>
      <c r="B124" s="8" t="s">
        <v>8</v>
      </c>
      <c r="C124" s="8" t="s">
        <v>109</v>
      </c>
      <c r="D124" s="8" t="s">
        <v>115</v>
      </c>
      <c r="E124" s="54">
        <v>487.34629000147868</v>
      </c>
      <c r="F124" s="54">
        <v>324.3426275546226</v>
      </c>
      <c r="G124" s="54">
        <v>278.61945158024184</v>
      </c>
      <c r="H124" s="54">
        <v>191.64381197486568</v>
      </c>
      <c r="I124" s="54">
        <v>157.63254564771501</v>
      </c>
      <c r="J124" s="54">
        <v>138.42181714435475</v>
      </c>
      <c r="K124" s="54">
        <v>270.96672818494613</v>
      </c>
      <c r="L124" s="54">
        <v>230.29408794267181</v>
      </c>
      <c r="M124" s="54">
        <v>217.31640187325252</v>
      </c>
      <c r="N124" s="54">
        <v>286.55100017916669</v>
      </c>
      <c r="O124" s="54">
        <v>252.50563636511814</v>
      </c>
      <c r="P124" s="54">
        <v>222.21735012392639</v>
      </c>
      <c r="Q124" s="54">
        <v>295.43688973091406</v>
      </c>
      <c r="R124" s="54">
        <v>235.67285844422048</v>
      </c>
      <c r="S124" s="54">
        <v>224.03051916750715</v>
      </c>
      <c r="T124" s="54">
        <v>317.60502946505386</v>
      </c>
      <c r="U124" s="54">
        <v>268.69732696384398</v>
      </c>
      <c r="V124" s="54">
        <v>218.30437910997992</v>
      </c>
      <c r="W124" s="54">
        <v>330.00925537957039</v>
      </c>
      <c r="X124" s="54">
        <v>264.35009084892471</v>
      </c>
      <c r="Y124" s="54">
        <v>225.24711327488922</v>
      </c>
      <c r="Z124" s="54">
        <v>230.40781431223101</v>
      </c>
      <c r="AA124" s="54">
        <v>147.76114660013428</v>
      </c>
      <c r="AB124" s="54">
        <v>189.75956884596766</v>
      </c>
      <c r="AC124" s="54">
        <v>290.32976575040317</v>
      </c>
      <c r="AD124" s="54">
        <v>246.78289961994793</v>
      </c>
      <c r="AE124" s="54">
        <v>245.48051648064484</v>
      </c>
      <c r="AF124" s="54">
        <v>129.93211266787651</v>
      </c>
      <c r="AG124" s="54">
        <v>162.04198479569908</v>
      </c>
      <c r="AH124" s="54">
        <v>127.70359343723136</v>
      </c>
      <c r="AI124" s="54">
        <v>284.79573309543002</v>
      </c>
      <c r="AJ124" s="54">
        <v>234.66754344887474</v>
      </c>
      <c r="AK124" s="54">
        <v>250.88680064596747</v>
      </c>
      <c r="AL124" s="54">
        <v>290.03450706021505</v>
      </c>
      <c r="AM124" s="54">
        <v>271.45820242925112</v>
      </c>
      <c r="AN124" s="54">
        <v>242.54419458118304</v>
      </c>
      <c r="AO124" s="54">
        <v>268.36522764045691</v>
      </c>
      <c r="AP124" s="54">
        <v>228.75426780067198</v>
      </c>
      <c r="AQ124" s="54">
        <v>260.03292037325275</v>
      </c>
      <c r="AR124" s="54">
        <v>257.57461544207018</v>
      </c>
      <c r="AS124" s="54">
        <v>259.65315261699317</v>
      </c>
      <c r="AT124" s="54">
        <v>237.77281705819874</v>
      </c>
      <c r="AU124" s="54">
        <v>320.94148138024161</v>
      </c>
      <c r="AV124" s="54">
        <v>269.10068206274775</v>
      </c>
      <c r="AW124" s="54">
        <v>218.35400476142453</v>
      </c>
      <c r="AX124" s="54">
        <v>228.3808632723119</v>
      </c>
      <c r="AY124" s="54">
        <v>177.12403770701513</v>
      </c>
      <c r="AZ124" s="54">
        <v>188.62762255913967</v>
      </c>
      <c r="BA124" s="54">
        <v>307.09947687258119</v>
      </c>
      <c r="BB124" s="54">
        <v>237.6940897577955</v>
      </c>
      <c r="BC124" s="54">
        <v>277.83898996108246</v>
      </c>
      <c r="BD124" s="54">
        <v>213.06162584448973</v>
      </c>
      <c r="BE124" s="54">
        <v>145.32639764166666</v>
      </c>
      <c r="BF124" s="54">
        <v>166.02773272949656</v>
      </c>
      <c r="BG124" s="54">
        <v>296.96825022446239</v>
      </c>
      <c r="BH124" s="54">
        <v>251.71897174341385</v>
      </c>
      <c r="BI124" s="54">
        <v>223.48147985259726</v>
      </c>
      <c r="BJ124" s="54">
        <v>278.55329801344084</v>
      </c>
      <c r="BK124" s="54">
        <v>265.35648145698912</v>
      </c>
      <c r="BL124" s="54">
        <v>217.01141122607527</v>
      </c>
      <c r="BM124" s="54">
        <v>300.43377391868262</v>
      </c>
      <c r="BN124" s="54">
        <v>238.61839471989765</v>
      </c>
      <c r="BO124" s="54">
        <v>217.8826519793009</v>
      </c>
      <c r="BP124" s="54">
        <v>329.55485928924719</v>
      </c>
      <c r="BQ124" s="54">
        <v>270.08963489852687</v>
      </c>
      <c r="BR124" s="54">
        <v>231.79299316424729</v>
      </c>
      <c r="BS124" s="54">
        <v>455.71827651317199</v>
      </c>
      <c r="BT124" s="54">
        <v>288.58078391221295</v>
      </c>
      <c r="BU124" s="54">
        <v>255.18856681370971</v>
      </c>
      <c r="BV124" s="54">
        <v>350.15892185094089</v>
      </c>
      <c r="BW124" s="54">
        <v>249.045218834812</v>
      </c>
      <c r="BX124" s="54">
        <v>212.47720020994353</v>
      </c>
    </row>
    <row r="125" spans="1:76" x14ac:dyDescent="0.3">
      <c r="A125" s="8" t="s">
        <v>104</v>
      </c>
      <c r="B125" s="8" t="s">
        <v>8</v>
      </c>
      <c r="C125" s="8" t="s">
        <v>110</v>
      </c>
      <c r="D125" s="8" t="s">
        <v>111</v>
      </c>
      <c r="E125" s="54">
        <v>384.35437555512999</v>
      </c>
      <c r="F125" s="54">
        <v>268.47358822942692</v>
      </c>
      <c r="G125" s="54">
        <v>207.49724485114228</v>
      </c>
      <c r="H125" s="54">
        <v>202.67065619612467</v>
      </c>
      <c r="I125" s="54">
        <v>86.823527788284053</v>
      </c>
      <c r="J125" s="54">
        <v>109.0638924038978</v>
      </c>
      <c r="K125" s="54">
        <v>196.3518151659498</v>
      </c>
      <c r="L125" s="54">
        <v>120.69050439921081</v>
      </c>
      <c r="M125" s="54">
        <v>99.582492716285714</v>
      </c>
      <c r="N125" s="54">
        <v>315.14771308680565</v>
      </c>
      <c r="O125" s="54">
        <v>234.55455754224386</v>
      </c>
      <c r="P125" s="54">
        <v>125.51050288149868</v>
      </c>
      <c r="Q125" s="54">
        <v>247.01512876635311</v>
      </c>
      <c r="R125" s="54">
        <v>138.50311024585559</v>
      </c>
      <c r="S125" s="54">
        <v>118.26069181635623</v>
      </c>
      <c r="T125" s="54">
        <v>350.07780099238374</v>
      </c>
      <c r="U125" s="54">
        <v>237.31036547000463</v>
      </c>
      <c r="V125" s="54">
        <v>114.62771050766418</v>
      </c>
      <c r="W125" s="54">
        <v>379.06336662759912</v>
      </c>
      <c r="X125" s="54">
        <v>275.39076552732956</v>
      </c>
      <c r="Y125" s="54">
        <v>128.15606367852962</v>
      </c>
      <c r="Z125" s="54">
        <v>200.69908386516587</v>
      </c>
      <c r="AA125" s="54">
        <v>66.605599408041897</v>
      </c>
      <c r="AB125" s="54">
        <v>64.252473550403195</v>
      </c>
      <c r="AC125" s="54">
        <v>299.5146514324598</v>
      </c>
      <c r="AD125" s="54">
        <v>232.41466360537123</v>
      </c>
      <c r="AE125" s="54">
        <v>141.32869232526878</v>
      </c>
      <c r="AF125" s="54">
        <v>187.30750672793462</v>
      </c>
      <c r="AG125" s="54">
        <v>176.49237048111411</v>
      </c>
      <c r="AH125" s="54">
        <v>99.63161236099927</v>
      </c>
      <c r="AI125" s="54">
        <v>237.5363305432343</v>
      </c>
      <c r="AJ125" s="54">
        <v>133.98433623577111</v>
      </c>
      <c r="AK125" s="54">
        <v>152.70224938373644</v>
      </c>
      <c r="AL125" s="54">
        <v>300.70505696953398</v>
      </c>
      <c r="AM125" s="54">
        <v>245.95874282828922</v>
      </c>
      <c r="AN125" s="54">
        <v>144.38375270743742</v>
      </c>
      <c r="AO125" s="54">
        <v>185.71290765400971</v>
      </c>
      <c r="AP125" s="54">
        <v>123.51163087354389</v>
      </c>
      <c r="AQ125" s="54">
        <v>160.12093896628588</v>
      </c>
      <c r="AR125" s="54">
        <v>263.25737871718189</v>
      </c>
      <c r="AS125" s="54">
        <v>242.48186255484839</v>
      </c>
      <c r="AT125" s="54">
        <v>144.11160501556895</v>
      </c>
      <c r="AU125" s="54">
        <v>356.60623531780857</v>
      </c>
      <c r="AV125" s="54">
        <v>262.84987450708797</v>
      </c>
      <c r="AW125" s="54">
        <v>107.83602072524623</v>
      </c>
      <c r="AX125" s="54">
        <v>199.81051849332442</v>
      </c>
      <c r="AY125" s="54">
        <v>112.37624726950857</v>
      </c>
      <c r="AZ125" s="54">
        <v>63.562605788530455</v>
      </c>
      <c r="BA125" s="54">
        <v>270.61625410940991</v>
      </c>
      <c r="BB125" s="54">
        <v>141.6284767081093</v>
      </c>
      <c r="BC125" s="54">
        <v>192.24976858053287</v>
      </c>
      <c r="BD125" s="54">
        <v>315.49333706194039</v>
      </c>
      <c r="BE125" s="54">
        <v>194.19443549305527</v>
      </c>
      <c r="BF125" s="54">
        <v>161.3240023573027</v>
      </c>
      <c r="BG125" s="54">
        <v>238.65378143033155</v>
      </c>
      <c r="BH125" s="54">
        <v>141.18797278093632</v>
      </c>
      <c r="BI125" s="54">
        <v>104.29062741071427</v>
      </c>
      <c r="BJ125" s="54">
        <v>280.14473580421151</v>
      </c>
      <c r="BK125" s="54">
        <v>201.19298984318968</v>
      </c>
      <c r="BL125" s="54">
        <v>103.24924316017025</v>
      </c>
      <c r="BM125" s="54">
        <v>255.74868013452055</v>
      </c>
      <c r="BN125" s="54">
        <v>131.65924869190437</v>
      </c>
      <c r="BO125" s="54">
        <v>100.59652216151416</v>
      </c>
      <c r="BP125" s="54">
        <v>371.47731893996405</v>
      </c>
      <c r="BQ125" s="54">
        <v>251.16664631320808</v>
      </c>
      <c r="BR125" s="54">
        <v>134.70518279413079</v>
      </c>
      <c r="BS125" s="54">
        <v>314.67634623812722</v>
      </c>
      <c r="BT125" s="54">
        <v>193.2132185850819</v>
      </c>
      <c r="BU125" s="54">
        <v>176.36321362029582</v>
      </c>
      <c r="BV125" s="54">
        <v>330.08577386462809</v>
      </c>
      <c r="BW125" s="54">
        <v>236.20517068290758</v>
      </c>
      <c r="BX125" s="54">
        <v>109.92431026161897</v>
      </c>
    </row>
    <row r="126" spans="1:76" x14ac:dyDescent="0.3">
      <c r="A126" s="8" t="s">
        <v>104</v>
      </c>
      <c r="B126" s="8" t="s">
        <v>8</v>
      </c>
      <c r="C126" s="8" t="s">
        <v>110</v>
      </c>
      <c r="D126" s="8" t="s">
        <v>115</v>
      </c>
      <c r="E126" s="54">
        <v>277.97519420339188</v>
      </c>
      <c r="F126" s="54">
        <v>201.19973877595032</v>
      </c>
      <c r="G126" s="54">
        <v>111.36754172861552</v>
      </c>
      <c r="H126" s="54">
        <v>164.05104166900998</v>
      </c>
      <c r="I126" s="54">
        <v>98.23249458400096</v>
      </c>
      <c r="J126" s="54">
        <v>46.430641971747292</v>
      </c>
      <c r="K126" s="54">
        <v>162.50076122910406</v>
      </c>
      <c r="L126" s="54">
        <v>97.704230278117251</v>
      </c>
      <c r="M126" s="54">
        <v>34.592781970461232</v>
      </c>
      <c r="N126" s="54">
        <v>150.17004777402798</v>
      </c>
      <c r="O126" s="54">
        <v>91.21988849263785</v>
      </c>
      <c r="P126" s="54">
        <v>27.869670354580766</v>
      </c>
      <c r="Q126" s="54">
        <v>184.60990178273317</v>
      </c>
      <c r="R126" s="54">
        <v>98.086140809923833</v>
      </c>
      <c r="S126" s="54">
        <v>39.185622168758428</v>
      </c>
      <c r="T126" s="54">
        <v>180.25400314256279</v>
      </c>
      <c r="U126" s="54">
        <v>102.54263334615143</v>
      </c>
      <c r="V126" s="54">
        <v>19.585150894976699</v>
      </c>
      <c r="W126" s="54">
        <v>199.97885959283201</v>
      </c>
      <c r="X126" s="54">
        <v>118.41172570374547</v>
      </c>
      <c r="Y126" s="54">
        <v>30.276214435704052</v>
      </c>
      <c r="Z126" s="54">
        <v>57.499351342603198</v>
      </c>
      <c r="AA126" s="54">
        <v>-48.36834560817671</v>
      </c>
      <c r="AB126" s="54">
        <v>-20.733477556371007</v>
      </c>
      <c r="AC126" s="54">
        <v>164.10889185713717</v>
      </c>
      <c r="AD126" s="54">
        <v>97.669397029939489</v>
      </c>
      <c r="AE126" s="54">
        <v>52.85670201408599</v>
      </c>
      <c r="AF126" s="54">
        <v>61.742603724189273</v>
      </c>
      <c r="AG126" s="54">
        <v>81.642640661648841</v>
      </c>
      <c r="AH126" s="54">
        <v>21.866374441769864</v>
      </c>
      <c r="AI126" s="54">
        <v>176.02793876133504</v>
      </c>
      <c r="AJ126" s="54">
        <v>98.252664615353979</v>
      </c>
      <c r="AK126" s="54">
        <v>68.137955250295647</v>
      </c>
      <c r="AL126" s="54">
        <v>140.81446861025105</v>
      </c>
      <c r="AM126" s="54">
        <v>102.83759988245966</v>
      </c>
      <c r="AN126" s="54">
        <v>44.794638631380224</v>
      </c>
      <c r="AO126" s="54">
        <v>161.05749230553312</v>
      </c>
      <c r="AP126" s="54">
        <v>96.010803545784057</v>
      </c>
      <c r="AQ126" s="54">
        <v>84.634780420461468</v>
      </c>
      <c r="AR126" s="54">
        <v>108.71943216074864</v>
      </c>
      <c r="AS126" s="54">
        <v>94.87593940815853</v>
      </c>
      <c r="AT126" s="54">
        <v>43.70468936623206</v>
      </c>
      <c r="AU126" s="54">
        <v>192.85644978194838</v>
      </c>
      <c r="AV126" s="54">
        <v>126.2671078648725</v>
      </c>
      <c r="AW126" s="54">
        <v>24.511219713328703</v>
      </c>
      <c r="AX126" s="54">
        <v>57.035480474363794</v>
      </c>
      <c r="AY126" s="54">
        <v>-11.087705881815623</v>
      </c>
      <c r="AZ126" s="54">
        <v>-21.425597947670294</v>
      </c>
      <c r="BA126" s="54">
        <v>197.21686147801131</v>
      </c>
      <c r="BB126" s="54">
        <v>100.63484969409498</v>
      </c>
      <c r="BC126" s="54">
        <v>100.64853765292958</v>
      </c>
      <c r="BD126" s="54">
        <v>166.32035413357139</v>
      </c>
      <c r="BE126" s="54">
        <v>69.425350385277753</v>
      </c>
      <c r="BF126" s="54">
        <v>71.878768927745924</v>
      </c>
      <c r="BG126" s="54">
        <v>179.10195794520612</v>
      </c>
      <c r="BH126" s="54">
        <v>109.31631805564956</v>
      </c>
      <c r="BI126" s="54">
        <v>29.396003421363616</v>
      </c>
      <c r="BJ126" s="54">
        <v>124.39063978234766</v>
      </c>
      <c r="BK126" s="54">
        <v>88.491363899820598</v>
      </c>
      <c r="BL126" s="54">
        <v>11.451852933754502</v>
      </c>
      <c r="BM126" s="54">
        <v>202.12836484679664</v>
      </c>
      <c r="BN126" s="54">
        <v>108.85319141321392</v>
      </c>
      <c r="BO126" s="54">
        <v>35.40280073918445</v>
      </c>
      <c r="BP126" s="54">
        <v>197.34819233078849</v>
      </c>
      <c r="BQ126" s="54">
        <v>108.03062135328123</v>
      </c>
      <c r="BR126" s="54">
        <v>36.053381001621808</v>
      </c>
      <c r="BS126" s="54">
        <v>217.1090522887007</v>
      </c>
      <c r="BT126" s="54">
        <v>136.03767374270649</v>
      </c>
      <c r="BU126" s="54">
        <v>85.355446285994674</v>
      </c>
      <c r="BV126" s="54">
        <v>153.22390452443102</v>
      </c>
      <c r="BW126" s="54">
        <v>88.352126342280513</v>
      </c>
      <c r="BX126" s="54">
        <v>15.223437376600813</v>
      </c>
    </row>
    <row r="127" spans="1:76" x14ac:dyDescent="0.3">
      <c r="A127" s="8" t="s">
        <v>104</v>
      </c>
      <c r="B127" s="8" t="s">
        <v>8</v>
      </c>
      <c r="C127" s="8" t="s">
        <v>111</v>
      </c>
      <c r="D127" s="8" t="s">
        <v>112</v>
      </c>
      <c r="E127" s="54">
        <v>454.84698247000011</v>
      </c>
      <c r="F127" s="54">
        <v>410.38949431999993</v>
      </c>
      <c r="G127" s="54">
        <v>307.82302977000001</v>
      </c>
      <c r="H127" s="54">
        <v>380.93318873000004</v>
      </c>
      <c r="I127" s="54">
        <v>328.65571599000009</v>
      </c>
      <c r="J127" s="54">
        <v>269.87704394000002</v>
      </c>
      <c r="K127" s="54">
        <v>427.94582336000019</v>
      </c>
      <c r="L127" s="54">
        <v>393.25558868999997</v>
      </c>
      <c r="M127" s="54">
        <v>297.31395957000007</v>
      </c>
      <c r="N127" s="54">
        <v>366.92109513000014</v>
      </c>
      <c r="O127" s="54">
        <v>328.45995880000009</v>
      </c>
      <c r="P127" s="54">
        <v>272.43219041999998</v>
      </c>
      <c r="Q127" s="54">
        <v>415.06706086000003</v>
      </c>
      <c r="R127" s="54">
        <v>381.46894524999999</v>
      </c>
      <c r="S127" s="54">
        <v>290.83336628000001</v>
      </c>
      <c r="T127" s="54">
        <v>354.62960420000013</v>
      </c>
      <c r="U127" s="54">
        <v>313.32483710999992</v>
      </c>
      <c r="V127" s="54">
        <v>264.99341720000012</v>
      </c>
      <c r="W127" s="54">
        <v>386.56893519999988</v>
      </c>
      <c r="X127" s="54">
        <v>355.20657276000003</v>
      </c>
      <c r="Y127" s="54">
        <v>270.17583122999997</v>
      </c>
      <c r="Z127" s="54">
        <v>334.01328119000004</v>
      </c>
      <c r="AA127" s="54">
        <v>293.68730004999998</v>
      </c>
      <c r="AB127" s="54">
        <v>250.96071758000016</v>
      </c>
      <c r="AC127" s="54">
        <v>385.98166362999996</v>
      </c>
      <c r="AD127" s="54">
        <v>354.71202828000003</v>
      </c>
      <c r="AE127" s="54">
        <v>268.12553224000004</v>
      </c>
      <c r="AF127" s="54">
        <v>320.31027789000001</v>
      </c>
      <c r="AG127" s="54">
        <v>285.18731680000008</v>
      </c>
      <c r="AH127" s="54">
        <v>245.75769752999997</v>
      </c>
      <c r="AI127" s="54">
        <v>422.73250029999997</v>
      </c>
      <c r="AJ127" s="54">
        <v>384.14772785000008</v>
      </c>
      <c r="AK127" s="54">
        <v>286.07337566000001</v>
      </c>
      <c r="AL127" s="54">
        <v>340.08175408000005</v>
      </c>
      <c r="AM127" s="54">
        <v>307.47272742999996</v>
      </c>
      <c r="AN127" s="54">
        <v>258.85282324000002</v>
      </c>
      <c r="AO127" s="54">
        <v>431.12945344999986</v>
      </c>
      <c r="AP127" s="54">
        <v>393.46164888999999</v>
      </c>
      <c r="AQ127" s="54">
        <v>297.72607997000011</v>
      </c>
      <c r="AR127" s="54">
        <v>351.63142828999992</v>
      </c>
      <c r="AS127" s="54">
        <v>319.09452270999992</v>
      </c>
      <c r="AT127" s="54">
        <v>267.80613892999992</v>
      </c>
      <c r="AU127" s="54">
        <v>389.25802081000006</v>
      </c>
      <c r="AV127" s="54">
        <v>359.83262425000009</v>
      </c>
      <c r="AW127" s="54">
        <v>274.72976164999994</v>
      </c>
      <c r="AX127" s="54">
        <v>333.59085777999996</v>
      </c>
      <c r="AY127" s="54">
        <v>299.73516691999993</v>
      </c>
      <c r="AZ127" s="54">
        <v>252.21768479999994</v>
      </c>
      <c r="BA127" s="54">
        <v>413.06827692000002</v>
      </c>
      <c r="BB127" s="54">
        <v>381.85015661999989</v>
      </c>
      <c r="BC127" s="54">
        <v>288.20609873000012</v>
      </c>
      <c r="BD127" s="54">
        <v>335.49691462999999</v>
      </c>
      <c r="BE127" s="54">
        <v>299.75577293999999</v>
      </c>
      <c r="BF127" s="54">
        <v>256.35949482000007</v>
      </c>
      <c r="BG127" s="54">
        <v>400.4779987</v>
      </c>
      <c r="BH127" s="54">
        <v>366.48836871000003</v>
      </c>
      <c r="BI127" s="54">
        <v>272.53522052</v>
      </c>
      <c r="BJ127" s="54">
        <v>334.0235841999999</v>
      </c>
      <c r="BK127" s="54">
        <v>293.01760439999993</v>
      </c>
      <c r="BL127" s="54">
        <v>251.74374634000009</v>
      </c>
      <c r="BM127" s="54">
        <v>438.44459055000004</v>
      </c>
      <c r="BN127" s="54">
        <v>396.13012848000005</v>
      </c>
      <c r="BO127" s="54">
        <v>297.61274686000007</v>
      </c>
      <c r="BP127" s="54">
        <v>360.93504632000008</v>
      </c>
      <c r="BQ127" s="54">
        <v>321.05209460999993</v>
      </c>
      <c r="BR127" s="54">
        <v>266.45644461999996</v>
      </c>
      <c r="BS127" s="54">
        <v>458.87545937999994</v>
      </c>
      <c r="BT127" s="54">
        <v>412.66645953000005</v>
      </c>
      <c r="BU127" s="54">
        <v>310.47090333999995</v>
      </c>
      <c r="BV127" s="54">
        <v>377.12107503000004</v>
      </c>
      <c r="BW127" s="54">
        <v>330.79874207000006</v>
      </c>
      <c r="BX127" s="54">
        <v>269.86674092999993</v>
      </c>
    </row>
    <row r="128" spans="1:76" x14ac:dyDescent="0.3">
      <c r="A128" s="8" t="s">
        <v>104</v>
      </c>
      <c r="B128" s="8" t="s">
        <v>8</v>
      </c>
      <c r="C128" s="8" t="s">
        <v>111</v>
      </c>
      <c r="D128" s="8" t="s">
        <v>115</v>
      </c>
      <c r="E128" s="54">
        <v>-31.740089069412502</v>
      </c>
      <c r="F128" s="54">
        <v>-16.896188561429049</v>
      </c>
      <c r="G128" s="54">
        <v>-46.160121735502322</v>
      </c>
      <c r="H128" s="54">
        <v>-3.6308788708204753</v>
      </c>
      <c r="I128" s="54">
        <v>19.409666070323127</v>
      </c>
      <c r="J128" s="54">
        <v>-33.34195127362571</v>
      </c>
      <c r="K128" s="54">
        <v>-0.84431355689063015</v>
      </c>
      <c r="L128" s="54">
        <v>-2.1533925409188415</v>
      </c>
      <c r="M128" s="54">
        <v>-36.294471469832665</v>
      </c>
      <c r="N128" s="54">
        <v>-84.33978484873262</v>
      </c>
      <c r="O128" s="54">
        <v>-78.181682094424005</v>
      </c>
      <c r="P128" s="54">
        <v>-57.541811535001152</v>
      </c>
      <c r="Q128" s="54">
        <v>-15.927029141920901</v>
      </c>
      <c r="R128" s="54">
        <v>-12.99983829621687</v>
      </c>
      <c r="S128" s="54">
        <v>-44.523715758653879</v>
      </c>
      <c r="T128" s="54">
        <v>-83.60812326331768</v>
      </c>
      <c r="U128" s="54">
        <v>-71.412003409139231</v>
      </c>
      <c r="V128" s="54">
        <v>-56.953455896057605</v>
      </c>
      <c r="W128" s="54">
        <v>-86.930459447625338</v>
      </c>
      <c r="X128" s="54">
        <v>-83.310434176771864</v>
      </c>
      <c r="Y128" s="54">
        <v>-57.390378972302926</v>
      </c>
      <c r="Z128" s="54">
        <v>-82.312413908776307</v>
      </c>
      <c r="AA128" s="54">
        <v>-77.904758836158663</v>
      </c>
      <c r="AB128" s="54">
        <v>-55.707904136280241</v>
      </c>
      <c r="AC128" s="54">
        <v>-64.114988252434443</v>
      </c>
      <c r="AD128" s="54">
        <v>-72.007116980902452</v>
      </c>
      <c r="AE128" s="54">
        <v>-48.687906192728448</v>
      </c>
      <c r="AF128" s="54">
        <v>-70.760238911817368</v>
      </c>
      <c r="AG128" s="54">
        <v>-49.075751054459602</v>
      </c>
      <c r="AH128" s="54">
        <v>-45.869976894297167</v>
      </c>
      <c r="AI128" s="54">
        <v>-16.439252518520409</v>
      </c>
      <c r="AJ128" s="54">
        <v>-10.050711685841485</v>
      </c>
      <c r="AK128" s="54">
        <v>-44.335439427113599</v>
      </c>
      <c r="AL128" s="54">
        <v>-82.329809148270598</v>
      </c>
      <c r="AM128" s="54">
        <v>-76.596014355835848</v>
      </c>
      <c r="AN128" s="54">
        <v>-56.643866468613304</v>
      </c>
      <c r="AO128" s="54">
        <v>4.722551945393727</v>
      </c>
      <c r="AP128" s="54">
        <v>-5.1866666366269243</v>
      </c>
      <c r="AQ128" s="54">
        <v>-36.599501538582487</v>
      </c>
      <c r="AR128" s="54">
        <v>-82.996287577677521</v>
      </c>
      <c r="AS128" s="54">
        <v>-80.394209540661237</v>
      </c>
      <c r="AT128" s="54">
        <v>-57.291236110056602</v>
      </c>
      <c r="AU128" s="54">
        <v>-78.236559737169031</v>
      </c>
      <c r="AV128" s="54">
        <v>-69.580840668275641</v>
      </c>
      <c r="AW128" s="54">
        <v>-49.014098168282395</v>
      </c>
      <c r="AX128" s="54">
        <v>-82.10496370255494</v>
      </c>
      <c r="AY128" s="54">
        <v>-78.550933954804506</v>
      </c>
      <c r="AZ128" s="54">
        <v>-55.795827078584217</v>
      </c>
      <c r="BA128" s="54">
        <v>-21.222512709872742</v>
      </c>
      <c r="BB128" s="54">
        <v>-13.041660671997079</v>
      </c>
      <c r="BC128" s="54">
        <v>-44.66970212313592</v>
      </c>
      <c r="BD128" s="54">
        <v>-72.44307006353435</v>
      </c>
      <c r="BE128" s="54">
        <v>-69.302509394201465</v>
      </c>
      <c r="BF128" s="54">
        <v>-46.91842477750474</v>
      </c>
      <c r="BG128" s="54">
        <v>-14.832144935052693</v>
      </c>
      <c r="BH128" s="54">
        <v>-6.2552444463479517</v>
      </c>
      <c r="BI128" s="54">
        <v>-43.134639565673758</v>
      </c>
      <c r="BJ128" s="54">
        <v>-81.797480040871392</v>
      </c>
      <c r="BK128" s="54">
        <v>-59.377095727128236</v>
      </c>
      <c r="BL128" s="54">
        <v>-55.941887274790545</v>
      </c>
      <c r="BM128" s="54">
        <v>-8.2466514489778486</v>
      </c>
      <c r="BN128" s="54">
        <v>-0.64713687252981877</v>
      </c>
      <c r="BO128" s="54">
        <v>-36.320725796558094</v>
      </c>
      <c r="BP128" s="54">
        <v>-84.162180089386254</v>
      </c>
      <c r="BQ128" s="54">
        <v>-75.956187930794286</v>
      </c>
      <c r="BR128" s="54">
        <v>-57.150703495115309</v>
      </c>
      <c r="BS128" s="54">
        <v>-33.840927182303915</v>
      </c>
      <c r="BT128" s="54">
        <v>-18.730006308646409</v>
      </c>
      <c r="BU128" s="54">
        <v>-46.210423798188849</v>
      </c>
      <c r="BV128" s="54">
        <v>-91.385680272069393</v>
      </c>
      <c r="BW128" s="54">
        <v>-81.364136920106915</v>
      </c>
      <c r="BX128" s="54">
        <v>-57.285115881061223</v>
      </c>
    </row>
    <row r="129" spans="1:76" x14ac:dyDescent="0.3">
      <c r="A129" s="8" t="s">
        <v>104</v>
      </c>
      <c r="B129" s="8" t="s">
        <v>8</v>
      </c>
      <c r="C129" s="8" t="s">
        <v>111</v>
      </c>
      <c r="D129" s="8" t="s">
        <v>118</v>
      </c>
      <c r="E129" s="54">
        <v>328.94705621960242</v>
      </c>
      <c r="F129" s="54">
        <v>298.95309439314246</v>
      </c>
      <c r="G129" s="54">
        <v>191.64907800744868</v>
      </c>
      <c r="H129" s="54">
        <v>281.13801281625797</v>
      </c>
      <c r="I129" s="54">
        <v>249.21955113344362</v>
      </c>
      <c r="J129" s="54">
        <v>166.13724268332476</v>
      </c>
      <c r="K129" s="54">
        <v>323.94600730586575</v>
      </c>
      <c r="L129" s="54">
        <v>292.80660457919885</v>
      </c>
      <c r="M129" s="54">
        <v>188.37303174185038</v>
      </c>
      <c r="N129" s="54">
        <v>220.45208732951039</v>
      </c>
      <c r="O129" s="54">
        <v>190.49345469334565</v>
      </c>
      <c r="P129" s="54">
        <v>153.85307969649929</v>
      </c>
      <c r="Q129" s="54">
        <v>303.62746076734749</v>
      </c>
      <c r="R129" s="54">
        <v>275.98542411601977</v>
      </c>
      <c r="S129" s="54">
        <v>177.76496603980775</v>
      </c>
      <c r="T129" s="54">
        <v>210.13602971700939</v>
      </c>
      <c r="U129" s="54">
        <v>181.31203042576649</v>
      </c>
      <c r="V129" s="54">
        <v>147.69716651236541</v>
      </c>
      <c r="W129" s="54">
        <v>236.08954263142491</v>
      </c>
      <c r="X129" s="54">
        <v>210.81949065893667</v>
      </c>
      <c r="Y129" s="54">
        <v>151.96962494286848</v>
      </c>
      <c r="Z129" s="54">
        <v>192.87417269598427</v>
      </c>
      <c r="AA129" s="54">
        <v>160.23353224205471</v>
      </c>
      <c r="AB129" s="54">
        <v>136.16588540073192</v>
      </c>
      <c r="AC129" s="54">
        <v>249.26496272478914</v>
      </c>
      <c r="AD129" s="54">
        <v>217.16875455645868</v>
      </c>
      <c r="AE129" s="54">
        <v>155.39709699436298</v>
      </c>
      <c r="AF129" s="54">
        <v>187.81534980665958</v>
      </c>
      <c r="AG129" s="54">
        <v>170.09345156732437</v>
      </c>
      <c r="AH129" s="54">
        <v>137.51599920217171</v>
      </c>
      <c r="AI129" s="54">
        <v>310.02738625138784</v>
      </c>
      <c r="AJ129" s="54">
        <v>280.09883485724509</v>
      </c>
      <c r="AK129" s="54">
        <v>173.71294004623184</v>
      </c>
      <c r="AL129" s="54">
        <v>198.17364933103764</v>
      </c>
      <c r="AM129" s="54">
        <v>173.08102788774849</v>
      </c>
      <c r="AN129" s="54">
        <v>142.50990045383216</v>
      </c>
      <c r="AO129" s="54">
        <v>330.07180293598617</v>
      </c>
      <c r="AP129" s="54">
        <v>291.16694279677404</v>
      </c>
      <c r="AQ129" s="54">
        <v>188.55061905060055</v>
      </c>
      <c r="AR129" s="54">
        <v>207.87972720714353</v>
      </c>
      <c r="AS129" s="54">
        <v>180.97118164685332</v>
      </c>
      <c r="AT129" s="54">
        <v>149.95562989771605</v>
      </c>
      <c r="AU129" s="54">
        <v>243.65883236644859</v>
      </c>
      <c r="AV129" s="54">
        <v>223.10504181778467</v>
      </c>
      <c r="AW129" s="54">
        <v>160.98008254278074</v>
      </c>
      <c r="AX129" s="54">
        <v>192.62902233596714</v>
      </c>
      <c r="AY129" s="54">
        <v>165.13771068211724</v>
      </c>
      <c r="AZ129" s="54">
        <v>137.21297795284949</v>
      </c>
      <c r="BA129" s="54">
        <v>298.70123467907626</v>
      </c>
      <c r="BB129" s="54">
        <v>276.29389063930176</v>
      </c>
      <c r="BC129" s="54">
        <v>175.37851511486846</v>
      </c>
      <c r="BD129" s="54">
        <v>200.09395826312937</v>
      </c>
      <c r="BE129" s="54">
        <v>170.70479568597918</v>
      </c>
      <c r="BF129" s="54">
        <v>146.16350310099713</v>
      </c>
      <c r="BG129" s="54">
        <v>291.51896190146863</v>
      </c>
      <c r="BH129" s="54">
        <v>266.92417595344131</v>
      </c>
      <c r="BI129" s="54">
        <v>162.58753421559601</v>
      </c>
      <c r="BJ129" s="54">
        <v>193.19214815047715</v>
      </c>
      <c r="BK129" s="54">
        <v>170.7641464137233</v>
      </c>
      <c r="BL129" s="54">
        <v>136.71064568262571</v>
      </c>
      <c r="BM129" s="54">
        <v>328.69102586186358</v>
      </c>
      <c r="BN129" s="54">
        <v>296.22558029648218</v>
      </c>
      <c r="BO129" s="54">
        <v>188.6187180245652</v>
      </c>
      <c r="BP129" s="54">
        <v>215.32085747636808</v>
      </c>
      <c r="BQ129" s="54">
        <v>185.3468700252734</v>
      </c>
      <c r="BR129" s="54">
        <v>148.85896694543078</v>
      </c>
      <c r="BS129" s="54">
        <v>331.21147064811771</v>
      </c>
      <c r="BT129" s="54">
        <v>299.84514830356244</v>
      </c>
      <c r="BU129" s="54">
        <v>193.93578614358674</v>
      </c>
      <c r="BV129" s="54">
        <v>225.14953248800839</v>
      </c>
      <c r="BW129" s="54">
        <v>190.63041715918584</v>
      </c>
      <c r="BX129" s="54">
        <v>151.76232878511308</v>
      </c>
    </row>
    <row r="130" spans="1:76" x14ac:dyDescent="0.3">
      <c r="A130" s="8" t="s">
        <v>104</v>
      </c>
      <c r="B130" s="8" t="s">
        <v>8</v>
      </c>
      <c r="C130" s="8" t="s">
        <v>115</v>
      </c>
      <c r="D130" s="8" t="s">
        <v>116</v>
      </c>
      <c r="E130" s="54">
        <v>399.82382572213248</v>
      </c>
      <c r="F130" s="54">
        <v>353.50899467428576</v>
      </c>
      <c r="G130" s="54">
        <v>259.35947837285033</v>
      </c>
      <c r="H130" s="54">
        <v>322.13603478591392</v>
      </c>
      <c r="I130" s="54">
        <v>266.55738987618548</v>
      </c>
      <c r="J130" s="54">
        <v>219.79850809622525</v>
      </c>
      <c r="K130" s="54">
        <v>367.4160404873781</v>
      </c>
      <c r="L130" s="54">
        <v>333.85487748093357</v>
      </c>
      <c r="M130" s="54">
        <v>247.14000487471631</v>
      </c>
      <c r="N130" s="54">
        <v>324.61602472149644</v>
      </c>
      <c r="O130" s="54">
        <v>285.88479624888464</v>
      </c>
      <c r="P130" s="54">
        <v>227.12974796650022</v>
      </c>
      <c r="Q130" s="54">
        <v>357.87579016688409</v>
      </c>
      <c r="R130" s="54">
        <v>324.5321892779931</v>
      </c>
      <c r="S130" s="54">
        <v>242.46727527473078</v>
      </c>
      <c r="T130" s="54">
        <v>312.48548874766357</v>
      </c>
      <c r="U130" s="54">
        <v>269.77411686407771</v>
      </c>
      <c r="V130" s="54">
        <v>219.75927294921149</v>
      </c>
      <c r="W130" s="54">
        <v>344.29080370952516</v>
      </c>
      <c r="X130" s="54">
        <v>312.98849527635463</v>
      </c>
      <c r="Y130" s="54">
        <v>224.89951124371044</v>
      </c>
      <c r="Z130" s="54">
        <v>292.12543194200526</v>
      </c>
      <c r="AA130" s="54">
        <v>251.92606931598172</v>
      </c>
      <c r="AB130" s="54">
        <v>205.82828046775603</v>
      </c>
      <c r="AC130" s="54">
        <v>339.15511968973686</v>
      </c>
      <c r="AD130" s="54">
        <v>310.24565096918042</v>
      </c>
      <c r="AE130" s="54">
        <v>221.1599751725457</v>
      </c>
      <c r="AF130" s="54">
        <v>276.45456872511363</v>
      </c>
      <c r="AG130" s="54">
        <v>237.87278409089186</v>
      </c>
      <c r="AH130" s="54">
        <v>198.78775047060947</v>
      </c>
      <c r="AI130" s="54">
        <v>365.45203829620408</v>
      </c>
      <c r="AJ130" s="54">
        <v>326.55417699091839</v>
      </c>
      <c r="AK130" s="54">
        <v>237.78862915392284</v>
      </c>
      <c r="AL130" s="54">
        <v>298.04567205765409</v>
      </c>
      <c r="AM130" s="54">
        <v>265.10511211541711</v>
      </c>
      <c r="AN130" s="54">
        <v>213.71027595272253</v>
      </c>
      <c r="AO130" s="54">
        <v>369.40670672467115</v>
      </c>
      <c r="AP130" s="54">
        <v>334.66244099507514</v>
      </c>
      <c r="AQ130" s="54">
        <v>247.60282827846635</v>
      </c>
      <c r="AR130" s="54">
        <v>309.43990009828525</v>
      </c>
      <c r="AS130" s="54">
        <v>277.19600155038228</v>
      </c>
      <c r="AT130" s="54">
        <v>222.56923267876138</v>
      </c>
      <c r="AU130" s="54">
        <v>345.1738822371837</v>
      </c>
      <c r="AV130" s="54">
        <v>314.75297677740508</v>
      </c>
      <c r="AW130" s="54">
        <v>227.6643372424063</v>
      </c>
      <c r="AX130" s="54">
        <v>291.67207907601102</v>
      </c>
      <c r="AY130" s="54">
        <v>257.95197453796106</v>
      </c>
      <c r="AZ130" s="54">
        <v>207.07140809571678</v>
      </c>
      <c r="BA130" s="54">
        <v>356.98607253897461</v>
      </c>
      <c r="BB130" s="54">
        <v>324.91223483889911</v>
      </c>
      <c r="BC130" s="54">
        <v>239.93488668637707</v>
      </c>
      <c r="BD130" s="54">
        <v>291.5981057769568</v>
      </c>
      <c r="BE130" s="54">
        <v>256.12238049534028</v>
      </c>
      <c r="BF130" s="54">
        <v>209.33419240500095</v>
      </c>
      <c r="BG130" s="54">
        <v>343.43247771951036</v>
      </c>
      <c r="BH130" s="54">
        <v>308.57720838151948</v>
      </c>
      <c r="BI130" s="54">
        <v>224.3487679201348</v>
      </c>
      <c r="BJ130" s="54">
        <v>292.03249060317438</v>
      </c>
      <c r="BK130" s="54">
        <v>247.56758343542563</v>
      </c>
      <c r="BL130" s="54">
        <v>206.63853013645794</v>
      </c>
      <c r="BM130" s="54">
        <v>379.13280607604548</v>
      </c>
      <c r="BN130" s="54">
        <v>336.3563026425058</v>
      </c>
      <c r="BO130" s="54">
        <v>247.43657334781145</v>
      </c>
      <c r="BP130" s="54">
        <v>318.74410617987724</v>
      </c>
      <c r="BQ130" s="54">
        <v>278.21702983090881</v>
      </c>
      <c r="BR130" s="54">
        <v>221.22517420352318</v>
      </c>
      <c r="BS130" s="54">
        <v>404.17175833196086</v>
      </c>
      <c r="BT130" s="54">
        <v>356.09579930347923</v>
      </c>
      <c r="BU130" s="54">
        <v>261.95121551613789</v>
      </c>
      <c r="BV130" s="54">
        <v>335.97018420866397</v>
      </c>
      <c r="BW130" s="54">
        <v>288.80160090227139</v>
      </c>
      <c r="BX130" s="54">
        <v>224.57709558296247</v>
      </c>
    </row>
    <row r="131" spans="1:76" x14ac:dyDescent="0.3">
      <c r="A131" s="8" t="s">
        <v>104</v>
      </c>
      <c r="B131" s="8" t="s">
        <v>8</v>
      </c>
      <c r="C131" s="8" t="s">
        <v>115</v>
      </c>
      <c r="D131" s="8" t="s">
        <v>117</v>
      </c>
      <c r="E131" s="54">
        <v>435.77006546826505</v>
      </c>
      <c r="F131" s="54">
        <v>378.70639389257167</v>
      </c>
      <c r="G131" s="54">
        <v>272.46053292970095</v>
      </c>
      <c r="H131" s="54">
        <v>339.52551858782829</v>
      </c>
      <c r="I131" s="54">
        <v>270.19020696037074</v>
      </c>
      <c r="J131" s="54">
        <v>223.69538104045029</v>
      </c>
      <c r="K131" s="54">
        <v>392.47542228675638</v>
      </c>
      <c r="L131" s="54">
        <v>353.1052840098676</v>
      </c>
      <c r="M131" s="54">
        <v>256.4288420934331</v>
      </c>
      <c r="N131" s="54">
        <v>355.69517333899324</v>
      </c>
      <c r="O131" s="54">
        <v>309.00162545776965</v>
      </c>
      <c r="P131" s="54">
        <v>236.31374359700041</v>
      </c>
      <c r="Q131" s="54">
        <v>383.69793164576828</v>
      </c>
      <c r="R131" s="54">
        <v>343.88922235598682</v>
      </c>
      <c r="S131" s="54">
        <v>252.26785752546155</v>
      </c>
      <c r="T131" s="54">
        <v>341.26729413532718</v>
      </c>
      <c r="U131" s="54">
        <v>288.88836404015564</v>
      </c>
      <c r="V131" s="54">
        <v>227.5238121384231</v>
      </c>
      <c r="W131" s="54">
        <v>379.32645925905018</v>
      </c>
      <c r="X131" s="54">
        <v>341.81173234470873</v>
      </c>
      <c r="Y131" s="54">
        <v>233.658357503421</v>
      </c>
      <c r="Z131" s="54">
        <v>317.04023893201037</v>
      </c>
      <c r="AA131" s="54">
        <v>268.90229859196359</v>
      </c>
      <c r="AB131" s="54">
        <v>210.88798687151211</v>
      </c>
      <c r="AC131" s="54">
        <v>369.52490847547369</v>
      </c>
      <c r="AD131" s="54">
        <v>336.72167931436081</v>
      </c>
      <c r="AE131" s="54">
        <v>227.81952455309141</v>
      </c>
      <c r="AF131" s="54">
        <v>296.66091513822693</v>
      </c>
      <c r="AG131" s="54">
        <v>247.59571474178398</v>
      </c>
      <c r="AH131" s="54">
        <v>200.96934291721902</v>
      </c>
      <c r="AI131" s="54">
        <v>392.71807635240805</v>
      </c>
      <c r="AJ131" s="54">
        <v>345.79017170183658</v>
      </c>
      <c r="AK131" s="54">
        <v>246.71855777984541</v>
      </c>
      <c r="AL131" s="54">
        <v>324.02594085130841</v>
      </c>
      <c r="AM131" s="54">
        <v>284.23204228683454</v>
      </c>
      <c r="AN131" s="54">
        <v>220.33829331344523</v>
      </c>
      <c r="AO131" s="54">
        <v>393.90985068934259</v>
      </c>
      <c r="AP131" s="54">
        <v>354.55556287815091</v>
      </c>
      <c r="AQ131" s="54">
        <v>257.02479258093302</v>
      </c>
      <c r="AR131" s="54">
        <v>337.57465756457105</v>
      </c>
      <c r="AS131" s="54">
        <v>299.1163849327645</v>
      </c>
      <c r="AT131" s="54">
        <v>230.89355421352263</v>
      </c>
      <c r="AU131" s="54">
        <v>378.94134782636769</v>
      </c>
      <c r="AV131" s="54">
        <v>341.63985415481022</v>
      </c>
      <c r="AW131" s="54">
        <v>235.54486516481288</v>
      </c>
      <c r="AX131" s="54">
        <v>316.47147192802214</v>
      </c>
      <c r="AY131" s="54">
        <v>276.1158155399217</v>
      </c>
      <c r="AZ131" s="54">
        <v>212.36866835143366</v>
      </c>
      <c r="BA131" s="54">
        <v>383.517523541949</v>
      </c>
      <c r="BB131" s="54">
        <v>344.34434438179886</v>
      </c>
      <c r="BC131" s="54">
        <v>249.30489438875435</v>
      </c>
      <c r="BD131" s="54">
        <v>314.79867984991381</v>
      </c>
      <c r="BE131" s="54">
        <v>272.44014263868064</v>
      </c>
      <c r="BF131" s="54">
        <v>213.58078895400178</v>
      </c>
      <c r="BG131" s="54">
        <v>366.48255647902107</v>
      </c>
      <c r="BH131" s="54">
        <v>323.96372179503931</v>
      </c>
      <c r="BI131" s="54">
        <v>230.66935942426946</v>
      </c>
      <c r="BJ131" s="54">
        <v>316.84611384634854</v>
      </c>
      <c r="BK131" s="54">
        <v>260.72108335085107</v>
      </c>
      <c r="BL131" s="54">
        <v>211.88206320091618</v>
      </c>
      <c r="BM131" s="54">
        <v>407.50993971209112</v>
      </c>
      <c r="BN131" s="54">
        <v>355.80850250101201</v>
      </c>
      <c r="BO131" s="54">
        <v>256.78294920762323</v>
      </c>
      <c r="BP131" s="54">
        <v>348.74017530375465</v>
      </c>
      <c r="BQ131" s="54">
        <v>299.5923839738175</v>
      </c>
      <c r="BR131" s="54">
        <v>229.28519271104619</v>
      </c>
      <c r="BS131" s="54">
        <v>441.24314915992136</v>
      </c>
      <c r="BT131" s="54">
        <v>382.05843098295867</v>
      </c>
      <c r="BU131" s="54">
        <v>275.52570836027559</v>
      </c>
      <c r="BV131" s="54">
        <v>370.24350839332777</v>
      </c>
      <c r="BW131" s="54">
        <v>312.96420814854264</v>
      </c>
      <c r="BX131" s="54">
        <v>233.26079842192459</v>
      </c>
    </row>
    <row r="132" spans="1:76" x14ac:dyDescent="0.3">
      <c r="A132" s="8" t="s">
        <v>104</v>
      </c>
      <c r="B132" s="8" t="s">
        <v>8</v>
      </c>
      <c r="C132" s="8" t="s">
        <v>116</v>
      </c>
      <c r="D132" s="8" t="s">
        <v>117</v>
      </c>
      <c r="E132" s="54">
        <v>-55.023156747867617</v>
      </c>
      <c r="F132" s="54">
        <v>-56.880499645714181</v>
      </c>
      <c r="G132" s="54">
        <v>-48.463551397149644</v>
      </c>
      <c r="H132" s="54">
        <v>-58.79715394408602</v>
      </c>
      <c r="I132" s="54">
        <v>-62.098326113814608</v>
      </c>
      <c r="J132" s="54">
        <v>-50.078535843774866</v>
      </c>
      <c r="K132" s="54">
        <v>-60.529782872621894</v>
      </c>
      <c r="L132" s="54">
        <v>-59.400711209066316</v>
      </c>
      <c r="M132" s="54">
        <v>-50.17395469528352</v>
      </c>
      <c r="N132" s="54">
        <v>-42.305070408503511</v>
      </c>
      <c r="O132" s="54">
        <v>-42.575162551115262</v>
      </c>
      <c r="P132" s="54">
        <v>-45.302442453499793</v>
      </c>
      <c r="Q132" s="54">
        <v>-57.191270693115804</v>
      </c>
      <c r="R132" s="54">
        <v>-56.936755972006758</v>
      </c>
      <c r="S132" s="54">
        <v>-48.366091005269226</v>
      </c>
      <c r="T132" s="54">
        <v>-42.144115452336315</v>
      </c>
      <c r="U132" s="54">
        <v>-43.550720245922214</v>
      </c>
      <c r="V132" s="54">
        <v>-45.234144250788418</v>
      </c>
      <c r="W132" s="54">
        <v>-42.278131490474877</v>
      </c>
      <c r="X132" s="54">
        <v>-42.21807748364548</v>
      </c>
      <c r="Y132" s="54">
        <v>-45.276319986289558</v>
      </c>
      <c r="Z132" s="54">
        <v>-41.887849247994822</v>
      </c>
      <c r="AA132" s="54">
        <v>-41.761230734018163</v>
      </c>
      <c r="AB132" s="54">
        <v>-45.132437112243906</v>
      </c>
      <c r="AC132" s="54">
        <v>-46.826543940263086</v>
      </c>
      <c r="AD132" s="54">
        <v>-44.466377310819595</v>
      </c>
      <c r="AE132" s="54">
        <v>-46.965557067454199</v>
      </c>
      <c r="AF132" s="54">
        <v>-43.855709164886569</v>
      </c>
      <c r="AG132" s="54">
        <v>-47.314532709108235</v>
      </c>
      <c r="AH132" s="54">
        <v>-46.969947059390506</v>
      </c>
      <c r="AI132" s="54">
        <v>-57.280462003795883</v>
      </c>
      <c r="AJ132" s="54">
        <v>-57.593550859081468</v>
      </c>
      <c r="AK132" s="54">
        <v>-48.284746506077283</v>
      </c>
      <c r="AL132" s="54">
        <v>-42.036082022345987</v>
      </c>
      <c r="AM132" s="54">
        <v>-42.367615314582885</v>
      </c>
      <c r="AN132" s="54">
        <v>-45.142547287277509</v>
      </c>
      <c r="AO132" s="54">
        <v>-61.722746725328733</v>
      </c>
      <c r="AP132" s="54">
        <v>-58.799207894924876</v>
      </c>
      <c r="AQ132" s="54">
        <v>-50.123251691533646</v>
      </c>
      <c r="AR132" s="54">
        <v>-42.191528191714681</v>
      </c>
      <c r="AS132" s="54">
        <v>-41.898521159617786</v>
      </c>
      <c r="AT132" s="54">
        <v>-45.236906251238771</v>
      </c>
      <c r="AU132" s="54">
        <v>-44.084138572816236</v>
      </c>
      <c r="AV132" s="54">
        <v>-45.07964747259485</v>
      </c>
      <c r="AW132" s="54">
        <v>-47.06542440759354</v>
      </c>
      <c r="AX132" s="54">
        <v>-41.918778703989076</v>
      </c>
      <c r="AY132" s="54">
        <v>-41.78319238203909</v>
      </c>
      <c r="AZ132" s="54">
        <v>-45.146276704283174</v>
      </c>
      <c r="BA132" s="54">
        <v>-56.082204381025406</v>
      </c>
      <c r="BB132" s="54">
        <v>-56.937921781100798</v>
      </c>
      <c r="BC132" s="54">
        <v>-48.271212043622839</v>
      </c>
      <c r="BD132" s="54">
        <v>-43.898808853043207</v>
      </c>
      <c r="BE132" s="54">
        <v>-43.633392444659691</v>
      </c>
      <c r="BF132" s="54">
        <v>-47.025302414999025</v>
      </c>
      <c r="BG132" s="54">
        <v>-57.045520980489542</v>
      </c>
      <c r="BH132" s="54">
        <v>-57.911160328480427</v>
      </c>
      <c r="BI132" s="54">
        <v>-48.186452599865312</v>
      </c>
      <c r="BJ132" s="54">
        <v>-41.991093596825735</v>
      </c>
      <c r="BK132" s="54">
        <v>-45.450020964574399</v>
      </c>
      <c r="BL132" s="54">
        <v>-45.105216203541907</v>
      </c>
      <c r="BM132" s="54">
        <v>-59.311784473954575</v>
      </c>
      <c r="BN132" s="54">
        <v>-59.773825837494243</v>
      </c>
      <c r="BO132" s="54">
        <v>-50.176173512188505</v>
      </c>
      <c r="BP132" s="54">
        <v>-42.190940140122699</v>
      </c>
      <c r="BQ132" s="54">
        <v>-42.835064779091049</v>
      </c>
      <c r="BR132" s="54">
        <v>-45.231270416476896</v>
      </c>
      <c r="BS132" s="54">
        <v>-54.703701048039122</v>
      </c>
      <c r="BT132" s="54">
        <v>-56.570660226520801</v>
      </c>
      <c r="BU132" s="54">
        <v>-48.519687823862292</v>
      </c>
      <c r="BV132" s="54">
        <v>-41.150890821336048</v>
      </c>
      <c r="BW132" s="54">
        <v>-41.997141167728572</v>
      </c>
      <c r="BX132" s="54">
        <v>-45.289645347037613</v>
      </c>
    </row>
    <row r="133" spans="1:76" x14ac:dyDescent="0.3">
      <c r="A133" s="8" t="s">
        <v>104</v>
      </c>
      <c r="B133" s="8" t="s">
        <v>8</v>
      </c>
      <c r="C133" s="8" t="s">
        <v>117</v>
      </c>
      <c r="D133" s="8" t="s">
        <v>118</v>
      </c>
      <c r="E133" s="54">
        <v>125.89992625039747</v>
      </c>
      <c r="F133" s="54">
        <v>111.4363999268575</v>
      </c>
      <c r="G133" s="54">
        <v>116.1739517625513</v>
      </c>
      <c r="H133" s="54">
        <v>99.795175913742213</v>
      </c>
      <c r="I133" s="54">
        <v>79.436164856556246</v>
      </c>
      <c r="J133" s="54">
        <v>103.73980125667526</v>
      </c>
      <c r="K133" s="54">
        <v>103.99981605413433</v>
      </c>
      <c r="L133" s="54">
        <v>100.44898411080116</v>
      </c>
      <c r="M133" s="54">
        <v>108.94092782814946</v>
      </c>
      <c r="N133" s="54">
        <v>146.46900780048955</v>
      </c>
      <c r="O133" s="54">
        <v>137.96650410665444</v>
      </c>
      <c r="P133" s="54">
        <v>118.57911072350058</v>
      </c>
      <c r="Q133" s="54">
        <v>111.43960009265253</v>
      </c>
      <c r="R133" s="54">
        <v>105.48352113398008</v>
      </c>
      <c r="S133" s="54">
        <v>113.06840024019226</v>
      </c>
      <c r="T133" s="54">
        <v>144.4935744829906</v>
      </c>
      <c r="U133" s="54">
        <v>132.01280668423354</v>
      </c>
      <c r="V133" s="54">
        <v>117.29625068763461</v>
      </c>
      <c r="W133" s="54">
        <v>150.47939256857524</v>
      </c>
      <c r="X133" s="54">
        <v>144.38708210106321</v>
      </c>
      <c r="Y133" s="54">
        <v>118.20620628713152</v>
      </c>
      <c r="Z133" s="54">
        <v>141.13910849401569</v>
      </c>
      <c r="AA133" s="54">
        <v>133.45376780794527</v>
      </c>
      <c r="AB133" s="54">
        <v>114.79483217926823</v>
      </c>
      <c r="AC133" s="54">
        <v>136.7167009052107</v>
      </c>
      <c r="AD133" s="54">
        <v>137.54327372354135</v>
      </c>
      <c r="AE133" s="54">
        <v>112.72843524563703</v>
      </c>
      <c r="AF133" s="54">
        <v>132.49492808334051</v>
      </c>
      <c r="AG133" s="54">
        <v>115.09386523267563</v>
      </c>
      <c r="AH133" s="54">
        <v>108.24169832782837</v>
      </c>
      <c r="AI133" s="54">
        <v>112.70511404861227</v>
      </c>
      <c r="AJ133" s="54">
        <v>104.04889299275489</v>
      </c>
      <c r="AK133" s="54">
        <v>112.36043561376819</v>
      </c>
      <c r="AL133" s="54">
        <v>141.90810474896233</v>
      </c>
      <c r="AM133" s="54">
        <v>134.3916995422515</v>
      </c>
      <c r="AN133" s="54">
        <v>116.34292278616786</v>
      </c>
      <c r="AO133" s="54">
        <v>101.05765051401372</v>
      </c>
      <c r="AP133" s="54">
        <v>102.294706093226</v>
      </c>
      <c r="AQ133" s="54">
        <v>109.17546091939944</v>
      </c>
      <c r="AR133" s="54">
        <v>143.7517010828565</v>
      </c>
      <c r="AS133" s="54">
        <v>138.12334106314671</v>
      </c>
      <c r="AT133" s="54">
        <v>117.85050903228399</v>
      </c>
      <c r="AU133" s="54">
        <v>145.59918844355147</v>
      </c>
      <c r="AV133" s="54">
        <v>136.7275824322154</v>
      </c>
      <c r="AW133" s="54">
        <v>113.74967910721922</v>
      </c>
      <c r="AX133" s="54">
        <v>140.96183544403294</v>
      </c>
      <c r="AY133" s="54">
        <v>134.59745623788265</v>
      </c>
      <c r="AZ133" s="54">
        <v>115.00470684715047</v>
      </c>
      <c r="BA133" s="54">
        <v>114.36704224092364</v>
      </c>
      <c r="BB133" s="54">
        <v>105.55626598069811</v>
      </c>
      <c r="BC133" s="54">
        <v>112.82758361513157</v>
      </c>
      <c r="BD133" s="54">
        <v>135.4029563668706</v>
      </c>
      <c r="BE133" s="54">
        <v>129.05097725402081</v>
      </c>
      <c r="BF133" s="54">
        <v>110.19599171900296</v>
      </c>
      <c r="BG133" s="54">
        <v>108.95903679853136</v>
      </c>
      <c r="BH133" s="54">
        <v>99.564192756558811</v>
      </c>
      <c r="BI133" s="54">
        <v>109.94768630440399</v>
      </c>
      <c r="BJ133" s="54">
        <v>140.83143604952286</v>
      </c>
      <c r="BK133" s="54">
        <v>122.25345798627674</v>
      </c>
      <c r="BL133" s="54">
        <v>115.03310065737438</v>
      </c>
      <c r="BM133" s="54">
        <v>109.75356468813646</v>
      </c>
      <c r="BN133" s="54">
        <v>99.904548183517903</v>
      </c>
      <c r="BO133" s="54">
        <v>108.99402883543485</v>
      </c>
      <c r="BP133" s="54">
        <v>145.61418884363175</v>
      </c>
      <c r="BQ133" s="54">
        <v>135.70522458472655</v>
      </c>
      <c r="BR133" s="54">
        <v>117.59747767456918</v>
      </c>
      <c r="BS133" s="54">
        <v>127.66398873188245</v>
      </c>
      <c r="BT133" s="54">
        <v>112.82131122643757</v>
      </c>
      <c r="BU133" s="54">
        <v>116.5351171964133</v>
      </c>
      <c r="BV133" s="54">
        <v>151.97154254199162</v>
      </c>
      <c r="BW133" s="54">
        <v>140.16832491081411</v>
      </c>
      <c r="BX133" s="54">
        <v>118.10441214488688</v>
      </c>
    </row>
    <row r="134" spans="1:76" x14ac:dyDescent="0.3">
      <c r="A134" s="8" t="s">
        <v>104</v>
      </c>
      <c r="B134" s="8" t="s">
        <v>9</v>
      </c>
      <c r="C134" s="8" t="s">
        <v>108</v>
      </c>
      <c r="D134" s="8" t="s">
        <v>111</v>
      </c>
      <c r="E134" s="54">
        <v>355.54286906480945</v>
      </c>
      <c r="F134" s="54">
        <v>395.64011749992136</v>
      </c>
      <c r="G134" s="54">
        <v>440.7577433609473</v>
      </c>
      <c r="H134" s="54">
        <v>336.70285520931276</v>
      </c>
      <c r="I134" s="54">
        <v>341.65996149548295</v>
      </c>
      <c r="J134" s="54">
        <v>463.48548688580115</v>
      </c>
      <c r="K134" s="54">
        <v>372.39424300302494</v>
      </c>
      <c r="L134" s="54">
        <v>399.96785061131646</v>
      </c>
      <c r="M134" s="54">
        <v>467.81874125393699</v>
      </c>
      <c r="N134" s="54">
        <v>554.8067796539724</v>
      </c>
      <c r="O134" s="54">
        <v>559.98122500276008</v>
      </c>
      <c r="P134" s="54">
        <v>521.53925551691646</v>
      </c>
      <c r="Q134" s="54">
        <v>378.69013696616992</v>
      </c>
      <c r="R134" s="54">
        <v>409.36495456217045</v>
      </c>
      <c r="S134" s="54">
        <v>498.7570277135822</v>
      </c>
      <c r="T134" s="54">
        <v>493.58002624840515</v>
      </c>
      <c r="U134" s="54">
        <v>498.73104945800037</v>
      </c>
      <c r="V134" s="54">
        <v>476.18799922380805</v>
      </c>
      <c r="W134" s="54">
        <v>383.92887036121891</v>
      </c>
      <c r="X134" s="54">
        <v>395.72889388730846</v>
      </c>
      <c r="Y134" s="54">
        <v>461.93513150397678</v>
      </c>
      <c r="Z134" s="54">
        <v>531.22475481387016</v>
      </c>
      <c r="AA134" s="54">
        <v>507.03589759391133</v>
      </c>
      <c r="AB134" s="54">
        <v>497.9032337755134</v>
      </c>
      <c r="AC134" s="54">
        <v>396.34708532211005</v>
      </c>
      <c r="AD134" s="54">
        <v>394.09100333844793</v>
      </c>
      <c r="AE134" s="54">
        <v>445.48277134819369</v>
      </c>
      <c r="AF134" s="54">
        <v>556.13881719134486</v>
      </c>
      <c r="AG134" s="54">
        <v>511.14770754881732</v>
      </c>
      <c r="AH134" s="54">
        <v>483.52980500687551</v>
      </c>
      <c r="AI134" s="54">
        <v>401.51680378963283</v>
      </c>
      <c r="AJ134" s="54">
        <v>405.68760923297617</v>
      </c>
      <c r="AK134" s="54">
        <v>445.03139808581182</v>
      </c>
      <c r="AL134" s="54">
        <v>350.35081005997148</v>
      </c>
      <c r="AM134" s="54">
        <v>310.46312595543316</v>
      </c>
      <c r="AN134" s="54">
        <v>420.71624316996781</v>
      </c>
      <c r="AO134" s="54">
        <v>372.54710554672488</v>
      </c>
      <c r="AP134" s="54">
        <v>373.8027924973062</v>
      </c>
      <c r="AQ134" s="54">
        <v>427.12233848573231</v>
      </c>
      <c r="AR134" s="54">
        <v>487.6863368471229</v>
      </c>
      <c r="AS134" s="54">
        <v>480.46603347051575</v>
      </c>
      <c r="AT134" s="54">
        <v>453.28403437402608</v>
      </c>
      <c r="AU134" s="54">
        <v>505.03819219168554</v>
      </c>
      <c r="AV134" s="54">
        <v>517.20651759194186</v>
      </c>
      <c r="AW134" s="54">
        <v>461.58100806538084</v>
      </c>
      <c r="AX134" s="54">
        <v>467.0015123294786</v>
      </c>
      <c r="AY134" s="54">
        <v>495.85187373581732</v>
      </c>
      <c r="AZ134" s="54">
        <v>465.25426322193539</v>
      </c>
      <c r="BA134" s="54">
        <v>398.45081815463448</v>
      </c>
      <c r="BB134" s="54">
        <v>383.83520949056037</v>
      </c>
      <c r="BC134" s="54">
        <v>428.43899530447402</v>
      </c>
      <c r="BD134" s="54">
        <v>560.35396104281654</v>
      </c>
      <c r="BE134" s="54">
        <v>553.79098208054199</v>
      </c>
      <c r="BF134" s="54">
        <v>476.53888867559345</v>
      </c>
      <c r="BG134" s="54">
        <v>338.9890329360843</v>
      </c>
      <c r="BH134" s="54">
        <v>352.45769614615699</v>
      </c>
      <c r="BI134" s="54">
        <v>469.72461002248411</v>
      </c>
      <c r="BJ134" s="54">
        <v>499.29710070539437</v>
      </c>
      <c r="BK134" s="54">
        <v>478.36824638323372</v>
      </c>
      <c r="BL134" s="54">
        <v>463.87571421899111</v>
      </c>
      <c r="BM134" s="54">
        <v>372.3561028819484</v>
      </c>
      <c r="BN134" s="54">
        <v>401.46757303602885</v>
      </c>
      <c r="BO134" s="54">
        <v>479.14763473292976</v>
      </c>
      <c r="BP134" s="54">
        <v>481.55145108701799</v>
      </c>
      <c r="BQ134" s="54">
        <v>505.7763463452518</v>
      </c>
      <c r="BR134" s="54">
        <v>476.87855166011263</v>
      </c>
      <c r="BS134" s="54">
        <v>396.39697662668084</v>
      </c>
      <c r="BT134" s="54">
        <v>408.15443766296886</v>
      </c>
      <c r="BU134" s="54">
        <v>492.3039554051021</v>
      </c>
      <c r="BV134" s="54">
        <v>548.08082516614979</v>
      </c>
      <c r="BW134" s="54">
        <v>561.95976020455828</v>
      </c>
      <c r="BX134" s="54">
        <v>502.578629400392</v>
      </c>
    </row>
    <row r="135" spans="1:76" x14ac:dyDescent="0.3">
      <c r="A135" s="8" t="s">
        <v>104</v>
      </c>
      <c r="B135" s="8" t="s">
        <v>9</v>
      </c>
      <c r="C135" s="8" t="s">
        <v>108</v>
      </c>
      <c r="D135" s="8" t="s">
        <v>115</v>
      </c>
      <c r="E135" s="54">
        <v>518.26316599519089</v>
      </c>
      <c r="F135" s="54">
        <v>567.08089386007885</v>
      </c>
      <c r="G135" s="54">
        <v>511.55605539905281</v>
      </c>
      <c r="H135" s="54">
        <v>490.53076733068713</v>
      </c>
      <c r="I135" s="54">
        <v>590.12860652451707</v>
      </c>
      <c r="J135" s="54">
        <v>561.86042523419894</v>
      </c>
      <c r="K135" s="54">
        <v>555.21411027697479</v>
      </c>
      <c r="L135" s="54">
        <v>597.02097200868366</v>
      </c>
      <c r="M135" s="54">
        <v>556.20464395388922</v>
      </c>
      <c r="N135" s="54">
        <v>494.85103008602783</v>
      </c>
      <c r="O135" s="54">
        <v>566.59885739724007</v>
      </c>
      <c r="P135" s="54">
        <v>552.2476679909098</v>
      </c>
      <c r="Q135" s="54">
        <v>484.6503079138289</v>
      </c>
      <c r="R135" s="54">
        <v>598.23823633782933</v>
      </c>
      <c r="S135" s="54">
        <v>570.07876042544694</v>
      </c>
      <c r="T135" s="54">
        <v>386.26076535159484</v>
      </c>
      <c r="U135" s="54">
        <v>463.71927632199947</v>
      </c>
      <c r="V135" s="54">
        <v>485.92819627522113</v>
      </c>
      <c r="W135" s="54">
        <v>626.43325923878137</v>
      </c>
      <c r="X135" s="54">
        <v>664.68368819269165</v>
      </c>
      <c r="Y135" s="54">
        <v>559.40544647057891</v>
      </c>
      <c r="Z135" s="54">
        <v>584.24868280612975</v>
      </c>
      <c r="AA135" s="54">
        <v>561.22250280608864</v>
      </c>
      <c r="AB135" s="54">
        <v>561.86757149904201</v>
      </c>
      <c r="AC135" s="54">
        <v>615.18958741789004</v>
      </c>
      <c r="AD135" s="54">
        <v>662.36522290155199</v>
      </c>
      <c r="AE135" s="54">
        <v>535.12616417180664</v>
      </c>
      <c r="AF135" s="54">
        <v>586.74062702865524</v>
      </c>
      <c r="AG135" s="54">
        <v>570.35082685118277</v>
      </c>
      <c r="AH135" s="54">
        <v>541.81479993312439</v>
      </c>
      <c r="AI135" s="54">
        <v>536.51819561036734</v>
      </c>
      <c r="AJ135" s="54">
        <v>570.39448608743214</v>
      </c>
      <c r="AK135" s="54">
        <v>499.68185059418801</v>
      </c>
      <c r="AL135" s="54">
        <v>558.58568178002849</v>
      </c>
      <c r="AM135" s="54">
        <v>513.69141918456694</v>
      </c>
      <c r="AN135" s="54">
        <v>500.67811035003217</v>
      </c>
      <c r="AO135" s="54">
        <v>548.69398755327529</v>
      </c>
      <c r="AP135" s="54">
        <v>539.6790176765403</v>
      </c>
      <c r="AQ135" s="54">
        <v>494.28550157426776</v>
      </c>
      <c r="AR135" s="54">
        <v>398.15080657287717</v>
      </c>
      <c r="AS135" s="54">
        <v>398.23876726333032</v>
      </c>
      <c r="AT135" s="54">
        <v>450.20368776597388</v>
      </c>
      <c r="AU135" s="54">
        <v>499.94576618831468</v>
      </c>
      <c r="AV135" s="54">
        <v>528.41005208987667</v>
      </c>
      <c r="AW135" s="54">
        <v>495.74023713461935</v>
      </c>
      <c r="AX135" s="54">
        <v>499.31677211052141</v>
      </c>
      <c r="AY135" s="54">
        <v>538.17779242418283</v>
      </c>
      <c r="AZ135" s="54">
        <v>547.17036717806457</v>
      </c>
      <c r="BA135" s="54">
        <v>558.9126280053656</v>
      </c>
      <c r="BB135" s="54">
        <v>635.96447726943973</v>
      </c>
      <c r="BC135" s="54">
        <v>512.00880723552598</v>
      </c>
      <c r="BD135" s="54">
        <v>552.15220969718337</v>
      </c>
      <c r="BE135" s="54">
        <v>621.52054896253503</v>
      </c>
      <c r="BF135" s="54">
        <v>527.60212168440671</v>
      </c>
      <c r="BG135" s="54">
        <v>449.15496966391567</v>
      </c>
      <c r="BH135" s="54">
        <v>503.66556643384297</v>
      </c>
      <c r="BI135" s="54">
        <v>532.21969073751654</v>
      </c>
      <c r="BJ135" s="54">
        <v>421.75573089460562</v>
      </c>
      <c r="BK135" s="54">
        <v>479.72158552445762</v>
      </c>
      <c r="BL135" s="54">
        <v>471.73679310100903</v>
      </c>
      <c r="BM135" s="54">
        <v>534.25471601805157</v>
      </c>
      <c r="BN135" s="54">
        <v>585.99250870397168</v>
      </c>
      <c r="BO135" s="54">
        <v>573.30101589775518</v>
      </c>
      <c r="BP135" s="54">
        <v>385.67845627298203</v>
      </c>
      <c r="BQ135" s="54">
        <v>441.21946443474826</v>
      </c>
      <c r="BR135" s="54">
        <v>486.47968105057248</v>
      </c>
      <c r="BS135" s="54">
        <v>469.35210461331911</v>
      </c>
      <c r="BT135" s="54">
        <v>550.01264327703109</v>
      </c>
      <c r="BU135" s="54">
        <v>553.61423791489779</v>
      </c>
      <c r="BV135" s="54">
        <v>481.17702477385029</v>
      </c>
      <c r="BW135" s="54">
        <v>559.94275565544194</v>
      </c>
      <c r="BX135" s="54">
        <v>524.3356438416489</v>
      </c>
    </row>
    <row r="136" spans="1:76" x14ac:dyDescent="0.3">
      <c r="A136" s="8" t="s">
        <v>104</v>
      </c>
      <c r="B136" s="8" t="s">
        <v>9</v>
      </c>
      <c r="C136" s="8" t="s">
        <v>109</v>
      </c>
      <c r="D136" s="8" t="s">
        <v>110</v>
      </c>
      <c r="E136" s="54">
        <v>-42.414960022016167</v>
      </c>
      <c r="F136" s="54">
        <v>76.344394132688237</v>
      </c>
      <c r="G136" s="54">
        <v>162.49468333577954</v>
      </c>
      <c r="H136" s="54">
        <v>-72.577000704865725</v>
      </c>
      <c r="I136" s="54">
        <v>13.711738362285008</v>
      </c>
      <c r="J136" s="54">
        <v>91.701138915645132</v>
      </c>
      <c r="K136" s="54">
        <v>36.287448455053607</v>
      </c>
      <c r="L136" s="54">
        <v>111.01300378728496</v>
      </c>
      <c r="M136" s="54">
        <v>207.09193869700005</v>
      </c>
      <c r="N136" s="54">
        <v>81.727904690833128</v>
      </c>
      <c r="O136" s="54">
        <v>149.82090035591401</v>
      </c>
      <c r="P136" s="54">
        <v>244.68566282213456</v>
      </c>
      <c r="Q136" s="54">
        <v>111.27388566715091</v>
      </c>
      <c r="R136" s="54">
        <v>113.0528122662583</v>
      </c>
      <c r="S136" s="54">
        <v>221.8213082503737</v>
      </c>
      <c r="T136" s="54">
        <v>149.54320259301113</v>
      </c>
      <c r="U136" s="54">
        <v>152.08865097910774</v>
      </c>
      <c r="V136" s="54">
        <v>230.84302361585762</v>
      </c>
      <c r="W136" s="54">
        <v>-90.817092468817421</v>
      </c>
      <c r="X136" s="54">
        <v>-11.805384925053787</v>
      </c>
      <c r="Y136" s="54">
        <v>89.883394544311386</v>
      </c>
      <c r="Z136" s="54">
        <v>-54.430924305457154</v>
      </c>
      <c r="AA136" s="54">
        <v>26.571531984274198</v>
      </c>
      <c r="AB136" s="54">
        <v>124.00887142885387</v>
      </c>
      <c r="AC136" s="54">
        <v>-63.336211475657045</v>
      </c>
      <c r="AD136" s="54">
        <v>-11.756196361182747</v>
      </c>
      <c r="AE136" s="54">
        <v>83.285596176129076</v>
      </c>
      <c r="AF136" s="54">
        <v>19.266160680202816</v>
      </c>
      <c r="AG136" s="54">
        <v>50.129218490322593</v>
      </c>
      <c r="AH136" s="54">
        <v>126.53870903276876</v>
      </c>
      <c r="AI136" s="54">
        <v>27.671766604569935</v>
      </c>
      <c r="AJ136" s="54">
        <v>116.15303685275124</v>
      </c>
      <c r="AK136" s="54">
        <v>185.75054885209676</v>
      </c>
      <c r="AL136" s="54">
        <v>17.216278902795644</v>
      </c>
      <c r="AM136" s="54">
        <v>19.807673392177485</v>
      </c>
      <c r="AN136" s="54">
        <v>88.392229490645292</v>
      </c>
      <c r="AO136" s="54">
        <v>24.991394522446477</v>
      </c>
      <c r="AP136" s="54">
        <v>102.12240691577956</v>
      </c>
      <c r="AQ136" s="54">
        <v>177.44099965674741</v>
      </c>
      <c r="AR136" s="54">
        <v>71.645569171155941</v>
      </c>
      <c r="AS136" s="54">
        <v>145.65849204658588</v>
      </c>
      <c r="AT136" s="54">
        <v>207.88168917309147</v>
      </c>
      <c r="AU136" s="54">
        <v>49.402988138790185</v>
      </c>
      <c r="AV136" s="54">
        <v>129.50100207972858</v>
      </c>
      <c r="AW136" s="54">
        <v>219.69582426599433</v>
      </c>
      <c r="AX136" s="54">
        <v>1.7167907820967443</v>
      </c>
      <c r="AY136" s="54">
        <v>49.260821320322499</v>
      </c>
      <c r="AZ136" s="54">
        <v>120.77363836129018</v>
      </c>
      <c r="BA136" s="54">
        <v>64.363859110645123</v>
      </c>
      <c r="BB136" s="54">
        <v>105.42390514875521</v>
      </c>
      <c r="BC136" s="54">
        <v>150.43297309190851</v>
      </c>
      <c r="BD136" s="54">
        <v>5.7898466222847667</v>
      </c>
      <c r="BE136" s="54">
        <v>49.658039894760144</v>
      </c>
      <c r="BF136" s="54">
        <v>95.844795910913987</v>
      </c>
      <c r="BG136" s="54">
        <v>37.753751075537579</v>
      </c>
      <c r="BH136" s="54">
        <v>116.992659546586</v>
      </c>
      <c r="BI136" s="54">
        <v>245.86532432032283</v>
      </c>
      <c r="BJ136" s="54">
        <v>122.62311778655899</v>
      </c>
      <c r="BK136" s="54">
        <v>164.25226960967709</v>
      </c>
      <c r="BL136" s="54">
        <v>254.38490642962375</v>
      </c>
      <c r="BM136" s="54">
        <v>-0.46341031814522982</v>
      </c>
      <c r="BN136" s="54">
        <v>112.12602253720428</v>
      </c>
      <c r="BO136" s="54">
        <v>214.34081355981505</v>
      </c>
      <c r="BP136" s="54">
        <v>44.710094390752687</v>
      </c>
      <c r="BQ136" s="54">
        <v>155.73281622857527</v>
      </c>
      <c r="BR136" s="54">
        <v>227.77259630949254</v>
      </c>
      <c r="BS136" s="54">
        <v>128.87673113576793</v>
      </c>
      <c r="BT136" s="54">
        <v>56.814578188682738</v>
      </c>
      <c r="BU136" s="54">
        <v>169.54052984629021</v>
      </c>
      <c r="BV136" s="54">
        <v>52.197317722284751</v>
      </c>
      <c r="BW136" s="54">
        <v>150.59420772744625</v>
      </c>
      <c r="BX136" s="54">
        <v>237.57442620699521</v>
      </c>
    </row>
    <row r="137" spans="1:76" x14ac:dyDescent="0.3">
      <c r="A137" s="8" t="s">
        <v>104</v>
      </c>
      <c r="B137" s="8" t="s">
        <v>9</v>
      </c>
      <c r="C137" s="8" t="s">
        <v>109</v>
      </c>
      <c r="D137" s="8" t="s">
        <v>115</v>
      </c>
      <c r="E137" s="54">
        <v>322.76797755201625</v>
      </c>
      <c r="F137" s="54">
        <v>248.4661115473117</v>
      </c>
      <c r="G137" s="54">
        <v>264.88228689422044</v>
      </c>
      <c r="H137" s="54">
        <v>191.64381197486568</v>
      </c>
      <c r="I137" s="54">
        <v>157.63254564771501</v>
      </c>
      <c r="J137" s="54">
        <v>138.42181714435486</v>
      </c>
      <c r="K137" s="54">
        <v>270.96672818494613</v>
      </c>
      <c r="L137" s="54">
        <v>230.93140752271489</v>
      </c>
      <c r="M137" s="54">
        <v>230.79410173299996</v>
      </c>
      <c r="N137" s="54">
        <v>286.55100017916669</v>
      </c>
      <c r="O137" s="54">
        <v>256.91914084408586</v>
      </c>
      <c r="P137" s="54">
        <v>218.08214675786553</v>
      </c>
      <c r="Q137" s="54">
        <v>330.85509547284977</v>
      </c>
      <c r="R137" s="54">
        <v>240.67824248374171</v>
      </c>
      <c r="S137" s="54">
        <v>222.54532546962614</v>
      </c>
      <c r="T137" s="54">
        <v>353.02323520698951</v>
      </c>
      <c r="U137" s="54">
        <v>269.78651191089222</v>
      </c>
      <c r="V137" s="54">
        <v>239.3635591841423</v>
      </c>
      <c r="W137" s="54">
        <v>204.24815726881752</v>
      </c>
      <c r="X137" s="54">
        <v>156.59881216505377</v>
      </c>
      <c r="Y137" s="54">
        <v>139.94077422568861</v>
      </c>
      <c r="Z137" s="54">
        <v>220.4176431154572</v>
      </c>
      <c r="AA137" s="54">
        <v>179.74116796572582</v>
      </c>
      <c r="AB137" s="54">
        <v>125.03041099114608</v>
      </c>
      <c r="AC137" s="54">
        <v>177.35454784565707</v>
      </c>
      <c r="AD137" s="54">
        <v>157.0441680811827</v>
      </c>
      <c r="AE137" s="54">
        <v>148.58887158387091</v>
      </c>
      <c r="AF137" s="54">
        <v>160.42356142979719</v>
      </c>
      <c r="AG137" s="54">
        <v>164.68346470967731</v>
      </c>
      <c r="AH137" s="54">
        <v>127.70359343723126</v>
      </c>
      <c r="AI137" s="54">
        <v>284.79573309543002</v>
      </c>
      <c r="AJ137" s="54">
        <v>234.89923529724877</v>
      </c>
      <c r="AK137" s="54">
        <v>263.37607548790311</v>
      </c>
      <c r="AL137" s="54">
        <v>142.70196701720428</v>
      </c>
      <c r="AM137" s="54">
        <v>172.71959917782254</v>
      </c>
      <c r="AN137" s="54">
        <v>152.7549472693548</v>
      </c>
      <c r="AO137" s="54">
        <v>279.0791520275535</v>
      </c>
      <c r="AP137" s="54">
        <v>239.61594419422028</v>
      </c>
      <c r="AQ137" s="54">
        <v>260.03292037325252</v>
      </c>
      <c r="AR137" s="54">
        <v>311.923002538844</v>
      </c>
      <c r="AS137" s="54">
        <v>270.44698524341413</v>
      </c>
      <c r="AT137" s="54">
        <v>259.51217189690846</v>
      </c>
      <c r="AU137" s="54">
        <v>296.53899105120951</v>
      </c>
      <c r="AV137" s="54">
        <v>245.86637367027109</v>
      </c>
      <c r="AW137" s="54">
        <v>240.77441408400534</v>
      </c>
      <c r="AX137" s="54">
        <v>164.69235143790328</v>
      </c>
      <c r="AY137" s="54">
        <v>151.00401175967747</v>
      </c>
      <c r="AZ137" s="54">
        <v>127.00867683870976</v>
      </c>
      <c r="BA137" s="54">
        <v>257.76786396935478</v>
      </c>
      <c r="BB137" s="54">
        <v>247.92593823124466</v>
      </c>
      <c r="BC137" s="54">
        <v>219.66696727809131</v>
      </c>
      <c r="BD137" s="54">
        <v>158.71323874771502</v>
      </c>
      <c r="BE137" s="54">
        <v>150.58618716523986</v>
      </c>
      <c r="BF137" s="54">
        <v>147.79570926908602</v>
      </c>
      <c r="BG137" s="54">
        <v>296.96825022446239</v>
      </c>
      <c r="BH137" s="54">
        <v>251.71897174341385</v>
      </c>
      <c r="BI137" s="54">
        <v>216.79945515967725</v>
      </c>
      <c r="BJ137" s="54">
        <v>278.55329801344084</v>
      </c>
      <c r="BK137" s="54">
        <v>277.93012599032284</v>
      </c>
      <c r="BL137" s="54">
        <v>229.07134723037626</v>
      </c>
      <c r="BM137" s="54">
        <v>297.21881976814512</v>
      </c>
      <c r="BN137" s="54">
        <v>226.94384898279574</v>
      </c>
      <c r="BO137" s="54">
        <v>223.24643958018498</v>
      </c>
      <c r="BP137" s="54">
        <v>329.55485928924719</v>
      </c>
      <c r="BQ137" s="54">
        <v>258.41508916142476</v>
      </c>
      <c r="BR137" s="54">
        <v>240.97095907050738</v>
      </c>
      <c r="BS137" s="54">
        <v>437.50164938864702</v>
      </c>
      <c r="BT137" s="54">
        <v>265.7189622813172</v>
      </c>
      <c r="BU137" s="54">
        <v>255.18856681370971</v>
      </c>
      <c r="BV137" s="54">
        <v>305.88160724771529</v>
      </c>
      <c r="BW137" s="54">
        <v>253.8070502025538</v>
      </c>
      <c r="BX137" s="54">
        <v>227.7588328630047</v>
      </c>
    </row>
    <row r="138" spans="1:76" x14ac:dyDescent="0.3">
      <c r="A138" s="8" t="s">
        <v>104</v>
      </c>
      <c r="B138" s="8" t="s">
        <v>9</v>
      </c>
      <c r="C138" s="8" t="s">
        <v>110</v>
      </c>
      <c r="D138" s="8" t="s">
        <v>111</v>
      </c>
      <c r="E138" s="54">
        <v>289.68381309563188</v>
      </c>
      <c r="F138" s="54">
        <v>163.51796571415767</v>
      </c>
      <c r="G138" s="54">
        <v>174.24124337085578</v>
      </c>
      <c r="H138" s="54">
        <v>202.67065619612467</v>
      </c>
      <c r="I138" s="54">
        <v>86.823527788284053</v>
      </c>
      <c r="J138" s="54">
        <v>109.0638924038978</v>
      </c>
      <c r="K138" s="54">
        <v>196.3518151659498</v>
      </c>
      <c r="L138" s="54">
        <v>119.30964530911736</v>
      </c>
      <c r="M138" s="54">
        <v>118.58950533900648</v>
      </c>
      <c r="N138" s="54">
        <v>315.14771308680565</v>
      </c>
      <c r="O138" s="54">
        <v>224.99196450448022</v>
      </c>
      <c r="P138" s="54">
        <v>119.67880582679757</v>
      </c>
      <c r="Q138" s="54">
        <v>231.27370399215974</v>
      </c>
      <c r="R138" s="54">
        <v>131.034584829409</v>
      </c>
      <c r="S138" s="54">
        <v>116.16618788344756</v>
      </c>
      <c r="T138" s="54">
        <v>334.33637621818991</v>
      </c>
      <c r="U138" s="54">
        <v>238.32693808724946</v>
      </c>
      <c r="V138" s="54">
        <v>144.3265542019958</v>
      </c>
      <c r="W138" s="54">
        <v>197.67279981756269</v>
      </c>
      <c r="X138" s="54">
        <v>103.92614174238346</v>
      </c>
      <c r="Y138" s="54">
        <v>111.42148296811871</v>
      </c>
      <c r="Z138" s="54">
        <v>294.02804884150993</v>
      </c>
      <c r="AA138" s="54">
        <v>207.5825526159274</v>
      </c>
      <c r="AB138" s="54">
        <v>99.613917601295682</v>
      </c>
      <c r="AC138" s="54">
        <v>171.61778138802995</v>
      </c>
      <c r="AD138" s="54">
        <v>104.19756512410405</v>
      </c>
      <c r="AE138" s="54">
        <v>122.13893670161291</v>
      </c>
      <c r="AF138" s="54">
        <v>215.76619223906079</v>
      </c>
      <c r="AG138" s="54">
        <v>180.21753446236553</v>
      </c>
      <c r="AH138" s="54">
        <v>99.631612360999156</v>
      </c>
      <c r="AI138" s="54">
        <v>237.5363305432343</v>
      </c>
      <c r="AJ138" s="54">
        <v>133.48233723096104</v>
      </c>
      <c r="AK138" s="54">
        <v>166.39662969287627</v>
      </c>
      <c r="AL138" s="54">
        <v>90.608019596057247</v>
      </c>
      <c r="AM138" s="54">
        <v>107.0923832063846</v>
      </c>
      <c r="AN138" s="54">
        <v>121.32712188306449</v>
      </c>
      <c r="AO138" s="54">
        <v>212.31915321529993</v>
      </c>
      <c r="AP138" s="54">
        <v>138.82937963367615</v>
      </c>
      <c r="AQ138" s="54">
        <v>160.12093896628576</v>
      </c>
      <c r="AR138" s="54">
        <v>339.9025400075044</v>
      </c>
      <c r="AS138" s="54">
        <v>257.94660614375698</v>
      </c>
      <c r="AT138" s="54">
        <v>174.76966953169804</v>
      </c>
      <c r="AU138" s="54">
        <v>310.6340087973789</v>
      </c>
      <c r="AV138" s="54">
        <v>217.95238740759416</v>
      </c>
      <c r="AW138" s="54">
        <v>139.45454669298829</v>
      </c>
      <c r="AX138" s="54">
        <v>211.19800523454302</v>
      </c>
      <c r="AY138" s="54">
        <v>173.48672388736551</v>
      </c>
      <c r="AZ138" s="54">
        <v>89.427169516129055</v>
      </c>
      <c r="BA138" s="54">
        <v>183.10141539973114</v>
      </c>
      <c r="BB138" s="54">
        <v>111.00174228230297</v>
      </c>
      <c r="BC138" s="54">
        <v>137.73366425580201</v>
      </c>
      <c r="BD138" s="54">
        <v>238.84817577161743</v>
      </c>
      <c r="BE138" s="54">
        <v>174.34049545864693</v>
      </c>
      <c r="BF138" s="54">
        <v>135.61217440031359</v>
      </c>
      <c r="BG138" s="54">
        <v>238.65378143033155</v>
      </c>
      <c r="BH138" s="54">
        <v>141.18797278093632</v>
      </c>
      <c r="BI138" s="54">
        <v>94.867259254032049</v>
      </c>
      <c r="BJ138" s="54">
        <v>280.14473580421151</v>
      </c>
      <c r="BK138" s="54">
        <v>218.92505264660912</v>
      </c>
      <c r="BL138" s="54">
        <v>120.25684521751778</v>
      </c>
      <c r="BM138" s="54">
        <v>247.76487732735174</v>
      </c>
      <c r="BN138" s="54">
        <v>120.76300600394252</v>
      </c>
      <c r="BO138" s="54">
        <v>108.16083800891451</v>
      </c>
      <c r="BP138" s="54">
        <v>371.47731893996405</v>
      </c>
      <c r="BQ138" s="54">
        <v>240.27040362524633</v>
      </c>
      <c r="BR138" s="54">
        <v>147.64846804654886</v>
      </c>
      <c r="BS138" s="54">
        <v>322.77262496013816</v>
      </c>
      <c r="BT138" s="54">
        <v>203.37402819881279</v>
      </c>
      <c r="BU138" s="54">
        <v>176.36321362029582</v>
      </c>
      <c r="BV138" s="54">
        <v>349.76458035495074</v>
      </c>
      <c r="BW138" s="54">
        <v>225.88786938613347</v>
      </c>
      <c r="BX138" s="54">
        <v>131.47533066978247</v>
      </c>
    </row>
    <row r="139" spans="1:76" x14ac:dyDescent="0.3">
      <c r="A139" s="8" t="s">
        <v>104</v>
      </c>
      <c r="B139" s="8" t="s">
        <v>9</v>
      </c>
      <c r="C139" s="8" t="s">
        <v>110</v>
      </c>
      <c r="D139" s="8" t="s">
        <v>115</v>
      </c>
      <c r="E139" s="54">
        <v>236.38613171235235</v>
      </c>
      <c r="F139" s="54">
        <v>127.47187729853037</v>
      </c>
      <c r="G139" s="54">
        <v>95.340849594923839</v>
      </c>
      <c r="H139" s="54">
        <v>164.05104166900998</v>
      </c>
      <c r="I139" s="54">
        <v>98.23249458400096</v>
      </c>
      <c r="J139" s="54">
        <v>46.430641971747292</v>
      </c>
      <c r="K139" s="54">
        <v>162.50076122910406</v>
      </c>
      <c r="L139" s="54">
        <v>98.447769788167605</v>
      </c>
      <c r="M139" s="54">
        <v>50.316765140166588</v>
      </c>
      <c r="N139" s="54">
        <v>150.17004777402798</v>
      </c>
      <c r="O139" s="54">
        <v>96.36897705143366</v>
      </c>
      <c r="P139" s="54">
        <v>23.045266427509816</v>
      </c>
      <c r="Q139" s="54">
        <v>164.93312081499124</v>
      </c>
      <c r="R139" s="54">
        <v>103.92575552269867</v>
      </c>
      <c r="S139" s="54">
        <v>37.452896187897267</v>
      </c>
      <c r="T139" s="54">
        <v>160.57722217482083</v>
      </c>
      <c r="U139" s="54">
        <v>103.81334911770756</v>
      </c>
      <c r="V139" s="54">
        <v>44.154194314832807</v>
      </c>
      <c r="W139" s="54">
        <v>181.57398441362039</v>
      </c>
      <c r="X139" s="54">
        <v>110.30190057256273</v>
      </c>
      <c r="Y139" s="54">
        <v>48.352152211636799</v>
      </c>
      <c r="Z139" s="54">
        <v>174.16055756303339</v>
      </c>
      <c r="AA139" s="54">
        <v>106.54167931834679</v>
      </c>
      <c r="AB139" s="54">
        <v>21.349171613003758</v>
      </c>
      <c r="AC139" s="54">
        <v>149.90447096826665</v>
      </c>
      <c r="AD139" s="54">
        <v>110.57421023471325</v>
      </c>
      <c r="AE139" s="54">
        <v>57.416449634516198</v>
      </c>
      <c r="AF139" s="54">
        <v>97.315960613096777</v>
      </c>
      <c r="AG139" s="54">
        <v>84.72436722795706</v>
      </c>
      <c r="AH139" s="54">
        <v>21.866374441769754</v>
      </c>
      <c r="AI139" s="54">
        <v>176.02793876133504</v>
      </c>
      <c r="AJ139" s="54">
        <v>98.522971771790139</v>
      </c>
      <c r="AK139" s="54">
        <v>82.708775899219987</v>
      </c>
      <c r="AL139" s="54">
        <v>86.526505226738323</v>
      </c>
      <c r="AM139" s="54">
        <v>105.24256275579302</v>
      </c>
      <c r="AN139" s="54">
        <v>57.640516767580529</v>
      </c>
      <c r="AO139" s="54">
        <v>173.55707075714588</v>
      </c>
      <c r="AP139" s="54">
        <v>108.68275933825711</v>
      </c>
      <c r="AQ139" s="54">
        <v>84.634780420461468</v>
      </c>
      <c r="AR139" s="54">
        <v>172.12588377365134</v>
      </c>
      <c r="AS139" s="54">
        <v>107.46874413898323</v>
      </c>
      <c r="AT139" s="54">
        <v>69.067270011393234</v>
      </c>
      <c r="AU139" s="54">
        <v>172.99116663141123</v>
      </c>
      <c r="AV139" s="54">
        <v>99.160414740316455</v>
      </c>
      <c r="AW139" s="54">
        <v>50.668363923006332</v>
      </c>
      <c r="AX139" s="54">
        <v>108.93650556755385</v>
      </c>
      <c r="AY139" s="54">
        <v>76.038930512957066</v>
      </c>
      <c r="AZ139" s="54">
        <v>24.285632045161432</v>
      </c>
      <c r="BA139" s="54">
        <v>139.66331309091396</v>
      </c>
      <c r="BB139" s="54">
        <v>112.57200624645225</v>
      </c>
      <c r="BC139" s="54">
        <v>71.228158306106621</v>
      </c>
      <c r="BD139" s="54">
        <v>102.91390252066768</v>
      </c>
      <c r="BE139" s="54">
        <v>75.561771496113209</v>
      </c>
      <c r="BF139" s="54">
        <v>50.608074890600378</v>
      </c>
      <c r="BG139" s="54">
        <v>179.10195794520612</v>
      </c>
      <c r="BH139" s="54">
        <v>109.31631805564967</v>
      </c>
      <c r="BI139" s="54">
        <v>21.600307946290197</v>
      </c>
      <c r="BJ139" s="54">
        <v>124.39063978234776</v>
      </c>
      <c r="BK139" s="54">
        <v>103.16061585537672</v>
      </c>
      <c r="BL139" s="54">
        <v>25.521778272105557</v>
      </c>
      <c r="BM139" s="54">
        <v>198.37758500450275</v>
      </c>
      <c r="BN139" s="54">
        <v>95.232888053261689</v>
      </c>
      <c r="BO139" s="54">
        <v>41.660552940215759</v>
      </c>
      <c r="BP139" s="54">
        <v>197.34819233078849</v>
      </c>
      <c r="BQ139" s="54">
        <v>94.410317993328889</v>
      </c>
      <c r="BR139" s="54">
        <v>46.761007892258675</v>
      </c>
      <c r="BS139" s="54">
        <v>227.22940069121455</v>
      </c>
      <c r="BT139" s="54">
        <v>148.73868575987015</v>
      </c>
      <c r="BU139" s="54">
        <v>85.355446285994674</v>
      </c>
      <c r="BV139" s="54">
        <v>177.82241263733445</v>
      </c>
      <c r="BW139" s="54">
        <v>93.907596271312727</v>
      </c>
      <c r="BX139" s="54">
        <v>33.052008805172228</v>
      </c>
    </row>
    <row r="140" spans="1:76" x14ac:dyDescent="0.3">
      <c r="A140" s="8" t="s">
        <v>104</v>
      </c>
      <c r="B140" s="8" t="s">
        <v>9</v>
      </c>
      <c r="C140" s="8" t="s">
        <v>111</v>
      </c>
      <c r="D140" s="8" t="s">
        <v>112</v>
      </c>
      <c r="E140" s="54">
        <v>454.84698247000011</v>
      </c>
      <c r="F140" s="54">
        <v>410.38949431999993</v>
      </c>
      <c r="G140" s="54">
        <v>307.82302977000001</v>
      </c>
      <c r="H140" s="54">
        <v>380.93318873000004</v>
      </c>
      <c r="I140" s="54">
        <v>328.65571599000009</v>
      </c>
      <c r="J140" s="54">
        <v>269.87704394000002</v>
      </c>
      <c r="K140" s="54">
        <v>427.94582336000019</v>
      </c>
      <c r="L140" s="54">
        <v>393.25558868999997</v>
      </c>
      <c r="M140" s="54">
        <v>297.31395957000007</v>
      </c>
      <c r="N140" s="54">
        <v>366.92109513000014</v>
      </c>
      <c r="O140" s="54">
        <v>328.45995880000009</v>
      </c>
      <c r="P140" s="54">
        <v>272.43219041999998</v>
      </c>
      <c r="Q140" s="54">
        <v>415.06706086000003</v>
      </c>
      <c r="R140" s="54">
        <v>381.46894524999999</v>
      </c>
      <c r="S140" s="54">
        <v>290.83336628000001</v>
      </c>
      <c r="T140" s="54">
        <v>354.62960420000013</v>
      </c>
      <c r="U140" s="54">
        <v>313.32483710999992</v>
      </c>
      <c r="V140" s="54">
        <v>264.99341720000012</v>
      </c>
      <c r="W140" s="54">
        <v>386.56893519999988</v>
      </c>
      <c r="X140" s="54">
        <v>355.20657276000003</v>
      </c>
      <c r="Y140" s="54">
        <v>270.17583122999997</v>
      </c>
      <c r="Z140" s="54">
        <v>334.01328119000004</v>
      </c>
      <c r="AA140" s="54">
        <v>293.68730004999998</v>
      </c>
      <c r="AB140" s="54">
        <v>250.96071758000016</v>
      </c>
      <c r="AC140" s="54">
        <v>385.98166362999996</v>
      </c>
      <c r="AD140" s="54">
        <v>354.71202828000003</v>
      </c>
      <c r="AE140" s="54">
        <v>268.12553224000004</v>
      </c>
      <c r="AF140" s="54">
        <v>320.31027789000001</v>
      </c>
      <c r="AG140" s="54">
        <v>285.18731680000008</v>
      </c>
      <c r="AH140" s="54">
        <v>245.75769752999997</v>
      </c>
      <c r="AI140" s="54">
        <v>422.73250029999997</v>
      </c>
      <c r="AJ140" s="54">
        <v>384.14772785000008</v>
      </c>
      <c r="AK140" s="54">
        <v>286.07337566000001</v>
      </c>
      <c r="AL140" s="54">
        <v>340.08175408000005</v>
      </c>
      <c r="AM140" s="54">
        <v>307.47272742999996</v>
      </c>
      <c r="AN140" s="54">
        <v>258.85282324000002</v>
      </c>
      <c r="AO140" s="54">
        <v>431.12945344999986</v>
      </c>
      <c r="AP140" s="54">
        <v>393.46164888999999</v>
      </c>
      <c r="AQ140" s="54">
        <v>297.72607997000011</v>
      </c>
      <c r="AR140" s="54">
        <v>351.63142828999992</v>
      </c>
      <c r="AS140" s="54">
        <v>319.09452270999992</v>
      </c>
      <c r="AT140" s="54">
        <v>267.80613892999992</v>
      </c>
      <c r="AU140" s="54">
        <v>389.25802081000006</v>
      </c>
      <c r="AV140" s="54">
        <v>359.83262425000009</v>
      </c>
      <c r="AW140" s="54">
        <v>274.72976164999994</v>
      </c>
      <c r="AX140" s="54">
        <v>333.59085777999996</v>
      </c>
      <c r="AY140" s="54">
        <v>299.73516691999993</v>
      </c>
      <c r="AZ140" s="54">
        <v>252.21768479999994</v>
      </c>
      <c r="BA140" s="54">
        <v>413.06827692000002</v>
      </c>
      <c r="BB140" s="54">
        <v>381.85015661999989</v>
      </c>
      <c r="BC140" s="54">
        <v>288.20609873000012</v>
      </c>
      <c r="BD140" s="54">
        <v>335.49691462999999</v>
      </c>
      <c r="BE140" s="54">
        <v>299.75577293999999</v>
      </c>
      <c r="BF140" s="54">
        <v>256.35949482000007</v>
      </c>
      <c r="BG140" s="54">
        <v>400.4779987</v>
      </c>
      <c r="BH140" s="54">
        <v>366.48836871000003</v>
      </c>
      <c r="BI140" s="54">
        <v>272.53522052</v>
      </c>
      <c r="BJ140" s="54">
        <v>334.0235841999999</v>
      </c>
      <c r="BK140" s="54">
        <v>293.01760439999993</v>
      </c>
      <c r="BL140" s="54">
        <v>251.74374634000009</v>
      </c>
      <c r="BM140" s="54">
        <v>438.44459055000004</v>
      </c>
      <c r="BN140" s="54">
        <v>396.13012848000005</v>
      </c>
      <c r="BO140" s="54">
        <v>297.61274686000007</v>
      </c>
      <c r="BP140" s="54">
        <v>360.93504632000008</v>
      </c>
      <c r="BQ140" s="54">
        <v>321.05209460999993</v>
      </c>
      <c r="BR140" s="54">
        <v>266.45644461999996</v>
      </c>
      <c r="BS140" s="54">
        <v>458.87545937999994</v>
      </c>
      <c r="BT140" s="54">
        <v>412.66645953000005</v>
      </c>
      <c r="BU140" s="54">
        <v>310.47090333999995</v>
      </c>
      <c r="BV140" s="54">
        <v>377.12107503000004</v>
      </c>
      <c r="BW140" s="54">
        <v>330.79874207000006</v>
      </c>
      <c r="BX140" s="54">
        <v>269.86674092999993</v>
      </c>
    </row>
    <row r="141" spans="1:76" x14ac:dyDescent="0.3">
      <c r="A141" s="8" t="s">
        <v>104</v>
      </c>
      <c r="B141" s="8" t="s">
        <v>9</v>
      </c>
      <c r="C141" s="8" t="s">
        <v>111</v>
      </c>
      <c r="D141" s="8" t="s">
        <v>115</v>
      </c>
      <c r="E141" s="54">
        <v>-3.7627844005058142</v>
      </c>
      <c r="F141" s="54">
        <v>-6.5948205974507568</v>
      </c>
      <c r="G141" s="54">
        <v>-37.395139910591958</v>
      </c>
      <c r="H141" s="54">
        <v>-3.6308788708204753</v>
      </c>
      <c r="I141" s="54">
        <v>19.409666070323127</v>
      </c>
      <c r="J141" s="54">
        <v>-33.34195127362571</v>
      </c>
      <c r="K141" s="54">
        <v>-0.84431355689063015</v>
      </c>
      <c r="L141" s="54">
        <v>-0.73270097707267556</v>
      </c>
      <c r="M141" s="54">
        <v>-36.380866981754025</v>
      </c>
      <c r="N141" s="54">
        <v>-84.33978484873262</v>
      </c>
      <c r="O141" s="54">
        <v>-68.343245026724958</v>
      </c>
      <c r="P141" s="54">
        <v>-57.515303821116134</v>
      </c>
      <c r="Q141" s="54">
        <v>-20.846224383856416</v>
      </c>
      <c r="R141" s="54">
        <v>-3.9522988763566191</v>
      </c>
      <c r="S141" s="54">
        <v>-44.514195286231569</v>
      </c>
      <c r="T141" s="54">
        <v>-88.527318505253305</v>
      </c>
      <c r="U141" s="54">
        <v>-71.094324466250299</v>
      </c>
      <c r="V141" s="54">
        <v>-57.088450640122687</v>
      </c>
      <c r="W141" s="54">
        <v>12.634988424238269</v>
      </c>
      <c r="X141" s="54">
        <v>17.772586840432481</v>
      </c>
      <c r="Y141" s="54">
        <v>-33.374312696346607</v>
      </c>
      <c r="Z141" s="54">
        <v>-53.147112353668867</v>
      </c>
      <c r="AA141" s="54">
        <v>-49.832835896194581</v>
      </c>
      <c r="AB141" s="54">
        <v>-46.246819791056936</v>
      </c>
      <c r="AC141" s="54">
        <v>5.1672398586812829</v>
      </c>
      <c r="AD141" s="54">
        <v>17.807179473469994</v>
      </c>
      <c r="AE141" s="54">
        <v>-33.274498212620962</v>
      </c>
      <c r="AF141" s="54">
        <v>-61.866899689590362</v>
      </c>
      <c r="AG141" s="54">
        <v>-49.092683618010781</v>
      </c>
      <c r="AH141" s="54">
        <v>-45.869976894297167</v>
      </c>
      <c r="AI141" s="54">
        <v>-16.439252518520409</v>
      </c>
      <c r="AJ141" s="54">
        <v>-9.5342319405080644</v>
      </c>
      <c r="AK141" s="54">
        <v>-41.966311633632401</v>
      </c>
      <c r="AL141" s="54">
        <v>8.264866672517801</v>
      </c>
      <c r="AM141" s="54">
        <v>11.999182562854372</v>
      </c>
      <c r="AN141" s="54">
        <v>-32.599063601229886</v>
      </c>
      <c r="AO141" s="54">
        <v>-2.5316676917030989</v>
      </c>
      <c r="AP141" s="54">
        <v>-5.2562927673547311</v>
      </c>
      <c r="AQ141" s="54">
        <v>-36.599501538582487</v>
      </c>
      <c r="AR141" s="54">
        <v>-83.344674674451724</v>
      </c>
      <c r="AS141" s="54">
        <v>-80.6150707356108</v>
      </c>
      <c r="AT141" s="54">
        <v>-57.430590948766238</v>
      </c>
      <c r="AU141" s="54">
        <v>-64.402880524803365</v>
      </c>
      <c r="AV141" s="54">
        <v>-61.84993107450898</v>
      </c>
      <c r="AW141" s="54">
        <v>-49.157818740863</v>
      </c>
      <c r="AX141" s="54">
        <v>-50.296374095924136</v>
      </c>
      <c r="AY141" s="54">
        <v>-51.400004544885689</v>
      </c>
      <c r="AZ141" s="54">
        <v>-37.677756913709672</v>
      </c>
      <c r="BA141" s="54">
        <v>-9.6908998066465024</v>
      </c>
      <c r="BB141" s="54">
        <v>15.052915758399843</v>
      </c>
      <c r="BC141" s="54">
        <v>-32.662421430296185</v>
      </c>
      <c r="BD141" s="54">
        <v>-72.094682966760359</v>
      </c>
      <c r="BE141" s="54">
        <v>-52.29148103956949</v>
      </c>
      <c r="BF141" s="54">
        <v>-46.801552832245854</v>
      </c>
      <c r="BG141" s="54">
        <v>-14.832144935052693</v>
      </c>
      <c r="BH141" s="54">
        <v>-6.2552444463480628</v>
      </c>
      <c r="BI141" s="54">
        <v>-43.091806074052386</v>
      </c>
      <c r="BJ141" s="54">
        <v>-81.797480040871392</v>
      </c>
      <c r="BK141" s="54">
        <v>-59.457696012598205</v>
      </c>
      <c r="BL141" s="54">
        <v>-56.019194556869436</v>
      </c>
      <c r="BM141" s="54">
        <v>-6.069859576217862</v>
      </c>
      <c r="BN141" s="54">
        <v>-4.0522127125177665</v>
      </c>
      <c r="BO141" s="54">
        <v>-36.355109050409837</v>
      </c>
      <c r="BP141" s="54">
        <v>-84.162180089386254</v>
      </c>
      <c r="BQ141" s="54">
        <v>-79.361263770782344</v>
      </c>
      <c r="BR141" s="54">
        <v>-57.209536609899025</v>
      </c>
      <c r="BS141" s="54">
        <v>-31.310840081675508</v>
      </c>
      <c r="BT141" s="54">
        <v>-15.554753304355406</v>
      </c>
      <c r="BU141" s="54">
        <v>-46.210423798188849</v>
      </c>
      <c r="BV141" s="54">
        <v>-85.236053243843529</v>
      </c>
      <c r="BW141" s="54">
        <v>-70.749221162848869</v>
      </c>
      <c r="BX141" s="54">
        <v>-57.383075064734832</v>
      </c>
    </row>
    <row r="142" spans="1:76" x14ac:dyDescent="0.3">
      <c r="A142" s="8" t="s">
        <v>104</v>
      </c>
      <c r="B142" s="8" t="s">
        <v>9</v>
      </c>
      <c r="C142" s="8" t="s">
        <v>111</v>
      </c>
      <c r="D142" s="8" t="s">
        <v>118</v>
      </c>
      <c r="E142" s="54">
        <v>345.73343902094655</v>
      </c>
      <c r="F142" s="54">
        <v>305.13391517152957</v>
      </c>
      <c r="G142" s="54">
        <v>196.90806710239482</v>
      </c>
      <c r="H142" s="54">
        <v>281.13801281625797</v>
      </c>
      <c r="I142" s="54">
        <v>249.21955113344362</v>
      </c>
      <c r="J142" s="54">
        <v>166.13724268332464</v>
      </c>
      <c r="K142" s="54">
        <v>323.94600730586575</v>
      </c>
      <c r="L142" s="54">
        <v>293.65901951750641</v>
      </c>
      <c r="M142" s="54">
        <v>188.32119443469765</v>
      </c>
      <c r="N142" s="54">
        <v>220.45208732951039</v>
      </c>
      <c r="O142" s="54">
        <v>196.39651693396522</v>
      </c>
      <c r="P142" s="54">
        <v>153.86898432483031</v>
      </c>
      <c r="Q142" s="54">
        <v>300.67594362218597</v>
      </c>
      <c r="R142" s="54">
        <v>281.41394776793607</v>
      </c>
      <c r="S142" s="54">
        <v>177.77067832326111</v>
      </c>
      <c r="T142" s="54">
        <v>207.1845125718481</v>
      </c>
      <c r="U142" s="54">
        <v>181.50263779150012</v>
      </c>
      <c r="V142" s="54">
        <v>147.61616966592638</v>
      </c>
      <c r="W142" s="54">
        <v>295.82881135454306</v>
      </c>
      <c r="X142" s="54">
        <v>271.46930326925946</v>
      </c>
      <c r="Y142" s="54">
        <v>166.37926470844212</v>
      </c>
      <c r="Z142" s="54">
        <v>210.37335362904864</v>
      </c>
      <c r="AA142" s="54">
        <v>177.07668600603333</v>
      </c>
      <c r="AB142" s="54">
        <v>141.8425360078659</v>
      </c>
      <c r="AC142" s="54">
        <v>290.83429959145877</v>
      </c>
      <c r="AD142" s="54">
        <v>271.0573324290819</v>
      </c>
      <c r="AE142" s="54">
        <v>164.6451417824274</v>
      </c>
      <c r="AF142" s="54">
        <v>193.15135333999578</v>
      </c>
      <c r="AG142" s="54">
        <v>170.08329202919359</v>
      </c>
      <c r="AH142" s="54">
        <v>137.51599920217171</v>
      </c>
      <c r="AI142" s="54">
        <v>310.02738625138784</v>
      </c>
      <c r="AJ142" s="54">
        <v>280.40872270444515</v>
      </c>
      <c r="AK142" s="54">
        <v>181.24758809232034</v>
      </c>
      <c r="AL142" s="54">
        <v>252.53045482351078</v>
      </c>
      <c r="AM142" s="54">
        <v>226.23814603896287</v>
      </c>
      <c r="AN142" s="54">
        <v>156.93678217426211</v>
      </c>
      <c r="AO142" s="54">
        <v>325.71927115372824</v>
      </c>
      <c r="AP142" s="54">
        <v>291.12516711833723</v>
      </c>
      <c r="AQ142" s="54">
        <v>188.55061905060055</v>
      </c>
      <c r="AR142" s="54">
        <v>207.67069494907921</v>
      </c>
      <c r="AS142" s="54">
        <v>180.83866492988355</v>
      </c>
      <c r="AT142" s="54">
        <v>149.87201699449025</v>
      </c>
      <c r="AU142" s="54">
        <v>251.95903989386804</v>
      </c>
      <c r="AV142" s="54">
        <v>227.74358757404457</v>
      </c>
      <c r="AW142" s="54">
        <v>160.89385019923219</v>
      </c>
      <c r="AX142" s="54">
        <v>211.71417609994569</v>
      </c>
      <c r="AY142" s="54">
        <v>181.42826832806858</v>
      </c>
      <c r="AZ142" s="54">
        <v>148.08382005177424</v>
      </c>
      <c r="BA142" s="54">
        <v>305.62020242101215</v>
      </c>
      <c r="BB142" s="54">
        <v>293.15063649753984</v>
      </c>
      <c r="BC142" s="54">
        <v>182.58288353057227</v>
      </c>
      <c r="BD142" s="54">
        <v>200.30299052119395</v>
      </c>
      <c r="BE142" s="54">
        <v>180.91141269875831</v>
      </c>
      <c r="BF142" s="54">
        <v>146.23362626815273</v>
      </c>
      <c r="BG142" s="54">
        <v>291.51896190146863</v>
      </c>
      <c r="BH142" s="54">
        <v>266.92417595344131</v>
      </c>
      <c r="BI142" s="54">
        <v>162.61323431056863</v>
      </c>
      <c r="BJ142" s="54">
        <v>193.19214815047724</v>
      </c>
      <c r="BK142" s="54">
        <v>170.71578624244111</v>
      </c>
      <c r="BL142" s="54">
        <v>136.66426131337829</v>
      </c>
      <c r="BM142" s="54">
        <v>329.99710098551935</v>
      </c>
      <c r="BN142" s="54">
        <v>294.18253479248932</v>
      </c>
      <c r="BO142" s="54">
        <v>188.59808807225409</v>
      </c>
      <c r="BP142" s="54">
        <v>215.32085747636808</v>
      </c>
      <c r="BQ142" s="54">
        <v>183.30382452128057</v>
      </c>
      <c r="BR142" s="54">
        <v>148.82366707656058</v>
      </c>
      <c r="BS142" s="54">
        <v>332.72952290849457</v>
      </c>
      <c r="BT142" s="54">
        <v>301.75030010613682</v>
      </c>
      <c r="BU142" s="54">
        <v>193.93578614358674</v>
      </c>
      <c r="BV142" s="54">
        <v>228.83930870494385</v>
      </c>
      <c r="BW142" s="54">
        <v>196.99936661354056</v>
      </c>
      <c r="BX142" s="54">
        <v>151.70355327490915</v>
      </c>
    </row>
    <row r="143" spans="1:76" x14ac:dyDescent="0.3">
      <c r="A143" s="8" t="s">
        <v>104</v>
      </c>
      <c r="B143" s="8" t="s">
        <v>9</v>
      </c>
      <c r="C143" s="8" t="s">
        <v>115</v>
      </c>
      <c r="D143" s="8" t="s">
        <v>116</v>
      </c>
      <c r="E143" s="54">
        <v>394.22836478835109</v>
      </c>
      <c r="F143" s="54">
        <v>351.44872108149008</v>
      </c>
      <c r="G143" s="54">
        <v>257.60648200786852</v>
      </c>
      <c r="H143" s="54">
        <v>322.13603478591392</v>
      </c>
      <c r="I143" s="54">
        <v>266.55738987618548</v>
      </c>
      <c r="J143" s="54">
        <v>219.79850809622502</v>
      </c>
      <c r="K143" s="54">
        <v>367.4160404873781</v>
      </c>
      <c r="L143" s="54">
        <v>333.57073916816461</v>
      </c>
      <c r="M143" s="54">
        <v>247.1572839771008</v>
      </c>
      <c r="N143" s="54">
        <v>324.61602472149644</v>
      </c>
      <c r="O143" s="54">
        <v>283.91710883534495</v>
      </c>
      <c r="P143" s="54">
        <v>227.12444642372321</v>
      </c>
      <c r="Q143" s="54">
        <v>358.85962921527124</v>
      </c>
      <c r="R143" s="54">
        <v>322.72268139402138</v>
      </c>
      <c r="S143" s="54">
        <v>242.46537118024625</v>
      </c>
      <c r="T143" s="54">
        <v>313.46932779605072</v>
      </c>
      <c r="U143" s="54">
        <v>269.71058107550027</v>
      </c>
      <c r="V143" s="54">
        <v>219.78627189802458</v>
      </c>
      <c r="W143" s="54">
        <v>324.37771413515247</v>
      </c>
      <c r="X143" s="54">
        <v>292.77189107291355</v>
      </c>
      <c r="Y143" s="54">
        <v>220.09629798851927</v>
      </c>
      <c r="Z143" s="54">
        <v>286.29237163098378</v>
      </c>
      <c r="AA143" s="54">
        <v>246.31168472798893</v>
      </c>
      <c r="AB143" s="54">
        <v>203.93606359871151</v>
      </c>
      <c r="AC143" s="54">
        <v>325.29867406751367</v>
      </c>
      <c r="AD143" s="54">
        <v>292.28279167830595</v>
      </c>
      <c r="AE143" s="54">
        <v>218.07729357652428</v>
      </c>
      <c r="AF143" s="54">
        <v>274.67590088066828</v>
      </c>
      <c r="AG143" s="54">
        <v>237.87617060360233</v>
      </c>
      <c r="AH143" s="54">
        <v>198.78775047060947</v>
      </c>
      <c r="AI143" s="54">
        <v>365.45203829620408</v>
      </c>
      <c r="AJ143" s="54">
        <v>326.45088104185163</v>
      </c>
      <c r="AK143" s="54">
        <v>259.72976528522554</v>
      </c>
      <c r="AL143" s="54">
        <v>279.92673689349635</v>
      </c>
      <c r="AM143" s="54">
        <v>247.38607273167901</v>
      </c>
      <c r="AN143" s="54">
        <v>208.90131537924606</v>
      </c>
      <c r="AO143" s="54">
        <v>370.85755065209059</v>
      </c>
      <c r="AP143" s="54">
        <v>334.67636622122086</v>
      </c>
      <c r="AQ143" s="54">
        <v>247.60282827846635</v>
      </c>
      <c r="AR143" s="54">
        <v>309.5095775176402</v>
      </c>
      <c r="AS143" s="54">
        <v>277.24017378937191</v>
      </c>
      <c r="AT143" s="54">
        <v>222.59710364650331</v>
      </c>
      <c r="AU143" s="54">
        <v>342.40714639471048</v>
      </c>
      <c r="AV143" s="54">
        <v>313.20679485865168</v>
      </c>
      <c r="AW143" s="54">
        <v>227.69308135692268</v>
      </c>
      <c r="AX143" s="54">
        <v>285.31036115468476</v>
      </c>
      <c r="AY143" s="54">
        <v>252.52178865597696</v>
      </c>
      <c r="AZ143" s="54">
        <v>203.44779406274193</v>
      </c>
      <c r="BA143" s="54">
        <v>354.67974995832918</v>
      </c>
      <c r="BB143" s="54">
        <v>319.29331955282004</v>
      </c>
      <c r="BC143" s="54">
        <v>237.53343054780919</v>
      </c>
      <c r="BD143" s="54">
        <v>291.52842835760208</v>
      </c>
      <c r="BE143" s="54">
        <v>252.7201748244139</v>
      </c>
      <c r="BF143" s="54">
        <v>209.31081801594908</v>
      </c>
      <c r="BG143" s="54">
        <v>343.43247771951036</v>
      </c>
      <c r="BH143" s="54">
        <v>308.57720838151948</v>
      </c>
      <c r="BI143" s="54">
        <v>224.34020122181053</v>
      </c>
      <c r="BJ143" s="54">
        <v>292.03249060317415</v>
      </c>
      <c r="BK143" s="54">
        <v>247.58370349251967</v>
      </c>
      <c r="BL143" s="54">
        <v>206.65399159287378</v>
      </c>
      <c r="BM143" s="54">
        <v>378.69744770149373</v>
      </c>
      <c r="BN143" s="54">
        <v>337.03731781050351</v>
      </c>
      <c r="BO143" s="54">
        <v>247.44344999858203</v>
      </c>
      <c r="BP143" s="54">
        <v>318.74410617987724</v>
      </c>
      <c r="BQ143" s="54">
        <v>278.89804499890647</v>
      </c>
      <c r="BR143" s="54">
        <v>221.23694082647981</v>
      </c>
      <c r="BS143" s="54">
        <v>403.66574091183492</v>
      </c>
      <c r="BT143" s="54">
        <v>355.46074870262112</v>
      </c>
      <c r="BU143" s="54">
        <v>261.95121551613789</v>
      </c>
      <c r="BV143" s="54">
        <v>334.74025880301883</v>
      </c>
      <c r="BW143" s="54">
        <v>286.6786177508198</v>
      </c>
      <c r="BX143" s="54">
        <v>224.59668741969719</v>
      </c>
    </row>
    <row r="144" spans="1:76" x14ac:dyDescent="0.3">
      <c r="A144" s="8" t="s">
        <v>104</v>
      </c>
      <c r="B144" s="8" t="s">
        <v>9</v>
      </c>
      <c r="C144" s="8" t="s">
        <v>115</v>
      </c>
      <c r="D144" s="8" t="s">
        <v>117</v>
      </c>
      <c r="E144" s="54">
        <v>424.57914360070225</v>
      </c>
      <c r="F144" s="54">
        <v>374.58584670698025</v>
      </c>
      <c r="G144" s="54">
        <v>268.95454019973664</v>
      </c>
      <c r="H144" s="54">
        <v>339.52551858782829</v>
      </c>
      <c r="I144" s="54">
        <v>270.19020696037074</v>
      </c>
      <c r="J144" s="54">
        <v>223.69538104045029</v>
      </c>
      <c r="K144" s="54">
        <v>392.47542228675638</v>
      </c>
      <c r="L144" s="54">
        <v>352.53700738432883</v>
      </c>
      <c r="M144" s="54">
        <v>256.46340029820158</v>
      </c>
      <c r="N144" s="54">
        <v>355.69517333899324</v>
      </c>
      <c r="O144" s="54">
        <v>305.06625063068958</v>
      </c>
      <c r="P144" s="54">
        <v>236.3031405114464</v>
      </c>
      <c r="Q144" s="54">
        <v>385.66560974254236</v>
      </c>
      <c r="R144" s="54">
        <v>340.27020658804253</v>
      </c>
      <c r="S144" s="54">
        <v>252.26404933649272</v>
      </c>
      <c r="T144" s="54">
        <v>343.23497223210131</v>
      </c>
      <c r="U144" s="54">
        <v>288.76129246299985</v>
      </c>
      <c r="V144" s="54">
        <v>227.57781003604904</v>
      </c>
      <c r="W144" s="54">
        <v>339.50028011030463</v>
      </c>
      <c r="X144" s="54">
        <v>301.37852393782703</v>
      </c>
      <c r="Y144" s="54">
        <v>224.05193099303867</v>
      </c>
      <c r="Z144" s="54">
        <v>305.3741183099674</v>
      </c>
      <c r="AA144" s="54">
        <v>257.67352941597778</v>
      </c>
      <c r="AB144" s="54">
        <v>207.10355313342288</v>
      </c>
      <c r="AC144" s="54">
        <v>341.81201723102748</v>
      </c>
      <c r="AD144" s="54">
        <v>300.79596073261206</v>
      </c>
      <c r="AE144" s="54">
        <v>221.65416136104832</v>
      </c>
      <c r="AF144" s="54">
        <v>293.10357944933617</v>
      </c>
      <c r="AG144" s="54">
        <v>247.60248776720428</v>
      </c>
      <c r="AH144" s="54">
        <v>200.96934291721902</v>
      </c>
      <c r="AI144" s="54">
        <v>392.71807635240805</v>
      </c>
      <c r="AJ144" s="54">
        <v>345.58357980370323</v>
      </c>
      <c r="AK144" s="54">
        <v>257.9972494024525</v>
      </c>
      <c r="AL144" s="54">
        <v>287.78807052299294</v>
      </c>
      <c r="AM144" s="54">
        <v>248.7939635193579</v>
      </c>
      <c r="AN144" s="54">
        <v>210.72037216649187</v>
      </c>
      <c r="AO144" s="54">
        <v>396.81153854418108</v>
      </c>
      <c r="AP144" s="54">
        <v>354.58341333044194</v>
      </c>
      <c r="AQ144" s="54">
        <v>257.02479258093302</v>
      </c>
      <c r="AR144" s="54">
        <v>337.71401240328049</v>
      </c>
      <c r="AS144" s="54">
        <v>299.20472941074451</v>
      </c>
      <c r="AT144" s="54">
        <v>230.9492961490065</v>
      </c>
      <c r="AU144" s="54">
        <v>373.40787614142124</v>
      </c>
      <c r="AV144" s="54">
        <v>338.54749031730358</v>
      </c>
      <c r="AW144" s="54">
        <v>235.60235339384516</v>
      </c>
      <c r="AX144" s="54">
        <v>303.74803608536951</v>
      </c>
      <c r="AY144" s="54">
        <v>265.25544377595423</v>
      </c>
      <c r="AZ144" s="54">
        <v>205.12144028548374</v>
      </c>
      <c r="BA144" s="54">
        <v>378.90487838065854</v>
      </c>
      <c r="BB144" s="54">
        <v>333.10651380964009</v>
      </c>
      <c r="BC144" s="54">
        <v>244.50198211161856</v>
      </c>
      <c r="BD144" s="54">
        <v>314.6593250112042</v>
      </c>
      <c r="BE144" s="54">
        <v>265.63573129682783</v>
      </c>
      <c r="BF144" s="54">
        <v>213.53404017589827</v>
      </c>
      <c r="BG144" s="54">
        <v>366.48255647902107</v>
      </c>
      <c r="BH144" s="54">
        <v>323.96372179503931</v>
      </c>
      <c r="BI144" s="54">
        <v>230.65222602762091</v>
      </c>
      <c r="BJ144" s="54">
        <v>316.84611384634854</v>
      </c>
      <c r="BK144" s="54">
        <v>260.75332346503922</v>
      </c>
      <c r="BL144" s="54">
        <v>211.91298611374765</v>
      </c>
      <c r="BM144" s="54">
        <v>406.63922296298716</v>
      </c>
      <c r="BN144" s="54">
        <v>357.17053283700716</v>
      </c>
      <c r="BO144" s="54">
        <v>256.79670250916399</v>
      </c>
      <c r="BP144" s="54">
        <v>348.74017530375465</v>
      </c>
      <c r="BQ144" s="54">
        <v>300.95441430981282</v>
      </c>
      <c r="BR144" s="54">
        <v>229.30872595695951</v>
      </c>
      <c r="BS144" s="54">
        <v>440.23111431967021</v>
      </c>
      <c r="BT144" s="54">
        <v>380.78832978124223</v>
      </c>
      <c r="BU144" s="54">
        <v>275.52570836027559</v>
      </c>
      <c r="BV144" s="54">
        <v>367.78365758203768</v>
      </c>
      <c r="BW144" s="54">
        <v>308.71824184563934</v>
      </c>
      <c r="BX144" s="54">
        <v>233.29998209539383</v>
      </c>
    </row>
    <row r="145" spans="1:76" x14ac:dyDescent="0.3">
      <c r="A145" s="8" t="s">
        <v>104</v>
      </c>
      <c r="B145" s="8" t="s">
        <v>9</v>
      </c>
      <c r="C145" s="8" t="s">
        <v>116</v>
      </c>
      <c r="D145" s="8" t="s">
        <v>117</v>
      </c>
      <c r="E145" s="54">
        <v>-60.618617681648892</v>
      </c>
      <c r="F145" s="54">
        <v>-58.940773238509877</v>
      </c>
      <c r="G145" s="54">
        <v>-50.216547762131583</v>
      </c>
      <c r="H145" s="54">
        <v>-58.79715394408602</v>
      </c>
      <c r="I145" s="54">
        <v>-62.098326113814608</v>
      </c>
      <c r="J145" s="54">
        <v>-50.078535843774866</v>
      </c>
      <c r="K145" s="54">
        <v>-60.529782872621894</v>
      </c>
      <c r="L145" s="54">
        <v>-59.684849521835503</v>
      </c>
      <c r="M145" s="54">
        <v>-50.156675592899269</v>
      </c>
      <c r="N145" s="54">
        <v>-42.305070408503511</v>
      </c>
      <c r="O145" s="54">
        <v>-44.542849964655076</v>
      </c>
      <c r="P145" s="54">
        <v>-45.307743996276798</v>
      </c>
      <c r="Q145" s="54">
        <v>-56.207431644728743</v>
      </c>
      <c r="R145" s="54">
        <v>-58.746263855978583</v>
      </c>
      <c r="S145" s="54">
        <v>-48.367995099753756</v>
      </c>
      <c r="T145" s="54">
        <v>-41.160276403949368</v>
      </c>
      <c r="U145" s="54">
        <v>-43.614256034499647</v>
      </c>
      <c r="V145" s="54">
        <v>-45.207145301975451</v>
      </c>
      <c r="W145" s="54">
        <v>-62.191221064847426</v>
      </c>
      <c r="X145" s="54">
        <v>-62.434681687086439</v>
      </c>
      <c r="Y145" s="54">
        <v>-50.079533241480846</v>
      </c>
      <c r="Z145" s="54">
        <v>-47.720909559016313</v>
      </c>
      <c r="AA145" s="54">
        <v>-47.375615322011065</v>
      </c>
      <c r="AB145" s="54">
        <v>-47.024653981288637</v>
      </c>
      <c r="AC145" s="54">
        <v>-60.682989562486298</v>
      </c>
      <c r="AD145" s="54">
        <v>-62.429236601693972</v>
      </c>
      <c r="AE145" s="54">
        <v>-50.048238663475743</v>
      </c>
      <c r="AF145" s="54">
        <v>-45.634377009331928</v>
      </c>
      <c r="AG145" s="54">
        <v>-47.311146196397758</v>
      </c>
      <c r="AH145" s="54">
        <v>-46.969947059390506</v>
      </c>
      <c r="AI145" s="54">
        <v>-57.280462003795883</v>
      </c>
      <c r="AJ145" s="54">
        <v>-57.696846808148464</v>
      </c>
      <c r="AK145" s="54">
        <v>-67.09808617477276</v>
      </c>
      <c r="AL145" s="54">
        <v>-60.155017186503514</v>
      </c>
      <c r="AM145" s="54">
        <v>-60.08665469832097</v>
      </c>
      <c r="AN145" s="54">
        <v>-49.951507860753978</v>
      </c>
      <c r="AO145" s="54">
        <v>-60.271902797909391</v>
      </c>
      <c r="AP145" s="54">
        <v>-58.785282668779139</v>
      </c>
      <c r="AQ145" s="54">
        <v>-50.123251691533646</v>
      </c>
      <c r="AR145" s="54">
        <v>-42.12185077235975</v>
      </c>
      <c r="AS145" s="54">
        <v>-41.854348920628006</v>
      </c>
      <c r="AT145" s="54">
        <v>-45.209035283496625</v>
      </c>
      <c r="AU145" s="54">
        <v>-46.850874415289347</v>
      </c>
      <c r="AV145" s="54">
        <v>-46.625829391348184</v>
      </c>
      <c r="AW145" s="54">
        <v>-47.036680293077396</v>
      </c>
      <c r="AX145" s="54">
        <v>-48.280496625315195</v>
      </c>
      <c r="AY145" s="54">
        <v>-47.213378264022943</v>
      </c>
      <c r="AZ145" s="54">
        <v>-48.769890737258017</v>
      </c>
      <c r="BA145" s="54">
        <v>-58.388526961670742</v>
      </c>
      <c r="BB145" s="54">
        <v>-62.556837067180069</v>
      </c>
      <c r="BC145" s="54">
        <v>-50.672668182190741</v>
      </c>
      <c r="BD145" s="54">
        <v>-43.968486272398131</v>
      </c>
      <c r="BE145" s="54">
        <v>-47.035598115586112</v>
      </c>
      <c r="BF145" s="54">
        <v>-47.048676804051006</v>
      </c>
      <c r="BG145" s="54">
        <v>-57.045520980489542</v>
      </c>
      <c r="BH145" s="54">
        <v>-57.911160328480534</v>
      </c>
      <c r="BI145" s="54">
        <v>-48.195019298189479</v>
      </c>
      <c r="BJ145" s="54">
        <v>-41.991093596825735</v>
      </c>
      <c r="BK145" s="54">
        <v>-45.433900907480449</v>
      </c>
      <c r="BL145" s="54">
        <v>-45.089754747126179</v>
      </c>
      <c r="BM145" s="54">
        <v>-59.747142848506464</v>
      </c>
      <c r="BN145" s="54">
        <v>-59.092810669496345</v>
      </c>
      <c r="BO145" s="54">
        <v>-50.169296861418019</v>
      </c>
      <c r="BP145" s="54">
        <v>-42.190940140122699</v>
      </c>
      <c r="BQ145" s="54">
        <v>-42.154049611093484</v>
      </c>
      <c r="BR145" s="54">
        <v>-45.219503793520133</v>
      </c>
      <c r="BS145" s="54">
        <v>-55.209718468165022</v>
      </c>
      <c r="BT145" s="54">
        <v>-57.205710827378908</v>
      </c>
      <c r="BU145" s="54">
        <v>-48.519687823862292</v>
      </c>
      <c r="BV145" s="54">
        <v>-42.38081622698131</v>
      </c>
      <c r="BW145" s="54">
        <v>-44.120124319180107</v>
      </c>
      <c r="BX145" s="54">
        <v>-45.270053510302887</v>
      </c>
    </row>
    <row r="146" spans="1:76" x14ac:dyDescent="0.3">
      <c r="A146" s="8" t="s">
        <v>104</v>
      </c>
      <c r="B146" s="8" t="s">
        <v>9</v>
      </c>
      <c r="C146" s="8" t="s">
        <v>117</v>
      </c>
      <c r="D146" s="8" t="s">
        <v>118</v>
      </c>
      <c r="E146" s="54">
        <v>109.11354344905344</v>
      </c>
      <c r="F146" s="54">
        <v>105.25557914847039</v>
      </c>
      <c r="G146" s="54">
        <v>110.91496266760514</v>
      </c>
      <c r="H146" s="54">
        <v>99.795175913742213</v>
      </c>
      <c r="I146" s="54">
        <v>79.436164856556246</v>
      </c>
      <c r="J146" s="54">
        <v>103.73980125667536</v>
      </c>
      <c r="K146" s="54">
        <v>103.99981605413433</v>
      </c>
      <c r="L146" s="54">
        <v>99.596569172493602</v>
      </c>
      <c r="M146" s="54">
        <v>108.99276513530232</v>
      </c>
      <c r="N146" s="54">
        <v>146.46900780048955</v>
      </c>
      <c r="O146" s="54">
        <v>132.06344186603479</v>
      </c>
      <c r="P146" s="54">
        <v>118.56320609516958</v>
      </c>
      <c r="Q146" s="54">
        <v>114.39111723781382</v>
      </c>
      <c r="R146" s="54">
        <v>100.05499748206392</v>
      </c>
      <c r="S146" s="54">
        <v>113.0626879567389</v>
      </c>
      <c r="T146" s="54">
        <v>147.445091628152</v>
      </c>
      <c r="U146" s="54">
        <v>131.82219931849991</v>
      </c>
      <c r="V146" s="54">
        <v>117.37724753407363</v>
      </c>
      <c r="W146" s="54">
        <v>90.740123845457049</v>
      </c>
      <c r="X146" s="54">
        <v>83.737269490740559</v>
      </c>
      <c r="Y146" s="54">
        <v>103.79656652155789</v>
      </c>
      <c r="Z146" s="54">
        <v>123.63992756095121</v>
      </c>
      <c r="AA146" s="54">
        <v>116.61061404396666</v>
      </c>
      <c r="AB146" s="54">
        <v>109.11818157213415</v>
      </c>
      <c r="AC146" s="54">
        <v>95.147364038541184</v>
      </c>
      <c r="AD146" s="54">
        <v>83.654695850918003</v>
      </c>
      <c r="AE146" s="54">
        <v>103.48039045757262</v>
      </c>
      <c r="AF146" s="54">
        <v>127.15892455000433</v>
      </c>
      <c r="AG146" s="54">
        <v>115.10402477080639</v>
      </c>
      <c r="AH146" s="54">
        <v>108.24169832782826</v>
      </c>
      <c r="AI146" s="54">
        <v>112.70511404861227</v>
      </c>
      <c r="AJ146" s="54">
        <v>103.73900514555478</v>
      </c>
      <c r="AK146" s="54">
        <v>104.82578756767968</v>
      </c>
      <c r="AL146" s="54">
        <v>87.551299256489301</v>
      </c>
      <c r="AM146" s="54">
        <v>81.234581391037125</v>
      </c>
      <c r="AN146" s="54">
        <v>101.91604106573793</v>
      </c>
      <c r="AO146" s="54">
        <v>105.41018229627186</v>
      </c>
      <c r="AP146" s="54">
        <v>102.33648177166276</v>
      </c>
      <c r="AQ146" s="54">
        <v>109.17546091939955</v>
      </c>
      <c r="AR146" s="54">
        <v>143.96073334092097</v>
      </c>
      <c r="AS146" s="54">
        <v>138.25585778011651</v>
      </c>
      <c r="AT146" s="54">
        <v>117.93412193550978</v>
      </c>
      <c r="AU146" s="54">
        <v>137.29898091613202</v>
      </c>
      <c r="AV146" s="54">
        <v>132.0890366759553</v>
      </c>
      <c r="AW146" s="54">
        <v>113.83591145076777</v>
      </c>
      <c r="AX146" s="54">
        <v>121.87668168005428</v>
      </c>
      <c r="AY146" s="54">
        <v>118.30689859193144</v>
      </c>
      <c r="AZ146" s="54">
        <v>104.13386474822583</v>
      </c>
      <c r="BA146" s="54">
        <v>107.44807449898785</v>
      </c>
      <c r="BB146" s="54">
        <v>88.699520122460072</v>
      </c>
      <c r="BC146" s="54">
        <v>105.62321519942786</v>
      </c>
      <c r="BD146" s="54">
        <v>135.19392410880604</v>
      </c>
      <c r="BE146" s="54">
        <v>118.84436024124167</v>
      </c>
      <c r="BF146" s="54">
        <v>110.12586855184725</v>
      </c>
      <c r="BG146" s="54">
        <v>108.95903679853136</v>
      </c>
      <c r="BH146" s="54">
        <v>99.564192756558811</v>
      </c>
      <c r="BI146" s="54">
        <v>109.9219862094314</v>
      </c>
      <c r="BJ146" s="54">
        <v>140.83143604952264</v>
      </c>
      <c r="BK146" s="54">
        <v>122.30181815755881</v>
      </c>
      <c r="BL146" s="54">
        <v>115.07948502662168</v>
      </c>
      <c r="BM146" s="54">
        <v>108.44748956448069</v>
      </c>
      <c r="BN146" s="54">
        <v>101.94759368751072</v>
      </c>
      <c r="BO146" s="54">
        <v>109.01465878774586</v>
      </c>
      <c r="BP146" s="54">
        <v>145.61418884363175</v>
      </c>
      <c r="BQ146" s="54">
        <v>137.74827008871938</v>
      </c>
      <c r="BR146" s="54">
        <v>117.63277754343937</v>
      </c>
      <c r="BS146" s="54">
        <v>126.14593647150541</v>
      </c>
      <c r="BT146" s="54">
        <v>110.91615942386323</v>
      </c>
      <c r="BU146" s="54">
        <v>116.5351171964133</v>
      </c>
      <c r="BV146" s="54">
        <v>148.2817663250562</v>
      </c>
      <c r="BW146" s="54">
        <v>133.79937545645936</v>
      </c>
      <c r="BX146" s="54">
        <v>118.16318765509082</v>
      </c>
    </row>
    <row r="147" spans="1:76" x14ac:dyDescent="0.3">
      <c r="A147" s="8" t="s">
        <v>104</v>
      </c>
      <c r="B147" s="8" t="s">
        <v>10</v>
      </c>
      <c r="C147" s="8" t="s">
        <v>108</v>
      </c>
      <c r="D147" s="8" t="s">
        <v>111</v>
      </c>
      <c r="E147" s="54">
        <v>366.32446738380577</v>
      </c>
      <c r="F147" s="54">
        <v>395.64011749992136</v>
      </c>
      <c r="G147" s="54">
        <v>500.32221720954936</v>
      </c>
      <c r="H147" s="54">
        <v>531.55131399067488</v>
      </c>
      <c r="I147" s="54">
        <v>519.70198082702427</v>
      </c>
      <c r="J147" s="54">
        <v>498.4168839758849</v>
      </c>
      <c r="K147" s="54">
        <v>330.88672169227237</v>
      </c>
      <c r="L147" s="54">
        <v>343.75155222493657</v>
      </c>
      <c r="M147" s="54">
        <v>500.20625192870716</v>
      </c>
      <c r="N147" s="54">
        <v>480.50167973784318</v>
      </c>
      <c r="O147" s="54">
        <v>502.96580315329754</v>
      </c>
      <c r="P147" s="54">
        <v>524.86052954795889</v>
      </c>
      <c r="Q147" s="54">
        <v>370.81942457907303</v>
      </c>
      <c r="R147" s="54">
        <v>387.42036607394726</v>
      </c>
      <c r="S147" s="54">
        <v>521.25130206536573</v>
      </c>
      <c r="T147" s="54">
        <v>485.7093138613082</v>
      </c>
      <c r="U147" s="54">
        <v>512.94603259027883</v>
      </c>
      <c r="V147" s="54">
        <v>518.56756736426507</v>
      </c>
      <c r="W147" s="54">
        <v>529.21781634688148</v>
      </c>
      <c r="X147" s="54">
        <v>540.09788754944645</v>
      </c>
      <c r="Y147" s="54">
        <v>504.14528477527188</v>
      </c>
      <c r="Z147" s="54">
        <v>577.88923730204215</v>
      </c>
      <c r="AA147" s="54">
        <v>594.67999578178433</v>
      </c>
      <c r="AB147" s="54">
        <v>523.60215523355862</v>
      </c>
      <c r="AC147" s="54">
        <v>528.22230621387382</v>
      </c>
      <c r="AD147" s="54">
        <v>548.84177274977435</v>
      </c>
      <c r="AE147" s="54">
        <v>486.62599681212339</v>
      </c>
      <c r="AF147" s="54">
        <v>561.43761500253152</v>
      </c>
      <c r="AG147" s="54">
        <v>582.1636215273121</v>
      </c>
      <c r="AH147" s="54">
        <v>499.53451096601543</v>
      </c>
      <c r="AI147" s="54">
        <v>401.51680378963283</v>
      </c>
      <c r="AJ147" s="54">
        <v>396.29227321360696</v>
      </c>
      <c r="AK147" s="54">
        <v>478.92952943710208</v>
      </c>
      <c r="AL147" s="54">
        <v>495.302291373233</v>
      </c>
      <c r="AM147" s="54">
        <v>457.40475614159772</v>
      </c>
      <c r="AN147" s="54">
        <v>476.38357564595356</v>
      </c>
      <c r="AO147" s="54">
        <v>381.96401004134884</v>
      </c>
      <c r="AP147" s="54">
        <v>380.3688679010977</v>
      </c>
      <c r="AQ147" s="54">
        <v>439.27328502251959</v>
      </c>
      <c r="AR147" s="54">
        <v>471.63413657013353</v>
      </c>
      <c r="AS147" s="54">
        <v>487.03210887430726</v>
      </c>
      <c r="AT147" s="54">
        <v>456.21012343124346</v>
      </c>
      <c r="AU147" s="54">
        <v>527.17207893147065</v>
      </c>
      <c r="AV147" s="54">
        <v>528.44155541473037</v>
      </c>
      <c r="AW147" s="54">
        <v>485.91806449262111</v>
      </c>
      <c r="AX147" s="54">
        <v>577.89525570008777</v>
      </c>
      <c r="AY147" s="54">
        <v>565.87730806937816</v>
      </c>
      <c r="AZ147" s="54">
        <v>504.99945180974913</v>
      </c>
      <c r="BA147" s="54">
        <v>370.24539879979648</v>
      </c>
      <c r="BB147" s="54">
        <v>385.32406649919551</v>
      </c>
      <c r="BC147" s="54">
        <v>421.88965829348723</v>
      </c>
      <c r="BD147" s="54">
        <v>483.1513803976548</v>
      </c>
      <c r="BE147" s="54">
        <v>506.71939667872243</v>
      </c>
      <c r="BF147" s="54">
        <v>457.65848202847678</v>
      </c>
      <c r="BG147" s="54">
        <v>339.47935224363437</v>
      </c>
      <c r="BH147" s="54">
        <v>375.24459750923933</v>
      </c>
      <c r="BI147" s="54">
        <v>476.95089444089092</v>
      </c>
      <c r="BJ147" s="54">
        <v>499.29710070539437</v>
      </c>
      <c r="BK147" s="54">
        <v>496.22926964340519</v>
      </c>
      <c r="BL147" s="54">
        <v>471.10199863739808</v>
      </c>
      <c r="BM147" s="54">
        <v>375.83896987836465</v>
      </c>
      <c r="BN147" s="54">
        <v>376.60001239801755</v>
      </c>
      <c r="BO147" s="54">
        <v>503.91432465100894</v>
      </c>
      <c r="BP147" s="54">
        <v>481.55145108701799</v>
      </c>
      <c r="BQ147" s="54">
        <v>507.06761778242202</v>
      </c>
      <c r="BR147" s="54">
        <v>519.80524136715235</v>
      </c>
      <c r="BS147" s="54">
        <v>400.44511598768673</v>
      </c>
      <c r="BT147" s="54">
        <v>408.66828252103329</v>
      </c>
      <c r="BU147" s="54">
        <v>522.41148228682266</v>
      </c>
      <c r="BV147" s="54">
        <v>557.92022841131097</v>
      </c>
      <c r="BW147" s="54">
        <v>532.30462160455841</v>
      </c>
      <c r="BX147" s="54">
        <v>559.36160467671425</v>
      </c>
    </row>
    <row r="148" spans="1:76" x14ac:dyDescent="0.3">
      <c r="A148" s="8" t="s">
        <v>104</v>
      </c>
      <c r="B148" s="8" t="s">
        <v>10</v>
      </c>
      <c r="C148" s="8" t="s">
        <v>108</v>
      </c>
      <c r="D148" s="8" t="s">
        <v>115</v>
      </c>
      <c r="E148" s="54">
        <v>507.48156767619457</v>
      </c>
      <c r="F148" s="54">
        <v>567.08089386007885</v>
      </c>
      <c r="G148" s="54">
        <v>550.8917232504507</v>
      </c>
      <c r="H148" s="54">
        <v>490.08230854932509</v>
      </c>
      <c r="I148" s="54">
        <v>489.84658719297579</v>
      </c>
      <c r="J148" s="54">
        <v>546.02236147744861</v>
      </c>
      <c r="K148" s="54">
        <v>402.32163158772738</v>
      </c>
      <c r="L148" s="54">
        <v>458.83727039506363</v>
      </c>
      <c r="M148" s="54">
        <v>494.26582893129313</v>
      </c>
      <c r="N148" s="54">
        <v>374.75613000215691</v>
      </c>
      <c r="O148" s="54">
        <v>429.2142792467024</v>
      </c>
      <c r="P148" s="54">
        <v>519.37508961204128</v>
      </c>
      <c r="Q148" s="54">
        <v>492.52102030092584</v>
      </c>
      <c r="R148" s="54">
        <v>529.13119592605256</v>
      </c>
      <c r="S148" s="54">
        <v>563.94196537463449</v>
      </c>
      <c r="T148" s="54">
        <v>394.13147773869173</v>
      </c>
      <c r="U148" s="54">
        <v>449.5042931897213</v>
      </c>
      <c r="V148" s="54">
        <v>540.54559823573481</v>
      </c>
      <c r="W148" s="54">
        <v>481.14431325311836</v>
      </c>
      <c r="X148" s="54">
        <v>511.79257568341052</v>
      </c>
      <c r="Y148" s="54">
        <v>561.90136506472868</v>
      </c>
      <c r="Z148" s="54">
        <v>537.58420031795788</v>
      </c>
      <c r="AA148" s="54">
        <v>580.24901287107264</v>
      </c>
      <c r="AB148" s="54">
        <v>565.34462256488257</v>
      </c>
      <c r="AC148" s="54">
        <v>483.31436652612638</v>
      </c>
      <c r="AD148" s="54">
        <v>525.23417069022571</v>
      </c>
      <c r="AE148" s="54">
        <v>519.51021143514936</v>
      </c>
      <c r="AF148" s="54">
        <v>520.74487940265851</v>
      </c>
      <c r="AG148" s="54">
        <v>564.13491287268801</v>
      </c>
      <c r="AH148" s="54">
        <v>525.81009397398452</v>
      </c>
      <c r="AI148" s="54">
        <v>536.51819561036734</v>
      </c>
      <c r="AJ148" s="54">
        <v>541.68954958639335</v>
      </c>
      <c r="AK148" s="54">
        <v>465.78371924289797</v>
      </c>
      <c r="AL148" s="54">
        <v>413.63420046676703</v>
      </c>
      <c r="AM148" s="54">
        <v>367.17706329840217</v>
      </c>
      <c r="AN148" s="54">
        <v>445.01077787404665</v>
      </c>
      <c r="AO148" s="54">
        <v>539.27708305865156</v>
      </c>
      <c r="AP148" s="54">
        <v>549.64665199890226</v>
      </c>
      <c r="AQ148" s="54">
        <v>482.13455503748048</v>
      </c>
      <c r="AR148" s="54">
        <v>373.78275524986645</v>
      </c>
      <c r="AS148" s="54">
        <v>408.20640158569256</v>
      </c>
      <c r="AT148" s="54">
        <v>447.2775987087565</v>
      </c>
      <c r="AU148" s="54">
        <v>477.81187944852957</v>
      </c>
      <c r="AV148" s="54">
        <v>492.52677918187169</v>
      </c>
      <c r="AW148" s="54">
        <v>481.48241220737907</v>
      </c>
      <c r="AX148" s="54">
        <v>538.42302873991184</v>
      </c>
      <c r="AY148" s="54">
        <v>534.47136788722389</v>
      </c>
      <c r="AZ148" s="54">
        <v>507.42517859025082</v>
      </c>
      <c r="BA148" s="54">
        <v>470.47804736020373</v>
      </c>
      <c r="BB148" s="54">
        <v>525.81945706080478</v>
      </c>
      <c r="BC148" s="54">
        <v>454.28236516469542</v>
      </c>
      <c r="BD148" s="54">
        <v>434.95479034234495</v>
      </c>
      <c r="BE148" s="54">
        <v>482.86905744127773</v>
      </c>
      <c r="BF148" s="54">
        <v>498.94071014970496</v>
      </c>
      <c r="BG148" s="54">
        <v>448.6646503563656</v>
      </c>
      <c r="BH148" s="54">
        <v>480.87866507076058</v>
      </c>
      <c r="BI148" s="54">
        <v>543.18955571202946</v>
      </c>
      <c r="BJ148" s="54">
        <v>421.75573089460562</v>
      </c>
      <c r="BK148" s="54">
        <v>506.83552155659493</v>
      </c>
      <c r="BL148" s="54">
        <v>482.70665807552194</v>
      </c>
      <c r="BM148" s="54">
        <v>530.77184902163538</v>
      </c>
      <c r="BN148" s="54">
        <v>497.99973064198252</v>
      </c>
      <c r="BO148" s="54">
        <v>567.72018162899121</v>
      </c>
      <c r="BP148" s="54">
        <v>385.67845627298203</v>
      </c>
      <c r="BQ148" s="54">
        <v>439.92819299757826</v>
      </c>
      <c r="BR148" s="54">
        <v>536.38186939284776</v>
      </c>
      <c r="BS148" s="54">
        <v>465.30396525231345</v>
      </c>
      <c r="BT148" s="54">
        <v>549.49879841896677</v>
      </c>
      <c r="BU148" s="54">
        <v>523.50671103317723</v>
      </c>
      <c r="BV148" s="54">
        <v>471.33762152868906</v>
      </c>
      <c r="BW148" s="54">
        <v>472.95789425544177</v>
      </c>
      <c r="BX148" s="54">
        <v>567.76491346328601</v>
      </c>
    </row>
    <row r="149" spans="1:76" x14ac:dyDescent="0.3">
      <c r="A149" s="8" t="s">
        <v>104</v>
      </c>
      <c r="B149" s="8" t="s">
        <v>10</v>
      </c>
      <c r="C149" s="8" t="s">
        <v>109</v>
      </c>
      <c r="D149" s="8" t="s">
        <v>110</v>
      </c>
      <c r="E149" s="54">
        <v>-52.367204624166554</v>
      </c>
      <c r="F149" s="54">
        <v>76.344394132688237</v>
      </c>
      <c r="G149" s="54">
        <v>233.61847489706977</v>
      </c>
      <c r="H149" s="54">
        <v>54.09826811233809</v>
      </c>
      <c r="I149" s="54">
        <v>172.84095128701549</v>
      </c>
      <c r="J149" s="54">
        <v>261.58651363249083</v>
      </c>
      <c r="K149" s="54">
        <v>68.34226320344095</v>
      </c>
      <c r="L149" s="54">
        <v>58.663792959328106</v>
      </c>
      <c r="M149" s="54">
        <v>250.40877834169373</v>
      </c>
      <c r="N149" s="54">
        <v>59.251805613414589</v>
      </c>
      <c r="O149" s="54">
        <v>138.73071067849463</v>
      </c>
      <c r="P149" s="54">
        <v>268.68913823026895</v>
      </c>
      <c r="Q149" s="54">
        <v>24.696049409085763</v>
      </c>
      <c r="R149" s="54">
        <v>118.05819630577952</v>
      </c>
      <c r="S149" s="54">
        <v>260.6761936893547</v>
      </c>
      <c r="T149" s="54">
        <v>62.96536633494587</v>
      </c>
      <c r="U149" s="54">
        <v>182.54932911970411</v>
      </c>
      <c r="V149" s="54">
        <v>266.22954385913977</v>
      </c>
      <c r="W149" s="54">
        <v>52.992255729031768</v>
      </c>
      <c r="X149" s="54">
        <v>122.65509797789542</v>
      </c>
      <c r="Y149" s="54">
        <v>260.73025334540324</v>
      </c>
      <c r="Z149" s="54">
        <v>192.21171639776901</v>
      </c>
      <c r="AA149" s="54">
        <v>287.82568052808364</v>
      </c>
      <c r="AB149" s="54">
        <v>287.39969759190728</v>
      </c>
      <c r="AC149" s="54">
        <v>39.48211900669363</v>
      </c>
      <c r="AD149" s="54">
        <v>130.01275683451618</v>
      </c>
      <c r="AE149" s="54">
        <v>262.80549489753668</v>
      </c>
      <c r="AF149" s="54">
        <v>199.704698741209</v>
      </c>
      <c r="AG149" s="54">
        <v>299.67760558709665</v>
      </c>
      <c r="AH149" s="54">
        <v>295.23450751663984</v>
      </c>
      <c r="AI149" s="54">
        <v>27.671766604569825</v>
      </c>
      <c r="AJ149" s="54">
        <v>117.79175825147847</v>
      </c>
      <c r="AK149" s="54">
        <v>262.75595272629039</v>
      </c>
      <c r="AL149" s="54">
        <v>105.08373885978483</v>
      </c>
      <c r="AM149" s="54">
        <v>157.67609969110219</v>
      </c>
      <c r="AN149" s="54">
        <v>270.65079908204302</v>
      </c>
      <c r="AO149" s="54">
        <v>16.298867296639763</v>
      </c>
      <c r="AP149" s="54">
        <v>106.74473436610211</v>
      </c>
      <c r="AQ149" s="54">
        <v>203.47874223557727</v>
      </c>
      <c r="AR149" s="54">
        <v>60.345283777607506</v>
      </c>
      <c r="AS149" s="54">
        <v>150.28081949690863</v>
      </c>
      <c r="AT149" s="54">
        <v>214.15188000998575</v>
      </c>
      <c r="AU149" s="54">
        <v>42.209075609758727</v>
      </c>
      <c r="AV149" s="54">
        <v>103.20364603439958</v>
      </c>
      <c r="AW149" s="54">
        <v>266.08709861008049</v>
      </c>
      <c r="AX149" s="54">
        <v>190.43685674768852</v>
      </c>
      <c r="AY149" s="54">
        <v>252.8473178656092</v>
      </c>
      <c r="AZ149" s="54">
        <v>297.37047104946225</v>
      </c>
      <c r="BA149" s="54">
        <v>15.032246207418831</v>
      </c>
      <c r="BB149" s="54">
        <v>115.65575362220437</v>
      </c>
      <c r="BC149" s="54">
        <v>174.09567377226065</v>
      </c>
      <c r="BD149" s="54">
        <v>-48.558540474489817</v>
      </c>
      <c r="BE149" s="54">
        <v>54.917829418333561</v>
      </c>
      <c r="BF149" s="54">
        <v>82.553534913846647</v>
      </c>
      <c r="BG149" s="54">
        <v>37.301148637799095</v>
      </c>
      <c r="BH149" s="54">
        <v>123.38151039604838</v>
      </c>
      <c r="BI149" s="54">
        <v>250.95241984952611</v>
      </c>
      <c r="BJ149" s="54">
        <v>122.62311778655921</v>
      </c>
      <c r="BK149" s="54">
        <v>176.82591414301098</v>
      </c>
      <c r="BL149" s="54">
        <v>259.47200195882726</v>
      </c>
      <c r="BM149" s="54">
        <v>-3.6783644686828598</v>
      </c>
      <c r="BN149" s="54">
        <v>68.515115304599419</v>
      </c>
      <c r="BO149" s="54">
        <v>256.44894587037624</v>
      </c>
      <c r="BP149" s="54">
        <v>44.710094390752573</v>
      </c>
      <c r="BQ149" s="54">
        <v>158.49982645108253</v>
      </c>
      <c r="BR149" s="54">
        <v>266.71328679639794</v>
      </c>
      <c r="BS149" s="54">
        <v>173.40626410682802</v>
      </c>
      <c r="BT149" s="54">
        <v>62.466871627392727</v>
      </c>
      <c r="BU149" s="54">
        <v>234.05665887854843</v>
      </c>
      <c r="BV149" s="54">
        <v>160.43075341905922</v>
      </c>
      <c r="BW149" s="54">
        <v>153.69891072744645</v>
      </c>
      <c r="BX149" s="54">
        <v>185.7637528859949</v>
      </c>
    </row>
    <row r="150" spans="1:76" x14ac:dyDescent="0.3">
      <c r="A150" s="8" t="s">
        <v>104</v>
      </c>
      <c r="B150" s="8" t="s">
        <v>10</v>
      </c>
      <c r="C150" s="8" t="s">
        <v>109</v>
      </c>
      <c r="D150" s="8" t="s">
        <v>115</v>
      </c>
      <c r="E150" s="54">
        <v>332.72022215416655</v>
      </c>
      <c r="F150" s="54">
        <v>248.4661115473117</v>
      </c>
      <c r="G150" s="54">
        <v>193.7584953329301</v>
      </c>
      <c r="H150" s="54">
        <v>300.16854315766108</v>
      </c>
      <c r="I150" s="54">
        <v>233.70333272298359</v>
      </c>
      <c r="J150" s="54">
        <v>203.73644242750854</v>
      </c>
      <c r="K150" s="54">
        <v>394.07014703655932</v>
      </c>
      <c r="L150" s="54">
        <v>283.280618350672</v>
      </c>
      <c r="M150" s="54">
        <v>187.47726208830628</v>
      </c>
      <c r="N150" s="54">
        <v>353.93805055658703</v>
      </c>
      <c r="O150" s="54">
        <v>268.00933052150521</v>
      </c>
      <c r="P150" s="54">
        <v>194.07867134973111</v>
      </c>
      <c r="Q150" s="54">
        <v>295.43688973091406</v>
      </c>
      <c r="R150" s="54">
        <v>235.67285844422048</v>
      </c>
      <c r="S150" s="54">
        <v>183.69044003064516</v>
      </c>
      <c r="T150" s="54">
        <v>317.60502946505386</v>
      </c>
      <c r="U150" s="54">
        <v>239.32583377029547</v>
      </c>
      <c r="V150" s="54">
        <v>203.97703894085996</v>
      </c>
      <c r="W150" s="54">
        <v>317.0716209709683</v>
      </c>
      <c r="X150" s="54">
        <v>257.33832926210454</v>
      </c>
      <c r="Y150" s="54">
        <v>204.29391542459663</v>
      </c>
      <c r="Z150" s="54">
        <v>230.40781431223101</v>
      </c>
      <c r="AA150" s="54">
        <v>153.68701942191632</v>
      </c>
      <c r="AB150" s="54">
        <v>180.37854766965222</v>
      </c>
      <c r="AC150" s="54">
        <v>309.73621736330648</v>
      </c>
      <c r="AD150" s="54">
        <v>250.47521488548387</v>
      </c>
      <c r="AE150" s="54">
        <v>204.26897286246316</v>
      </c>
      <c r="AF150" s="54">
        <v>215.18502336879109</v>
      </c>
      <c r="AG150" s="54">
        <v>150.33507761290321</v>
      </c>
      <c r="AH150" s="54">
        <v>194.20779495336015</v>
      </c>
      <c r="AI150" s="54">
        <v>284.79573309543002</v>
      </c>
      <c r="AJ150" s="54">
        <v>233.26051389852154</v>
      </c>
      <c r="AK150" s="54">
        <v>186.37067161370967</v>
      </c>
      <c r="AL150" s="54">
        <v>290.03450706021505</v>
      </c>
      <c r="AM150" s="54">
        <v>270.05117287889789</v>
      </c>
      <c r="AN150" s="54">
        <v>205.696377677957</v>
      </c>
      <c r="AO150" s="54">
        <v>287.77167925336022</v>
      </c>
      <c r="AP150" s="54">
        <v>234.99361674389775</v>
      </c>
      <c r="AQ150" s="54">
        <v>233.99517779442269</v>
      </c>
      <c r="AR150" s="54">
        <v>323.2232879323924</v>
      </c>
      <c r="AS150" s="54">
        <v>265.82465779309115</v>
      </c>
      <c r="AT150" s="54">
        <v>253.24198106001415</v>
      </c>
      <c r="AU150" s="54">
        <v>320.94148138024161</v>
      </c>
      <c r="AV150" s="54">
        <v>272.16372971560031</v>
      </c>
      <c r="AW150" s="54">
        <v>194.38313973991939</v>
      </c>
      <c r="AX150" s="54">
        <v>228.38086327231167</v>
      </c>
      <c r="AY150" s="54">
        <v>182.61751521439083</v>
      </c>
      <c r="AZ150" s="54">
        <v>185.61184415053765</v>
      </c>
      <c r="BA150" s="54">
        <v>307.09947687258119</v>
      </c>
      <c r="BB150" s="54">
        <v>237.6940897577955</v>
      </c>
      <c r="BC150" s="54">
        <v>272.89822749773919</v>
      </c>
      <c r="BD150" s="54">
        <v>213.06162584448973</v>
      </c>
      <c r="BE150" s="54">
        <v>145.32639764166643</v>
      </c>
      <c r="BF150" s="54">
        <v>161.08697026615337</v>
      </c>
      <c r="BG150" s="54">
        <v>297.42085266220084</v>
      </c>
      <c r="BH150" s="54">
        <v>245.33012089395157</v>
      </c>
      <c r="BI150" s="54">
        <v>211.71235963047397</v>
      </c>
      <c r="BJ150" s="54">
        <v>278.55329801344084</v>
      </c>
      <c r="BK150" s="54">
        <v>265.35648145698912</v>
      </c>
      <c r="BL150" s="54">
        <v>223.98425170117275</v>
      </c>
      <c r="BM150" s="54">
        <v>300.43377391868262</v>
      </c>
      <c r="BN150" s="54">
        <v>270.55475621540046</v>
      </c>
      <c r="BO150" s="54">
        <v>181.13830726962377</v>
      </c>
      <c r="BP150" s="54">
        <v>329.55485928924742</v>
      </c>
      <c r="BQ150" s="54">
        <v>255.64807893891751</v>
      </c>
      <c r="BR150" s="54">
        <v>202.03026858360195</v>
      </c>
      <c r="BS150" s="54">
        <v>455.71827651317176</v>
      </c>
      <c r="BT150" s="54">
        <v>268.03126414260771</v>
      </c>
      <c r="BU150" s="54">
        <v>190.67243778145161</v>
      </c>
      <c r="BV150" s="54">
        <v>350.15892185094089</v>
      </c>
      <c r="BW150" s="54">
        <v>250.70234720255357</v>
      </c>
      <c r="BX150" s="54">
        <v>76.176915484005733</v>
      </c>
    </row>
    <row r="151" spans="1:76" x14ac:dyDescent="0.3">
      <c r="A151" s="8" t="s">
        <v>104</v>
      </c>
      <c r="B151" s="8" t="s">
        <v>10</v>
      </c>
      <c r="C151" s="8" t="s">
        <v>110</v>
      </c>
      <c r="D151" s="8" t="s">
        <v>111</v>
      </c>
      <c r="E151" s="54">
        <v>314.39855385763883</v>
      </c>
      <c r="F151" s="54">
        <v>163.51796571415767</v>
      </c>
      <c r="G151" s="54">
        <v>94.672352353651462</v>
      </c>
      <c r="H151" s="54">
        <v>330.57373863340069</v>
      </c>
      <c r="I151" s="54">
        <v>199.1406490252019</v>
      </c>
      <c r="J151" s="54">
        <v>86.678431557063789</v>
      </c>
      <c r="K151" s="54">
        <v>311.85414008745528</v>
      </c>
      <c r="L151" s="54">
        <v>214.14224208187704</v>
      </c>
      <c r="M151" s="54">
        <v>102.15396225033579</v>
      </c>
      <c r="N151" s="54">
        <v>385.99791291906382</v>
      </c>
      <c r="O151" s="54">
        <v>261.26280820340497</v>
      </c>
      <c r="P151" s="54">
        <v>101.21573602558254</v>
      </c>
      <c r="Q151" s="54">
        <v>247.01512876635334</v>
      </c>
      <c r="R151" s="54">
        <v>138.50311024585559</v>
      </c>
      <c r="S151" s="54">
        <v>77.720630900268816</v>
      </c>
      <c r="T151" s="54">
        <v>350.07780099238374</v>
      </c>
      <c r="U151" s="54">
        <v>209.89697182269285</v>
      </c>
      <c r="V151" s="54">
        <v>98.366205961469504</v>
      </c>
      <c r="W151" s="54">
        <v>346.93490784623714</v>
      </c>
      <c r="X151" s="54">
        <v>251.61930687925005</v>
      </c>
      <c r="Y151" s="54">
        <v>84.723605171706851</v>
      </c>
      <c r="Z151" s="54">
        <v>200.69908386516587</v>
      </c>
      <c r="AA151" s="54">
        <v>74.962599541324337</v>
      </c>
      <c r="AB151" s="54">
        <v>59.886463694759364</v>
      </c>
      <c r="AC151" s="54">
        <v>347.70733960450252</v>
      </c>
      <c r="AD151" s="54">
        <v>241.58391318145144</v>
      </c>
      <c r="AE151" s="54">
        <v>89.903394864662815</v>
      </c>
      <c r="AF151" s="54">
        <v>180.88981669076298</v>
      </c>
      <c r="AG151" s="54">
        <v>64.105706505376276</v>
      </c>
      <c r="AH151" s="54">
        <v>67.622200442719603</v>
      </c>
      <c r="AI151" s="54">
        <v>237.53633054323475</v>
      </c>
      <c r="AJ151" s="54">
        <v>137.0329002615367</v>
      </c>
      <c r="AK151" s="54">
        <v>92.487195620295722</v>
      </c>
      <c r="AL151" s="54">
        <v>300.70505696953421</v>
      </c>
      <c r="AM151" s="54">
        <v>249.00730685405458</v>
      </c>
      <c r="AN151" s="54">
        <v>109.99245693109316</v>
      </c>
      <c r="AO151" s="54">
        <v>233.90559582605275</v>
      </c>
      <c r="AP151" s="54">
        <v>132.31071271655458</v>
      </c>
      <c r="AQ151" s="54">
        <v>135.81904589271133</v>
      </c>
      <c r="AR151" s="54">
        <v>355.83883992148293</v>
      </c>
      <c r="AS151" s="54">
        <v>251.42793922663543</v>
      </c>
      <c r="AT151" s="54">
        <v>168.91749141726319</v>
      </c>
      <c r="AU151" s="54">
        <v>356.6062353178088</v>
      </c>
      <c r="AV151" s="54">
        <v>275.86301772793064</v>
      </c>
      <c r="AW151" s="54">
        <v>94.812126438508116</v>
      </c>
      <c r="AX151" s="54">
        <v>199.81051849332454</v>
      </c>
      <c r="AY151" s="54">
        <v>120.12345913888456</v>
      </c>
      <c r="AZ151" s="54">
        <v>70.096792340501707</v>
      </c>
      <c r="BA151" s="54">
        <v>270.61625410940991</v>
      </c>
      <c r="BB151" s="54">
        <v>141.6284767081093</v>
      </c>
      <c r="BC151" s="54">
        <v>185.282026645049</v>
      </c>
      <c r="BD151" s="54">
        <v>315.49333706194039</v>
      </c>
      <c r="BE151" s="54">
        <v>194.19443549305527</v>
      </c>
      <c r="BF151" s="54">
        <v>154.35626042181894</v>
      </c>
      <c r="BG151" s="54">
        <v>239.77774415071562</v>
      </c>
      <c r="BH151" s="54">
        <v>155.03048295477151</v>
      </c>
      <c r="BI151" s="54">
        <v>87.693150174386503</v>
      </c>
      <c r="BJ151" s="54">
        <v>280.14473580421151</v>
      </c>
      <c r="BK151" s="54">
        <v>201.19298984318968</v>
      </c>
      <c r="BL151" s="54">
        <v>113.0827361378719</v>
      </c>
      <c r="BM151" s="54">
        <v>255.74868013452055</v>
      </c>
      <c r="BN151" s="54">
        <v>202.0948509715781</v>
      </c>
      <c r="BO151" s="54">
        <v>66.301800432482011</v>
      </c>
      <c r="BP151" s="54">
        <v>371.47731893996428</v>
      </c>
      <c r="BQ151" s="54">
        <v>237.68786075090631</v>
      </c>
      <c r="BR151" s="54">
        <v>98.926639852195521</v>
      </c>
      <c r="BS151" s="54">
        <v>314.67634623812722</v>
      </c>
      <c r="BT151" s="54">
        <v>202.34633848268379</v>
      </c>
      <c r="BU151" s="54">
        <v>116.148159856855</v>
      </c>
      <c r="BV151" s="54">
        <v>330.08577386462809</v>
      </c>
      <c r="BW151" s="54">
        <v>238.54214658613327</v>
      </c>
      <c r="BX151" s="54">
        <v>57.994278076321734</v>
      </c>
    </row>
    <row r="152" spans="1:76" x14ac:dyDescent="0.3">
      <c r="A152" s="8" t="s">
        <v>104</v>
      </c>
      <c r="B152" s="8" t="s">
        <v>10</v>
      </c>
      <c r="C152" s="8" t="s">
        <v>110</v>
      </c>
      <c r="D152" s="8" t="s">
        <v>115</v>
      </c>
      <c r="E152" s="54">
        <v>247.9970837481944</v>
      </c>
      <c r="F152" s="54">
        <v>127.47187729853037</v>
      </c>
      <c r="G152" s="54">
        <v>12.363092773418405</v>
      </c>
      <c r="H152" s="54">
        <v>173.06322804893836</v>
      </c>
      <c r="I152" s="54">
        <v>69.381746171814697</v>
      </c>
      <c r="J152" s="54">
        <v>5.0310381354270461</v>
      </c>
      <c r="K152" s="54">
        <v>228.54229975598562</v>
      </c>
      <c r="L152" s="54">
        <v>159.52184908745059</v>
      </c>
      <c r="M152" s="54">
        <v>-0.21954777864263697</v>
      </c>
      <c r="N152" s="54">
        <v>206.33279756435076</v>
      </c>
      <c r="O152" s="54">
        <v>109.30753167508955</v>
      </c>
      <c r="P152" s="54">
        <v>-4.958788215313592</v>
      </c>
      <c r="Q152" s="54">
        <v>184.60990178273329</v>
      </c>
      <c r="R152" s="54">
        <v>98.086140809923833</v>
      </c>
      <c r="S152" s="54">
        <v>-7.8778034909139372</v>
      </c>
      <c r="T152" s="54">
        <v>180.25400314256302</v>
      </c>
      <c r="U152" s="54">
        <v>68.275891287011731</v>
      </c>
      <c r="V152" s="54">
        <v>2.8699206976701142</v>
      </c>
      <c r="W152" s="54">
        <v>184.88495278279626</v>
      </c>
      <c r="X152" s="54">
        <v>110.23133718578859</v>
      </c>
      <c r="Y152" s="54">
        <v>5.8308169436961377</v>
      </c>
      <c r="Z152" s="54">
        <v>57.499351342603198</v>
      </c>
      <c r="AA152" s="54">
        <v>-41.454827316097621</v>
      </c>
      <c r="AB152" s="54">
        <v>-23.447483682852209</v>
      </c>
      <c r="AC152" s="54">
        <v>186.7497520721908</v>
      </c>
      <c r="AD152" s="54">
        <v>101.97709817306455</v>
      </c>
      <c r="AE152" s="54">
        <v>4.7765677928738315</v>
      </c>
      <c r="AF152" s="54">
        <v>43.604332875256226</v>
      </c>
      <c r="AG152" s="54">
        <v>-49.615417718279488</v>
      </c>
      <c r="AH152" s="54">
        <v>-18.145390456079767</v>
      </c>
      <c r="AI152" s="54">
        <v>176.02793876133515</v>
      </c>
      <c r="AJ152" s="54">
        <v>96.611130139941821</v>
      </c>
      <c r="AK152" s="54">
        <v>-7.130861954005363</v>
      </c>
      <c r="AL152" s="54">
        <v>140.81446861025105</v>
      </c>
      <c r="AM152" s="54">
        <v>101.19606540704751</v>
      </c>
      <c r="AN152" s="54">
        <v>1.8055189109498215</v>
      </c>
      <c r="AO152" s="54">
        <v>183.69835252058698</v>
      </c>
      <c r="AP152" s="54">
        <v>103.29004397954745</v>
      </c>
      <c r="AQ152" s="54">
        <v>54.257414078493269</v>
      </c>
      <c r="AR152" s="54">
        <v>185.30955006612459</v>
      </c>
      <c r="AS152" s="54">
        <v>102.07602878027333</v>
      </c>
      <c r="AT152" s="54">
        <v>61.752047368349828</v>
      </c>
      <c r="AU152" s="54">
        <v>192.8564497819485</v>
      </c>
      <c r="AV152" s="54">
        <v>129.84066345986722</v>
      </c>
      <c r="AW152" s="54">
        <v>-3.4547894784273669</v>
      </c>
      <c r="AX152" s="54">
        <v>57.035480474363908</v>
      </c>
      <c r="AY152" s="54">
        <v>-4.6786487898773377</v>
      </c>
      <c r="AZ152" s="54">
        <v>-24.944006091039416</v>
      </c>
      <c r="BA152" s="54">
        <v>197.21686147801131</v>
      </c>
      <c r="BB152" s="54">
        <v>100.63484969409498</v>
      </c>
      <c r="BC152" s="54">
        <v>94.884314779029253</v>
      </c>
      <c r="BD152" s="54">
        <v>166.32035413357139</v>
      </c>
      <c r="BE152" s="54">
        <v>69.425350385277866</v>
      </c>
      <c r="BF152" s="54">
        <v>66.114546053845586</v>
      </c>
      <c r="BG152" s="54">
        <v>179.62999412256764</v>
      </c>
      <c r="BH152" s="54">
        <v>101.86265873127687</v>
      </c>
      <c r="BI152" s="54">
        <v>15.665363162219448</v>
      </c>
      <c r="BJ152" s="54">
        <v>124.39063978234766</v>
      </c>
      <c r="BK152" s="54">
        <v>88.491363899820598</v>
      </c>
      <c r="BL152" s="54">
        <v>19.586833488034916</v>
      </c>
      <c r="BM152" s="54">
        <v>202.12836484679664</v>
      </c>
      <c r="BN152" s="54">
        <v>146.11227982463404</v>
      </c>
      <c r="BO152" s="54">
        <v>-7.4656014221057276</v>
      </c>
      <c r="BP152" s="54">
        <v>197.34819233078872</v>
      </c>
      <c r="BQ152" s="54">
        <v>91.182139400403756</v>
      </c>
      <c r="BR152" s="54">
        <v>1.3302023242023342</v>
      </c>
      <c r="BS152" s="54">
        <v>217.10905228870047</v>
      </c>
      <c r="BT152" s="54">
        <v>147.45407361470885</v>
      </c>
      <c r="BU152" s="54">
        <v>10.086629081693555</v>
      </c>
      <c r="BV152" s="54">
        <v>153.22390452443102</v>
      </c>
      <c r="BW152" s="54">
        <v>90.28544277131256</v>
      </c>
      <c r="BX152" s="54">
        <v>-42.097266120326935</v>
      </c>
    </row>
    <row r="153" spans="1:76" x14ac:dyDescent="0.3">
      <c r="A153" s="8" t="s">
        <v>104</v>
      </c>
      <c r="B153" s="8" t="s">
        <v>10</v>
      </c>
      <c r="C153" s="8" t="s">
        <v>111</v>
      </c>
      <c r="D153" s="8" t="s">
        <v>112</v>
      </c>
      <c r="E153" s="54">
        <v>454.84698247000011</v>
      </c>
      <c r="F153" s="54">
        <v>410.38949431999993</v>
      </c>
      <c r="G153" s="54">
        <v>307.82302977000001</v>
      </c>
      <c r="H153" s="54">
        <v>380.93318873000004</v>
      </c>
      <c r="I153" s="54">
        <v>328.65571599000009</v>
      </c>
      <c r="J153" s="54">
        <v>269.87704394000002</v>
      </c>
      <c r="K153" s="54">
        <v>427.94582336000019</v>
      </c>
      <c r="L153" s="54">
        <v>393.25558868999997</v>
      </c>
      <c r="M153" s="54">
        <v>297.31395957000007</v>
      </c>
      <c r="N153" s="54">
        <v>366.92109513000014</v>
      </c>
      <c r="O153" s="54">
        <v>328.45995880000009</v>
      </c>
      <c r="P153" s="54">
        <v>272.43219041999998</v>
      </c>
      <c r="Q153" s="54">
        <v>415.06706086000003</v>
      </c>
      <c r="R153" s="54">
        <v>381.46894524999999</v>
      </c>
      <c r="S153" s="54">
        <v>290.83336628000001</v>
      </c>
      <c r="T153" s="54">
        <v>354.62960420000013</v>
      </c>
      <c r="U153" s="54">
        <v>313.32483710999992</v>
      </c>
      <c r="V153" s="54">
        <v>264.99341720000012</v>
      </c>
      <c r="W153" s="54">
        <v>386.56893519999988</v>
      </c>
      <c r="X153" s="54">
        <v>355.20657276000003</v>
      </c>
      <c r="Y153" s="54">
        <v>270.17583122999997</v>
      </c>
      <c r="Z153" s="54">
        <v>334.01328119000004</v>
      </c>
      <c r="AA153" s="54">
        <v>293.68730004999998</v>
      </c>
      <c r="AB153" s="54">
        <v>250.96071758000016</v>
      </c>
      <c r="AC153" s="54">
        <v>385.98166362999996</v>
      </c>
      <c r="AD153" s="54">
        <v>354.71202828000003</v>
      </c>
      <c r="AE153" s="54">
        <v>268.12553224000004</v>
      </c>
      <c r="AF153" s="54">
        <v>320.31027789000001</v>
      </c>
      <c r="AG153" s="54">
        <v>285.18731680000008</v>
      </c>
      <c r="AH153" s="54">
        <v>245.75769752999997</v>
      </c>
      <c r="AI153" s="54">
        <v>422.73250029999997</v>
      </c>
      <c r="AJ153" s="54">
        <v>384.14772785000008</v>
      </c>
      <c r="AK153" s="54">
        <v>286.07337566000001</v>
      </c>
      <c r="AL153" s="54">
        <v>340.08175408000005</v>
      </c>
      <c r="AM153" s="54">
        <v>307.47272742999996</v>
      </c>
      <c r="AN153" s="54">
        <v>258.85282324000002</v>
      </c>
      <c r="AO153" s="54">
        <v>431.12945344999986</v>
      </c>
      <c r="AP153" s="54">
        <v>393.46164888999999</v>
      </c>
      <c r="AQ153" s="54">
        <v>297.72607997000011</v>
      </c>
      <c r="AR153" s="54">
        <v>351.63142828999992</v>
      </c>
      <c r="AS153" s="54">
        <v>319.09452270999992</v>
      </c>
      <c r="AT153" s="54">
        <v>267.80613892999992</v>
      </c>
      <c r="AU153" s="54">
        <v>389.25802081000006</v>
      </c>
      <c r="AV153" s="54">
        <v>359.83262425000009</v>
      </c>
      <c r="AW153" s="54">
        <v>274.72976164999994</v>
      </c>
      <c r="AX153" s="54">
        <v>333.59085777999996</v>
      </c>
      <c r="AY153" s="54">
        <v>299.73516691999993</v>
      </c>
      <c r="AZ153" s="54">
        <v>252.21768479999994</v>
      </c>
      <c r="BA153" s="54">
        <v>413.06827692000002</v>
      </c>
      <c r="BB153" s="54">
        <v>381.85015661999989</v>
      </c>
      <c r="BC153" s="54">
        <v>288.20609873000012</v>
      </c>
      <c r="BD153" s="54">
        <v>335.49691462999999</v>
      </c>
      <c r="BE153" s="54">
        <v>299.75577293999999</v>
      </c>
      <c r="BF153" s="54">
        <v>256.35949482000007</v>
      </c>
      <c r="BG153" s="54">
        <v>400.4779987</v>
      </c>
      <c r="BH153" s="54">
        <v>366.48836871000003</v>
      </c>
      <c r="BI153" s="54">
        <v>272.53522052</v>
      </c>
      <c r="BJ153" s="54">
        <v>334.0235841999999</v>
      </c>
      <c r="BK153" s="54">
        <v>293.01760439999993</v>
      </c>
      <c r="BL153" s="54">
        <v>251.74374634000009</v>
      </c>
      <c r="BM153" s="54">
        <v>438.44459055000004</v>
      </c>
      <c r="BN153" s="54">
        <v>396.13012848000005</v>
      </c>
      <c r="BO153" s="54">
        <v>297.61274686000007</v>
      </c>
      <c r="BP153" s="54">
        <v>360.93504632000008</v>
      </c>
      <c r="BQ153" s="54">
        <v>321.05209460999993</v>
      </c>
      <c r="BR153" s="54">
        <v>266.45644461999996</v>
      </c>
      <c r="BS153" s="54">
        <v>458.87545937999994</v>
      </c>
      <c r="BT153" s="54">
        <v>412.66645953000005</v>
      </c>
      <c r="BU153" s="54">
        <v>310.47090333999995</v>
      </c>
      <c r="BV153" s="54">
        <v>377.12107503000004</v>
      </c>
      <c r="BW153" s="54">
        <v>330.79874207000006</v>
      </c>
      <c r="BX153" s="54">
        <v>269.86674092999993</v>
      </c>
    </row>
    <row r="154" spans="1:76" x14ac:dyDescent="0.3">
      <c r="A154" s="8" t="s">
        <v>104</v>
      </c>
      <c r="B154" s="8" t="s">
        <v>10</v>
      </c>
      <c r="C154" s="8" t="s">
        <v>111</v>
      </c>
      <c r="D154" s="8" t="s">
        <v>115</v>
      </c>
      <c r="E154" s="54">
        <v>-10.501283349878431</v>
      </c>
      <c r="F154" s="54">
        <v>-6.5948205974507568</v>
      </c>
      <c r="G154" s="54">
        <v>-49.897900640968331</v>
      </c>
      <c r="H154" s="54">
        <v>-76.811165609171667</v>
      </c>
      <c r="I154" s="54">
        <v>-72.426596011890169</v>
      </c>
      <c r="J154" s="54">
        <v>-50.400741121594535</v>
      </c>
      <c r="K154" s="54">
        <v>-23.502112737670334</v>
      </c>
      <c r="L154" s="54">
        <v>-14.197514485585261</v>
      </c>
      <c r="M154" s="54">
        <v>-64.010887240441903</v>
      </c>
      <c r="N154" s="54">
        <v>-86.499097401151914</v>
      </c>
      <c r="O154" s="54">
        <v>-81.308606370810836</v>
      </c>
      <c r="P154" s="54">
        <v>-66.97892617747425</v>
      </c>
      <c r="Q154" s="54">
        <v>-15.927029141920901</v>
      </c>
      <c r="R154" s="54">
        <v>-12.99983829621687</v>
      </c>
      <c r="S154" s="54">
        <v>-54.483746930853449</v>
      </c>
      <c r="T154" s="54">
        <v>-83.60812326331768</v>
      </c>
      <c r="U154" s="54">
        <v>-79.978688923924238</v>
      </c>
      <c r="V154" s="54">
        <v>-59.326438202665699</v>
      </c>
      <c r="W154" s="54">
        <v>-78.170602816800994</v>
      </c>
      <c r="X154" s="54">
        <v>-74.588563910189748</v>
      </c>
      <c r="Y154" s="54">
        <v>-48.579140524544705</v>
      </c>
      <c r="Z154" s="54">
        <v>-82.312413908776307</v>
      </c>
      <c r="AA154" s="54">
        <v>-77.942745200400893</v>
      </c>
      <c r="AB154" s="54">
        <v>-55.014652571363733</v>
      </c>
      <c r="AC154" s="54">
        <v>-77.254773198671018</v>
      </c>
      <c r="AD154" s="54">
        <v>-74.507122108608883</v>
      </c>
      <c r="AE154" s="54">
        <v>-52.60719594575891</v>
      </c>
      <c r="AF154" s="54">
        <v>-80.352885775284761</v>
      </c>
      <c r="AG154" s="54">
        <v>-77.277629854569881</v>
      </c>
      <c r="AH154" s="54">
        <v>-55.872918118759607</v>
      </c>
      <c r="AI154" s="54">
        <v>-16.439252518520409</v>
      </c>
      <c r="AJ154" s="54">
        <v>-13.187215058504066</v>
      </c>
      <c r="AK154" s="54">
        <v>-63.152643728188849</v>
      </c>
      <c r="AL154" s="54">
        <v>-82.329809148270598</v>
      </c>
      <c r="AM154" s="54">
        <v>-79.732517728498536</v>
      </c>
      <c r="AN154" s="54">
        <v>-67.391146398720906</v>
      </c>
      <c r="AO154" s="54">
        <v>-8.4172330008428489</v>
      </c>
      <c r="AP154" s="54">
        <v>-5.2266624631860381</v>
      </c>
      <c r="AQ154" s="54">
        <v>-44.193843124074704</v>
      </c>
      <c r="AR154" s="54">
        <v>-83.417112401333426</v>
      </c>
      <c r="AS154" s="54">
        <v>-80.585440431441995</v>
      </c>
      <c r="AT154" s="54">
        <v>-59.259396609527172</v>
      </c>
      <c r="AU154" s="54">
        <v>-78.236559737169031</v>
      </c>
      <c r="AV154" s="54">
        <v>-75.033888485055883</v>
      </c>
      <c r="AW154" s="54">
        <v>-61.848671132888057</v>
      </c>
      <c r="AX154" s="54">
        <v>-82.10496370255494</v>
      </c>
      <c r="AY154" s="54">
        <v>-78.586148554210752</v>
      </c>
      <c r="AZ154" s="54">
        <v>-62.518499781093254</v>
      </c>
      <c r="BA154" s="54">
        <v>-21.222512709872742</v>
      </c>
      <c r="BB154" s="54">
        <v>-13.041660671997079</v>
      </c>
      <c r="BC154" s="54">
        <v>-44.638030568883714</v>
      </c>
      <c r="BD154" s="54">
        <v>-72.44307006353435</v>
      </c>
      <c r="BE154" s="54">
        <v>-69.302509394201465</v>
      </c>
      <c r="BF154" s="54">
        <v>-46.88675322325264</v>
      </c>
      <c r="BG154" s="54">
        <v>-15.138594502271507</v>
      </c>
      <c r="BH154" s="54">
        <v>-20.497057798274597</v>
      </c>
      <c r="BI154" s="54">
        <v>-43.059196487326702</v>
      </c>
      <c r="BJ154" s="54">
        <v>-81.797480040871392</v>
      </c>
      <c r="BK154" s="54">
        <v>-59.377095727128236</v>
      </c>
      <c r="BL154" s="54">
        <v>-55.986584970143753</v>
      </c>
      <c r="BM154" s="54">
        <v>-8.2466514489778486</v>
      </c>
      <c r="BN154" s="54">
        <v>-16.725071988760941</v>
      </c>
      <c r="BO154" s="54">
        <v>-47.037826336880698</v>
      </c>
      <c r="BP154" s="54">
        <v>-84.16218008938614</v>
      </c>
      <c r="BQ154" s="54">
        <v>-80.16830841901357</v>
      </c>
      <c r="BR154" s="54">
        <v>-60.831498164470197</v>
      </c>
      <c r="BS154" s="54">
        <v>-33.840927182304135</v>
      </c>
      <c r="BT154" s="54">
        <v>-15.875906340645729</v>
      </c>
      <c r="BU154" s="54">
        <v>-65.027628099264106</v>
      </c>
      <c r="BV154" s="54">
        <v>-91.385680272069393</v>
      </c>
      <c r="BW154" s="54">
        <v>-81.374759537848888</v>
      </c>
      <c r="BX154" s="54">
        <v>-67.8193733879463</v>
      </c>
    </row>
    <row r="155" spans="1:76" x14ac:dyDescent="0.3">
      <c r="A155" s="8" t="s">
        <v>104</v>
      </c>
      <c r="B155" s="8" t="s">
        <v>10</v>
      </c>
      <c r="C155" s="8" t="s">
        <v>111</v>
      </c>
      <c r="D155" s="8" t="s">
        <v>118</v>
      </c>
      <c r="E155" s="54">
        <v>341.69033965132292</v>
      </c>
      <c r="F155" s="54">
        <v>305.13391517152957</v>
      </c>
      <c r="G155" s="54">
        <v>189.40641066416907</v>
      </c>
      <c r="H155" s="54">
        <v>237.22984077324716</v>
      </c>
      <c r="I155" s="54">
        <v>194.11779388411611</v>
      </c>
      <c r="J155" s="54">
        <v>155.90196877454309</v>
      </c>
      <c r="K155" s="54">
        <v>310.35132779739791</v>
      </c>
      <c r="L155" s="54">
        <v>285.58013141239888</v>
      </c>
      <c r="M155" s="54">
        <v>171.74318227948493</v>
      </c>
      <c r="N155" s="54">
        <v>219.15649979805886</v>
      </c>
      <c r="O155" s="54">
        <v>188.61730012751343</v>
      </c>
      <c r="P155" s="54">
        <v>148.19081091101572</v>
      </c>
      <c r="Q155" s="54">
        <v>303.62746076734749</v>
      </c>
      <c r="R155" s="54">
        <v>275.98542411601977</v>
      </c>
      <c r="S155" s="54">
        <v>171.78894733648775</v>
      </c>
      <c r="T155" s="54">
        <v>210.13602971700939</v>
      </c>
      <c r="U155" s="54">
        <v>176.17201911689574</v>
      </c>
      <c r="V155" s="54">
        <v>146.2733771284004</v>
      </c>
      <c r="W155" s="54">
        <v>241.34545660991935</v>
      </c>
      <c r="X155" s="54">
        <v>216.05261281888622</v>
      </c>
      <c r="Y155" s="54">
        <v>157.25636801152319</v>
      </c>
      <c r="Z155" s="54">
        <v>192.87417269598427</v>
      </c>
      <c r="AA155" s="54">
        <v>160.21074042350946</v>
      </c>
      <c r="AB155" s="54">
        <v>136.58183633968179</v>
      </c>
      <c r="AC155" s="54">
        <v>241.38109175704736</v>
      </c>
      <c r="AD155" s="54">
        <v>215.66875147983455</v>
      </c>
      <c r="AE155" s="54">
        <v>153.04552314254494</v>
      </c>
      <c r="AF155" s="54">
        <v>182.0597616885793</v>
      </c>
      <c r="AG155" s="54">
        <v>153.17232428725825</v>
      </c>
      <c r="AH155" s="54">
        <v>131.51423446749422</v>
      </c>
      <c r="AI155" s="54">
        <v>310.02738625138784</v>
      </c>
      <c r="AJ155" s="54">
        <v>278.21693283364743</v>
      </c>
      <c r="AK155" s="54">
        <v>162.42261746558651</v>
      </c>
      <c r="AL155" s="54">
        <v>198.17364933103764</v>
      </c>
      <c r="AM155" s="54">
        <v>171.19912586415097</v>
      </c>
      <c r="AN155" s="54">
        <v>136.06153249576747</v>
      </c>
      <c r="AO155" s="54">
        <v>322.18793196824413</v>
      </c>
      <c r="AP155" s="54">
        <v>291.14294530083851</v>
      </c>
      <c r="AQ155" s="54">
        <v>183.99401409930516</v>
      </c>
      <c r="AR155" s="54">
        <v>207.62723231294999</v>
      </c>
      <c r="AS155" s="54">
        <v>180.8564431123848</v>
      </c>
      <c r="AT155" s="54">
        <v>148.77473359803372</v>
      </c>
      <c r="AU155" s="54">
        <v>243.65883236644859</v>
      </c>
      <c r="AV155" s="54">
        <v>219.83321312771653</v>
      </c>
      <c r="AW155" s="54">
        <v>153.27933876401713</v>
      </c>
      <c r="AX155" s="54">
        <v>192.62902233596733</v>
      </c>
      <c r="AY155" s="54">
        <v>165.11658192247359</v>
      </c>
      <c r="AZ155" s="54">
        <v>133.17937433134409</v>
      </c>
      <c r="BA155" s="54">
        <v>298.70123467907626</v>
      </c>
      <c r="BB155" s="54">
        <v>276.29389063930176</v>
      </c>
      <c r="BC155" s="54">
        <v>175.39751804741977</v>
      </c>
      <c r="BD155" s="54">
        <v>200.09395826312937</v>
      </c>
      <c r="BE155" s="54">
        <v>170.70479568597918</v>
      </c>
      <c r="BF155" s="54">
        <v>146.18250603354844</v>
      </c>
      <c r="BG155" s="54">
        <v>291.33509216113731</v>
      </c>
      <c r="BH155" s="54">
        <v>258.37908794228537</v>
      </c>
      <c r="BI155" s="54">
        <v>162.63280006260405</v>
      </c>
      <c r="BJ155" s="54">
        <v>193.19214815047715</v>
      </c>
      <c r="BK155" s="54">
        <v>170.7641464137233</v>
      </c>
      <c r="BL155" s="54">
        <v>136.68382706541371</v>
      </c>
      <c r="BM155" s="54">
        <v>328.69102586186358</v>
      </c>
      <c r="BN155" s="54">
        <v>286.57881922674358</v>
      </c>
      <c r="BO155" s="54">
        <v>182.18845770037163</v>
      </c>
      <c r="BP155" s="54">
        <v>215.3208574763683</v>
      </c>
      <c r="BQ155" s="54">
        <v>182.8195977323418</v>
      </c>
      <c r="BR155" s="54">
        <v>146.65049014381793</v>
      </c>
      <c r="BS155" s="54">
        <v>331.21147064811794</v>
      </c>
      <c r="BT155" s="54">
        <v>301.55760828436297</v>
      </c>
      <c r="BU155" s="54">
        <v>182.64546356294153</v>
      </c>
      <c r="BV155" s="54">
        <v>225.14953248800839</v>
      </c>
      <c r="BW155" s="54">
        <v>190.62404358854056</v>
      </c>
      <c r="BX155" s="54">
        <v>145.44177428098214</v>
      </c>
    </row>
    <row r="156" spans="1:76" x14ac:dyDescent="0.3">
      <c r="A156" s="8" t="s">
        <v>104</v>
      </c>
      <c r="B156" s="8" t="s">
        <v>10</v>
      </c>
      <c r="C156" s="8" t="s">
        <v>115</v>
      </c>
      <c r="D156" s="8" t="s">
        <v>116</v>
      </c>
      <c r="E156" s="54">
        <v>395.57606457822578</v>
      </c>
      <c r="F156" s="54">
        <v>351.44872108149008</v>
      </c>
      <c r="G156" s="54">
        <v>260.10703415394352</v>
      </c>
      <c r="H156" s="54">
        <v>336.77209213358441</v>
      </c>
      <c r="I156" s="54">
        <v>284.92464229262794</v>
      </c>
      <c r="J156" s="54">
        <v>223.21026606581884</v>
      </c>
      <c r="K156" s="54">
        <v>371.94760032353423</v>
      </c>
      <c r="L156" s="54">
        <v>336.26370186986685</v>
      </c>
      <c r="M156" s="54">
        <v>252.68328802883809</v>
      </c>
      <c r="N156" s="54">
        <v>325.04788723198044</v>
      </c>
      <c r="O156" s="54">
        <v>286.51018110416214</v>
      </c>
      <c r="P156" s="54">
        <v>229.01717089499508</v>
      </c>
      <c r="Q156" s="54">
        <v>357.87579016688409</v>
      </c>
      <c r="R156" s="54">
        <v>324.5321892779931</v>
      </c>
      <c r="S156" s="54">
        <v>244.45928150917084</v>
      </c>
      <c r="T156" s="54">
        <v>312.48548874766357</v>
      </c>
      <c r="U156" s="54">
        <v>271.48745396703487</v>
      </c>
      <c r="V156" s="54">
        <v>220.23386941053326</v>
      </c>
      <c r="W156" s="54">
        <v>342.53883238336027</v>
      </c>
      <c r="X156" s="54">
        <v>311.24412122303789</v>
      </c>
      <c r="Y156" s="54">
        <v>223.13726355415886</v>
      </c>
      <c r="Z156" s="54">
        <v>292.12543194200526</v>
      </c>
      <c r="AA156" s="54">
        <v>251.93366658883031</v>
      </c>
      <c r="AB156" s="54">
        <v>205.68963015477283</v>
      </c>
      <c r="AC156" s="54">
        <v>341.78307667898423</v>
      </c>
      <c r="AD156" s="54">
        <v>310.74565199472181</v>
      </c>
      <c r="AE156" s="54">
        <v>221.94383312315179</v>
      </c>
      <c r="AF156" s="54">
        <v>278.37309809780675</v>
      </c>
      <c r="AG156" s="54">
        <v>243.51315985091392</v>
      </c>
      <c r="AH156" s="54">
        <v>200.78833871550162</v>
      </c>
      <c r="AI156" s="54">
        <v>365.45203829620408</v>
      </c>
      <c r="AJ156" s="54">
        <v>327.18147766545093</v>
      </c>
      <c r="AK156" s="54">
        <v>241.5520700141378</v>
      </c>
      <c r="AL156" s="54">
        <v>298.04567205765431</v>
      </c>
      <c r="AM156" s="54">
        <v>265.73241278994965</v>
      </c>
      <c r="AN156" s="54">
        <v>215.85973193874409</v>
      </c>
      <c r="AO156" s="54">
        <v>372.03466371391869</v>
      </c>
      <c r="AP156" s="54">
        <v>334.67044016038705</v>
      </c>
      <c r="AQ156" s="54">
        <v>249.12169659556471</v>
      </c>
      <c r="AR156" s="54">
        <v>309.52406506301668</v>
      </c>
      <c r="AS156" s="54">
        <v>277.23424772853832</v>
      </c>
      <c r="AT156" s="54">
        <v>222.96286477865544</v>
      </c>
      <c r="AU156" s="54">
        <v>345.1738822371837</v>
      </c>
      <c r="AV156" s="54">
        <v>315.84358634076114</v>
      </c>
      <c r="AW156" s="54">
        <v>230.23125183532755</v>
      </c>
      <c r="AX156" s="54">
        <v>291.67207907601102</v>
      </c>
      <c r="AY156" s="54">
        <v>257.95901745784209</v>
      </c>
      <c r="AZ156" s="54">
        <v>208.41594263621866</v>
      </c>
      <c r="BA156" s="54">
        <v>356.98607253897461</v>
      </c>
      <c r="BB156" s="54">
        <v>324.91223483889911</v>
      </c>
      <c r="BC156" s="54">
        <v>239.92855237552681</v>
      </c>
      <c r="BD156" s="54">
        <v>291.5981057769568</v>
      </c>
      <c r="BE156" s="54">
        <v>256.12238049534028</v>
      </c>
      <c r="BF156" s="54">
        <v>209.32785809415043</v>
      </c>
      <c r="BG156" s="54">
        <v>343.49376763295436</v>
      </c>
      <c r="BH156" s="54">
        <v>311.42557105190491</v>
      </c>
      <c r="BI156" s="54">
        <v>224.33367930446545</v>
      </c>
      <c r="BJ156" s="54">
        <v>292.03249060317438</v>
      </c>
      <c r="BK156" s="54">
        <v>247.56758343542563</v>
      </c>
      <c r="BL156" s="54">
        <v>206.64746967552873</v>
      </c>
      <c r="BM156" s="54">
        <v>379.13280607604548</v>
      </c>
      <c r="BN156" s="54">
        <v>339.57188966575222</v>
      </c>
      <c r="BO156" s="54">
        <v>249.57999345587601</v>
      </c>
      <c r="BP156" s="54">
        <v>318.74410617987724</v>
      </c>
      <c r="BQ156" s="54">
        <v>279.05945392855267</v>
      </c>
      <c r="BR156" s="54">
        <v>221.96133313739398</v>
      </c>
      <c r="BS156" s="54">
        <v>404.17175833196086</v>
      </c>
      <c r="BT156" s="54">
        <v>355.52497930987914</v>
      </c>
      <c r="BU156" s="54">
        <v>265.71465637635282</v>
      </c>
      <c r="BV156" s="54">
        <v>335.97018420866397</v>
      </c>
      <c r="BW156" s="54">
        <v>288.80372542581978</v>
      </c>
      <c r="BX156" s="54">
        <v>226.68394708433937</v>
      </c>
    </row>
    <row r="157" spans="1:76" x14ac:dyDescent="0.3">
      <c r="A157" s="8" t="s">
        <v>104</v>
      </c>
      <c r="B157" s="8" t="s">
        <v>10</v>
      </c>
      <c r="C157" s="8" t="s">
        <v>115</v>
      </c>
      <c r="D157" s="8" t="s">
        <v>117</v>
      </c>
      <c r="E157" s="54">
        <v>427.27454318045119</v>
      </c>
      <c r="F157" s="54">
        <v>374.58584670698025</v>
      </c>
      <c r="G157" s="54">
        <v>273.95564449188714</v>
      </c>
      <c r="H157" s="54">
        <v>368.79763328316864</v>
      </c>
      <c r="I157" s="54">
        <v>306.92471179325611</v>
      </c>
      <c r="J157" s="54">
        <v>230.51889697963745</v>
      </c>
      <c r="K157" s="54">
        <v>401.53854195906803</v>
      </c>
      <c r="L157" s="54">
        <v>357.92293278773423</v>
      </c>
      <c r="M157" s="54">
        <v>267.51540840167667</v>
      </c>
      <c r="N157" s="54">
        <v>356.55889835996101</v>
      </c>
      <c r="O157" s="54">
        <v>310.25239516832426</v>
      </c>
      <c r="P157" s="54">
        <v>240.08858945398947</v>
      </c>
      <c r="Q157" s="54">
        <v>383.69793164576828</v>
      </c>
      <c r="R157" s="54">
        <v>343.88922235598682</v>
      </c>
      <c r="S157" s="54">
        <v>256.25186999434123</v>
      </c>
      <c r="T157" s="54">
        <v>341.26729413532718</v>
      </c>
      <c r="U157" s="54">
        <v>292.31503824606955</v>
      </c>
      <c r="V157" s="54">
        <v>228.47300506106615</v>
      </c>
      <c r="W157" s="54">
        <v>375.8225166067204</v>
      </c>
      <c r="X157" s="54">
        <v>338.32298423807595</v>
      </c>
      <c r="Y157" s="54">
        <v>230.13386212431786</v>
      </c>
      <c r="Z157" s="54">
        <v>317.04023893201037</v>
      </c>
      <c r="AA157" s="54">
        <v>268.91749313766036</v>
      </c>
      <c r="AB157" s="54">
        <v>210.61068624554545</v>
      </c>
      <c r="AC157" s="54">
        <v>374.78082245396837</v>
      </c>
      <c r="AD157" s="54">
        <v>337.72168136544354</v>
      </c>
      <c r="AE157" s="54">
        <v>229.38724045430337</v>
      </c>
      <c r="AF157" s="54">
        <v>300.49797388361401</v>
      </c>
      <c r="AG157" s="54">
        <v>258.87646626182794</v>
      </c>
      <c r="AH157" s="54">
        <v>204.97051940700374</v>
      </c>
      <c r="AI157" s="54">
        <v>392.71807635240805</v>
      </c>
      <c r="AJ157" s="54">
        <v>347.04477305090165</v>
      </c>
      <c r="AK157" s="54">
        <v>254.24543950027578</v>
      </c>
      <c r="AL157" s="54">
        <v>324.02594085130818</v>
      </c>
      <c r="AM157" s="54">
        <v>285.48664363589938</v>
      </c>
      <c r="AN157" s="54">
        <v>224.63720528548814</v>
      </c>
      <c r="AO157" s="54">
        <v>399.16576466783704</v>
      </c>
      <c r="AP157" s="54">
        <v>354.57156120877431</v>
      </c>
      <c r="AQ157" s="54">
        <v>260.06252921512998</v>
      </c>
      <c r="AR157" s="54">
        <v>337.74298749403317</v>
      </c>
      <c r="AS157" s="54">
        <v>299.19287728907682</v>
      </c>
      <c r="AT157" s="54">
        <v>231.68081841331079</v>
      </c>
      <c r="AU157" s="54">
        <v>378.94134782636769</v>
      </c>
      <c r="AV157" s="54">
        <v>343.82107328152233</v>
      </c>
      <c r="AW157" s="54">
        <v>240.67869435065515</v>
      </c>
      <c r="AX157" s="54">
        <v>316.47147192802174</v>
      </c>
      <c r="AY157" s="54">
        <v>276.12990137968427</v>
      </c>
      <c r="AZ157" s="54">
        <v>215.05773743243739</v>
      </c>
      <c r="BA157" s="54">
        <v>383.517523541949</v>
      </c>
      <c r="BB157" s="54">
        <v>344.34434438179886</v>
      </c>
      <c r="BC157" s="54">
        <v>249.29222576705357</v>
      </c>
      <c r="BD157" s="54">
        <v>314.79867984991381</v>
      </c>
      <c r="BE157" s="54">
        <v>272.44014263868064</v>
      </c>
      <c r="BF157" s="54">
        <v>213.56812033230099</v>
      </c>
      <c r="BG157" s="54">
        <v>366.60513630590862</v>
      </c>
      <c r="BH157" s="54">
        <v>329.66044713580953</v>
      </c>
      <c r="BI157" s="54">
        <v>230.63918219293078</v>
      </c>
      <c r="BJ157" s="54">
        <v>316.84611384634854</v>
      </c>
      <c r="BK157" s="54">
        <v>260.72108335085107</v>
      </c>
      <c r="BL157" s="54">
        <v>211.89994227905751</v>
      </c>
      <c r="BM157" s="54">
        <v>407.50993971209112</v>
      </c>
      <c r="BN157" s="54">
        <v>362.23967654750442</v>
      </c>
      <c r="BO157" s="54">
        <v>261.0697894237519</v>
      </c>
      <c r="BP157" s="54">
        <v>348.74017530375443</v>
      </c>
      <c r="BQ157" s="54">
        <v>301.27723216910528</v>
      </c>
      <c r="BR157" s="54">
        <v>230.75751057878801</v>
      </c>
      <c r="BS157" s="54">
        <v>441.24314915992136</v>
      </c>
      <c r="BT157" s="54">
        <v>380.91679099575805</v>
      </c>
      <c r="BU157" s="54">
        <v>283.0525900807055</v>
      </c>
      <c r="BV157" s="54">
        <v>370.24350839332777</v>
      </c>
      <c r="BW157" s="54">
        <v>312.96845719563947</v>
      </c>
      <c r="BX157" s="54">
        <v>237.47450142467841</v>
      </c>
    </row>
    <row r="158" spans="1:76" x14ac:dyDescent="0.3">
      <c r="A158" s="8" t="s">
        <v>104</v>
      </c>
      <c r="B158" s="8" t="s">
        <v>10</v>
      </c>
      <c r="C158" s="8" t="s">
        <v>116</v>
      </c>
      <c r="D158" s="8" t="s">
        <v>117</v>
      </c>
      <c r="E158" s="54">
        <v>-59.270917891774303</v>
      </c>
      <c r="F158" s="54">
        <v>-58.940773238509877</v>
      </c>
      <c r="G158" s="54">
        <v>-47.715995616056325</v>
      </c>
      <c r="H158" s="54">
        <v>-44.16109659641576</v>
      </c>
      <c r="I158" s="54">
        <v>-43.731073697372061</v>
      </c>
      <c r="J158" s="54">
        <v>-46.666777874181165</v>
      </c>
      <c r="K158" s="54">
        <v>-55.998223036465959</v>
      </c>
      <c r="L158" s="54">
        <v>-56.991886820133118</v>
      </c>
      <c r="M158" s="54">
        <v>-44.630671541161739</v>
      </c>
      <c r="N158" s="54">
        <v>-41.873207898019736</v>
      </c>
      <c r="O158" s="54">
        <v>-41.949777695837852</v>
      </c>
      <c r="P158" s="54">
        <v>-43.415019525004929</v>
      </c>
      <c r="Q158" s="54">
        <v>-57.191270693115911</v>
      </c>
      <c r="R158" s="54">
        <v>-56.936755972006758</v>
      </c>
      <c r="S158" s="54">
        <v>-46.374084770829157</v>
      </c>
      <c r="T158" s="54">
        <v>-42.144115452336315</v>
      </c>
      <c r="U158" s="54">
        <v>-41.837383142965145</v>
      </c>
      <c r="V158" s="54">
        <v>-44.759547789466779</v>
      </c>
      <c r="W158" s="54">
        <v>-44.030102816639769</v>
      </c>
      <c r="X158" s="54">
        <v>-43.962451536961986</v>
      </c>
      <c r="Y158" s="54">
        <v>-47.038567675841136</v>
      </c>
      <c r="Z158" s="54">
        <v>-41.887849247994822</v>
      </c>
      <c r="AA158" s="54">
        <v>-41.753633461169784</v>
      </c>
      <c r="AB158" s="54">
        <v>-45.271087425227343</v>
      </c>
      <c r="AC158" s="54">
        <v>-44.198586951015749</v>
      </c>
      <c r="AD158" s="54">
        <v>-43.966376285278216</v>
      </c>
      <c r="AE158" s="54">
        <v>-46.181699116848108</v>
      </c>
      <c r="AF158" s="54">
        <v>-41.937179792193248</v>
      </c>
      <c r="AG158" s="54">
        <v>-41.674156949086047</v>
      </c>
      <c r="AH158" s="54">
        <v>-44.969358814498371</v>
      </c>
      <c r="AI158" s="54">
        <v>-57.280462003795883</v>
      </c>
      <c r="AJ158" s="54">
        <v>-56.966250184549153</v>
      </c>
      <c r="AK158" s="54">
        <v>-44.521305645862206</v>
      </c>
      <c r="AL158" s="54">
        <v>-42.036082022345767</v>
      </c>
      <c r="AM158" s="54">
        <v>-41.740314640050343</v>
      </c>
      <c r="AN158" s="54">
        <v>-42.993091301255838</v>
      </c>
      <c r="AO158" s="54">
        <v>-59.094789736081175</v>
      </c>
      <c r="AP158" s="54">
        <v>-58.791208729612855</v>
      </c>
      <c r="AQ158" s="54">
        <v>-48.60438337443518</v>
      </c>
      <c r="AR158" s="54">
        <v>-42.107363226983274</v>
      </c>
      <c r="AS158" s="54">
        <v>-41.860274981461608</v>
      </c>
      <c r="AT158" s="54">
        <v>-44.843274151344595</v>
      </c>
      <c r="AU158" s="54">
        <v>-44.084138572816236</v>
      </c>
      <c r="AV158" s="54">
        <v>-43.989037909238803</v>
      </c>
      <c r="AW158" s="54">
        <v>-44.498509814672403</v>
      </c>
      <c r="AX158" s="54">
        <v>-41.918778703989076</v>
      </c>
      <c r="AY158" s="54">
        <v>-41.77614946215791</v>
      </c>
      <c r="AZ158" s="54">
        <v>-43.801742163781299</v>
      </c>
      <c r="BA158" s="54">
        <v>-56.082204381025406</v>
      </c>
      <c r="BB158" s="54">
        <v>-56.937921781100798</v>
      </c>
      <c r="BC158" s="54">
        <v>-48.27754635447323</v>
      </c>
      <c r="BD158" s="54">
        <v>-43.898808853043207</v>
      </c>
      <c r="BE158" s="54">
        <v>-43.633392444659691</v>
      </c>
      <c r="BF158" s="54">
        <v>-47.031636725849424</v>
      </c>
      <c r="BG158" s="54">
        <v>-56.984231067045755</v>
      </c>
      <c r="BH158" s="54">
        <v>-55.062797658095079</v>
      </c>
      <c r="BI158" s="54">
        <v>-48.201541215534547</v>
      </c>
      <c r="BJ158" s="54">
        <v>-41.991093596825735</v>
      </c>
      <c r="BK158" s="54">
        <v>-45.450020964574399</v>
      </c>
      <c r="BL158" s="54">
        <v>-45.096276664471247</v>
      </c>
      <c r="BM158" s="54">
        <v>-59.311784473954575</v>
      </c>
      <c r="BN158" s="54">
        <v>-56.558238814247815</v>
      </c>
      <c r="BO158" s="54">
        <v>-48.032753404123937</v>
      </c>
      <c r="BP158" s="54">
        <v>-42.190940140122812</v>
      </c>
      <c r="BQ158" s="54">
        <v>-41.992640681447256</v>
      </c>
      <c r="BR158" s="54">
        <v>-44.495111482605985</v>
      </c>
      <c r="BS158" s="54">
        <v>-54.703701048039342</v>
      </c>
      <c r="BT158" s="54">
        <v>-57.141480220120776</v>
      </c>
      <c r="BU158" s="54">
        <v>-44.756246963647108</v>
      </c>
      <c r="BV158" s="54">
        <v>-41.150890821336048</v>
      </c>
      <c r="BW158" s="54">
        <v>-41.995016644180261</v>
      </c>
      <c r="BX158" s="54">
        <v>-43.182793845660598</v>
      </c>
    </row>
    <row r="159" spans="1:76" x14ac:dyDescent="0.3">
      <c r="A159" s="8" t="s">
        <v>104</v>
      </c>
      <c r="B159" s="8" t="s">
        <v>10</v>
      </c>
      <c r="C159" s="8" t="s">
        <v>117</v>
      </c>
      <c r="D159" s="8" t="s">
        <v>118</v>
      </c>
      <c r="E159" s="54">
        <v>113.1566428186771</v>
      </c>
      <c r="F159" s="54">
        <v>105.25557914847039</v>
      </c>
      <c r="G159" s="54">
        <v>118.4166191058309</v>
      </c>
      <c r="H159" s="54">
        <v>143.70334795675288</v>
      </c>
      <c r="I159" s="54">
        <v>134.53792210588401</v>
      </c>
      <c r="J159" s="54">
        <v>113.9750751654569</v>
      </c>
      <c r="K159" s="54">
        <v>117.59449556260205</v>
      </c>
      <c r="L159" s="54">
        <v>107.67545727760108</v>
      </c>
      <c r="M159" s="54">
        <v>125.57077729051503</v>
      </c>
      <c r="N159" s="54">
        <v>147.76459533194131</v>
      </c>
      <c r="O159" s="54">
        <v>139.84265867248658</v>
      </c>
      <c r="P159" s="54">
        <v>124.24137950898428</v>
      </c>
      <c r="Q159" s="54">
        <v>111.43960009265253</v>
      </c>
      <c r="R159" s="54">
        <v>105.48352113398008</v>
      </c>
      <c r="S159" s="54">
        <v>119.04441894351226</v>
      </c>
      <c r="T159" s="54">
        <v>144.4935744829906</v>
      </c>
      <c r="U159" s="54">
        <v>137.15281799310429</v>
      </c>
      <c r="V159" s="54">
        <v>118.72004007159964</v>
      </c>
      <c r="W159" s="54">
        <v>145.22347859008056</v>
      </c>
      <c r="X159" s="54">
        <v>139.15395994111378</v>
      </c>
      <c r="Y159" s="54">
        <v>112.91946321847679</v>
      </c>
      <c r="Z159" s="54">
        <v>141.13910849401569</v>
      </c>
      <c r="AA159" s="54">
        <v>133.47655962649051</v>
      </c>
      <c r="AB159" s="54">
        <v>114.37888124031825</v>
      </c>
      <c r="AC159" s="54">
        <v>144.6005718729526</v>
      </c>
      <c r="AD159" s="54">
        <v>139.04327680016536</v>
      </c>
      <c r="AE159" s="54">
        <v>115.08000909745508</v>
      </c>
      <c r="AF159" s="54">
        <v>138.25051620142082</v>
      </c>
      <c r="AG159" s="54">
        <v>132.01499251274186</v>
      </c>
      <c r="AH159" s="54">
        <v>114.24346306250577</v>
      </c>
      <c r="AI159" s="54">
        <v>112.70511404861216</v>
      </c>
      <c r="AJ159" s="54">
        <v>105.93079501635239</v>
      </c>
      <c r="AK159" s="54">
        <v>123.65075819441351</v>
      </c>
      <c r="AL159" s="54">
        <v>141.90810474896233</v>
      </c>
      <c r="AM159" s="54">
        <v>136.27360156584899</v>
      </c>
      <c r="AN159" s="54">
        <v>122.79129074423255</v>
      </c>
      <c r="AO159" s="54">
        <v>108.94152148175573</v>
      </c>
      <c r="AP159" s="54">
        <v>102.31870358916152</v>
      </c>
      <c r="AQ159" s="54">
        <v>113.73206587069484</v>
      </c>
      <c r="AR159" s="54">
        <v>144.00419597705005</v>
      </c>
      <c r="AS159" s="54">
        <v>138.23807959761524</v>
      </c>
      <c r="AT159" s="54">
        <v>119.03140533196633</v>
      </c>
      <c r="AU159" s="54">
        <v>145.59918844355147</v>
      </c>
      <c r="AV159" s="54">
        <v>139.99941112228353</v>
      </c>
      <c r="AW159" s="54">
        <v>121.45042288598285</v>
      </c>
      <c r="AX159" s="54">
        <v>140.96183544403274</v>
      </c>
      <c r="AY159" s="54">
        <v>134.61858499752643</v>
      </c>
      <c r="AZ159" s="54">
        <v>119.03831046865588</v>
      </c>
      <c r="BA159" s="54">
        <v>114.36704224092364</v>
      </c>
      <c r="BB159" s="54">
        <v>105.55626598069811</v>
      </c>
      <c r="BC159" s="54">
        <v>112.80858068258026</v>
      </c>
      <c r="BD159" s="54">
        <v>135.4029563668706</v>
      </c>
      <c r="BE159" s="54">
        <v>129.05097725402081</v>
      </c>
      <c r="BF159" s="54">
        <v>110.17698878645155</v>
      </c>
      <c r="BG159" s="54">
        <v>109.14290653886283</v>
      </c>
      <c r="BH159" s="54">
        <v>108.10928076771464</v>
      </c>
      <c r="BI159" s="54">
        <v>109.90242045739595</v>
      </c>
      <c r="BJ159" s="54">
        <v>140.83143604952286</v>
      </c>
      <c r="BK159" s="54">
        <v>122.25345798627674</v>
      </c>
      <c r="BL159" s="54">
        <v>115.05991927458625</v>
      </c>
      <c r="BM159" s="54">
        <v>109.75356468813646</v>
      </c>
      <c r="BN159" s="54">
        <v>109.55130925325651</v>
      </c>
      <c r="BO159" s="54">
        <v>115.42428915962843</v>
      </c>
      <c r="BP159" s="54">
        <v>145.61418884363175</v>
      </c>
      <c r="BQ159" s="54">
        <v>138.23249687765815</v>
      </c>
      <c r="BR159" s="54">
        <v>119.80595447618214</v>
      </c>
      <c r="BS159" s="54">
        <v>127.66398873188211</v>
      </c>
      <c r="BT159" s="54">
        <v>111.10885124563718</v>
      </c>
      <c r="BU159" s="54">
        <v>127.82543977705841</v>
      </c>
      <c r="BV159" s="54">
        <v>151.97154254199162</v>
      </c>
      <c r="BW159" s="54">
        <v>140.17469848145936</v>
      </c>
      <c r="BX159" s="54">
        <v>124.4249666490178</v>
      </c>
    </row>
    <row r="160" spans="1:76" x14ac:dyDescent="0.3">
      <c r="A160" s="8" t="s">
        <v>100</v>
      </c>
      <c r="B160" s="8" t="s">
        <v>8</v>
      </c>
      <c r="C160" s="8" t="s">
        <v>108</v>
      </c>
      <c r="D160" s="8" t="s">
        <v>111</v>
      </c>
      <c r="E160" s="54">
        <v>400.10222818667597</v>
      </c>
      <c r="F160" s="54">
        <v>411.29589979694538</v>
      </c>
      <c r="G160" s="54">
        <v>492.02017447686353</v>
      </c>
      <c r="H160" s="54">
        <v>485.25070633512632</v>
      </c>
      <c r="I160" s="54">
        <v>500.6695351155812</v>
      </c>
      <c r="J160" s="54">
        <v>476.87913219671407</v>
      </c>
      <c r="K160" s="54">
        <v>370.47894361260461</v>
      </c>
      <c r="L160" s="54">
        <v>401.57378957946264</v>
      </c>
      <c r="M160" s="54">
        <v>476.30108857920828</v>
      </c>
      <c r="N160" s="54">
        <v>554.7156056300613</v>
      </c>
      <c r="O160" s="54">
        <v>537.79105937086661</v>
      </c>
      <c r="P160" s="54">
        <v>530.18567536832984</v>
      </c>
      <c r="Q160" s="54">
        <v>370.48260520479249</v>
      </c>
      <c r="R160" s="54">
        <v>400.05430306802037</v>
      </c>
      <c r="S160" s="54">
        <v>503.33533603234201</v>
      </c>
      <c r="T160" s="54">
        <v>483.37085574544102</v>
      </c>
      <c r="U160" s="54">
        <v>501.88996281604534</v>
      </c>
      <c r="V160" s="54">
        <v>490.80127036321272</v>
      </c>
      <c r="W160" s="54">
        <v>504.26232956288806</v>
      </c>
      <c r="X160" s="54">
        <v>525.1497472553541</v>
      </c>
      <c r="Y160" s="54">
        <v>474.11295133804134</v>
      </c>
      <c r="Z160" s="54">
        <v>524.09034286380086</v>
      </c>
      <c r="AA160" s="54">
        <v>501.44648187901163</v>
      </c>
      <c r="AB160" s="54">
        <v>488.06908809665919</v>
      </c>
      <c r="AC160" s="54">
        <v>494.70358679656567</v>
      </c>
      <c r="AD160" s="54">
        <v>525.70874288959612</v>
      </c>
      <c r="AE160" s="54">
        <v>479.63901440035926</v>
      </c>
      <c r="AF160" s="54">
        <v>511.50396589876055</v>
      </c>
      <c r="AG160" s="54">
        <v>529.61960582665665</v>
      </c>
      <c r="AH160" s="54">
        <v>482.43831600399091</v>
      </c>
      <c r="AI160" s="54">
        <v>375.53136647473349</v>
      </c>
      <c r="AJ160" s="54">
        <v>371.22403688090611</v>
      </c>
      <c r="AK160" s="54">
        <v>385.09219721238219</v>
      </c>
      <c r="AL160" s="54">
        <v>555.08815012925902</v>
      </c>
      <c r="AM160" s="54">
        <v>532.73974946163082</v>
      </c>
      <c r="AN160" s="54">
        <v>473.18786868410467</v>
      </c>
      <c r="AO160" s="54">
        <v>338.9318768558598</v>
      </c>
      <c r="AP160" s="54">
        <v>387.04817230909174</v>
      </c>
      <c r="AQ160" s="54">
        <v>425.15910710356428</v>
      </c>
      <c r="AR160" s="54">
        <v>456.44742950151971</v>
      </c>
      <c r="AS160" s="54">
        <v>491.24843536945286</v>
      </c>
      <c r="AT160" s="54">
        <v>451.51809765683447</v>
      </c>
      <c r="AU160" s="54">
        <v>491.0448028526053</v>
      </c>
      <c r="AV160" s="54">
        <v>522.06878452739193</v>
      </c>
      <c r="AW160" s="54">
        <v>460.66344438259387</v>
      </c>
      <c r="AX160" s="54">
        <v>464.80178551728966</v>
      </c>
      <c r="AY160" s="54">
        <v>498.38753655919697</v>
      </c>
      <c r="AZ160" s="54">
        <v>463.59111811221942</v>
      </c>
      <c r="BA160" s="54">
        <v>405.16566806874346</v>
      </c>
      <c r="BB160" s="54">
        <v>416.6216668401359</v>
      </c>
      <c r="BC160" s="54">
        <v>453.34439667796624</v>
      </c>
      <c r="BD160" s="54">
        <v>496.11327843102225</v>
      </c>
      <c r="BE160" s="54">
        <v>490.29618233421201</v>
      </c>
      <c r="BF160" s="54">
        <v>459.141593404643</v>
      </c>
      <c r="BG160" s="54">
        <v>336.34824656293614</v>
      </c>
      <c r="BH160" s="54">
        <v>355.55806952338929</v>
      </c>
      <c r="BI160" s="54">
        <v>480.50750009544709</v>
      </c>
      <c r="BJ160" s="54">
        <v>497.09452045796797</v>
      </c>
      <c r="BK160" s="54">
        <v>468.55407822497176</v>
      </c>
      <c r="BL160" s="54">
        <v>473.97000780703746</v>
      </c>
      <c r="BM160" s="54">
        <v>388.26497497526691</v>
      </c>
      <c r="BN160" s="54">
        <v>412.93190372953404</v>
      </c>
      <c r="BO160" s="54">
        <v>498.82025034192054</v>
      </c>
      <c r="BP160" s="54">
        <v>556.37399498856928</v>
      </c>
      <c r="BQ160" s="54">
        <v>556.43040801658981</v>
      </c>
      <c r="BR160" s="54">
        <v>519.03996543744051</v>
      </c>
      <c r="BS160" s="54">
        <v>394.84132526686079</v>
      </c>
      <c r="BT160" s="54">
        <v>405.43327953063789</v>
      </c>
      <c r="BU160" s="54">
        <v>481.39268356130384</v>
      </c>
      <c r="BV160" s="54">
        <v>480.10262782804045</v>
      </c>
      <c r="BW160" s="54">
        <v>499.2422739854785</v>
      </c>
      <c r="BX160" s="54">
        <v>500.85162365869996</v>
      </c>
    </row>
    <row r="161" spans="1:76" x14ac:dyDescent="0.3">
      <c r="A161" s="8" t="s">
        <v>100</v>
      </c>
      <c r="B161" s="8" t="s">
        <v>8</v>
      </c>
      <c r="C161" s="8" t="s">
        <v>108</v>
      </c>
      <c r="D161" s="8" t="s">
        <v>115</v>
      </c>
      <c r="E161" s="54">
        <v>464.6068672239241</v>
      </c>
      <c r="F161" s="54">
        <v>543.21732167665471</v>
      </c>
      <c r="G161" s="54">
        <v>553.03730538773641</v>
      </c>
      <c r="H161" s="54">
        <v>334.36425243027367</v>
      </c>
      <c r="I161" s="54">
        <v>424.54591858461879</v>
      </c>
      <c r="J161" s="54">
        <v>484.40257237781935</v>
      </c>
      <c r="K161" s="54">
        <v>548.5704932001953</v>
      </c>
      <c r="L161" s="54">
        <v>580.57136703573769</v>
      </c>
      <c r="M161" s="54">
        <v>568.07166961113126</v>
      </c>
      <c r="N161" s="54">
        <v>487.60378220733867</v>
      </c>
      <c r="O161" s="54">
        <v>480.96540773313382</v>
      </c>
      <c r="P161" s="54">
        <v>564.44825650500957</v>
      </c>
      <c r="Q161" s="54">
        <v>490.60024412400713</v>
      </c>
      <c r="R161" s="54">
        <v>547.01477455198017</v>
      </c>
      <c r="S161" s="54">
        <v>576.04126408205775</v>
      </c>
      <c r="T161" s="54">
        <v>389.37734377055875</v>
      </c>
      <c r="U161" s="54">
        <v>454.29386622175463</v>
      </c>
      <c r="V161" s="54">
        <v>507.21202689278732</v>
      </c>
      <c r="W161" s="54">
        <v>498.36842133311188</v>
      </c>
      <c r="X161" s="54">
        <v>540.83297576944585</v>
      </c>
      <c r="Y161" s="54">
        <v>515.39331325387661</v>
      </c>
      <c r="Z161" s="54">
        <v>584.70282913239896</v>
      </c>
      <c r="AA161" s="54">
        <v>572.16517201998829</v>
      </c>
      <c r="AB161" s="54">
        <v>581.37905820325898</v>
      </c>
      <c r="AC161" s="54">
        <v>412.19966603613909</v>
      </c>
      <c r="AD161" s="54">
        <v>488.91254593280411</v>
      </c>
      <c r="AE161" s="54">
        <v>483.60254104584021</v>
      </c>
      <c r="AF161" s="54">
        <v>424.93449015474363</v>
      </c>
      <c r="AG161" s="54">
        <v>483.40201423734317</v>
      </c>
      <c r="AH161" s="54">
        <v>460.23113498540914</v>
      </c>
      <c r="AI161" s="54">
        <v>554.04898291926656</v>
      </c>
      <c r="AJ161" s="54">
        <v>554.82527238553268</v>
      </c>
      <c r="AK161" s="54">
        <v>433.46716339641779</v>
      </c>
      <c r="AL161" s="54">
        <v>541.44670662914086</v>
      </c>
      <c r="AM161" s="54">
        <v>548.19306065320791</v>
      </c>
      <c r="AN161" s="54">
        <v>520.78942837109525</v>
      </c>
      <c r="AO161" s="54">
        <v>500.86405290414081</v>
      </c>
      <c r="AP161" s="54">
        <v>558.45007308220283</v>
      </c>
      <c r="AQ161" s="54">
        <v>490.29421135703564</v>
      </c>
      <c r="AR161" s="54">
        <v>349.53451108168076</v>
      </c>
      <c r="AS161" s="54">
        <v>413.52343048744177</v>
      </c>
      <c r="AT161" s="54">
        <v>446.61350170456558</v>
      </c>
      <c r="AU161" s="54">
        <v>477.38126783846747</v>
      </c>
      <c r="AV161" s="54">
        <v>534.56931448760804</v>
      </c>
      <c r="AW161" s="54">
        <v>493.41441326940628</v>
      </c>
      <c r="AX161" s="54">
        <v>494.84468176711039</v>
      </c>
      <c r="AY161" s="54">
        <v>529.64742626240309</v>
      </c>
      <c r="AZ161" s="54">
        <v>543.78915859178062</v>
      </c>
      <c r="BA161" s="54">
        <v>543.9364125528565</v>
      </c>
      <c r="BB161" s="54">
        <v>595.5410167874644</v>
      </c>
      <c r="BC161" s="54">
        <v>501.05356960171952</v>
      </c>
      <c r="BD161" s="54">
        <v>415.28295401637763</v>
      </c>
      <c r="BE161" s="54">
        <v>493.2971563269881</v>
      </c>
      <c r="BF161" s="54">
        <v>462.11222705895705</v>
      </c>
      <c r="BG161" s="54">
        <v>443.78619606306358</v>
      </c>
      <c r="BH161" s="54">
        <v>493.23542568241072</v>
      </c>
      <c r="BI161" s="54">
        <v>547.66319916307339</v>
      </c>
      <c r="BJ161" s="54">
        <v>417.27783945803208</v>
      </c>
      <c r="BK161" s="54">
        <v>463.82816532702822</v>
      </c>
      <c r="BL161" s="54">
        <v>486.20558007708257</v>
      </c>
      <c r="BM161" s="54">
        <v>509.576952113733</v>
      </c>
      <c r="BN161" s="54">
        <v>570.38523674086571</v>
      </c>
      <c r="BO161" s="54">
        <v>566.86200100087956</v>
      </c>
      <c r="BP161" s="54">
        <v>498.03721144503066</v>
      </c>
      <c r="BQ161" s="54">
        <v>578.54436087121042</v>
      </c>
      <c r="BR161" s="54">
        <v>549.57801643015978</v>
      </c>
      <c r="BS161" s="54">
        <v>461.73024678553907</v>
      </c>
      <c r="BT161" s="54">
        <v>544.4804722187622</v>
      </c>
      <c r="BU161" s="54">
        <v>535.99609169189625</v>
      </c>
      <c r="BV161" s="54">
        <v>347.21280061135928</v>
      </c>
      <c r="BW161" s="54">
        <v>421.64426703312154</v>
      </c>
      <c r="BX161" s="54">
        <v>520.79755966269988</v>
      </c>
    </row>
    <row r="162" spans="1:76" x14ac:dyDescent="0.3">
      <c r="A162" s="8" t="s">
        <v>100</v>
      </c>
      <c r="B162" s="8" t="s">
        <v>8</v>
      </c>
      <c r="C162" s="8" t="s">
        <v>109</v>
      </c>
      <c r="D162" s="8" t="s">
        <v>110</v>
      </c>
      <c r="E162" s="54">
        <v>171.90080074894632</v>
      </c>
      <c r="F162" s="54">
        <v>99.333030416286931</v>
      </c>
      <c r="G162" s="54">
        <v>168.29457770722345</v>
      </c>
      <c r="H162" s="54">
        <v>189.16281093234412</v>
      </c>
      <c r="I162" s="54">
        <v>128.64884897192908</v>
      </c>
      <c r="J162" s="54">
        <v>212.89708220444314</v>
      </c>
      <c r="K162" s="54">
        <v>50.821774025755047</v>
      </c>
      <c r="L162" s="54">
        <v>112.6134372329427</v>
      </c>
      <c r="M162" s="54">
        <v>205.83569267957523</v>
      </c>
      <c r="N162" s="54">
        <v>96.716634823892477</v>
      </c>
      <c r="O162" s="54">
        <v>155.26196596678489</v>
      </c>
      <c r="P162" s="54">
        <v>244.1497841534881</v>
      </c>
      <c r="Q162" s="54">
        <v>14.368837860165851</v>
      </c>
      <c r="R162" s="54">
        <v>117.67877826883732</v>
      </c>
      <c r="S162" s="54">
        <v>217.97427193979658</v>
      </c>
      <c r="T162" s="54">
        <v>52.698267310123391</v>
      </c>
      <c r="U162" s="54">
        <v>154.21382933918093</v>
      </c>
      <c r="V162" s="54">
        <v>234.6884692805269</v>
      </c>
      <c r="W162" s="54">
        <v>45.996530530902689</v>
      </c>
      <c r="X162" s="54">
        <v>137.70361921735119</v>
      </c>
      <c r="Y162" s="54">
        <v>233.02050055188352</v>
      </c>
      <c r="Z162" s="54">
        <v>32.759067526757057</v>
      </c>
      <c r="AA162" s="54">
        <v>46.797347540891153</v>
      </c>
      <c r="AB162" s="54">
        <v>133.78950269462686</v>
      </c>
      <c r="AC162" s="54">
        <v>83.868278273597326</v>
      </c>
      <c r="AD162" s="54">
        <v>105.10487617326969</v>
      </c>
      <c r="AE162" s="54">
        <v>265.30632468021298</v>
      </c>
      <c r="AF162" s="54">
        <v>234.13166452387645</v>
      </c>
      <c r="AG162" s="54">
        <v>255.75535592597842</v>
      </c>
      <c r="AH162" s="54">
        <v>299.39160958105339</v>
      </c>
      <c r="AI162" s="54">
        <v>36.846427673196125</v>
      </c>
      <c r="AJ162" s="54">
        <v>88.821313303092737</v>
      </c>
      <c r="AK162" s="54">
        <v>169.22589360292937</v>
      </c>
      <c r="AL162" s="54">
        <v>-17.329918375273202</v>
      </c>
      <c r="AM162" s="54">
        <v>30.150788753370627</v>
      </c>
      <c r="AN162" s="54">
        <v>81.132001247916975</v>
      </c>
      <c r="AO162" s="54">
        <v>-6.1398628338992234</v>
      </c>
      <c r="AP162" s="54">
        <v>101.88188953341526</v>
      </c>
      <c r="AQ162" s="54">
        <v>168.82134943826111</v>
      </c>
      <c r="AR162" s="54">
        <v>41.10627291613622</v>
      </c>
      <c r="AS162" s="54">
        <v>145.49194196714276</v>
      </c>
      <c r="AT162" s="54">
        <v>200.12826950568231</v>
      </c>
      <c r="AU162" s="54">
        <v>30.089352331028387</v>
      </c>
      <c r="AV162" s="54">
        <v>124.17652236445542</v>
      </c>
      <c r="AW162" s="54">
        <v>212.37132444413854</v>
      </c>
      <c r="AX162" s="54">
        <v>-7.941202600404984</v>
      </c>
      <c r="AY162" s="54">
        <v>50.251881146429092</v>
      </c>
      <c r="AZ162" s="54">
        <v>113.47152958361283</v>
      </c>
      <c r="BA162" s="54">
        <v>43.692259179386014</v>
      </c>
      <c r="BB162" s="54">
        <v>114.97323913145863</v>
      </c>
      <c r="BC162" s="54">
        <v>189.23273574933731</v>
      </c>
      <c r="BD162" s="54">
        <v>108.64441175517415</v>
      </c>
      <c r="BE162" s="54">
        <v>149.68241847402209</v>
      </c>
      <c r="BF162" s="54">
        <v>233.59954924636716</v>
      </c>
      <c r="BG162" s="54">
        <v>26.159267080916759</v>
      </c>
      <c r="BH162" s="54">
        <v>118.20443560441751</v>
      </c>
      <c r="BI162" s="54">
        <v>246.83095436743895</v>
      </c>
      <c r="BJ162" s="54">
        <v>112.95259627625254</v>
      </c>
      <c r="BK162" s="54">
        <v>150.22024764401075</v>
      </c>
      <c r="BL162" s="54">
        <v>255.37121616880066</v>
      </c>
      <c r="BM162" s="54">
        <v>-30.510946942402196</v>
      </c>
      <c r="BN162" s="54">
        <v>85.689996019030048</v>
      </c>
      <c r="BO162" s="54">
        <v>198.15059770994026</v>
      </c>
      <c r="BP162" s="54">
        <v>88.608829743262334</v>
      </c>
      <c r="BQ162" s="54">
        <v>148.4330691220438</v>
      </c>
      <c r="BR162" s="54">
        <v>250.97557321425447</v>
      </c>
      <c r="BS162" s="54">
        <v>131.76388828239095</v>
      </c>
      <c r="BT162" s="54">
        <v>44.867218594225378</v>
      </c>
      <c r="BU162" s="54">
        <v>154.31189643507582</v>
      </c>
      <c r="BV162" s="54">
        <v>115.75334052314257</v>
      </c>
      <c r="BW162" s="54">
        <v>122.38239875945212</v>
      </c>
      <c r="BX162" s="54">
        <v>229.79832048003735</v>
      </c>
    </row>
    <row r="163" spans="1:76" x14ac:dyDescent="0.3">
      <c r="A163" s="8" t="s">
        <v>100</v>
      </c>
      <c r="B163" s="8" t="s">
        <v>8</v>
      </c>
      <c r="C163" s="8" t="s">
        <v>109</v>
      </c>
      <c r="D163" s="8" t="s">
        <v>115</v>
      </c>
      <c r="E163" s="54">
        <v>456.70374695635354</v>
      </c>
      <c r="F163" s="54">
        <v>288.73898771189533</v>
      </c>
      <c r="G163" s="54">
        <v>256.00416222507658</v>
      </c>
      <c r="H163" s="54">
        <v>461.96535167635619</v>
      </c>
      <c r="I163" s="54">
        <v>274.60887787817103</v>
      </c>
      <c r="J163" s="54">
        <v>249.72710341615678</v>
      </c>
      <c r="K163" s="54">
        <v>288.24214060809993</v>
      </c>
      <c r="L163" s="54">
        <v>225.39841819015714</v>
      </c>
      <c r="M163" s="54">
        <v>229.07720815472453</v>
      </c>
      <c r="N163" s="54">
        <v>303.98225532226263</v>
      </c>
      <c r="O163" s="54">
        <v>248.1934756452151</v>
      </c>
      <c r="P163" s="54">
        <v>215.89370352231185</v>
      </c>
      <c r="Q163" s="54">
        <v>301.61343067123414</v>
      </c>
      <c r="R163" s="54">
        <v>232.2375870286626</v>
      </c>
      <c r="S163" s="54">
        <v>223.48402811740331</v>
      </c>
      <c r="T163" s="54">
        <v>324.32583244787662</v>
      </c>
      <c r="U163" s="54">
        <v>264.52808517971891</v>
      </c>
      <c r="V163" s="54">
        <v>232.86817934747296</v>
      </c>
      <c r="W163" s="54">
        <v>298.76884491709689</v>
      </c>
      <c r="X163" s="54">
        <v>238.73774229504829</v>
      </c>
      <c r="Y163" s="54">
        <v>229.30190990581599</v>
      </c>
      <c r="Z163" s="54">
        <v>129.88751847134296</v>
      </c>
      <c r="AA163" s="54">
        <v>156.57847940860881</v>
      </c>
      <c r="AB163" s="54">
        <v>112.74017254957313</v>
      </c>
      <c r="AC163" s="54">
        <v>377.95883075779858</v>
      </c>
      <c r="AD163" s="54">
        <v>271.8359752639301</v>
      </c>
      <c r="AE163" s="54">
        <v>199.08688775738705</v>
      </c>
      <c r="AF163" s="54">
        <v>294.02354410491949</v>
      </c>
      <c r="AG163" s="54">
        <v>191.40545410602161</v>
      </c>
      <c r="AH163" s="54">
        <v>187.59311591364636</v>
      </c>
      <c r="AI163" s="54">
        <v>271.39374702380371</v>
      </c>
      <c r="AJ163" s="54">
        <v>258.38948156840712</v>
      </c>
      <c r="AK163" s="54">
        <v>277.03999698047068</v>
      </c>
      <c r="AL163" s="54">
        <v>173.84734675447322</v>
      </c>
      <c r="AM163" s="54">
        <v>159.30175654232937</v>
      </c>
      <c r="AN163" s="54">
        <v>157.42664727968292</v>
      </c>
      <c r="AO163" s="54">
        <v>305.89911484939927</v>
      </c>
      <c r="AP163" s="54">
        <v>235.92184508768455</v>
      </c>
      <c r="AQ163" s="54">
        <v>265.67530979203877</v>
      </c>
      <c r="AR163" s="54">
        <v>338.94598451096368</v>
      </c>
      <c r="AS163" s="54">
        <v>267.42259009575719</v>
      </c>
      <c r="AT163" s="54">
        <v>264.58753017501755</v>
      </c>
      <c r="AU163" s="54">
        <v>311.96004665087139</v>
      </c>
      <c r="AV163" s="54">
        <v>247.59252714304458</v>
      </c>
      <c r="AW163" s="54">
        <v>245.35161628936143</v>
      </c>
      <c r="AX163" s="54">
        <v>171.01443624260492</v>
      </c>
      <c r="AY163" s="54">
        <v>147.01560026437087</v>
      </c>
      <c r="AZ163" s="54">
        <v>131.78860876838715</v>
      </c>
      <c r="BA163" s="54">
        <v>274.30878113141398</v>
      </c>
      <c r="BB163" s="54">
        <v>234.55810268234134</v>
      </c>
      <c r="BC163" s="54">
        <v>254.87910453336249</v>
      </c>
      <c r="BD163" s="54">
        <v>287.70370446852553</v>
      </c>
      <c r="BE163" s="54">
        <v>282.76425085657775</v>
      </c>
      <c r="BF163" s="54">
        <v>242.6773609854327</v>
      </c>
      <c r="BG163" s="54">
        <v>304.55795423208309</v>
      </c>
      <c r="BH163" s="54">
        <v>246.84231199848239</v>
      </c>
      <c r="BI163" s="54">
        <v>213.10847290736089</v>
      </c>
      <c r="BJ163" s="54">
        <v>284.88358368174738</v>
      </c>
      <c r="BK163" s="54">
        <v>289.03197191198916</v>
      </c>
      <c r="BL163" s="54">
        <v>225.5676000277993</v>
      </c>
      <c r="BM163" s="54">
        <v>322.88191048690209</v>
      </c>
      <c r="BN163" s="54">
        <v>249.41857421616987</v>
      </c>
      <c r="BO163" s="54">
        <v>236.46052796145977</v>
      </c>
      <c r="BP163" s="54">
        <v>282.04677347353766</v>
      </c>
      <c r="BQ163" s="54">
        <v>262.50431532185627</v>
      </c>
      <c r="BR163" s="54">
        <v>215.10341771954543</v>
      </c>
      <c r="BS163" s="54">
        <v>452.81403748180907</v>
      </c>
      <c r="BT163" s="54">
        <v>273.53965728047467</v>
      </c>
      <c r="BU163" s="54">
        <v>267.31249119152409</v>
      </c>
      <c r="BV163" s="54">
        <v>420.07723149955825</v>
      </c>
      <c r="BW163" s="54">
        <v>278.71087174984785</v>
      </c>
      <c r="BX163" s="54">
        <v>232.83627118066241</v>
      </c>
    </row>
    <row r="164" spans="1:76" x14ac:dyDescent="0.3">
      <c r="A164" s="8" t="s">
        <v>100</v>
      </c>
      <c r="B164" s="8" t="s">
        <v>8</v>
      </c>
      <c r="C164" s="8" t="s">
        <v>110</v>
      </c>
      <c r="D164" s="8" t="s">
        <v>111</v>
      </c>
      <c r="E164" s="54">
        <v>316.44110713815076</v>
      </c>
      <c r="F164" s="54">
        <v>200.88198312724947</v>
      </c>
      <c r="G164" s="54">
        <v>177.82376568675062</v>
      </c>
      <c r="H164" s="54">
        <v>413.4793176106453</v>
      </c>
      <c r="I164" s="54">
        <v>273.08114655488038</v>
      </c>
      <c r="J164" s="54">
        <v>164.40988377716036</v>
      </c>
      <c r="K164" s="54">
        <v>202.9598169585114</v>
      </c>
      <c r="L164" s="54">
        <v>121.46639914574253</v>
      </c>
      <c r="M164" s="54">
        <v>118.31233621910697</v>
      </c>
      <c r="N164" s="54">
        <v>322.94367385857538</v>
      </c>
      <c r="O164" s="54">
        <v>235.6860734653674</v>
      </c>
      <c r="P164" s="54">
        <v>118.55719494475092</v>
      </c>
      <c r="Q164" s="54">
        <v>258.71890729416026</v>
      </c>
      <c r="R164" s="54">
        <v>136.40947468164754</v>
      </c>
      <c r="S164" s="54">
        <v>119.5873553166269</v>
      </c>
      <c r="T164" s="54">
        <v>362.11328151126821</v>
      </c>
      <c r="U164" s="54">
        <v>238.51060174119198</v>
      </c>
      <c r="V164" s="54">
        <v>137.07741337047497</v>
      </c>
      <c r="W164" s="54">
        <v>314.62718681962377</v>
      </c>
      <c r="X164" s="54">
        <v>207.12468035106178</v>
      </c>
      <c r="Y164" s="54">
        <v>121.93967309479692</v>
      </c>
      <c r="Z164" s="54">
        <v>164.82764832634089</v>
      </c>
      <c r="AA164" s="54">
        <v>169.18619532176405</v>
      </c>
      <c r="AB164" s="54">
        <v>70.208265999574195</v>
      </c>
      <c r="AC164" s="54">
        <v>383.98838330556373</v>
      </c>
      <c r="AD164" s="54">
        <v>274.26608186781823</v>
      </c>
      <c r="AE164" s="54">
        <v>94.428107619661361</v>
      </c>
      <c r="AF164" s="54">
        <v>231.66842004696829</v>
      </c>
      <c r="AG164" s="54">
        <v>124.08210753028692</v>
      </c>
      <c r="AH164" s="54">
        <v>75.810062590515813</v>
      </c>
      <c r="AI164" s="54">
        <v>198.70636773225857</v>
      </c>
      <c r="AJ164" s="54">
        <v>154.22311044720095</v>
      </c>
      <c r="AK164" s="54">
        <v>177.76491439148089</v>
      </c>
      <c r="AL164" s="54">
        <v>265.95003585464184</v>
      </c>
      <c r="AM164" s="54">
        <v>209.71755739753627</v>
      </c>
      <c r="AN164" s="54">
        <v>152.85906693702066</v>
      </c>
      <c r="AO164" s="54">
        <v>251.41671453171855</v>
      </c>
      <c r="AP164" s="54">
        <v>136.45721650267228</v>
      </c>
      <c r="AQ164" s="54">
        <v>170.22521788999879</v>
      </c>
      <c r="AR164" s="54">
        <v>380.5476771273286</v>
      </c>
      <c r="AS164" s="54">
        <v>255.98259592301508</v>
      </c>
      <c r="AT164" s="54">
        <v>183.85852034887895</v>
      </c>
      <c r="AU164" s="54">
        <v>335.18880049825617</v>
      </c>
      <c r="AV164" s="54">
        <v>222.98165321715402</v>
      </c>
      <c r="AW164" s="54">
        <v>147.89079968679997</v>
      </c>
      <c r="AX164" s="54">
        <v>222.51946915785626</v>
      </c>
      <c r="AY164" s="54">
        <v>174.63490295419626</v>
      </c>
      <c r="AZ164" s="54">
        <v>97.986976695161431</v>
      </c>
      <c r="BA164" s="54">
        <v>218.75650521760281</v>
      </c>
      <c r="BB164" s="54">
        <v>130.41913205609356</v>
      </c>
      <c r="BC164" s="54">
        <v>161.94885234317957</v>
      </c>
      <c r="BD164" s="54">
        <v>296.53110197377839</v>
      </c>
      <c r="BE164" s="54">
        <v>233.26079647058128</v>
      </c>
      <c r="BF164" s="54">
        <v>144.62222445972884</v>
      </c>
      <c r="BG164" s="54">
        <v>252.24527264965269</v>
      </c>
      <c r="BH164" s="54">
        <v>142.59185967720444</v>
      </c>
      <c r="BI164" s="54">
        <v>91.627426097464436</v>
      </c>
      <c r="BJ164" s="54">
        <v>291.48088567121431</v>
      </c>
      <c r="BK164" s="54">
        <v>236.69460974735657</v>
      </c>
      <c r="BL164" s="54">
        <v>117.13112297434824</v>
      </c>
      <c r="BM164" s="54">
        <v>305.74030069462952</v>
      </c>
      <c r="BN164" s="54">
        <v>167.72590930289201</v>
      </c>
      <c r="BO164" s="54">
        <v>142.82541354800404</v>
      </c>
      <c r="BP164" s="54">
        <v>307.08163334800179</v>
      </c>
      <c r="BQ164" s="54">
        <v>223.38411124572821</v>
      </c>
      <c r="BR164" s="54">
        <v>113.09016293748408</v>
      </c>
      <c r="BS164" s="54">
        <v>335.40559346191355</v>
      </c>
      <c r="BT164" s="54">
        <v>217.37917349872225</v>
      </c>
      <c r="BU164" s="54">
        <v>195.70002855219747</v>
      </c>
      <c r="BV164" s="54">
        <v>415.78623733804164</v>
      </c>
      <c r="BW164" s="54">
        <v>280.42691572224544</v>
      </c>
      <c r="BX164" s="54">
        <v>140.58197498664759</v>
      </c>
    </row>
    <row r="165" spans="1:76" x14ac:dyDescent="0.3">
      <c r="A165" s="8" t="s">
        <v>100</v>
      </c>
      <c r="B165" s="8" t="s">
        <v>8</v>
      </c>
      <c r="C165" s="8" t="s">
        <v>110</v>
      </c>
      <c r="D165" s="8" t="s">
        <v>115</v>
      </c>
      <c r="E165" s="54">
        <v>218.5187642630959</v>
      </c>
      <c r="F165" s="54">
        <v>142.8261432664535</v>
      </c>
      <c r="G165" s="54">
        <v>86.522152629772691</v>
      </c>
      <c r="H165" s="54">
        <v>213.39549565139905</v>
      </c>
      <c r="I165" s="54">
        <v>118.74816076614935</v>
      </c>
      <c r="J165" s="54">
        <v>60.036194508549798</v>
      </c>
      <c r="K165" s="54">
        <v>166.75054005918909</v>
      </c>
      <c r="L165" s="54">
        <v>93.958893510300186</v>
      </c>
      <c r="M165" s="54">
        <v>49.800292430028811</v>
      </c>
      <c r="N165" s="54">
        <v>154.29651946956224</v>
      </c>
      <c r="O165" s="54">
        <v>87.831334113417597</v>
      </c>
      <c r="P165" s="54">
        <v>21.854243604797375</v>
      </c>
      <c r="Q165" s="54">
        <v>193.89120151740647</v>
      </c>
      <c r="R165" s="54">
        <v>95.98566888468973</v>
      </c>
      <c r="S165" s="54">
        <v>40.002216108370739</v>
      </c>
      <c r="T165" s="54">
        <v>189.86808797685595</v>
      </c>
      <c r="U165" s="54">
        <v>99.245142116888957</v>
      </c>
      <c r="V165" s="54">
        <v>37.90121825805204</v>
      </c>
      <c r="W165" s="54">
        <v>176.18096467927978</v>
      </c>
      <c r="X165" s="54">
        <v>90.306685254689882</v>
      </c>
      <c r="Y165" s="54">
        <v>36.357689661268957</v>
      </c>
      <c r="Z165" s="54">
        <v>70.212145217516735</v>
      </c>
      <c r="AA165" s="54">
        <v>80.986979168627073</v>
      </c>
      <c r="AB165" s="54">
        <v>8.2653636857352719</v>
      </c>
      <c r="AC165" s="54">
        <v>210.03841470173356</v>
      </c>
      <c r="AD165" s="54">
        <v>128.67154542265192</v>
      </c>
      <c r="AE165" s="54">
        <v>7.1429498151531767E-2</v>
      </c>
      <c r="AF165" s="54">
        <v>78.949863808008274</v>
      </c>
      <c r="AG165" s="54">
        <v>-0.27404189230806342</v>
      </c>
      <c r="AH165" s="54">
        <v>-24.633727514762448</v>
      </c>
      <c r="AI165" s="54">
        <v>162.50595084593778</v>
      </c>
      <c r="AJ165" s="54">
        <v>127.84899772739178</v>
      </c>
      <c r="AK165" s="54">
        <v>100.08038451884893</v>
      </c>
      <c r="AL165" s="54">
        <v>124.56319035728546</v>
      </c>
      <c r="AM165" s="54">
        <v>91.12577665153421</v>
      </c>
      <c r="AN165" s="54">
        <v>64.385097562496767</v>
      </c>
      <c r="AO165" s="54">
        <v>207.00267464988232</v>
      </c>
      <c r="AP165" s="54">
        <v>106.34028529174877</v>
      </c>
      <c r="AQ165" s="54">
        <v>92.706198475562161</v>
      </c>
      <c r="AR165" s="54">
        <v>205.41085321590757</v>
      </c>
      <c r="AS165" s="54">
        <v>105.53575574693342</v>
      </c>
      <c r="AT165" s="54">
        <v>76.327552030503895</v>
      </c>
      <c r="AU165" s="54">
        <v>192.92868826840015</v>
      </c>
      <c r="AV165" s="54">
        <v>102.97342357980187</v>
      </c>
      <c r="AW165" s="54">
        <v>57.382081970838385</v>
      </c>
      <c r="AX165" s="54">
        <v>117.98022546193909</v>
      </c>
      <c r="AY165" s="54">
        <v>72.884459603032809</v>
      </c>
      <c r="AZ165" s="54">
        <v>31.123307720451688</v>
      </c>
      <c r="BA165" s="54">
        <v>161.02639116458306</v>
      </c>
      <c r="BB165" s="54">
        <v>98.885448889164948</v>
      </c>
      <c r="BC165" s="54">
        <v>75.303035147573084</v>
      </c>
      <c r="BD165" s="54">
        <v>137.48026376809673</v>
      </c>
      <c r="BE165" s="54">
        <v>113.66829133404089</v>
      </c>
      <c r="BF165" s="54">
        <v>44.985132700438243</v>
      </c>
      <c r="BG165" s="54">
        <v>189.9590026142638</v>
      </c>
      <c r="BH165" s="54">
        <v>105.4593235301129</v>
      </c>
      <c r="BI165" s="54">
        <v>18.656838087854453</v>
      </c>
      <c r="BJ165" s="54">
        <v>133.4460909830386</v>
      </c>
      <c r="BK165" s="54">
        <v>117.57785745265414</v>
      </c>
      <c r="BL165" s="54">
        <v>22.69279193413243</v>
      </c>
      <c r="BM165" s="54">
        <v>230.51008046246912</v>
      </c>
      <c r="BN165" s="54">
        <v>123.43405146793151</v>
      </c>
      <c r="BO165" s="54">
        <v>58.565053119336355</v>
      </c>
      <c r="BP165" s="54">
        <v>143.72676744406056</v>
      </c>
      <c r="BQ165" s="54">
        <v>100.78634232021555</v>
      </c>
      <c r="BR165" s="54">
        <v>17.914491872569769</v>
      </c>
      <c r="BS165" s="54">
        <v>235.99408084667738</v>
      </c>
      <c r="BT165" s="54">
        <v>159.92616222320376</v>
      </c>
      <c r="BU165" s="54">
        <v>101.05237924347821</v>
      </c>
      <c r="BV165" s="54">
        <v>222.17481740480082</v>
      </c>
      <c r="BW165" s="54">
        <v>124.61604845350594</v>
      </c>
      <c r="BX165" s="54">
        <v>40.32502054708975</v>
      </c>
    </row>
    <row r="166" spans="1:76" x14ac:dyDescent="0.3">
      <c r="A166" s="8" t="s">
        <v>100</v>
      </c>
      <c r="B166" s="8" t="s">
        <v>8</v>
      </c>
      <c r="C166" s="8" t="s">
        <v>111</v>
      </c>
      <c r="D166" s="8" t="s">
        <v>112</v>
      </c>
      <c r="E166" s="54">
        <v>459.39545229469991</v>
      </c>
      <c r="F166" s="54">
        <v>414.4933892631999</v>
      </c>
      <c r="G166" s="54">
        <v>310.90126006769992</v>
      </c>
      <c r="H166" s="54">
        <v>384.7425206173001</v>
      </c>
      <c r="I166" s="54">
        <v>331.94227314990002</v>
      </c>
      <c r="J166" s="54">
        <v>272.5758143793999</v>
      </c>
      <c r="K166" s="54">
        <v>432.22528159360007</v>
      </c>
      <c r="L166" s="54">
        <v>397.18814457690013</v>
      </c>
      <c r="M166" s="54">
        <v>300.28709916570006</v>
      </c>
      <c r="N166" s="54">
        <v>370.59030608130007</v>
      </c>
      <c r="O166" s="54">
        <v>331.74455838800009</v>
      </c>
      <c r="P166" s="54">
        <v>275.15651232420015</v>
      </c>
      <c r="Q166" s="54">
        <v>419.21773146860011</v>
      </c>
      <c r="R166" s="54">
        <v>385.28363470249991</v>
      </c>
      <c r="S166" s="54">
        <v>293.74169994279998</v>
      </c>
      <c r="T166" s="54">
        <v>358.17590024199995</v>
      </c>
      <c r="U166" s="54">
        <v>316.45808548110011</v>
      </c>
      <c r="V166" s="54">
        <v>267.64335137200004</v>
      </c>
      <c r="W166" s="54">
        <v>390.43462455200006</v>
      </c>
      <c r="X166" s="54">
        <v>358.75863848760002</v>
      </c>
      <c r="Y166" s="54">
        <v>272.87758954229992</v>
      </c>
      <c r="Z166" s="54">
        <v>337.35341400190009</v>
      </c>
      <c r="AA166" s="54">
        <v>296.62417305049991</v>
      </c>
      <c r="AB166" s="54">
        <v>253.47032475580011</v>
      </c>
      <c r="AC166" s="54">
        <v>389.84148026629993</v>
      </c>
      <c r="AD166" s="54">
        <v>358.25914856279996</v>
      </c>
      <c r="AE166" s="54">
        <v>270.80678756240007</v>
      </c>
      <c r="AF166" s="54">
        <v>323.51338066890014</v>
      </c>
      <c r="AG166" s="54">
        <v>288.03918996800013</v>
      </c>
      <c r="AH166" s="54">
        <v>248.21527450530013</v>
      </c>
      <c r="AI166" s="54">
        <v>426.959825303</v>
      </c>
      <c r="AJ166" s="54">
        <v>387.98920512850009</v>
      </c>
      <c r="AK166" s="54">
        <v>288.93410941660005</v>
      </c>
      <c r="AL166" s="54">
        <v>343.48257162080012</v>
      </c>
      <c r="AM166" s="54">
        <v>310.54745470430009</v>
      </c>
      <c r="AN166" s="54">
        <v>261.44135147240013</v>
      </c>
      <c r="AO166" s="54">
        <v>435.44074798449992</v>
      </c>
      <c r="AP166" s="54">
        <v>397.39626537890007</v>
      </c>
      <c r="AQ166" s="54">
        <v>300.70334076969993</v>
      </c>
      <c r="AR166" s="54">
        <v>355.14774257289992</v>
      </c>
      <c r="AS166" s="54">
        <v>322.28546793710012</v>
      </c>
      <c r="AT166" s="54">
        <v>270.48420031929999</v>
      </c>
      <c r="AU166" s="54">
        <v>393.15060101810008</v>
      </c>
      <c r="AV166" s="54">
        <v>363.43095049250019</v>
      </c>
      <c r="AW166" s="54">
        <v>277.47705926650013</v>
      </c>
      <c r="AX166" s="54">
        <v>336.92676635780015</v>
      </c>
      <c r="AY166" s="54">
        <v>302.73251858920003</v>
      </c>
      <c r="AZ166" s="54">
        <v>254.7398616480001</v>
      </c>
      <c r="BA166" s="54">
        <v>417.19895968920008</v>
      </c>
      <c r="BB166" s="54">
        <v>385.66865818619988</v>
      </c>
      <c r="BC166" s="54">
        <v>291.08815971730007</v>
      </c>
      <c r="BD166" s="54">
        <v>338.85188377630016</v>
      </c>
      <c r="BE166" s="54">
        <v>302.75333066940016</v>
      </c>
      <c r="BF166" s="54">
        <v>258.92308976819999</v>
      </c>
      <c r="BG166" s="54">
        <v>404.48277868700001</v>
      </c>
      <c r="BH166" s="54">
        <v>370.15325239710006</v>
      </c>
      <c r="BI166" s="54">
        <v>275.26057272520001</v>
      </c>
      <c r="BJ166" s="54">
        <v>337.36382004200016</v>
      </c>
      <c r="BK166" s="54">
        <v>295.94778044400005</v>
      </c>
      <c r="BL166" s="54">
        <v>254.26118380339992</v>
      </c>
      <c r="BM166" s="54">
        <v>442.8290364555001</v>
      </c>
      <c r="BN166" s="54">
        <v>400.09142976480018</v>
      </c>
      <c r="BO166" s="54">
        <v>300.58887432860001</v>
      </c>
      <c r="BP166" s="54">
        <v>364.54439678320006</v>
      </c>
      <c r="BQ166" s="54">
        <v>324.26261555610012</v>
      </c>
      <c r="BR166" s="54">
        <v>269.12100906619997</v>
      </c>
      <c r="BS166" s="54">
        <v>463.4642139738001</v>
      </c>
      <c r="BT166" s="54">
        <v>416.79312412529998</v>
      </c>
      <c r="BU166" s="54">
        <v>313.57561237339991</v>
      </c>
      <c r="BV166" s="54">
        <v>380.89228578030009</v>
      </c>
      <c r="BW166" s="54">
        <v>334.10672949069988</v>
      </c>
      <c r="BX166" s="54">
        <v>272.56540833930012</v>
      </c>
    </row>
    <row r="167" spans="1:76" x14ac:dyDescent="0.3">
      <c r="A167" s="8" t="s">
        <v>100</v>
      </c>
      <c r="B167" s="8" t="s">
        <v>8</v>
      </c>
      <c r="C167" s="8" t="s">
        <v>111</v>
      </c>
      <c r="D167" s="8" t="s">
        <v>115</v>
      </c>
      <c r="E167" s="54">
        <v>-33.886618764022437</v>
      </c>
      <c r="F167" s="54">
        <v>-18.43163200469078</v>
      </c>
      <c r="G167" s="54">
        <v>-46.248239081889686</v>
      </c>
      <c r="H167" s="54">
        <v>-98.377951768103927</v>
      </c>
      <c r="I167" s="54">
        <v>-81.614596022188238</v>
      </c>
      <c r="J167" s="54">
        <v>-57.729031479312852</v>
      </c>
      <c r="K167" s="54">
        <v>-1.7869805546778528</v>
      </c>
      <c r="L167" s="54">
        <v>-5.4473293333640038</v>
      </c>
      <c r="M167" s="54">
        <v>-36.594990814420299</v>
      </c>
      <c r="N167" s="54">
        <v>-86.117406559438223</v>
      </c>
      <c r="O167" s="54">
        <v>-81.430295330791381</v>
      </c>
      <c r="P167" s="54">
        <v>-57.707564136871284</v>
      </c>
      <c r="Q167" s="54">
        <v>-16.28091592079528</v>
      </c>
      <c r="R167" s="54">
        <v>-13.26667001251236</v>
      </c>
      <c r="S167" s="54">
        <v>-44.740434991613839</v>
      </c>
      <c r="T167" s="54">
        <v>-83.919734961900645</v>
      </c>
      <c r="U167" s="54">
        <v>-74.635269500578303</v>
      </c>
      <c r="V167" s="54">
        <v>-57.247469663007863</v>
      </c>
      <c r="W167" s="54">
        <v>-64.506268252805029</v>
      </c>
      <c r="X167" s="54">
        <v>-61.722911278396353</v>
      </c>
      <c r="Y167" s="54">
        <v>-48.944028438296257</v>
      </c>
      <c r="Z167" s="54">
        <v>-50.358171290825652</v>
      </c>
      <c r="AA167" s="54">
        <v>-45.001137699632324</v>
      </c>
      <c r="AB167" s="54">
        <v>-37.6811434854325</v>
      </c>
      <c r="AC167" s="54">
        <v>-82.463928539677099</v>
      </c>
      <c r="AD167" s="54">
        <v>-74.912642100397491</v>
      </c>
      <c r="AE167" s="54">
        <v>-58.963995138674676</v>
      </c>
      <c r="AF167" s="54">
        <v>-85.58036467334928</v>
      </c>
      <c r="AG167" s="54">
        <v>-77.756848625660353</v>
      </c>
      <c r="AH167" s="54">
        <v>-65.856584755144226</v>
      </c>
      <c r="AI167" s="54">
        <v>-2.3120166982083523</v>
      </c>
      <c r="AJ167" s="54">
        <v>-0.50269573395667067</v>
      </c>
      <c r="AK167" s="54">
        <v>-36.042783105538767</v>
      </c>
      <c r="AL167" s="54">
        <v>-72.796379641187016</v>
      </c>
      <c r="AM167" s="54">
        <v>-62.729140884809631</v>
      </c>
      <c r="AN167" s="54">
        <v>-47.248093663765481</v>
      </c>
      <c r="AO167" s="54">
        <v>-1.8834405949123001</v>
      </c>
      <c r="AP167" s="54">
        <v>-5.5305463453585446</v>
      </c>
      <c r="AQ167" s="54">
        <v>-36.861112324577675</v>
      </c>
      <c r="AR167" s="54">
        <v>-83.784158292649622</v>
      </c>
      <c r="AS167" s="54">
        <v>-80.837305641684338</v>
      </c>
      <c r="AT167" s="54">
        <v>-57.66591119517139</v>
      </c>
      <c r="AU167" s="54">
        <v>-64.796484110110072</v>
      </c>
      <c r="AV167" s="54">
        <v>-62.133465575869963</v>
      </c>
      <c r="AW167" s="54">
        <v>-49.395188326121108</v>
      </c>
      <c r="AX167" s="54">
        <v>-50.589499127206004</v>
      </c>
      <c r="AY167" s="54">
        <v>-54.483469644098115</v>
      </c>
      <c r="AZ167" s="54">
        <v>-37.899379644137142</v>
      </c>
      <c r="BA167" s="54">
        <v>-15.953022387564687</v>
      </c>
      <c r="BB167" s="54">
        <v>-7.3478708681847804</v>
      </c>
      <c r="BC167" s="54">
        <v>-44.740756353807363</v>
      </c>
      <c r="BD167" s="54">
        <v>-82.221740907538972</v>
      </c>
      <c r="BE167" s="54">
        <v>-60.536779293582477</v>
      </c>
      <c r="BF167" s="54">
        <v>-56.650040762001865</v>
      </c>
      <c r="BG167" s="54">
        <v>-15.184043445335194</v>
      </c>
      <c r="BH167" s="54">
        <v>-10.025419650668166</v>
      </c>
      <c r="BI167" s="54">
        <v>-43.274512745024253</v>
      </c>
      <c r="BJ167" s="54">
        <v>-82.090985307229914</v>
      </c>
      <c r="BK167" s="54">
        <v>-59.750738002607328</v>
      </c>
      <c r="BL167" s="54">
        <v>-56.187357908368377</v>
      </c>
      <c r="BM167" s="54">
        <v>-18.205127587291759</v>
      </c>
      <c r="BN167" s="54">
        <v>-12.25315471335886</v>
      </c>
      <c r="BO167" s="54">
        <v>-45.342093628000235</v>
      </c>
      <c r="BP167" s="54">
        <v>-84.130945259455856</v>
      </c>
      <c r="BQ167" s="54">
        <v>-64.025312788418503</v>
      </c>
      <c r="BR167" s="54">
        <v>-57.245482931500227</v>
      </c>
      <c r="BS167" s="54">
        <v>-32.632935278688045</v>
      </c>
      <c r="BT167" s="54">
        <v>-15.917361769298587</v>
      </c>
      <c r="BU167" s="54">
        <v>-46.523233412514855</v>
      </c>
      <c r="BV167" s="54">
        <v>-93.235285282675434</v>
      </c>
      <c r="BW167" s="54">
        <v>-81.804785986274055</v>
      </c>
      <c r="BX167" s="54">
        <v>-57.619968956337473</v>
      </c>
    </row>
    <row r="168" spans="1:76" x14ac:dyDescent="0.3">
      <c r="A168" s="8" t="s">
        <v>100</v>
      </c>
      <c r="B168" s="8" t="s">
        <v>8</v>
      </c>
      <c r="C168" s="8" t="s">
        <v>111</v>
      </c>
      <c r="D168" s="8" t="s">
        <v>118</v>
      </c>
      <c r="E168" s="54">
        <v>331.63904949944924</v>
      </c>
      <c r="F168" s="54">
        <v>301.62273640248549</v>
      </c>
      <c r="G168" s="54">
        <v>194.28965911010377</v>
      </c>
      <c r="H168" s="54">
        <v>227.62293447927527</v>
      </c>
      <c r="I168" s="54">
        <v>191.48073139284972</v>
      </c>
      <c r="J168" s="54">
        <v>153.86641869438722</v>
      </c>
      <c r="K168" s="54">
        <v>327.12493306159354</v>
      </c>
      <c r="L168" s="54">
        <v>294.27122890476909</v>
      </c>
      <c r="M168" s="54">
        <v>190.79421728133539</v>
      </c>
      <c r="N168" s="54">
        <v>222.59607388547465</v>
      </c>
      <c r="O168" s="54">
        <v>191.41831139102527</v>
      </c>
      <c r="P168" s="54">
        <v>156.13740980155211</v>
      </c>
      <c r="Q168" s="54">
        <v>307.04696548254782</v>
      </c>
      <c r="R168" s="54">
        <v>279.16317835718019</v>
      </c>
      <c r="S168" s="54">
        <v>180.17972645498205</v>
      </c>
      <c r="T168" s="54">
        <v>213.0520717346096</v>
      </c>
      <c r="U168" s="54">
        <v>182.11966309561544</v>
      </c>
      <c r="V168" s="54">
        <v>149.83945065269521</v>
      </c>
      <c r="W168" s="54">
        <v>252.92653553131706</v>
      </c>
      <c r="X168" s="54">
        <v>226.88006190961207</v>
      </c>
      <c r="Y168" s="54">
        <v>159.40147378653469</v>
      </c>
      <c r="Z168" s="54">
        <v>214.96933447716705</v>
      </c>
      <c r="AA168" s="54">
        <v>182.54546879940793</v>
      </c>
      <c r="AB168" s="54">
        <v>149.17784807006564</v>
      </c>
      <c r="AC168" s="54">
        <v>241.63293810920638</v>
      </c>
      <c r="AD168" s="54">
        <v>218.52916973221159</v>
      </c>
      <c r="AE168" s="54">
        <v>151.5775420338953</v>
      </c>
      <c r="AF168" s="54">
        <v>181.72598928127792</v>
      </c>
      <c r="AG168" s="54">
        <v>155.38018204660386</v>
      </c>
      <c r="AH168" s="54">
        <v>127.67441433905068</v>
      </c>
      <c r="AI168" s="54">
        <v>322.20263712120033</v>
      </c>
      <c r="AJ168" s="54">
        <v>289.18893704706352</v>
      </c>
      <c r="AK168" s="54">
        <v>181.19167587620177</v>
      </c>
      <c r="AL168" s="54">
        <v>206.86942238348772</v>
      </c>
      <c r="AM168" s="54">
        <v>184.09153833537684</v>
      </c>
      <c r="AN168" s="54">
        <v>150.41232634009071</v>
      </c>
      <c r="AO168" s="54">
        <v>329.88059012949009</v>
      </c>
      <c r="AP168" s="54">
        <v>294.40340439932243</v>
      </c>
      <c r="AQ168" s="54">
        <v>190.99875577874082</v>
      </c>
      <c r="AR168" s="54">
        <v>210.48377977569777</v>
      </c>
      <c r="AS168" s="54">
        <v>183.49740105995193</v>
      </c>
      <c r="AT168" s="54">
        <v>152.07412856228476</v>
      </c>
      <c r="AU168" s="54">
        <v>255.12888542477151</v>
      </c>
      <c r="AV168" s="54">
        <v>230.72200233541574</v>
      </c>
      <c r="AW168" s="54">
        <v>163.15531386251482</v>
      </c>
      <c r="AX168" s="54">
        <v>214.45722108675147</v>
      </c>
      <c r="AY168" s="54">
        <v>182.20087197909129</v>
      </c>
      <c r="AZ168" s="54">
        <v>150.15775115551767</v>
      </c>
      <c r="BA168" s="54">
        <v>305.47727629551093</v>
      </c>
      <c r="BB168" s="54">
        <v>283.05135339201405</v>
      </c>
      <c r="BC168" s="54">
        <v>177.85768594035289</v>
      </c>
      <c r="BD168" s="54">
        <v>197.16235375973923</v>
      </c>
      <c r="BE168" s="54">
        <v>178.5870967595755</v>
      </c>
      <c r="BF168" s="54">
        <v>142.56767908997381</v>
      </c>
      <c r="BG168" s="54">
        <v>294.81200528392407</v>
      </c>
      <c r="BH168" s="54">
        <v>267.86884405706155</v>
      </c>
      <c r="BI168" s="54">
        <v>164.88829348753552</v>
      </c>
      <c r="BJ168" s="54">
        <v>195.938751352412</v>
      </c>
      <c r="BK168" s="54">
        <v>173.10386508693566</v>
      </c>
      <c r="BL168" s="54">
        <v>138.76612108295404</v>
      </c>
      <c r="BM168" s="54">
        <v>326.55233034618789</v>
      </c>
      <c r="BN168" s="54">
        <v>292.72810821618475</v>
      </c>
      <c r="BO168" s="54">
        <v>185.81000886072485</v>
      </c>
      <c r="BP168" s="54">
        <v>218.4977800296266</v>
      </c>
      <c r="BQ168" s="54">
        <v>195.31460093853636</v>
      </c>
      <c r="BR168" s="54">
        <v>151.13359317402475</v>
      </c>
      <c r="BS168" s="54">
        <v>335.9514260598624</v>
      </c>
      <c r="BT168" s="54">
        <v>305.1435665480584</v>
      </c>
      <c r="BU168" s="54">
        <v>196.46472077921607</v>
      </c>
      <c r="BV168" s="54">
        <v>227.33957888815738</v>
      </c>
      <c r="BW168" s="54">
        <v>193.26051671259813</v>
      </c>
      <c r="BX168" s="54">
        <v>153.92275092308518</v>
      </c>
    </row>
    <row r="169" spans="1:76" x14ac:dyDescent="0.3">
      <c r="A169" s="8" t="s">
        <v>100</v>
      </c>
      <c r="B169" s="8" t="s">
        <v>8</v>
      </c>
      <c r="C169" s="8" t="s">
        <v>115</v>
      </c>
      <c r="D169" s="8" t="s">
        <v>116</v>
      </c>
      <c r="E169" s="54">
        <v>404.68788974013694</v>
      </c>
      <c r="F169" s="54">
        <v>357.81738093255842</v>
      </c>
      <c r="G169" s="54">
        <v>262.37837638238528</v>
      </c>
      <c r="H169" s="54">
        <v>344.79954795548838</v>
      </c>
      <c r="I169" s="54">
        <v>289.96663552559033</v>
      </c>
      <c r="J169" s="54">
        <v>227.30722531577752</v>
      </c>
      <c r="K169" s="54">
        <v>371.77704566469561</v>
      </c>
      <c r="L169" s="54">
        <v>338.34790682915042</v>
      </c>
      <c r="M169" s="54">
        <v>250.09891984944144</v>
      </c>
      <c r="N169" s="54">
        <v>328.54902974115532</v>
      </c>
      <c r="O169" s="54">
        <v>289.73700349445841</v>
      </c>
      <c r="P169" s="54">
        <v>229.81911234346941</v>
      </c>
      <c r="Q169" s="54">
        <v>361.99347136604399</v>
      </c>
      <c r="R169" s="54">
        <v>328.30487783744024</v>
      </c>
      <c r="S169" s="54">
        <v>245.34624444255272</v>
      </c>
      <c r="T169" s="54">
        <v>316.00544972833023</v>
      </c>
      <c r="U169" s="54">
        <v>273.47368724418806</v>
      </c>
      <c r="V169" s="54">
        <v>222.40176152030156</v>
      </c>
      <c r="W169" s="54">
        <v>343.57501258876113</v>
      </c>
      <c r="X169" s="54">
        <v>312.13425478108923</v>
      </c>
      <c r="Y169" s="54">
        <v>225.84445549140187</v>
      </c>
      <c r="Z169" s="54">
        <v>288.99121291001762</v>
      </c>
      <c r="AA169" s="54">
        <v>248.20879626416371</v>
      </c>
      <c r="AB169" s="54">
        <v>204.66979533399154</v>
      </c>
      <c r="AC169" s="54">
        <v>346.58822896757812</v>
      </c>
      <c r="AD169" s="54">
        <v>314.28519826880949</v>
      </c>
      <c r="AE169" s="54">
        <v>225.82941690107484</v>
      </c>
      <c r="AF169" s="54">
        <v>282.5416190868475</v>
      </c>
      <c r="AG169" s="54">
        <v>246.38957994393195</v>
      </c>
      <c r="AH169" s="54">
        <v>205.18120959369622</v>
      </c>
      <c r="AI169" s="54">
        <v>366.74823301006643</v>
      </c>
      <c r="AJ169" s="54">
        <v>328.39001414707877</v>
      </c>
      <c r="AK169" s="54">
        <v>238.91931330229289</v>
      </c>
      <c r="AL169" s="54">
        <v>299.45478325851747</v>
      </c>
      <c r="AM169" s="54">
        <v>265.32959651365462</v>
      </c>
      <c r="AN169" s="54">
        <v>214.35493641834324</v>
      </c>
      <c r="AO169" s="54">
        <v>374.93141740387006</v>
      </c>
      <c r="AP169" s="54">
        <v>338.56746801349914</v>
      </c>
      <c r="AQ169" s="54">
        <v>250.55797971537319</v>
      </c>
      <c r="AR169" s="54">
        <v>313.02588066710734</v>
      </c>
      <c r="AS169" s="54">
        <v>280.39579236700951</v>
      </c>
      <c r="AT169" s="54">
        <v>225.25527755035179</v>
      </c>
      <c r="AU169" s="54">
        <v>346.28113281466955</v>
      </c>
      <c r="AV169" s="54">
        <v>316.77186984536144</v>
      </c>
      <c r="AW169" s="54">
        <v>230.41917045006178</v>
      </c>
      <c r="AX169" s="54">
        <v>288.62149702429616</v>
      </c>
      <c r="AY169" s="54">
        <v>256.06089955328957</v>
      </c>
      <c r="AZ169" s="54">
        <v>205.95124103562745</v>
      </c>
      <c r="BA169" s="54">
        <v>359.95959017448297</v>
      </c>
      <c r="BB169" s="54">
        <v>327.49651590518192</v>
      </c>
      <c r="BC169" s="54">
        <v>242.75910699512914</v>
      </c>
      <c r="BD169" s="54">
        <v>296.82493486340024</v>
      </c>
      <c r="BE169" s="54">
        <v>257.2918532613815</v>
      </c>
      <c r="BF169" s="54">
        <v>213.78002067639534</v>
      </c>
      <c r="BG169" s="54">
        <v>347.40751790889203</v>
      </c>
      <c r="BH169" s="54">
        <v>312.90450501730629</v>
      </c>
      <c r="BI169" s="54">
        <v>227.03396095607496</v>
      </c>
      <c r="BJ169" s="54">
        <v>295.34792160239596</v>
      </c>
      <c r="BK169" s="54">
        <v>250.49923353342129</v>
      </c>
      <c r="BL169" s="54">
        <v>209.1421257899888</v>
      </c>
      <c r="BM169" s="54">
        <v>385.39933606157086</v>
      </c>
      <c r="BN169" s="54">
        <v>342.53977496335187</v>
      </c>
      <c r="BO169" s="54">
        <v>252.14257119598506</v>
      </c>
      <c r="BP169" s="54">
        <v>322.25697591551119</v>
      </c>
      <c r="BQ169" s="54">
        <v>278.96111272488122</v>
      </c>
      <c r="BR169" s="54">
        <v>223.84208042584518</v>
      </c>
      <c r="BS169" s="54">
        <v>408.40419568019269</v>
      </c>
      <c r="BT169" s="54">
        <v>359.55676837602721</v>
      </c>
      <c r="BU169" s="54">
        <v>265.04086874656775</v>
      </c>
      <c r="BV169" s="54">
        <v>340.0170356923278</v>
      </c>
      <c r="BW169" s="54">
        <v>292.11501845068733</v>
      </c>
      <c r="BX169" s="54">
        <v>227.27526692208522</v>
      </c>
    </row>
    <row r="170" spans="1:76" x14ac:dyDescent="0.3">
      <c r="A170" s="8" t="s">
        <v>100</v>
      </c>
      <c r="B170" s="8" t="s">
        <v>8</v>
      </c>
      <c r="C170" s="8" t="s">
        <v>115</v>
      </c>
      <c r="D170" s="8" t="s">
        <v>117</v>
      </c>
      <c r="E170" s="54">
        <v>441.85941764451411</v>
      </c>
      <c r="F170" s="54">
        <v>384.04005045455648</v>
      </c>
      <c r="G170" s="54">
        <v>276.03574471061097</v>
      </c>
      <c r="H170" s="54">
        <v>381.8050794171366</v>
      </c>
      <c r="I170" s="54">
        <v>314.3794525312602</v>
      </c>
      <c r="J170" s="54">
        <v>236.55379912803531</v>
      </c>
      <c r="K170" s="54">
        <v>397.77386605451113</v>
      </c>
      <c r="L170" s="54">
        <v>358.94529799678065</v>
      </c>
      <c r="M170" s="54">
        <v>259.96816036632333</v>
      </c>
      <c r="N170" s="54">
        <v>360.62581461727029</v>
      </c>
      <c r="O170" s="54">
        <v>314.07836027851641</v>
      </c>
      <c r="P170" s="54">
        <v>239.51301482757859</v>
      </c>
      <c r="Q170" s="54">
        <v>388.61275755720828</v>
      </c>
      <c r="R170" s="54">
        <v>348.38284791287987</v>
      </c>
      <c r="S170" s="54">
        <v>255.69912893086521</v>
      </c>
      <c r="T170" s="54">
        <v>345.47017926306034</v>
      </c>
      <c r="U170" s="54">
        <v>293.78090610349614</v>
      </c>
      <c r="V170" s="54">
        <v>230.68884194300333</v>
      </c>
      <c r="W170" s="54">
        <v>374.80232553592208</v>
      </c>
      <c r="X170" s="54">
        <v>337.26159877209881</v>
      </c>
      <c r="Y170" s="54">
        <v>233.38683934896355</v>
      </c>
      <c r="Z170" s="54">
        <v>308.09969461851529</v>
      </c>
      <c r="AA170" s="54">
        <v>259.11825408792777</v>
      </c>
      <c r="AB170" s="54">
        <v>206.563330863343</v>
      </c>
      <c r="AC170" s="54">
        <v>381.30327372211582</v>
      </c>
      <c r="AD170" s="54">
        <v>341.96307768737898</v>
      </c>
      <c r="AE170" s="54">
        <v>235.01340375222978</v>
      </c>
      <c r="AF170" s="54">
        <v>306.27253363857477</v>
      </c>
      <c r="AG170" s="54">
        <v>262.34780791346424</v>
      </c>
      <c r="AH170" s="54">
        <v>211.7901995831526</v>
      </c>
      <c r="AI170" s="54">
        <v>391.92860577773314</v>
      </c>
      <c r="AJ170" s="54">
        <v>346.38866419135763</v>
      </c>
      <c r="AK170" s="54">
        <v>246.69133907130546</v>
      </c>
      <c r="AL170" s="54">
        <v>324.12350922039468</v>
      </c>
      <c r="AM170" s="54">
        <v>282.22122926386885</v>
      </c>
      <c r="AN170" s="54">
        <v>219.55679165876617</v>
      </c>
      <c r="AO170" s="54">
        <v>401.51023642013996</v>
      </c>
      <c r="AP170" s="54">
        <v>359.21792372387864</v>
      </c>
      <c r="AQ170" s="54">
        <v>260.553286814986</v>
      </c>
      <c r="AR170" s="54">
        <v>341.93356727589497</v>
      </c>
      <c r="AS170" s="54">
        <v>302.96321038433871</v>
      </c>
      <c r="AT170" s="54">
        <v>234.12319484526378</v>
      </c>
      <c r="AU170" s="54">
        <v>378.04178481485894</v>
      </c>
      <c r="AV170" s="54">
        <v>342.79897929672296</v>
      </c>
      <c r="AW170" s="54">
        <v>238.8566934869234</v>
      </c>
      <c r="AX170" s="54">
        <v>307.70158096235247</v>
      </c>
      <c r="AY170" s="54">
        <v>269.93578423521922</v>
      </c>
      <c r="AZ170" s="54">
        <v>208.11059275285481</v>
      </c>
      <c r="BA170" s="54">
        <v>386.16001259760611</v>
      </c>
      <c r="BB170" s="54">
        <v>346.45810526140394</v>
      </c>
      <c r="BC170" s="54">
        <v>252.64768621641821</v>
      </c>
      <c r="BD170" s="54">
        <v>322.56836270576071</v>
      </c>
      <c r="BE170" s="54">
        <v>272.38104198724301</v>
      </c>
      <c r="BF170" s="54">
        <v>220.42156953823078</v>
      </c>
      <c r="BG170" s="54">
        <v>371.22881286818398</v>
      </c>
      <c r="BH170" s="54">
        <v>329.6864081169324</v>
      </c>
      <c r="BI170" s="54">
        <v>233.85946373198973</v>
      </c>
      <c r="BJ170" s="54">
        <v>320.80478717119212</v>
      </c>
      <c r="BK170" s="54">
        <v>264.24024271164302</v>
      </c>
      <c r="BL170" s="54">
        <v>214.87530453725711</v>
      </c>
      <c r="BM170" s="54">
        <v>416.53544295874156</v>
      </c>
      <c r="BN170" s="54">
        <v>365.00640611486347</v>
      </c>
      <c r="BO170" s="54">
        <v>263.81404292908985</v>
      </c>
      <c r="BP170" s="54">
        <v>352.87843440446244</v>
      </c>
      <c r="BQ170" s="54">
        <v>298.51213300488257</v>
      </c>
      <c r="BR170" s="54">
        <v>232.38735359873019</v>
      </c>
      <c r="BS170" s="54">
        <v>446.03702018134527</v>
      </c>
      <c r="BT170" s="54">
        <v>385.67903745181439</v>
      </c>
      <c r="BU170" s="54">
        <v>279.22124759441601</v>
      </c>
      <c r="BV170" s="54">
        <v>375.32024276041523</v>
      </c>
      <c r="BW170" s="54">
        <v>316.94465330881428</v>
      </c>
      <c r="BX170" s="54">
        <v>236.49820717272974</v>
      </c>
    </row>
    <row r="171" spans="1:76" x14ac:dyDescent="0.3">
      <c r="A171" s="8" t="s">
        <v>100</v>
      </c>
      <c r="B171" s="8" t="s">
        <v>8</v>
      </c>
      <c r="C171" s="8" t="s">
        <v>116</v>
      </c>
      <c r="D171" s="8" t="s">
        <v>117</v>
      </c>
      <c r="E171" s="54">
        <v>-54.707562554562998</v>
      </c>
      <c r="F171" s="54">
        <v>-56.676008330641679</v>
      </c>
      <c r="G171" s="54">
        <v>-48.522883685314653</v>
      </c>
      <c r="H171" s="54">
        <v>-39.94297266181168</v>
      </c>
      <c r="I171" s="54">
        <v>-41.97563762430989</v>
      </c>
      <c r="J171" s="54">
        <v>-45.268589063622414</v>
      </c>
      <c r="K171" s="54">
        <v>-60.44823592890458</v>
      </c>
      <c r="L171" s="54">
        <v>-58.840237747749605</v>
      </c>
      <c r="M171" s="54">
        <v>-50.188179316258626</v>
      </c>
      <c r="N171" s="54">
        <v>-42.041276340144762</v>
      </c>
      <c r="O171" s="54">
        <v>-42.007554893541688</v>
      </c>
      <c r="P171" s="54">
        <v>-45.337399980730609</v>
      </c>
      <c r="Q171" s="54">
        <v>-57.224260102555988</v>
      </c>
      <c r="R171" s="54">
        <v>-56.978756865059822</v>
      </c>
      <c r="S171" s="54">
        <v>-48.395455500247266</v>
      </c>
      <c r="T171" s="54">
        <v>-42.170450513669856</v>
      </c>
      <c r="U171" s="54">
        <v>-42.984398236911801</v>
      </c>
      <c r="V171" s="54">
        <v>-45.241589851698464</v>
      </c>
      <c r="W171" s="54">
        <v>-46.859611963238955</v>
      </c>
      <c r="X171" s="54">
        <v>-46.624383706510784</v>
      </c>
      <c r="Y171" s="54">
        <v>-47.033134050898262</v>
      </c>
      <c r="Z171" s="54">
        <v>-48.36220109188227</v>
      </c>
      <c r="AA171" s="54">
        <v>-48.415376786336225</v>
      </c>
      <c r="AB171" s="54">
        <v>-48.800529421808456</v>
      </c>
      <c r="AC171" s="54">
        <v>-43.253251298722041</v>
      </c>
      <c r="AD171" s="54">
        <v>-43.973950293990647</v>
      </c>
      <c r="AE171" s="54">
        <v>-44.977370661325125</v>
      </c>
      <c r="AF171" s="54">
        <v>-40.971761582052622</v>
      </c>
      <c r="AG171" s="54">
        <v>-41.649610024067975</v>
      </c>
      <c r="AH171" s="54">
        <v>-43.034064911603778</v>
      </c>
      <c r="AI171" s="54">
        <v>-60.211592292933489</v>
      </c>
      <c r="AJ171" s="54">
        <v>-59.599190981421188</v>
      </c>
      <c r="AK171" s="54">
        <v>-50.014796114307259</v>
      </c>
      <c r="AL171" s="54">
        <v>-44.027788362282607</v>
      </c>
      <c r="AM171" s="54">
        <v>-45.217858190645501</v>
      </c>
      <c r="AN171" s="54">
        <v>-47.086415054056864</v>
      </c>
      <c r="AO171" s="54">
        <v>-60.509330580630127</v>
      </c>
      <c r="AP171" s="54">
        <v>-58.828797365400916</v>
      </c>
      <c r="AQ171" s="54">
        <v>-50.145361054326983</v>
      </c>
      <c r="AR171" s="54">
        <v>-42.121861905792592</v>
      </c>
      <c r="AS171" s="54">
        <v>-41.889675570090489</v>
      </c>
      <c r="AT171" s="54">
        <v>-45.228922768948301</v>
      </c>
      <c r="AU171" s="54">
        <v>-46.869468203430522</v>
      </c>
      <c r="AV171" s="54">
        <v>-46.659080647138531</v>
      </c>
      <c r="AW171" s="54">
        <v>-47.057888816438243</v>
      </c>
      <c r="AX171" s="54">
        <v>-48.305269333503873</v>
      </c>
      <c r="AY171" s="54">
        <v>-46.671619035910439</v>
      </c>
      <c r="AZ171" s="54">
        <v>-48.788620612372547</v>
      </c>
      <c r="BA171" s="54">
        <v>-57.239369514717083</v>
      </c>
      <c r="BB171" s="54">
        <v>-58.172142281017969</v>
      </c>
      <c r="BC171" s="54">
        <v>-48.329052722170914</v>
      </c>
      <c r="BD171" s="54">
        <v>-42.026948912899712</v>
      </c>
      <c r="BE171" s="54">
        <v>-45.461477408018538</v>
      </c>
      <c r="BF171" s="54">
        <v>-45.143069091804655</v>
      </c>
      <c r="BG171" s="54">
        <v>-57.075260778108095</v>
      </c>
      <c r="BH171" s="54">
        <v>-57.248747379793798</v>
      </c>
      <c r="BI171" s="54">
        <v>-48.226611769125128</v>
      </c>
      <c r="BJ171" s="54">
        <v>-42.015898439603959</v>
      </c>
      <c r="BK171" s="54">
        <v>-45.448546910578536</v>
      </c>
      <c r="BL171" s="54">
        <v>-45.119058013411319</v>
      </c>
      <c r="BM171" s="54">
        <v>-57.429700393929252</v>
      </c>
      <c r="BN171" s="54">
        <v>-57.551654801448308</v>
      </c>
      <c r="BO171" s="54">
        <v>-48.446303132614773</v>
      </c>
      <c r="BP171" s="54">
        <v>-42.287420867688887</v>
      </c>
      <c r="BQ171" s="54">
        <v>-45.301502831218812</v>
      </c>
      <c r="BR171" s="54">
        <v>-45.278928640354877</v>
      </c>
      <c r="BS171" s="54">
        <v>-55.060018293607406</v>
      </c>
      <c r="BT171" s="54">
        <v>-57.236355749272882</v>
      </c>
      <c r="BU171" s="54">
        <v>-48.534743626832189</v>
      </c>
      <c r="BV171" s="54">
        <v>-40.875250087972326</v>
      </c>
      <c r="BW171" s="54">
        <v>-41.991711040012646</v>
      </c>
      <c r="BX171" s="54">
        <v>-45.290141417214883</v>
      </c>
    </row>
    <row r="172" spans="1:76" x14ac:dyDescent="0.3">
      <c r="A172" s="8" t="s">
        <v>100</v>
      </c>
      <c r="B172" s="8" t="s">
        <v>8</v>
      </c>
      <c r="C172" s="8" t="s">
        <v>117</v>
      </c>
      <c r="D172" s="8" t="s">
        <v>118</v>
      </c>
      <c r="E172" s="54">
        <v>127.75640279525091</v>
      </c>
      <c r="F172" s="54">
        <v>112.8706528607144</v>
      </c>
      <c r="G172" s="54">
        <v>116.61160095759627</v>
      </c>
      <c r="H172" s="54">
        <v>157.11958613802491</v>
      </c>
      <c r="I172" s="54">
        <v>140.46154175705027</v>
      </c>
      <c r="J172" s="54">
        <v>118.70939568501294</v>
      </c>
      <c r="K172" s="54">
        <v>105.10034853200656</v>
      </c>
      <c r="L172" s="54">
        <v>102.91691567213101</v>
      </c>
      <c r="M172" s="54">
        <v>109.49288188436456</v>
      </c>
      <c r="N172" s="54">
        <v>147.99423219582542</v>
      </c>
      <c r="O172" s="54">
        <v>140.32624699697482</v>
      </c>
      <c r="P172" s="54">
        <v>119.01910252264791</v>
      </c>
      <c r="Q172" s="54">
        <v>112.17076598605213</v>
      </c>
      <c r="R172" s="54">
        <v>106.12045634531997</v>
      </c>
      <c r="S172" s="54">
        <v>113.56197348781794</v>
      </c>
      <c r="T172" s="54">
        <v>145.12382850739036</v>
      </c>
      <c r="U172" s="54">
        <v>134.33842238548465</v>
      </c>
      <c r="V172" s="54">
        <v>117.80390071930481</v>
      </c>
      <c r="W172" s="54">
        <v>137.508089020683</v>
      </c>
      <c r="X172" s="54">
        <v>131.87857657798796</v>
      </c>
      <c r="Y172" s="54">
        <v>113.47611575576533</v>
      </c>
      <c r="Z172" s="54">
        <v>122.38407952473295</v>
      </c>
      <c r="AA172" s="54">
        <v>114.07870425109212</v>
      </c>
      <c r="AB172" s="54">
        <v>104.2924766857345</v>
      </c>
      <c r="AC172" s="54">
        <v>148.20854215709366</v>
      </c>
      <c r="AD172" s="54">
        <v>139.72997883058835</v>
      </c>
      <c r="AE172" s="54">
        <v>119.22924552850478</v>
      </c>
      <c r="AF172" s="54">
        <v>141.78739138762208</v>
      </c>
      <c r="AG172" s="54">
        <v>132.6590079213963</v>
      </c>
      <c r="AH172" s="54">
        <v>120.54086016624943</v>
      </c>
      <c r="AI172" s="54">
        <v>104.75718818179969</v>
      </c>
      <c r="AJ172" s="54">
        <v>98.800268081436386</v>
      </c>
      <c r="AK172" s="54">
        <v>107.74243354039825</v>
      </c>
      <c r="AL172" s="54">
        <v>136.61314923731226</v>
      </c>
      <c r="AM172" s="54">
        <v>126.45591636892317</v>
      </c>
      <c r="AN172" s="54">
        <v>111.02902513230927</v>
      </c>
      <c r="AO172" s="54">
        <v>105.56015785500983</v>
      </c>
      <c r="AP172" s="54">
        <v>102.9928609795776</v>
      </c>
      <c r="AQ172" s="54">
        <v>109.70458499095915</v>
      </c>
      <c r="AR172" s="54">
        <v>144.66396279720217</v>
      </c>
      <c r="AS172" s="54">
        <v>138.78806687714805</v>
      </c>
      <c r="AT172" s="54">
        <v>118.41007175701534</v>
      </c>
      <c r="AU172" s="54">
        <v>138.02171559332854</v>
      </c>
      <c r="AV172" s="54">
        <v>132.70894815708434</v>
      </c>
      <c r="AW172" s="54">
        <v>114.3217454039852</v>
      </c>
      <c r="AX172" s="54">
        <v>122.46954527104859</v>
      </c>
      <c r="AY172" s="54">
        <v>120.53164661010874</v>
      </c>
      <c r="AZ172" s="54">
        <v>104.58211049248223</v>
      </c>
      <c r="BA172" s="54">
        <v>111.72168339368905</v>
      </c>
      <c r="BB172" s="54">
        <v>102.61730479418586</v>
      </c>
      <c r="BC172" s="54">
        <v>113.23047377694718</v>
      </c>
      <c r="BD172" s="54">
        <v>141.68953001656081</v>
      </c>
      <c r="BE172" s="54">
        <v>124.16623390982451</v>
      </c>
      <c r="BF172" s="54">
        <v>116.35541067822619</v>
      </c>
      <c r="BG172" s="54">
        <v>109.67077340307607</v>
      </c>
      <c r="BH172" s="54">
        <v>102.2844083400385</v>
      </c>
      <c r="BI172" s="54">
        <v>110.37227923766446</v>
      </c>
      <c r="BJ172" s="54">
        <v>141.42506868958804</v>
      </c>
      <c r="BK172" s="54">
        <v>122.84391535706429</v>
      </c>
      <c r="BL172" s="54">
        <v>115.49506272044596</v>
      </c>
      <c r="BM172" s="54">
        <v>116.27670610931217</v>
      </c>
      <c r="BN172" s="54">
        <v>107.36332154861527</v>
      </c>
      <c r="BO172" s="54">
        <v>114.77886546787519</v>
      </c>
      <c r="BP172" s="54">
        <v>146.04661675357343</v>
      </c>
      <c r="BQ172" s="54">
        <v>128.94801461756367</v>
      </c>
      <c r="BR172" s="54">
        <v>117.98741589217521</v>
      </c>
      <c r="BS172" s="54">
        <v>127.51278791393771</v>
      </c>
      <c r="BT172" s="54">
        <v>111.64955757724159</v>
      </c>
      <c r="BU172" s="54">
        <v>117.11089159418397</v>
      </c>
      <c r="BV172" s="54">
        <v>153.55270689214274</v>
      </c>
      <c r="BW172" s="54">
        <v>140.84621277810183</v>
      </c>
      <c r="BX172" s="54">
        <v>118.64265741621493</v>
      </c>
    </row>
    <row r="173" spans="1:76" x14ac:dyDescent="0.3">
      <c r="A173" s="8" t="s">
        <v>100</v>
      </c>
      <c r="B173" s="8" t="s">
        <v>9</v>
      </c>
      <c r="C173" s="8" t="s">
        <v>108</v>
      </c>
      <c r="D173" s="8" t="s">
        <v>111</v>
      </c>
      <c r="E173" s="54">
        <v>397.78799055919188</v>
      </c>
      <c r="F173" s="54">
        <v>413.14730922739938</v>
      </c>
      <c r="G173" s="54">
        <v>490.59370117402244</v>
      </c>
      <c r="H173" s="54">
        <v>334.19094899438085</v>
      </c>
      <c r="I173" s="54">
        <v>343.46507175700782</v>
      </c>
      <c r="J173" s="54">
        <v>441.89438234917878</v>
      </c>
      <c r="K173" s="54">
        <v>386.67983810199468</v>
      </c>
      <c r="L173" s="54">
        <v>368.68649399198159</v>
      </c>
      <c r="M173" s="54">
        <v>478.44848732676246</v>
      </c>
      <c r="N173" s="54">
        <v>570.91650011945114</v>
      </c>
      <c r="O173" s="54">
        <v>562.7598902993825</v>
      </c>
      <c r="P173" s="54">
        <v>496.13607691021389</v>
      </c>
      <c r="Q173" s="54">
        <v>403.83447259162853</v>
      </c>
      <c r="R173" s="54">
        <v>416.29594939303803</v>
      </c>
      <c r="S173" s="54">
        <v>503.33533603234162</v>
      </c>
      <c r="T173" s="54">
        <v>543.95132486668831</v>
      </c>
      <c r="U173" s="54">
        <v>536.48251769417027</v>
      </c>
      <c r="V173" s="54">
        <v>495.09030262127698</v>
      </c>
      <c r="W173" s="54">
        <v>504.26232956288806</v>
      </c>
      <c r="X173" s="54">
        <v>525.14974725535433</v>
      </c>
      <c r="Y173" s="54">
        <v>440.79007329566866</v>
      </c>
      <c r="Z173" s="54">
        <v>559.12976938709846</v>
      </c>
      <c r="AA173" s="54">
        <v>549.02563262719832</v>
      </c>
      <c r="AB173" s="54">
        <v>492.6534788714909</v>
      </c>
      <c r="AC173" s="54">
        <v>408.03123178497304</v>
      </c>
      <c r="AD173" s="54">
        <v>398.74936610451203</v>
      </c>
      <c r="AE173" s="54">
        <v>443.71472852404128</v>
      </c>
      <c r="AF173" s="54">
        <v>568.25600642092877</v>
      </c>
      <c r="AG173" s="54">
        <v>520.5928763805781</v>
      </c>
      <c r="AH173" s="54">
        <v>481.90925760891565</v>
      </c>
      <c r="AI173" s="54">
        <v>366.02599013064707</v>
      </c>
      <c r="AJ173" s="54">
        <v>370.04710409929476</v>
      </c>
      <c r="AK173" s="54">
        <v>432.91983949849833</v>
      </c>
      <c r="AL173" s="54">
        <v>493.05976303248514</v>
      </c>
      <c r="AM173" s="54">
        <v>479.03980592733086</v>
      </c>
      <c r="AN173" s="54">
        <v>457.4810299744272</v>
      </c>
      <c r="AO173" s="54">
        <v>358.09744942491631</v>
      </c>
      <c r="AP173" s="54">
        <v>357.42757904808428</v>
      </c>
      <c r="AQ173" s="54">
        <v>425.15910710356428</v>
      </c>
      <c r="AR173" s="54">
        <v>407.22739807920425</v>
      </c>
      <c r="AS173" s="54">
        <v>423.72057329124101</v>
      </c>
      <c r="AT173" s="54">
        <v>437.50232704751534</v>
      </c>
      <c r="AU173" s="54">
        <v>537.51081784120117</v>
      </c>
      <c r="AV173" s="54">
        <v>549.87317683759068</v>
      </c>
      <c r="AW173" s="54">
        <v>474.679214991913</v>
      </c>
      <c r="AX173" s="54">
        <v>489.70516139641495</v>
      </c>
      <c r="AY173" s="54">
        <v>492.28166628154833</v>
      </c>
      <c r="AZ173" s="54">
        <v>477.60688872153855</v>
      </c>
      <c r="BA173" s="54">
        <v>396.75237078717254</v>
      </c>
      <c r="BB173" s="54">
        <v>416.6216668401359</v>
      </c>
      <c r="BC173" s="54">
        <v>445.51521081007041</v>
      </c>
      <c r="BD173" s="54">
        <v>465.01950844902871</v>
      </c>
      <c r="BE173" s="54">
        <v>490.29618233421223</v>
      </c>
      <c r="BF173" s="54">
        <v>459.141593404643</v>
      </c>
      <c r="BG173" s="54">
        <v>326.8570409119198</v>
      </c>
      <c r="BH173" s="54">
        <v>355.55806952338907</v>
      </c>
      <c r="BI173" s="54">
        <v>454.35775088357587</v>
      </c>
      <c r="BJ173" s="54">
        <v>466.98699357624764</v>
      </c>
      <c r="BK173" s="54">
        <v>494.29708635417603</v>
      </c>
      <c r="BL173" s="54">
        <v>462.21569430024914</v>
      </c>
      <c r="BM173" s="54">
        <v>388.26497497526691</v>
      </c>
      <c r="BN173" s="54">
        <v>398.24867279654819</v>
      </c>
      <c r="BO173" s="54">
        <v>498.82025034192054</v>
      </c>
      <c r="BP173" s="54">
        <v>556.37399498856928</v>
      </c>
      <c r="BQ173" s="54">
        <v>556.43040801658981</v>
      </c>
      <c r="BR173" s="54">
        <v>490.44641705034377</v>
      </c>
      <c r="BS173" s="54">
        <v>350.29867293711158</v>
      </c>
      <c r="BT173" s="54">
        <v>370.39385300734028</v>
      </c>
      <c r="BU173" s="54">
        <v>463.93663242938101</v>
      </c>
      <c r="BV173" s="54">
        <v>336.72982696619823</v>
      </c>
      <c r="BW173" s="54">
        <v>337.47309835823836</v>
      </c>
      <c r="BX173" s="54">
        <v>444.25288410461695</v>
      </c>
    </row>
    <row r="174" spans="1:76" x14ac:dyDescent="0.3">
      <c r="A174" s="8" t="s">
        <v>100</v>
      </c>
      <c r="B174" s="8" t="s">
        <v>9</v>
      </c>
      <c r="C174" s="8" t="s">
        <v>108</v>
      </c>
      <c r="D174" s="8" t="s">
        <v>115</v>
      </c>
      <c r="E174" s="54">
        <v>466.9211048514079</v>
      </c>
      <c r="F174" s="54">
        <v>541.36591224620065</v>
      </c>
      <c r="G174" s="54">
        <v>550.8718468179004</v>
      </c>
      <c r="H174" s="54">
        <v>485.4240097710192</v>
      </c>
      <c r="I174" s="54">
        <v>581.75038194319222</v>
      </c>
      <c r="J174" s="54">
        <v>528.16760013634428</v>
      </c>
      <c r="K174" s="54">
        <v>532.36959871080523</v>
      </c>
      <c r="L174" s="54">
        <v>620.43721685421849</v>
      </c>
      <c r="M174" s="54">
        <v>571.33152944270728</v>
      </c>
      <c r="N174" s="54">
        <v>471.40288771794883</v>
      </c>
      <c r="O174" s="54">
        <v>557.25099292461744</v>
      </c>
      <c r="P174" s="54">
        <v>512.75924512725578</v>
      </c>
      <c r="Q174" s="54">
        <v>541.23006447117166</v>
      </c>
      <c r="R174" s="54">
        <v>596.63678120196175</v>
      </c>
      <c r="S174" s="54">
        <v>576.04126408205821</v>
      </c>
      <c r="T174" s="54">
        <v>523.19687464931167</v>
      </c>
      <c r="U174" s="54">
        <v>559.98216615463002</v>
      </c>
      <c r="V174" s="54">
        <v>513.7229946347228</v>
      </c>
      <c r="W174" s="54">
        <v>498.36842133311188</v>
      </c>
      <c r="X174" s="54">
        <v>540.83297576944562</v>
      </c>
      <c r="Y174" s="54">
        <v>464.80750019677288</v>
      </c>
      <c r="Z174" s="54">
        <v>549.66340260910135</v>
      </c>
      <c r="AA174" s="54">
        <v>623.96775177680183</v>
      </c>
      <c r="AB174" s="54">
        <v>553.04597632895104</v>
      </c>
      <c r="AC174" s="54">
        <v>595.78580768242693</v>
      </c>
      <c r="AD174" s="54">
        <v>668.23233676988787</v>
      </c>
      <c r="AE174" s="54">
        <v>531.53169635115898</v>
      </c>
      <c r="AF174" s="54">
        <v>568.21723224127106</v>
      </c>
      <c r="AG174" s="54">
        <v>583.72064336342237</v>
      </c>
      <c r="AH174" s="54">
        <v>538.52019338048444</v>
      </c>
      <c r="AI174" s="54">
        <v>563.55435926335292</v>
      </c>
      <c r="AJ174" s="54">
        <v>565.08877135799105</v>
      </c>
      <c r="AK174" s="54">
        <v>506.07194166830169</v>
      </c>
      <c r="AL174" s="54">
        <v>409.07509372591488</v>
      </c>
      <c r="AM174" s="54">
        <v>416.57957037835479</v>
      </c>
      <c r="AN174" s="54">
        <v>458.73626708077262</v>
      </c>
      <c r="AO174" s="54">
        <v>554.52105460608368</v>
      </c>
      <c r="AP174" s="54">
        <v>584.90839336796148</v>
      </c>
      <c r="AQ174" s="54">
        <v>490.29421135703564</v>
      </c>
      <c r="AR174" s="54">
        <v>363.04706265899631</v>
      </c>
      <c r="AS174" s="54">
        <v>417.72901959040485</v>
      </c>
      <c r="AT174" s="54">
        <v>460.62927231388448</v>
      </c>
      <c r="AU174" s="54">
        <v>459.68798012259901</v>
      </c>
      <c r="AV174" s="54">
        <v>488.54674035922739</v>
      </c>
      <c r="AW174" s="54">
        <v>479.39864266008738</v>
      </c>
      <c r="AX174" s="54">
        <v>469.94130588798487</v>
      </c>
      <c r="AY174" s="54">
        <v>535.75329654005179</v>
      </c>
      <c r="AZ174" s="54">
        <v>529.77338798246149</v>
      </c>
      <c r="BA174" s="54">
        <v>552.34970983442747</v>
      </c>
      <c r="BB174" s="54">
        <v>595.54101678746417</v>
      </c>
      <c r="BC174" s="54">
        <v>489.16846975532849</v>
      </c>
      <c r="BD174" s="54">
        <v>408.77672399837127</v>
      </c>
      <c r="BE174" s="54">
        <v>493.29715632698787</v>
      </c>
      <c r="BF174" s="54">
        <v>462.11222705895705</v>
      </c>
      <c r="BG174" s="54">
        <v>453.27740171408016</v>
      </c>
      <c r="BH174" s="54">
        <v>493.23542568241072</v>
      </c>
      <c r="BI174" s="54">
        <v>507.96655821147851</v>
      </c>
      <c r="BJ174" s="54">
        <v>447.38536633975224</v>
      </c>
      <c r="BK174" s="54">
        <v>502.90735275782407</v>
      </c>
      <c r="BL174" s="54">
        <v>468.36193809295088</v>
      </c>
      <c r="BM174" s="54">
        <v>509.576952113733</v>
      </c>
      <c r="BN174" s="54">
        <v>585.06846767385184</v>
      </c>
      <c r="BO174" s="54">
        <v>566.86200100087933</v>
      </c>
      <c r="BP174" s="54">
        <v>498.03721144503066</v>
      </c>
      <c r="BQ174" s="54">
        <v>578.54436087121042</v>
      </c>
      <c r="BR174" s="54">
        <v>506.17156481725624</v>
      </c>
      <c r="BS174" s="54">
        <v>506.27289911528828</v>
      </c>
      <c r="BT174" s="54">
        <v>579.51989874205958</v>
      </c>
      <c r="BU174" s="54">
        <v>544.78934259090897</v>
      </c>
      <c r="BV174" s="54">
        <v>490.58560147320151</v>
      </c>
      <c r="BW174" s="54">
        <v>583.41344266036162</v>
      </c>
      <c r="BX174" s="54">
        <v>531.75145864287333</v>
      </c>
    </row>
    <row r="175" spans="1:76" x14ac:dyDescent="0.3">
      <c r="A175" s="8" t="s">
        <v>100</v>
      </c>
      <c r="B175" s="8" t="s">
        <v>9</v>
      </c>
      <c r="C175" s="8" t="s">
        <v>109</v>
      </c>
      <c r="D175" s="8" t="s">
        <v>110</v>
      </c>
      <c r="E175" s="54">
        <v>146.44418684662341</v>
      </c>
      <c r="F175" s="54">
        <v>119.69853415128262</v>
      </c>
      <c r="G175" s="54">
        <v>167.29038169980836</v>
      </c>
      <c r="H175" s="54">
        <v>-83.60563092696826</v>
      </c>
      <c r="I175" s="54">
        <v>14.524998917843313</v>
      </c>
      <c r="J175" s="54">
        <v>69.941030867730518</v>
      </c>
      <c r="K175" s="54">
        <v>229.03161340904555</v>
      </c>
      <c r="L175" s="54">
        <v>102.61005855634065</v>
      </c>
      <c r="M175" s="54">
        <v>207.34739937911706</v>
      </c>
      <c r="N175" s="54">
        <v>274.92647420718288</v>
      </c>
      <c r="O175" s="54">
        <v>150.90693731646243</v>
      </c>
      <c r="P175" s="54">
        <v>220.17985022087916</v>
      </c>
      <c r="Q175" s="54">
        <v>37.847589269670692</v>
      </c>
      <c r="R175" s="54">
        <v>114.84593297958968</v>
      </c>
      <c r="S175" s="54">
        <v>217.9742719397959</v>
      </c>
      <c r="T175" s="54">
        <v>71.427843998510326</v>
      </c>
      <c r="U175" s="54">
        <v>148.18024418601959</v>
      </c>
      <c r="V175" s="54">
        <v>237.70782411923631</v>
      </c>
      <c r="W175" s="54">
        <v>45.996530530903023</v>
      </c>
      <c r="X175" s="54">
        <v>137.70361921735153</v>
      </c>
      <c r="Y175" s="54">
        <v>209.56215680364298</v>
      </c>
      <c r="Z175" s="54">
        <v>0.41498150525165478</v>
      </c>
      <c r="AA175" s="54">
        <v>48.991681712719057</v>
      </c>
      <c r="AB175" s="54">
        <v>114.21244926896689</v>
      </c>
      <c r="AC175" s="54">
        <v>-44.019554426895539</v>
      </c>
      <c r="AD175" s="54">
        <v>-17.099739253052746</v>
      </c>
      <c r="AE175" s="54">
        <v>75.522929557245263</v>
      </c>
      <c r="AF175" s="54">
        <v>40.48411026772736</v>
      </c>
      <c r="AG175" s="54">
        <v>49.845564438666614</v>
      </c>
      <c r="AH175" s="54">
        <v>119.42362730589196</v>
      </c>
      <c r="AI175" s="54">
        <v>45.620621221583278</v>
      </c>
      <c r="AJ175" s="54">
        <v>110.24984809058324</v>
      </c>
      <c r="AK175" s="54">
        <v>202.895172468607</v>
      </c>
      <c r="AL175" s="54">
        <v>95.237823560210714</v>
      </c>
      <c r="AM175" s="54">
        <v>155.3728719279579</v>
      </c>
      <c r="AN175" s="54">
        <v>226.30877544146543</v>
      </c>
      <c r="AO175" s="54">
        <v>23.22342586207926</v>
      </c>
      <c r="AP175" s="54">
        <v>104.6733456742559</v>
      </c>
      <c r="AQ175" s="54">
        <v>168.821349438261</v>
      </c>
      <c r="AR175" s="54">
        <v>63.467622636889097</v>
      </c>
      <c r="AS175" s="54">
        <v>144.40210778540262</v>
      </c>
      <c r="AT175" s="54">
        <v>213.0659039142848</v>
      </c>
      <c r="AU175" s="54">
        <v>5.7892545793180039</v>
      </c>
      <c r="AV175" s="54">
        <v>86.739181210985222</v>
      </c>
      <c r="AW175" s="54">
        <v>199.43369003553624</v>
      </c>
      <c r="AX175" s="54">
        <v>-62.005397145136087</v>
      </c>
      <c r="AY175" s="54">
        <v>-5.8035551628182747</v>
      </c>
      <c r="AZ175" s="54">
        <v>100.53389517501077</v>
      </c>
      <c r="BA175" s="54">
        <v>25.663765004591109</v>
      </c>
      <c r="BB175" s="54">
        <v>114.97323913145863</v>
      </c>
      <c r="BC175" s="54">
        <v>183.72121501200999</v>
      </c>
      <c r="BD175" s="54">
        <v>63.500618936616291</v>
      </c>
      <c r="BE175" s="54">
        <v>149.68241847402197</v>
      </c>
      <c r="BF175" s="54">
        <v>233.59954924636716</v>
      </c>
      <c r="BG175" s="54">
        <v>40.059278960489664</v>
      </c>
      <c r="BH175" s="54">
        <v>118.20443560441763</v>
      </c>
      <c r="BI175" s="54">
        <v>228.42228614969585</v>
      </c>
      <c r="BJ175" s="54">
        <v>48.436467243994528</v>
      </c>
      <c r="BK175" s="54">
        <v>168.34258188659135</v>
      </c>
      <c r="BL175" s="54">
        <v>247.09651893478025</v>
      </c>
      <c r="BM175" s="54">
        <v>-30.510946942402196</v>
      </c>
      <c r="BN175" s="54">
        <v>54.225929734060266</v>
      </c>
      <c r="BO175" s="54">
        <v>198.15059770994037</v>
      </c>
      <c r="BP175" s="54">
        <v>88.608829743262334</v>
      </c>
      <c r="BQ175" s="54">
        <v>148.43306912204389</v>
      </c>
      <c r="BR175" s="54">
        <v>230.84654095618973</v>
      </c>
      <c r="BS175" s="54">
        <v>59.572490432929001</v>
      </c>
      <c r="BT175" s="54">
        <v>77.211304615730555</v>
      </c>
      <c r="BU175" s="54">
        <v>164.8276727140472</v>
      </c>
      <c r="BV175" s="54">
        <v>-72.458580068234468</v>
      </c>
      <c r="BW175" s="54">
        <v>-1.5229775846338223</v>
      </c>
      <c r="BX175" s="54">
        <v>71.626644620664592</v>
      </c>
    </row>
    <row r="176" spans="1:76" x14ac:dyDescent="0.3">
      <c r="A176" s="8" t="s">
        <v>100</v>
      </c>
      <c r="B176" s="8" t="s">
        <v>9</v>
      </c>
      <c r="C176" s="8" t="s">
        <v>109</v>
      </c>
      <c r="D176" s="8" t="s">
        <v>115</v>
      </c>
      <c r="E176" s="54">
        <v>446.2896776326757</v>
      </c>
      <c r="F176" s="54">
        <v>297.07033014893966</v>
      </c>
      <c r="G176" s="54">
        <v>257.00835823249179</v>
      </c>
      <c r="H176" s="54">
        <v>198.8631103096682</v>
      </c>
      <c r="I176" s="54">
        <v>153.53272793225671</v>
      </c>
      <c r="J176" s="54">
        <v>157.48315475286944</v>
      </c>
      <c r="K176" s="54">
        <v>361.14616581035494</v>
      </c>
      <c r="L176" s="54">
        <v>235.40179686675944</v>
      </c>
      <c r="M176" s="54">
        <v>227.56550145518295</v>
      </c>
      <c r="N176" s="54">
        <v>376.88628052451764</v>
      </c>
      <c r="O176" s="54">
        <v>252.54850429553755</v>
      </c>
      <c r="P176" s="54">
        <v>239.86363745492079</v>
      </c>
      <c r="Q176" s="54">
        <v>278.13467926172808</v>
      </c>
      <c r="R176" s="54">
        <v>235.07043231790914</v>
      </c>
      <c r="S176" s="54">
        <v>223.48402811740308</v>
      </c>
      <c r="T176" s="54">
        <v>305.59625575948957</v>
      </c>
      <c r="U176" s="54">
        <v>270.56167033288034</v>
      </c>
      <c r="V176" s="54">
        <v>229.84882450876353</v>
      </c>
      <c r="W176" s="54">
        <v>298.76884491709689</v>
      </c>
      <c r="X176" s="54">
        <v>238.73774229504829</v>
      </c>
      <c r="Y176" s="54">
        <v>252.76025365405695</v>
      </c>
      <c r="Z176" s="54">
        <v>162.23160449284825</v>
      </c>
      <c r="AA176" s="54">
        <v>154.38414523678091</v>
      </c>
      <c r="AB176" s="54">
        <v>132.31722597523299</v>
      </c>
      <c r="AC176" s="54">
        <v>154.17807416059549</v>
      </c>
      <c r="AD176" s="54">
        <v>158.84059069025281</v>
      </c>
      <c r="AE176" s="54">
        <v>153.67028288035468</v>
      </c>
      <c r="AF176" s="54">
        <v>136.00250906337251</v>
      </c>
      <c r="AG176" s="54">
        <v>162.11524559333336</v>
      </c>
      <c r="AH176" s="54">
        <v>132.36109818880792</v>
      </c>
      <c r="AI176" s="54">
        <v>262.61955347541675</v>
      </c>
      <c r="AJ176" s="54">
        <v>236.96094678091663</v>
      </c>
      <c r="AK176" s="54">
        <v>243.37071811479305</v>
      </c>
      <c r="AL176" s="54">
        <v>296.47960481898929</v>
      </c>
      <c r="AM176" s="54">
        <v>269.27967336774208</v>
      </c>
      <c r="AN176" s="54">
        <v>247.44987308613432</v>
      </c>
      <c r="AO176" s="54">
        <v>276.53582615342054</v>
      </c>
      <c r="AP176" s="54">
        <v>233.13038894684414</v>
      </c>
      <c r="AQ176" s="54">
        <v>265.675309792039</v>
      </c>
      <c r="AR176" s="54">
        <v>316.58463479021083</v>
      </c>
      <c r="AS176" s="54">
        <v>268.51242427749725</v>
      </c>
      <c r="AT176" s="54">
        <v>251.64989576641528</v>
      </c>
      <c r="AU176" s="54">
        <v>336.26014440258189</v>
      </c>
      <c r="AV176" s="54">
        <v>285.02986829651468</v>
      </c>
      <c r="AW176" s="54">
        <v>258.28925069796372</v>
      </c>
      <c r="AX176" s="54">
        <v>225.07863078733604</v>
      </c>
      <c r="AY176" s="54">
        <v>203.07103657361813</v>
      </c>
      <c r="AZ176" s="54">
        <v>144.72624317698924</v>
      </c>
      <c r="BA176" s="54">
        <v>292.33727530620877</v>
      </c>
      <c r="BB176" s="54">
        <v>234.55810268234134</v>
      </c>
      <c r="BC176" s="54">
        <v>260.39062527069001</v>
      </c>
      <c r="BD176" s="54">
        <v>332.84749728708363</v>
      </c>
      <c r="BE176" s="54">
        <v>282.76425085657797</v>
      </c>
      <c r="BF176" s="54">
        <v>242.6773609854327</v>
      </c>
      <c r="BG176" s="54">
        <v>350.5749843330741</v>
      </c>
      <c r="BH176" s="54">
        <v>246.84231199848239</v>
      </c>
      <c r="BI176" s="54">
        <v>231.51714112510402</v>
      </c>
      <c r="BJ176" s="54">
        <v>349.39971271400537</v>
      </c>
      <c r="BK176" s="54">
        <v>270.90963766940865</v>
      </c>
      <c r="BL176" s="54">
        <v>233.84229726181971</v>
      </c>
      <c r="BM176" s="54">
        <v>322.88191048690209</v>
      </c>
      <c r="BN176" s="54">
        <v>280.88264050113952</v>
      </c>
      <c r="BO176" s="54">
        <v>236.46052796145955</v>
      </c>
      <c r="BP176" s="54">
        <v>282.04677347353766</v>
      </c>
      <c r="BQ176" s="54">
        <v>262.50431532185604</v>
      </c>
      <c r="BR176" s="54">
        <v>235.23244997761017</v>
      </c>
      <c r="BS176" s="54">
        <v>377.70543533127233</v>
      </c>
      <c r="BT176" s="54">
        <v>241.1955712589693</v>
      </c>
      <c r="BU176" s="54">
        <v>256.79671491255272</v>
      </c>
      <c r="BV176" s="54">
        <v>191.56629428793437</v>
      </c>
      <c r="BW176" s="54">
        <v>167.41624809393386</v>
      </c>
      <c r="BX176" s="54">
        <v>155.80794704003532</v>
      </c>
    </row>
    <row r="177" spans="1:76" x14ac:dyDescent="0.3">
      <c r="A177" s="8" t="s">
        <v>100</v>
      </c>
      <c r="B177" s="8" t="s">
        <v>9</v>
      </c>
      <c r="C177" s="8" t="s">
        <v>110</v>
      </c>
      <c r="D177" s="8" t="s">
        <v>111</v>
      </c>
      <c r="E177" s="54">
        <v>321.06958239311842</v>
      </c>
      <c r="F177" s="54">
        <v>197.17916426634142</v>
      </c>
      <c r="G177" s="54">
        <v>179.23993954336183</v>
      </c>
      <c r="H177" s="54">
        <v>215.59883229213628</v>
      </c>
      <c r="I177" s="54">
        <v>87.490073272027075</v>
      </c>
      <c r="J177" s="54">
        <v>137.89149463662676</v>
      </c>
      <c r="K177" s="54">
        <v>170.55802797973141</v>
      </c>
      <c r="L177" s="54">
        <v>99.792412013104624</v>
      </c>
      <c r="M177" s="54">
        <v>116.18044215565071</v>
      </c>
      <c r="N177" s="54">
        <v>290.54188487979559</v>
      </c>
      <c r="O177" s="54">
        <v>226.25017805633507</v>
      </c>
      <c r="P177" s="54">
        <v>152.36094792663525</v>
      </c>
      <c r="Q177" s="54">
        <v>225.60784761408837</v>
      </c>
      <c r="R177" s="54">
        <v>130.27164322161178</v>
      </c>
      <c r="S177" s="54">
        <v>119.58735531662657</v>
      </c>
      <c r="T177" s="54">
        <v>318.71234326877374</v>
      </c>
      <c r="U177" s="54">
        <v>225.43783390934257</v>
      </c>
      <c r="V177" s="54">
        <v>132.81934885434609</v>
      </c>
      <c r="W177" s="54">
        <v>314.62718681962377</v>
      </c>
      <c r="X177" s="54">
        <v>207.12468035106178</v>
      </c>
      <c r="Y177" s="54">
        <v>155.02195273975184</v>
      </c>
      <c r="Z177" s="54">
        <v>245.14879527974577</v>
      </c>
      <c r="AA177" s="54">
        <v>173.94058602739128</v>
      </c>
      <c r="AB177" s="54">
        <v>111.70000801012026</v>
      </c>
      <c r="AC177" s="54">
        <v>156.2586079826267</v>
      </c>
      <c r="AD177" s="54">
        <v>109.28900105878591</v>
      </c>
      <c r="AE177" s="54">
        <v>131.23862714389767</v>
      </c>
      <c r="AF177" s="54">
        <v>198.17825204611017</v>
      </c>
      <c r="AG177" s="54">
        <v>178.65232629444438</v>
      </c>
      <c r="AH177" s="54">
        <v>107.97217938066672</v>
      </c>
      <c r="AI177" s="54">
        <v>176.91712042043051</v>
      </c>
      <c r="AJ177" s="54">
        <v>119.41160248676374</v>
      </c>
      <c r="AK177" s="54">
        <v>130.28259804244857</v>
      </c>
      <c r="AL177" s="54">
        <v>312.24681004818967</v>
      </c>
      <c r="AM177" s="54">
        <v>242.99207094247532</v>
      </c>
      <c r="AN177" s="54">
        <v>153.16874435637561</v>
      </c>
      <c r="AO177" s="54">
        <v>200.34465321800511</v>
      </c>
      <c r="AP177" s="54">
        <v>104.19349383458764</v>
      </c>
      <c r="AQ177" s="54">
        <v>170.22521788999902</v>
      </c>
      <c r="AR177" s="54">
        <v>314.30474803395936</v>
      </c>
      <c r="AS177" s="54">
        <v>215.30941088933898</v>
      </c>
      <c r="AT177" s="54">
        <v>151.73006156751677</v>
      </c>
      <c r="AU177" s="54">
        <v>404.16586143015576</v>
      </c>
      <c r="AV177" s="54">
        <v>310.48559586948363</v>
      </c>
      <c r="AW177" s="54">
        <v>180.01925846816192</v>
      </c>
      <c r="AX177" s="54">
        <v>323.11271739960534</v>
      </c>
      <c r="AY177" s="54">
        <v>247.00664350949376</v>
      </c>
      <c r="AZ177" s="54">
        <v>130.11543547652337</v>
      </c>
      <c r="BA177" s="54">
        <v>235.58309978074487</v>
      </c>
      <c r="BB177" s="54">
        <v>130.41913205609367</v>
      </c>
      <c r="BC177" s="54">
        <v>169.72150979325673</v>
      </c>
      <c r="BD177" s="54">
        <v>343.67864193776552</v>
      </c>
      <c r="BE177" s="54">
        <v>233.26079647058106</v>
      </c>
      <c r="BF177" s="54">
        <v>144.62222445972884</v>
      </c>
      <c r="BG177" s="54">
        <v>271.22768395168538</v>
      </c>
      <c r="BH177" s="54">
        <v>142.59185967720467</v>
      </c>
      <c r="BI177" s="54">
        <v>117.58836845581999</v>
      </c>
      <c r="BJ177" s="54">
        <v>351.69593943465503</v>
      </c>
      <c r="BK177" s="54">
        <v>211.13747171294796</v>
      </c>
      <c r="BL177" s="54">
        <v>128.8005677915568</v>
      </c>
      <c r="BM177" s="54">
        <v>305.74030069462952</v>
      </c>
      <c r="BN177" s="54">
        <v>197.09237116886391</v>
      </c>
      <c r="BO177" s="54">
        <v>142.82541354800404</v>
      </c>
      <c r="BP177" s="54">
        <v>307.08163334800179</v>
      </c>
      <c r="BQ177" s="54">
        <v>223.38411124572821</v>
      </c>
      <c r="BR177" s="54">
        <v>141.47725971167802</v>
      </c>
      <c r="BS177" s="54">
        <v>274.09089812141184</v>
      </c>
      <c r="BT177" s="54">
        <v>137.05802654531695</v>
      </c>
      <c r="BU177" s="54">
        <v>166.98701072287903</v>
      </c>
      <c r="BV177" s="54">
        <v>202.53183906172634</v>
      </c>
      <c r="BW177" s="54">
        <v>103.9652669767257</v>
      </c>
      <c r="BX177" s="54">
        <v>135.52151786525025</v>
      </c>
    </row>
    <row r="178" spans="1:76" x14ac:dyDescent="0.3">
      <c r="A178" s="8" t="s">
        <v>100</v>
      </c>
      <c r="B178" s="8" t="s">
        <v>9</v>
      </c>
      <c r="C178" s="8" t="s">
        <v>110</v>
      </c>
      <c r="D178" s="8" t="s">
        <v>115</v>
      </c>
      <c r="E178" s="54">
        <v>224.30435833180562</v>
      </c>
      <c r="F178" s="54">
        <v>138.19761969031842</v>
      </c>
      <c r="G178" s="54">
        <v>87.693714638423572</v>
      </c>
      <c r="H178" s="54">
        <v>174.37822233659628</v>
      </c>
      <c r="I178" s="54">
        <v>95.092652495916141</v>
      </c>
      <c r="J178" s="54">
        <v>70.018254401380986</v>
      </c>
      <c r="K178" s="54">
        <v>126.24830383571405</v>
      </c>
      <c r="L178" s="54">
        <v>105.62950196633591</v>
      </c>
      <c r="M178" s="54">
        <v>48.036634613896844</v>
      </c>
      <c r="N178" s="54">
        <v>113.7942832460872</v>
      </c>
      <c r="O178" s="54">
        <v>92.912200872127258</v>
      </c>
      <c r="P178" s="54">
        <v>49.819166526174349</v>
      </c>
      <c r="Q178" s="54">
        <v>166.49932487298346</v>
      </c>
      <c r="R178" s="54">
        <v>99.290655055477956</v>
      </c>
      <c r="S178" s="54">
        <v>40.002216108370845</v>
      </c>
      <c r="T178" s="54">
        <v>168.01691517373786</v>
      </c>
      <c r="U178" s="54">
        <v>106.28432479557715</v>
      </c>
      <c r="V178" s="54">
        <v>34.378637612890948</v>
      </c>
      <c r="W178" s="54">
        <v>176.18096467927978</v>
      </c>
      <c r="X178" s="54">
        <v>90.306685254689882</v>
      </c>
      <c r="Y178" s="54">
        <v>63.725757367549818</v>
      </c>
      <c r="Z178" s="54">
        <v>107.94691224260644</v>
      </c>
      <c r="AA178" s="54">
        <v>78.426922634827761</v>
      </c>
      <c r="AB178" s="54">
        <v>31.105259349005209</v>
      </c>
      <c r="AC178" s="54">
        <v>124.79515998717817</v>
      </c>
      <c r="AD178" s="54">
        <v>114.44359675336158</v>
      </c>
      <c r="AE178" s="54">
        <v>64.685390474947255</v>
      </c>
      <c r="AF178" s="54">
        <v>70.426284241718037</v>
      </c>
      <c r="AG178" s="54">
        <v>83.15404817622219</v>
      </c>
      <c r="AH178" s="54">
        <v>28.528918472926044</v>
      </c>
      <c r="AI178" s="54">
        <v>152.26939170615285</v>
      </c>
      <c r="AJ178" s="54">
        <v>102.84904047531951</v>
      </c>
      <c r="AK178" s="54">
        <v>60.799559175558571</v>
      </c>
      <c r="AL178" s="54">
        <v>150.03415809922083</v>
      </c>
      <c r="AM178" s="54">
        <v>101.83334628118246</v>
      </c>
      <c r="AN178" s="54">
        <v>51.812194336690268</v>
      </c>
      <c r="AO178" s="54">
        <v>172.74550450457414</v>
      </c>
      <c r="AP178" s="54">
        <v>103.0835864607682</v>
      </c>
      <c r="AQ178" s="54">
        <v>92.706198475562161</v>
      </c>
      <c r="AR178" s="54">
        <v>179.32261187502951</v>
      </c>
      <c r="AS178" s="54">
        <v>106.80722895896366</v>
      </c>
      <c r="AT178" s="54">
        <v>61.233645220467814</v>
      </c>
      <c r="AU178" s="54">
        <v>221.27880231206242</v>
      </c>
      <c r="AV178" s="54">
        <v>146.65032159218393</v>
      </c>
      <c r="AW178" s="54">
        <v>72.47598878087436</v>
      </c>
      <c r="AX178" s="54">
        <v>181.05511909745863</v>
      </c>
      <c r="AY178" s="54">
        <v>138.28246863048798</v>
      </c>
      <c r="AZ178" s="54">
        <v>46.217214530487439</v>
      </c>
      <c r="BA178" s="54">
        <v>182.05963436851036</v>
      </c>
      <c r="BB178" s="54">
        <v>98.885448889164948</v>
      </c>
      <c r="BC178" s="54">
        <v>81.733142674455081</v>
      </c>
      <c r="BD178" s="54">
        <v>190.14802205641433</v>
      </c>
      <c r="BE178" s="54">
        <v>113.66829133404089</v>
      </c>
      <c r="BF178" s="54">
        <v>44.985132700438243</v>
      </c>
      <c r="BG178" s="54">
        <v>213.68701674180457</v>
      </c>
      <c r="BH178" s="54">
        <v>105.4593235301129</v>
      </c>
      <c r="BI178" s="54">
        <v>40.133617675221615</v>
      </c>
      <c r="BJ178" s="54">
        <v>208.71490818733963</v>
      </c>
      <c r="BK178" s="54">
        <v>96.435134169643334</v>
      </c>
      <c r="BL178" s="54">
        <v>32.346605373823053</v>
      </c>
      <c r="BM178" s="54">
        <v>230.51008046246912</v>
      </c>
      <c r="BN178" s="54">
        <v>160.14212880039636</v>
      </c>
      <c r="BO178" s="54">
        <v>58.565053119336241</v>
      </c>
      <c r="BP178" s="54">
        <v>143.72676744406056</v>
      </c>
      <c r="BQ178" s="54">
        <v>100.78634232021555</v>
      </c>
      <c r="BR178" s="54">
        <v>41.398362840311954</v>
      </c>
      <c r="BS178" s="54">
        <v>222.01737833771708</v>
      </c>
      <c r="BT178" s="54">
        <v>122.19139519811428</v>
      </c>
      <c r="BU178" s="54">
        <v>88.783973584678151</v>
      </c>
      <c r="BV178" s="54">
        <v>163.94015289274012</v>
      </c>
      <c r="BW178" s="54">
        <v>112.37232085493953</v>
      </c>
      <c r="BX178" s="54">
        <v>68.058642383024619</v>
      </c>
    </row>
    <row r="179" spans="1:76" x14ac:dyDescent="0.3">
      <c r="A179" s="8" t="s">
        <v>100</v>
      </c>
      <c r="B179" s="8" t="s">
        <v>9</v>
      </c>
      <c r="C179" s="8" t="s">
        <v>111</v>
      </c>
      <c r="D179" s="8" t="s">
        <v>112</v>
      </c>
      <c r="E179" s="54">
        <v>459.39545229469991</v>
      </c>
      <c r="F179" s="54">
        <v>414.4933892631999</v>
      </c>
      <c r="G179" s="54">
        <v>310.90126006769992</v>
      </c>
      <c r="H179" s="54">
        <v>384.7425206173001</v>
      </c>
      <c r="I179" s="54">
        <v>331.94227314990002</v>
      </c>
      <c r="J179" s="54">
        <v>272.5758143793999</v>
      </c>
      <c r="K179" s="54">
        <v>432.22528159360007</v>
      </c>
      <c r="L179" s="54">
        <v>397.18814457690013</v>
      </c>
      <c r="M179" s="54">
        <v>300.28709916570006</v>
      </c>
      <c r="N179" s="54">
        <v>370.59030608130007</v>
      </c>
      <c r="O179" s="54">
        <v>331.74455838800009</v>
      </c>
      <c r="P179" s="54">
        <v>275.15651232420015</v>
      </c>
      <c r="Q179" s="54">
        <v>419.21773146860011</v>
      </c>
      <c r="R179" s="54">
        <v>385.28363470249991</v>
      </c>
      <c r="S179" s="54">
        <v>293.74169994279998</v>
      </c>
      <c r="T179" s="54">
        <v>358.17590024199995</v>
      </c>
      <c r="U179" s="54">
        <v>316.45808548110011</v>
      </c>
      <c r="V179" s="54">
        <v>267.64335137200004</v>
      </c>
      <c r="W179" s="54">
        <v>390.43462455200006</v>
      </c>
      <c r="X179" s="54">
        <v>358.75863848760002</v>
      </c>
      <c r="Y179" s="54">
        <v>272.87758954229992</v>
      </c>
      <c r="Z179" s="54">
        <v>337.35341400190009</v>
      </c>
      <c r="AA179" s="54">
        <v>296.62417305049991</v>
      </c>
      <c r="AB179" s="54">
        <v>253.47032475580011</v>
      </c>
      <c r="AC179" s="54">
        <v>389.84148026629993</v>
      </c>
      <c r="AD179" s="54">
        <v>358.25914856279996</v>
      </c>
      <c r="AE179" s="54">
        <v>270.80678756240007</v>
      </c>
      <c r="AF179" s="54">
        <v>323.51338066890014</v>
      </c>
      <c r="AG179" s="54">
        <v>288.03918996800013</v>
      </c>
      <c r="AH179" s="54">
        <v>248.21527450530013</v>
      </c>
      <c r="AI179" s="54">
        <v>426.959825303</v>
      </c>
      <c r="AJ179" s="54">
        <v>387.98920512850009</v>
      </c>
      <c r="AK179" s="54">
        <v>288.93410941660005</v>
      </c>
      <c r="AL179" s="54">
        <v>343.48257162080012</v>
      </c>
      <c r="AM179" s="54">
        <v>310.54745470430009</v>
      </c>
      <c r="AN179" s="54">
        <v>261.44135147240013</v>
      </c>
      <c r="AO179" s="54">
        <v>435.44074798449992</v>
      </c>
      <c r="AP179" s="54">
        <v>397.39626537890007</v>
      </c>
      <c r="AQ179" s="54">
        <v>300.70334076969993</v>
      </c>
      <c r="AR179" s="54">
        <v>355.14774257289992</v>
      </c>
      <c r="AS179" s="54">
        <v>322.28546793710012</v>
      </c>
      <c r="AT179" s="54">
        <v>270.48420031929999</v>
      </c>
      <c r="AU179" s="54">
        <v>393.15060101810008</v>
      </c>
      <c r="AV179" s="54">
        <v>363.43095049250019</v>
      </c>
      <c r="AW179" s="54">
        <v>277.47705926650013</v>
      </c>
      <c r="AX179" s="54">
        <v>336.92676635780015</v>
      </c>
      <c r="AY179" s="54">
        <v>302.73251858920003</v>
      </c>
      <c r="AZ179" s="54">
        <v>254.7398616480001</v>
      </c>
      <c r="BA179" s="54">
        <v>417.19895968920008</v>
      </c>
      <c r="BB179" s="54">
        <v>385.66865818619988</v>
      </c>
      <c r="BC179" s="54">
        <v>291.08815971730007</v>
      </c>
      <c r="BD179" s="54">
        <v>338.85188377630016</v>
      </c>
      <c r="BE179" s="54">
        <v>302.75333066940016</v>
      </c>
      <c r="BF179" s="54">
        <v>258.92308976819999</v>
      </c>
      <c r="BG179" s="54">
        <v>404.48277868700001</v>
      </c>
      <c r="BH179" s="54">
        <v>370.15325239710006</v>
      </c>
      <c r="BI179" s="54">
        <v>275.26057272520001</v>
      </c>
      <c r="BJ179" s="54">
        <v>337.36382004200016</v>
      </c>
      <c r="BK179" s="54">
        <v>295.94778044400005</v>
      </c>
      <c r="BL179" s="54">
        <v>254.26118380339992</v>
      </c>
      <c r="BM179" s="54">
        <v>442.8290364555001</v>
      </c>
      <c r="BN179" s="54">
        <v>400.09142976480018</v>
      </c>
      <c r="BO179" s="54">
        <v>300.58887432860001</v>
      </c>
      <c r="BP179" s="54">
        <v>364.54439678320006</v>
      </c>
      <c r="BQ179" s="54">
        <v>324.26261555610012</v>
      </c>
      <c r="BR179" s="54">
        <v>269.12100906619997</v>
      </c>
      <c r="BS179" s="54">
        <v>463.4642139738001</v>
      </c>
      <c r="BT179" s="54">
        <v>416.79312412529998</v>
      </c>
      <c r="BU179" s="54">
        <v>313.57561237339991</v>
      </c>
      <c r="BV179" s="54">
        <v>380.89228578030009</v>
      </c>
      <c r="BW179" s="54">
        <v>334.10672949069988</v>
      </c>
      <c r="BX179" s="54">
        <v>272.56540833930012</v>
      </c>
    </row>
    <row r="180" spans="1:76" x14ac:dyDescent="0.3">
      <c r="A180" s="8" t="s">
        <v>100</v>
      </c>
      <c r="B180" s="8" t="s">
        <v>9</v>
      </c>
      <c r="C180" s="8" t="s">
        <v>111</v>
      </c>
      <c r="D180" s="8" t="s">
        <v>115</v>
      </c>
      <c r="E180" s="54">
        <v>-32.440220246845008</v>
      </c>
      <c r="F180" s="54">
        <v>-19.588762898724575</v>
      </c>
      <c r="G180" s="54">
        <v>-46.254676235783279</v>
      </c>
      <c r="H180" s="54">
        <v>-3.965603430137965</v>
      </c>
      <c r="I180" s="54">
        <v>16.638193576920202</v>
      </c>
      <c r="J180" s="54">
        <v>-33.668493346855954</v>
      </c>
      <c r="K180" s="54">
        <v>-11.912539610546613</v>
      </c>
      <c r="L180" s="54">
        <v>16.851868966561547</v>
      </c>
      <c r="M180" s="54">
        <v>-36.585300386859032</v>
      </c>
      <c r="N180" s="54">
        <v>-96.242965615306986</v>
      </c>
      <c r="O180" s="54">
        <v>-71.722210631114052</v>
      </c>
      <c r="P180" s="54">
        <v>-57.861217559516234</v>
      </c>
      <c r="Q180" s="54">
        <v>-16.130411104067655</v>
      </c>
      <c r="R180" s="54">
        <v>-6.9517857218988066</v>
      </c>
      <c r="S180" s="54">
        <v>-44.740434991613512</v>
      </c>
      <c r="T180" s="54">
        <v>-73.182528162680114</v>
      </c>
      <c r="U180" s="54">
        <v>-61.185402596656168</v>
      </c>
      <c r="V180" s="54">
        <v>-57.228114824298125</v>
      </c>
      <c r="W180" s="54">
        <v>-64.506268252805029</v>
      </c>
      <c r="X180" s="54">
        <v>-61.722911278396353</v>
      </c>
      <c r="Y180" s="54">
        <v>-49.094402436682508</v>
      </c>
      <c r="Z180" s="54">
        <v>-72.257812867886571</v>
      </c>
      <c r="AA180" s="54">
        <v>-49.892674290998748</v>
      </c>
      <c r="AB180" s="54">
        <v>-46.48356049457125</v>
      </c>
      <c r="AC180" s="54">
        <v>-4.065259998758064</v>
      </c>
      <c r="AD180" s="54">
        <v>17.527071903279957</v>
      </c>
      <c r="AE180" s="54">
        <v>-33.510099108725598</v>
      </c>
      <c r="AF180" s="54">
        <v>-71.041694347530495</v>
      </c>
      <c r="AG180" s="54">
        <v>-49.292167801861076</v>
      </c>
      <c r="AH180" s="54">
        <v>-46.085923258222252</v>
      </c>
      <c r="AI180" s="54">
        <v>3.6288435168455591</v>
      </c>
      <c r="AJ180" s="54">
        <v>2.5045288022623735</v>
      </c>
      <c r="AK180" s="54">
        <v>-35.826954394861389</v>
      </c>
      <c r="AL180" s="54">
        <v>-82.62863770570317</v>
      </c>
      <c r="AM180" s="54">
        <v>-75.495034628160312</v>
      </c>
      <c r="AN180" s="54">
        <v>-56.87131947021706</v>
      </c>
      <c r="AO180" s="54">
        <v>4.3437201171774298</v>
      </c>
      <c r="AP180" s="54">
        <v>12.191756198958847</v>
      </c>
      <c r="AQ180" s="54">
        <v>-36.861112324577675</v>
      </c>
      <c r="AR180" s="54">
        <v>-61.948508614952488</v>
      </c>
      <c r="AS180" s="54">
        <v>-54.462960086614217</v>
      </c>
      <c r="AT180" s="54">
        <v>-48.906054564347158</v>
      </c>
      <c r="AU180" s="54">
        <v>-86.644561659800615</v>
      </c>
      <c r="AV180" s="54">
        <v>-84.065756224289686</v>
      </c>
      <c r="AW180" s="54">
        <v>-58.15504495694546</v>
      </c>
      <c r="AX180" s="54">
        <v>-66.154109051659304</v>
      </c>
      <c r="AY180" s="54">
        <v>-50.667300720567575</v>
      </c>
      <c r="AZ180" s="54">
        <v>-46.65923627496138</v>
      </c>
      <c r="BA180" s="54">
        <v>-10.694711586582972</v>
      </c>
      <c r="BB180" s="54">
        <v>-7.3478708681848914</v>
      </c>
      <c r="BC180" s="54">
        <v>-44.776086614944255</v>
      </c>
      <c r="BD180" s="54">
        <v>-72.188134668792927</v>
      </c>
      <c r="BE180" s="54">
        <v>-60.536779293582477</v>
      </c>
      <c r="BF180" s="54">
        <v>-56.650040762001865</v>
      </c>
      <c r="BG180" s="54">
        <v>-9.2520399134499165</v>
      </c>
      <c r="BH180" s="54">
        <v>-10.025419650668166</v>
      </c>
      <c r="BI180" s="54">
        <v>-43.392517028471353</v>
      </c>
      <c r="BJ180" s="54">
        <v>-63.273781006154771</v>
      </c>
      <c r="BK180" s="54">
        <v>-59.634569193359965</v>
      </c>
      <c r="BL180" s="54">
        <v>-56.240400839355665</v>
      </c>
      <c r="BM180" s="54">
        <v>-18.205127587291759</v>
      </c>
      <c r="BN180" s="54">
        <v>-3.0761353802426505</v>
      </c>
      <c r="BO180" s="54">
        <v>-45.342093628000349</v>
      </c>
      <c r="BP180" s="54">
        <v>-84.130945259455856</v>
      </c>
      <c r="BQ180" s="54">
        <v>-64.025312788418503</v>
      </c>
      <c r="BR180" s="54">
        <v>-57.374515189564825</v>
      </c>
      <c r="BS180" s="54">
        <v>-4.7937775725946929</v>
      </c>
      <c r="BT180" s="54">
        <v>5.9822798077623363</v>
      </c>
      <c r="BU180" s="54">
        <v>-37.778901513290549</v>
      </c>
      <c r="BV180" s="54">
        <v>-3.6272847440239619</v>
      </c>
      <c r="BW180" s="54">
        <v>19.30094878075106</v>
      </c>
      <c r="BX180" s="54">
        <v>-33.656966878512939</v>
      </c>
    </row>
    <row r="181" spans="1:76" x14ac:dyDescent="0.3">
      <c r="A181" s="8" t="s">
        <v>100</v>
      </c>
      <c r="B181" s="8" t="s">
        <v>9</v>
      </c>
      <c r="C181" s="8" t="s">
        <v>111</v>
      </c>
      <c r="D181" s="8" t="s">
        <v>118</v>
      </c>
      <c r="E181" s="54">
        <v>332.50688860975555</v>
      </c>
      <c r="F181" s="54">
        <v>300.92845786606517</v>
      </c>
      <c r="G181" s="54">
        <v>194.28579681776759</v>
      </c>
      <c r="H181" s="54">
        <v>284.27034348205484</v>
      </c>
      <c r="I181" s="54">
        <v>250.43240515231457</v>
      </c>
      <c r="J181" s="54">
        <v>168.30274157386148</v>
      </c>
      <c r="K181" s="54">
        <v>321.04959762807226</v>
      </c>
      <c r="L181" s="54">
        <v>307.65074788472435</v>
      </c>
      <c r="M181" s="54">
        <v>190.80003153787217</v>
      </c>
      <c r="N181" s="54">
        <v>216.52073845195341</v>
      </c>
      <c r="O181" s="54">
        <v>197.24316221083149</v>
      </c>
      <c r="P181" s="54">
        <v>156.04521774796532</v>
      </c>
      <c r="Q181" s="54">
        <v>307.13726837258434</v>
      </c>
      <c r="R181" s="54">
        <v>282.95210893154831</v>
      </c>
      <c r="S181" s="54">
        <v>180.1797264549817</v>
      </c>
      <c r="T181" s="54">
        <v>219.494395814142</v>
      </c>
      <c r="U181" s="54">
        <v>190.18958323796875</v>
      </c>
      <c r="V181" s="54">
        <v>149.85106355592114</v>
      </c>
      <c r="W181" s="54">
        <v>252.92653553131706</v>
      </c>
      <c r="X181" s="54">
        <v>226.88006190961229</v>
      </c>
      <c r="Y181" s="54">
        <v>159.31124938750295</v>
      </c>
      <c r="Z181" s="54">
        <v>201.82954953093079</v>
      </c>
      <c r="AA181" s="54">
        <v>179.61054684458821</v>
      </c>
      <c r="AB181" s="54">
        <v>143.8963978645823</v>
      </c>
      <c r="AC181" s="54">
        <v>288.67213923375766</v>
      </c>
      <c r="AD181" s="54">
        <v>273.9929981344178</v>
      </c>
      <c r="AE181" s="54">
        <v>166.84987965186448</v>
      </c>
      <c r="AF181" s="54">
        <v>190.44919147676941</v>
      </c>
      <c r="AG181" s="54">
        <v>172.45899054088332</v>
      </c>
      <c r="AH181" s="54">
        <v>139.5368112372044</v>
      </c>
      <c r="AI181" s="54">
        <v>325.76715325023264</v>
      </c>
      <c r="AJ181" s="54">
        <v>290.99327176879507</v>
      </c>
      <c r="AK181" s="54">
        <v>181.32117310260821</v>
      </c>
      <c r="AL181" s="54">
        <v>200.97006754477809</v>
      </c>
      <c r="AM181" s="54">
        <v>176.43200208936628</v>
      </c>
      <c r="AN181" s="54">
        <v>144.63839085621987</v>
      </c>
      <c r="AO181" s="54">
        <v>333.61688655674391</v>
      </c>
      <c r="AP181" s="54">
        <v>305.03678592591285</v>
      </c>
      <c r="AQ181" s="54">
        <v>190.99875577874082</v>
      </c>
      <c r="AR181" s="54">
        <v>223.5851695823161</v>
      </c>
      <c r="AS181" s="54">
        <v>199.32200839299406</v>
      </c>
      <c r="AT181" s="54">
        <v>157.33004254077932</v>
      </c>
      <c r="AU181" s="54">
        <v>242.02003889495717</v>
      </c>
      <c r="AV181" s="54">
        <v>217.56262794636382</v>
      </c>
      <c r="AW181" s="54">
        <v>157.89939988402026</v>
      </c>
      <c r="AX181" s="54">
        <v>205.1184551320795</v>
      </c>
      <c r="AY181" s="54">
        <v>184.49057333320974</v>
      </c>
      <c r="AZ181" s="54">
        <v>144.90183717702308</v>
      </c>
      <c r="BA181" s="54">
        <v>308.63226277610022</v>
      </c>
      <c r="BB181" s="54">
        <v>283.05135339201405</v>
      </c>
      <c r="BC181" s="54">
        <v>177.83648778367112</v>
      </c>
      <c r="BD181" s="54">
        <v>203.18251750298688</v>
      </c>
      <c r="BE181" s="54">
        <v>178.5870967595755</v>
      </c>
      <c r="BF181" s="54">
        <v>142.56767908997381</v>
      </c>
      <c r="BG181" s="54">
        <v>298.37120740305511</v>
      </c>
      <c r="BH181" s="54">
        <v>267.86884405706178</v>
      </c>
      <c r="BI181" s="54">
        <v>164.81749091746721</v>
      </c>
      <c r="BJ181" s="54">
        <v>207.22907393305735</v>
      </c>
      <c r="BK181" s="54">
        <v>173.17356637248395</v>
      </c>
      <c r="BL181" s="54">
        <v>138.73429532436154</v>
      </c>
      <c r="BM181" s="54">
        <v>326.55233034618789</v>
      </c>
      <c r="BN181" s="54">
        <v>298.23431981605444</v>
      </c>
      <c r="BO181" s="54">
        <v>185.81000886072496</v>
      </c>
      <c r="BP181" s="54">
        <v>218.4977800296266</v>
      </c>
      <c r="BQ181" s="54">
        <v>195.31460093853636</v>
      </c>
      <c r="BR181" s="54">
        <v>151.05617381918645</v>
      </c>
      <c r="BS181" s="54">
        <v>352.65492068351813</v>
      </c>
      <c r="BT181" s="54">
        <v>318.28335149429489</v>
      </c>
      <c r="BU181" s="54">
        <v>201.7113199187508</v>
      </c>
      <c r="BV181" s="54">
        <v>281.10437921134832</v>
      </c>
      <c r="BW181" s="54">
        <v>253.92395757281315</v>
      </c>
      <c r="BX181" s="54">
        <v>168.30055216977979</v>
      </c>
    </row>
    <row r="182" spans="1:76" x14ac:dyDescent="0.3">
      <c r="A182" s="8" t="s">
        <v>100</v>
      </c>
      <c r="B182" s="8" t="s">
        <v>9</v>
      </c>
      <c r="C182" s="8" t="s">
        <v>115</v>
      </c>
      <c r="D182" s="8" t="s">
        <v>116</v>
      </c>
      <c r="E182" s="54">
        <v>404.39861003670165</v>
      </c>
      <c r="F182" s="54">
        <v>358.04880711136519</v>
      </c>
      <c r="G182" s="54">
        <v>262.37966381316414</v>
      </c>
      <c r="H182" s="54">
        <v>325.91707828789509</v>
      </c>
      <c r="I182" s="54">
        <v>270.3160776057685</v>
      </c>
      <c r="J182" s="54">
        <v>222.49511768928599</v>
      </c>
      <c r="K182" s="54">
        <v>373.80215747586942</v>
      </c>
      <c r="L182" s="54">
        <v>333.88806716916508</v>
      </c>
      <c r="M182" s="54">
        <v>250.09698176392914</v>
      </c>
      <c r="N182" s="54">
        <v>330.57414155232891</v>
      </c>
      <c r="O182" s="54">
        <v>287.79538655452285</v>
      </c>
      <c r="P182" s="54">
        <v>229.84984302799828</v>
      </c>
      <c r="Q182" s="54">
        <v>361.96337040269879</v>
      </c>
      <c r="R182" s="54">
        <v>327.04190097931729</v>
      </c>
      <c r="S182" s="54">
        <v>245.34624444255292</v>
      </c>
      <c r="T182" s="54">
        <v>313.85800836848608</v>
      </c>
      <c r="U182" s="54">
        <v>270.78371386340393</v>
      </c>
      <c r="V182" s="54">
        <v>222.39789055255966</v>
      </c>
      <c r="W182" s="54">
        <v>343.57501258876113</v>
      </c>
      <c r="X182" s="54">
        <v>312.13425478108923</v>
      </c>
      <c r="Y182" s="54">
        <v>225.87453029107917</v>
      </c>
      <c r="Z182" s="54">
        <v>293.37114122542982</v>
      </c>
      <c r="AA182" s="54">
        <v>249.18710358243735</v>
      </c>
      <c r="AB182" s="54">
        <v>206.43027873581943</v>
      </c>
      <c r="AC182" s="54">
        <v>330.90849525939416</v>
      </c>
      <c r="AD182" s="54">
        <v>295.79725546807435</v>
      </c>
      <c r="AE182" s="54">
        <v>220.73863769508529</v>
      </c>
      <c r="AF182" s="54">
        <v>279.63388502168374</v>
      </c>
      <c r="AG182" s="54">
        <v>240.69664377917221</v>
      </c>
      <c r="AH182" s="54">
        <v>201.2270772943119</v>
      </c>
      <c r="AI182" s="54">
        <v>365.56006096705596</v>
      </c>
      <c r="AJ182" s="54">
        <v>327.788569239835</v>
      </c>
      <c r="AK182" s="54">
        <v>238.87614756015728</v>
      </c>
      <c r="AL182" s="54">
        <v>301.42123487142072</v>
      </c>
      <c r="AM182" s="54">
        <v>267.88277526232451</v>
      </c>
      <c r="AN182" s="54">
        <v>216.27958157963346</v>
      </c>
      <c r="AO182" s="54">
        <v>373.685985261452</v>
      </c>
      <c r="AP182" s="54">
        <v>335.02300750463587</v>
      </c>
      <c r="AQ182" s="54">
        <v>250.55797971537319</v>
      </c>
      <c r="AR182" s="54">
        <v>308.65875073156815</v>
      </c>
      <c r="AS182" s="54">
        <v>275.12092325599525</v>
      </c>
      <c r="AT182" s="54">
        <v>223.5033062241869</v>
      </c>
      <c r="AU182" s="54">
        <v>350.65074832460755</v>
      </c>
      <c r="AV182" s="54">
        <v>321.15832797504538</v>
      </c>
      <c r="AW182" s="54">
        <v>232.17114177622668</v>
      </c>
      <c r="AX182" s="54">
        <v>291.73441900918664</v>
      </c>
      <c r="AY182" s="54">
        <v>255.29766576858347</v>
      </c>
      <c r="AZ182" s="54">
        <v>207.70321236179234</v>
      </c>
      <c r="BA182" s="54">
        <v>358.9079280142866</v>
      </c>
      <c r="BB182" s="54">
        <v>327.4965159051817</v>
      </c>
      <c r="BC182" s="54">
        <v>242.76617304735649</v>
      </c>
      <c r="BD182" s="54">
        <v>294.81821361565119</v>
      </c>
      <c r="BE182" s="54">
        <v>257.2918532613815</v>
      </c>
      <c r="BF182" s="54">
        <v>213.78002067639534</v>
      </c>
      <c r="BG182" s="54">
        <v>346.2211172025149</v>
      </c>
      <c r="BH182" s="54">
        <v>312.90450501730606</v>
      </c>
      <c r="BI182" s="54">
        <v>227.05756181276416</v>
      </c>
      <c r="BJ182" s="54">
        <v>291.5844807421808</v>
      </c>
      <c r="BK182" s="54">
        <v>250.47599977157219</v>
      </c>
      <c r="BL182" s="54">
        <v>209.15273437618632</v>
      </c>
      <c r="BM182" s="54">
        <v>385.39933606157086</v>
      </c>
      <c r="BN182" s="54">
        <v>340.70437109672855</v>
      </c>
      <c r="BO182" s="54">
        <v>252.14257119598506</v>
      </c>
      <c r="BP182" s="54">
        <v>322.25697591551119</v>
      </c>
      <c r="BQ182" s="54">
        <v>278.96111272488122</v>
      </c>
      <c r="BR182" s="54">
        <v>223.86788687745772</v>
      </c>
      <c r="BS182" s="54">
        <v>402.83636413897403</v>
      </c>
      <c r="BT182" s="54">
        <v>355.17684006061501</v>
      </c>
      <c r="BU182" s="54">
        <v>263.29200236672312</v>
      </c>
      <c r="BV182" s="54">
        <v>322.09543558459751</v>
      </c>
      <c r="BW182" s="54">
        <v>271.8938714972823</v>
      </c>
      <c r="BX182" s="54">
        <v>222.48266650652005</v>
      </c>
    </row>
    <row r="183" spans="1:76" x14ac:dyDescent="0.3">
      <c r="A183" s="8" t="s">
        <v>100</v>
      </c>
      <c r="B183" s="8" t="s">
        <v>9</v>
      </c>
      <c r="C183" s="8" t="s">
        <v>115</v>
      </c>
      <c r="D183" s="8" t="s">
        <v>117</v>
      </c>
      <c r="E183" s="54">
        <v>441.28085823764309</v>
      </c>
      <c r="F183" s="54">
        <v>384.50290281216979</v>
      </c>
      <c r="G183" s="54">
        <v>276.03831957216829</v>
      </c>
      <c r="H183" s="54">
        <v>344.04014008195037</v>
      </c>
      <c r="I183" s="54">
        <v>275.07833669161676</v>
      </c>
      <c r="J183" s="54">
        <v>226.92958387505246</v>
      </c>
      <c r="K183" s="54">
        <v>401.82408967685859</v>
      </c>
      <c r="L183" s="54">
        <v>350.02561867681004</v>
      </c>
      <c r="M183" s="54">
        <v>259.96428419529872</v>
      </c>
      <c r="N183" s="54">
        <v>364.67603823961792</v>
      </c>
      <c r="O183" s="54">
        <v>310.1951263986453</v>
      </c>
      <c r="P183" s="54">
        <v>239.57447619663651</v>
      </c>
      <c r="Q183" s="54">
        <v>388.55255563051696</v>
      </c>
      <c r="R183" s="54">
        <v>345.8568941966347</v>
      </c>
      <c r="S183" s="54">
        <v>255.69912893086567</v>
      </c>
      <c r="T183" s="54">
        <v>341.17529654337164</v>
      </c>
      <c r="U183" s="54">
        <v>288.40095934192766</v>
      </c>
      <c r="V183" s="54">
        <v>230.68110000751952</v>
      </c>
      <c r="W183" s="54">
        <v>374.80232553592208</v>
      </c>
      <c r="X183" s="54">
        <v>337.26159877209858</v>
      </c>
      <c r="Y183" s="54">
        <v>233.44698894831794</v>
      </c>
      <c r="Z183" s="54">
        <v>316.85955124933952</v>
      </c>
      <c r="AA183" s="54">
        <v>261.07486872447458</v>
      </c>
      <c r="AB183" s="54">
        <v>210.08429766699854</v>
      </c>
      <c r="AC183" s="54">
        <v>349.9438063057483</v>
      </c>
      <c r="AD183" s="54">
        <v>304.98719208590819</v>
      </c>
      <c r="AE183" s="54">
        <v>224.83184534025025</v>
      </c>
      <c r="AF183" s="54">
        <v>300.45706550824724</v>
      </c>
      <c r="AG183" s="54">
        <v>250.9619355839443</v>
      </c>
      <c r="AH183" s="54">
        <v>203.88193498438389</v>
      </c>
      <c r="AI183" s="54">
        <v>389.55226169171175</v>
      </c>
      <c r="AJ183" s="54">
        <v>345.18577437687003</v>
      </c>
      <c r="AK183" s="54">
        <v>246.60500758703475</v>
      </c>
      <c r="AL183" s="54">
        <v>328.05641244620108</v>
      </c>
      <c r="AM183" s="54">
        <v>287.32758676120886</v>
      </c>
      <c r="AN183" s="54">
        <v>223.4060819813468</v>
      </c>
      <c r="AO183" s="54">
        <v>399.01937213530391</v>
      </c>
      <c r="AP183" s="54">
        <v>352.12900270615143</v>
      </c>
      <c r="AQ183" s="54">
        <v>260.553286814986</v>
      </c>
      <c r="AR183" s="54">
        <v>333.19930740481607</v>
      </c>
      <c r="AS183" s="54">
        <v>292.4134721623106</v>
      </c>
      <c r="AT183" s="54">
        <v>230.61925219293377</v>
      </c>
      <c r="AU183" s="54">
        <v>386.78101583473534</v>
      </c>
      <c r="AV183" s="54">
        <v>351.57189555609091</v>
      </c>
      <c r="AW183" s="54">
        <v>242.36063613925319</v>
      </c>
      <c r="AX183" s="54">
        <v>313.92742493213331</v>
      </c>
      <c r="AY183" s="54">
        <v>268.40931666580701</v>
      </c>
      <c r="AZ183" s="54">
        <v>211.61453540518437</v>
      </c>
      <c r="BA183" s="54">
        <v>384.0566882772132</v>
      </c>
      <c r="BB183" s="54">
        <v>346.45810526140417</v>
      </c>
      <c r="BC183" s="54">
        <v>252.66181832087264</v>
      </c>
      <c r="BD183" s="54">
        <v>318.5549202102622</v>
      </c>
      <c r="BE183" s="54">
        <v>272.38104198724278</v>
      </c>
      <c r="BF183" s="54">
        <v>220.42156953823078</v>
      </c>
      <c r="BG183" s="54">
        <v>368.85601145542978</v>
      </c>
      <c r="BH183" s="54">
        <v>329.6864081169324</v>
      </c>
      <c r="BI183" s="54">
        <v>233.90666544536876</v>
      </c>
      <c r="BJ183" s="54">
        <v>313.27790545076198</v>
      </c>
      <c r="BK183" s="54">
        <v>264.19377518794397</v>
      </c>
      <c r="BL183" s="54">
        <v>214.89652170965212</v>
      </c>
      <c r="BM183" s="54">
        <v>416.53544295874156</v>
      </c>
      <c r="BN183" s="54">
        <v>361.3355983816171</v>
      </c>
      <c r="BO183" s="54">
        <v>263.81404292909008</v>
      </c>
      <c r="BP183" s="54">
        <v>352.87843440446244</v>
      </c>
      <c r="BQ183" s="54">
        <v>298.51213300488257</v>
      </c>
      <c r="BR183" s="54">
        <v>232.43896650195595</v>
      </c>
      <c r="BS183" s="54">
        <v>434.90135709890797</v>
      </c>
      <c r="BT183" s="54">
        <v>376.91918082099016</v>
      </c>
      <c r="BU183" s="54">
        <v>275.72351483472636</v>
      </c>
      <c r="BV183" s="54">
        <v>339.47704254495449</v>
      </c>
      <c r="BW183" s="54">
        <v>276.5023594020044</v>
      </c>
      <c r="BX183" s="54">
        <v>226.91300634160027</v>
      </c>
    </row>
    <row r="184" spans="1:76" x14ac:dyDescent="0.3">
      <c r="A184" s="8" t="s">
        <v>100</v>
      </c>
      <c r="B184" s="8" t="s">
        <v>9</v>
      </c>
      <c r="C184" s="8" t="s">
        <v>116</v>
      </c>
      <c r="D184" s="8" t="s">
        <v>117</v>
      </c>
      <c r="E184" s="54">
        <v>-54.996842257998388</v>
      </c>
      <c r="F184" s="54">
        <v>-56.444582151834901</v>
      </c>
      <c r="G184" s="54">
        <v>-48.52159625453578</v>
      </c>
      <c r="H184" s="54">
        <v>-58.8254423294049</v>
      </c>
      <c r="I184" s="54">
        <v>-61.626195544131626</v>
      </c>
      <c r="J184" s="54">
        <v>-50.080696690113946</v>
      </c>
      <c r="K184" s="54">
        <v>-58.423124117730652</v>
      </c>
      <c r="L184" s="54">
        <v>-63.300077407734911</v>
      </c>
      <c r="M184" s="54">
        <v>-50.190117401770706</v>
      </c>
      <c r="N184" s="54">
        <v>-40.016164528971167</v>
      </c>
      <c r="O184" s="54">
        <v>-43.949171833477017</v>
      </c>
      <c r="P184" s="54">
        <v>-45.306669296201861</v>
      </c>
      <c r="Q184" s="54">
        <v>-57.254361065901314</v>
      </c>
      <c r="R184" s="54">
        <v>-58.241733723182755</v>
      </c>
      <c r="S184" s="54">
        <v>-48.395455500247152</v>
      </c>
      <c r="T184" s="54">
        <v>-44.317891873513979</v>
      </c>
      <c r="U184" s="54">
        <v>-45.674371617696167</v>
      </c>
      <c r="V184" s="54">
        <v>-45.245460819440474</v>
      </c>
      <c r="W184" s="54">
        <v>-46.859611963238955</v>
      </c>
      <c r="X184" s="54">
        <v>-46.624383706510784</v>
      </c>
      <c r="Y184" s="54">
        <v>-47.003059251220947</v>
      </c>
      <c r="Z184" s="54">
        <v>-43.982272776470268</v>
      </c>
      <c r="AA184" s="54">
        <v>-47.437069468062695</v>
      </c>
      <c r="AB184" s="54">
        <v>-47.040046019980686</v>
      </c>
      <c r="AC184" s="54">
        <v>-58.932985006905916</v>
      </c>
      <c r="AD184" s="54">
        <v>-62.461893094725831</v>
      </c>
      <c r="AE184" s="54">
        <v>-50.06814986731478</v>
      </c>
      <c r="AF184" s="54">
        <v>-43.87949564721638</v>
      </c>
      <c r="AG184" s="54">
        <v>-47.342546188827718</v>
      </c>
      <c r="AH184" s="54">
        <v>-46.988197210988012</v>
      </c>
      <c r="AI184" s="54">
        <v>-61.399764335944184</v>
      </c>
      <c r="AJ184" s="54">
        <v>-60.20063588866509</v>
      </c>
      <c r="AK184" s="54">
        <v>-50.057961856442731</v>
      </c>
      <c r="AL184" s="54">
        <v>-42.061336749379173</v>
      </c>
      <c r="AM184" s="54">
        <v>-42.664679441975494</v>
      </c>
      <c r="AN184" s="54">
        <v>-45.161769892766657</v>
      </c>
      <c r="AO184" s="54">
        <v>-61.754762723047918</v>
      </c>
      <c r="AP184" s="54">
        <v>-62.373257874264176</v>
      </c>
      <c r="AQ184" s="54">
        <v>-50.145361054326983</v>
      </c>
      <c r="AR184" s="54">
        <v>-46.488991841332037</v>
      </c>
      <c r="AS184" s="54">
        <v>-47.164544681104644</v>
      </c>
      <c r="AT184" s="54">
        <v>-46.980894095113079</v>
      </c>
      <c r="AU184" s="54">
        <v>-42.499852693492542</v>
      </c>
      <c r="AV184" s="54">
        <v>-42.272622517454565</v>
      </c>
      <c r="AW184" s="54">
        <v>-45.305917490273458</v>
      </c>
      <c r="AX184" s="54">
        <v>-45.192347348613325</v>
      </c>
      <c r="AY184" s="54">
        <v>-47.434852820616548</v>
      </c>
      <c r="AZ184" s="54">
        <v>-47.036649286207656</v>
      </c>
      <c r="BA184" s="54">
        <v>-58.291031674913455</v>
      </c>
      <c r="BB184" s="54">
        <v>-58.172142281018189</v>
      </c>
      <c r="BC184" s="54">
        <v>-48.321986669943584</v>
      </c>
      <c r="BD184" s="54">
        <v>-44.033670160648967</v>
      </c>
      <c r="BE184" s="54">
        <v>-45.461477408018538</v>
      </c>
      <c r="BF184" s="54">
        <v>-45.143069091804655</v>
      </c>
      <c r="BG184" s="54">
        <v>-58.261661484485082</v>
      </c>
      <c r="BH184" s="54">
        <v>-57.248747379793905</v>
      </c>
      <c r="BI184" s="54">
        <v>-48.203010912435843</v>
      </c>
      <c r="BJ184" s="54">
        <v>-45.779339299819142</v>
      </c>
      <c r="BK184" s="54">
        <v>-45.471780672427855</v>
      </c>
      <c r="BL184" s="54">
        <v>-45.108449427213813</v>
      </c>
      <c r="BM184" s="54">
        <v>-57.429700393929252</v>
      </c>
      <c r="BN184" s="54">
        <v>-59.387058668071589</v>
      </c>
      <c r="BO184" s="54">
        <v>-48.446303132615</v>
      </c>
      <c r="BP184" s="54">
        <v>-42.287420867688887</v>
      </c>
      <c r="BQ184" s="54">
        <v>-45.301502831218812</v>
      </c>
      <c r="BR184" s="54">
        <v>-45.253122188742225</v>
      </c>
      <c r="BS184" s="54">
        <v>-60.627849834826051</v>
      </c>
      <c r="BT184" s="54">
        <v>-61.616284064685004</v>
      </c>
      <c r="BU184" s="54">
        <v>-50.283610006676916</v>
      </c>
      <c r="BV184" s="54">
        <v>-58.796850195702689</v>
      </c>
      <c r="BW184" s="54">
        <v>-62.212857993417799</v>
      </c>
      <c r="BX184" s="54">
        <v>-50.082741832779945</v>
      </c>
    </row>
    <row r="185" spans="1:76" x14ac:dyDescent="0.3">
      <c r="A185" s="8" t="s">
        <v>100</v>
      </c>
      <c r="B185" s="8" t="s">
        <v>9</v>
      </c>
      <c r="C185" s="8" t="s">
        <v>117</v>
      </c>
      <c r="D185" s="8" t="s">
        <v>118</v>
      </c>
      <c r="E185" s="54">
        <v>126.88856368494439</v>
      </c>
      <c r="F185" s="54">
        <v>113.56493139713476</v>
      </c>
      <c r="G185" s="54">
        <v>116.61546324993243</v>
      </c>
      <c r="H185" s="54">
        <v>100.47217713524526</v>
      </c>
      <c r="I185" s="54">
        <v>81.509867997585417</v>
      </c>
      <c r="J185" s="54">
        <v>104.27307280553855</v>
      </c>
      <c r="K185" s="54">
        <v>111.1756839655278</v>
      </c>
      <c r="L185" s="54">
        <v>89.537396692175747</v>
      </c>
      <c r="M185" s="54">
        <v>109.4870676278279</v>
      </c>
      <c r="N185" s="54">
        <v>154.06956762934664</v>
      </c>
      <c r="O185" s="54">
        <v>134.5013961771686</v>
      </c>
      <c r="P185" s="54">
        <v>119.11129457623471</v>
      </c>
      <c r="Q185" s="54">
        <v>112.08046309601561</v>
      </c>
      <c r="R185" s="54">
        <v>102.33152577095173</v>
      </c>
      <c r="S185" s="54">
        <v>113.56197348781838</v>
      </c>
      <c r="T185" s="54">
        <v>138.6815044278581</v>
      </c>
      <c r="U185" s="54">
        <v>126.26850224313124</v>
      </c>
      <c r="V185" s="54">
        <v>117.79228781607887</v>
      </c>
      <c r="W185" s="54">
        <v>137.508089020683</v>
      </c>
      <c r="X185" s="54">
        <v>131.87857657798773</v>
      </c>
      <c r="Y185" s="54">
        <v>113.56634015479705</v>
      </c>
      <c r="Z185" s="54">
        <v>135.5238644709693</v>
      </c>
      <c r="AA185" s="54">
        <v>117.01362620591182</v>
      </c>
      <c r="AB185" s="54">
        <v>109.5739268912177</v>
      </c>
      <c r="AC185" s="54">
        <v>101.16934103254238</v>
      </c>
      <c r="AD185" s="54">
        <v>84.266150428382147</v>
      </c>
      <c r="AE185" s="54">
        <v>103.95690791053546</v>
      </c>
      <c r="AF185" s="54">
        <v>133.0641891921307</v>
      </c>
      <c r="AG185" s="54">
        <v>115.58019942711661</v>
      </c>
      <c r="AH185" s="54">
        <v>108.67846326809571</v>
      </c>
      <c r="AI185" s="54">
        <v>101.19267205276749</v>
      </c>
      <c r="AJ185" s="54">
        <v>96.995933359704907</v>
      </c>
      <c r="AK185" s="54">
        <v>107.61293631399182</v>
      </c>
      <c r="AL185" s="54">
        <v>142.51250407602188</v>
      </c>
      <c r="AM185" s="54">
        <v>134.11545261493373</v>
      </c>
      <c r="AN185" s="54">
        <v>116.80296061618023</v>
      </c>
      <c r="AO185" s="54">
        <v>101.82386142775613</v>
      </c>
      <c r="AP185" s="54">
        <v>92.359479452987173</v>
      </c>
      <c r="AQ185" s="54">
        <v>109.70458499095915</v>
      </c>
      <c r="AR185" s="54">
        <v>131.56257299058393</v>
      </c>
      <c r="AS185" s="54">
        <v>122.96345954410603</v>
      </c>
      <c r="AT185" s="54">
        <v>113.15415777852067</v>
      </c>
      <c r="AU185" s="54">
        <v>151.13056212314291</v>
      </c>
      <c r="AV185" s="54">
        <v>145.86832254613626</v>
      </c>
      <c r="AW185" s="54">
        <v>119.57765938247977</v>
      </c>
      <c r="AX185" s="54">
        <v>131.80831122572056</v>
      </c>
      <c r="AY185" s="54">
        <v>118.2419452559903</v>
      </c>
      <c r="AZ185" s="54">
        <v>109.8380244709769</v>
      </c>
      <c r="BA185" s="54">
        <v>108.56669691309972</v>
      </c>
      <c r="BB185" s="54">
        <v>102.61730479418596</v>
      </c>
      <c r="BC185" s="54">
        <v>113.25167193362896</v>
      </c>
      <c r="BD185" s="54">
        <v>135.66936627331327</v>
      </c>
      <c r="BE185" s="54">
        <v>124.16623390982451</v>
      </c>
      <c r="BF185" s="54">
        <v>116.35541067822619</v>
      </c>
      <c r="BG185" s="54">
        <v>106.111571283945</v>
      </c>
      <c r="BH185" s="54">
        <v>102.28440834003838</v>
      </c>
      <c r="BI185" s="54">
        <v>110.44308180773288</v>
      </c>
      <c r="BJ185" s="54">
        <v>130.13474610894272</v>
      </c>
      <c r="BK185" s="54">
        <v>122.77421407151601</v>
      </c>
      <c r="BL185" s="54">
        <v>115.52688847903836</v>
      </c>
      <c r="BM185" s="54">
        <v>116.27670610931217</v>
      </c>
      <c r="BN185" s="54">
        <v>101.85710994874553</v>
      </c>
      <c r="BO185" s="54">
        <v>114.77886546787497</v>
      </c>
      <c r="BP185" s="54">
        <v>146.04661675357343</v>
      </c>
      <c r="BQ185" s="54">
        <v>128.94801461756367</v>
      </c>
      <c r="BR185" s="54">
        <v>118.0648352470136</v>
      </c>
      <c r="BS185" s="54">
        <v>110.809293290282</v>
      </c>
      <c r="BT185" s="54">
        <v>98.509772631005134</v>
      </c>
      <c r="BU185" s="54">
        <v>111.86429245464934</v>
      </c>
      <c r="BV185" s="54">
        <v>99.787906568951755</v>
      </c>
      <c r="BW185" s="54">
        <v>80.182771917886924</v>
      </c>
      <c r="BX185" s="54">
        <v>104.2648561695203</v>
      </c>
    </row>
    <row r="186" spans="1:76" x14ac:dyDescent="0.3">
      <c r="A186" s="8" t="s">
        <v>100</v>
      </c>
      <c r="B186" s="8" t="s">
        <v>10</v>
      </c>
      <c r="C186" s="8" t="s">
        <v>108</v>
      </c>
      <c r="D186" s="8" t="s">
        <v>111</v>
      </c>
      <c r="E186" s="54">
        <v>239.71779810941806</v>
      </c>
      <c r="F186" s="54">
        <v>341.13182412463703</v>
      </c>
      <c r="G186" s="54">
        <v>500.79947850064974</v>
      </c>
      <c r="H186" s="54">
        <v>362.91331136065088</v>
      </c>
      <c r="I186" s="54">
        <v>461.01449413685168</v>
      </c>
      <c r="J186" s="54">
        <v>515.11091236397829</v>
      </c>
      <c r="K186" s="54">
        <v>381.24141153697997</v>
      </c>
      <c r="L186" s="54">
        <v>401.57378957946264</v>
      </c>
      <c r="M186" s="54">
        <v>506.17674043220194</v>
      </c>
      <c r="N186" s="54">
        <v>530.07248591779341</v>
      </c>
      <c r="O186" s="54">
        <v>537.79105937086661</v>
      </c>
      <c r="P186" s="54">
        <v>546.34044380401178</v>
      </c>
      <c r="Q186" s="54">
        <v>370.48260520479249</v>
      </c>
      <c r="R186" s="54">
        <v>400.05430306802037</v>
      </c>
      <c r="S186" s="54">
        <v>523.71165852687955</v>
      </c>
      <c r="T186" s="54">
        <v>483.37085574544102</v>
      </c>
      <c r="U186" s="54">
        <v>502.21370500486807</v>
      </c>
      <c r="V186" s="54">
        <v>520.80932619202986</v>
      </c>
      <c r="W186" s="54">
        <v>519.34832971055857</v>
      </c>
      <c r="X186" s="54">
        <v>546.1734031693328</v>
      </c>
      <c r="Y186" s="54">
        <v>494.74519836670174</v>
      </c>
      <c r="Z186" s="54">
        <v>517.26473252009225</v>
      </c>
      <c r="AA186" s="54">
        <v>525.64966223309773</v>
      </c>
      <c r="AB186" s="54">
        <v>508.70133512531959</v>
      </c>
      <c r="AC186" s="54">
        <v>521.12133152298395</v>
      </c>
      <c r="AD186" s="54">
        <v>546.5027711224335</v>
      </c>
      <c r="AE186" s="54">
        <v>486.67252384251822</v>
      </c>
      <c r="AF186" s="54">
        <v>583.43019996931594</v>
      </c>
      <c r="AG186" s="54">
        <v>591.60879035907271</v>
      </c>
      <c r="AH186" s="54">
        <v>505.68671069089777</v>
      </c>
      <c r="AI186" s="54">
        <v>398.72926931856847</v>
      </c>
      <c r="AJ186" s="54">
        <v>376.75187551563539</v>
      </c>
      <c r="AK186" s="54">
        <v>439.95923350526709</v>
      </c>
      <c r="AL186" s="54">
        <v>515.54464805084501</v>
      </c>
      <c r="AM186" s="54">
        <v>513.55634348796048</v>
      </c>
      <c r="AN186" s="54">
        <v>490.14763615978541</v>
      </c>
      <c r="AO186" s="54">
        <v>369.41021203002731</v>
      </c>
      <c r="AP186" s="54">
        <v>383.02766543050313</v>
      </c>
      <c r="AQ186" s="54">
        <v>425.15910710356428</v>
      </c>
      <c r="AR186" s="54">
        <v>475.6567556522462</v>
      </c>
      <c r="AS186" s="54">
        <v>487.22792849086403</v>
      </c>
      <c r="AT186" s="54">
        <v>451.51809765683447</v>
      </c>
      <c r="AU186" s="54">
        <v>511.22984772734804</v>
      </c>
      <c r="AV186" s="54">
        <v>543.0924404413704</v>
      </c>
      <c r="AW186" s="54">
        <v>486.31183826130365</v>
      </c>
      <c r="AX186" s="54">
        <v>439.50389304417126</v>
      </c>
      <c r="AY186" s="54">
        <v>473.41125687223706</v>
      </c>
      <c r="AZ186" s="54">
        <v>489.23951199092943</v>
      </c>
      <c r="BA186" s="54">
        <v>405.16566806874346</v>
      </c>
      <c r="BB186" s="54">
        <v>401.32946910574742</v>
      </c>
      <c r="BC186" s="54">
        <v>452.13496725830549</v>
      </c>
      <c r="BD186" s="54">
        <v>538.97177265506161</v>
      </c>
      <c r="BE186" s="54">
        <v>529.70366620517973</v>
      </c>
      <c r="BF186" s="54">
        <v>486.84905772526889</v>
      </c>
      <c r="BG186" s="54">
        <v>350.75702348960601</v>
      </c>
      <c r="BH186" s="54">
        <v>364.46545403992104</v>
      </c>
      <c r="BI186" s="54">
        <v>484.64091803900124</v>
      </c>
      <c r="BJ186" s="54">
        <v>497.09452045796797</v>
      </c>
      <c r="BK186" s="54">
        <v>469.56199585697789</v>
      </c>
      <c r="BL186" s="54">
        <v>489.34455327575876</v>
      </c>
      <c r="BM186" s="54">
        <v>388.26497497526645</v>
      </c>
      <c r="BN186" s="54">
        <v>384.70505459354445</v>
      </c>
      <c r="BO186" s="54">
        <v>517.27446976131853</v>
      </c>
      <c r="BP186" s="54">
        <v>510.05244660147264</v>
      </c>
      <c r="BQ186" s="54">
        <v>536.61459965256802</v>
      </c>
      <c r="BR186" s="54">
        <v>543.68198346283032</v>
      </c>
      <c r="BS186" s="54">
        <v>394.84132526686079</v>
      </c>
      <c r="BT186" s="54">
        <v>392.72155741892624</v>
      </c>
      <c r="BU186" s="54">
        <v>520.36421044302438</v>
      </c>
      <c r="BV186" s="54">
        <v>480.10262782804045</v>
      </c>
      <c r="BW186" s="54">
        <v>499.2422739854785</v>
      </c>
      <c r="BX186" s="54">
        <v>528.21760753351725</v>
      </c>
    </row>
    <row r="187" spans="1:76" x14ac:dyDescent="0.3">
      <c r="A187" s="8" t="s">
        <v>100</v>
      </c>
      <c r="B187" s="8" t="s">
        <v>10</v>
      </c>
      <c r="C187" s="8" t="s">
        <v>108</v>
      </c>
      <c r="D187" s="8" t="s">
        <v>115</v>
      </c>
      <c r="E187" s="54">
        <v>508.35129730118211</v>
      </c>
      <c r="F187" s="54">
        <v>509.292558481963</v>
      </c>
      <c r="G187" s="54">
        <v>490.55245824695004</v>
      </c>
      <c r="H187" s="54">
        <v>456.70164740474894</v>
      </c>
      <c r="I187" s="54">
        <v>464.20095956334808</v>
      </c>
      <c r="J187" s="54">
        <v>504.83745887722199</v>
      </c>
      <c r="K187" s="54">
        <v>537.80802527582</v>
      </c>
      <c r="L187" s="54">
        <v>580.57136703573769</v>
      </c>
      <c r="M187" s="54">
        <v>560.10906123639813</v>
      </c>
      <c r="N187" s="54">
        <v>456.05714679660571</v>
      </c>
      <c r="O187" s="54">
        <v>480.96540773313382</v>
      </c>
      <c r="P187" s="54">
        <v>570.20653154758816</v>
      </c>
      <c r="Q187" s="54">
        <v>490.60024412400736</v>
      </c>
      <c r="R187" s="54">
        <v>547.01477455198017</v>
      </c>
      <c r="S187" s="54">
        <v>555.66494158752039</v>
      </c>
      <c r="T187" s="54">
        <v>389.37734377055875</v>
      </c>
      <c r="U187" s="54">
        <v>453.97012403293189</v>
      </c>
      <c r="V187" s="54">
        <v>533.00397106396997</v>
      </c>
      <c r="W187" s="54">
        <v>483.28242118544142</v>
      </c>
      <c r="X187" s="54">
        <v>519.80931985546715</v>
      </c>
      <c r="Y187" s="54">
        <v>518.5097573246926</v>
      </c>
      <c r="Z187" s="54">
        <v>521.40257949510828</v>
      </c>
      <c r="AA187" s="54">
        <v>547.96199166590225</v>
      </c>
      <c r="AB187" s="54">
        <v>584.49550227407497</v>
      </c>
      <c r="AC187" s="54">
        <v>482.69570794441609</v>
      </c>
      <c r="AD187" s="54">
        <v>520.47893175196668</v>
      </c>
      <c r="AE187" s="54">
        <v>505.09154809150544</v>
      </c>
      <c r="AF187" s="54">
        <v>553.04303869288401</v>
      </c>
      <c r="AG187" s="54">
        <v>577.5047293849276</v>
      </c>
      <c r="AH187" s="54">
        <v>531.26038735732561</v>
      </c>
      <c r="AI187" s="54">
        <v>530.85108007543158</v>
      </c>
      <c r="AJ187" s="54">
        <v>510.72176551236504</v>
      </c>
      <c r="AK187" s="54">
        <v>438.76012710353262</v>
      </c>
      <c r="AL187" s="54">
        <v>481.41767188555519</v>
      </c>
      <c r="AM187" s="54">
        <v>489.58329414644044</v>
      </c>
      <c r="AN187" s="54">
        <v>503.82966089541446</v>
      </c>
      <c r="AO187" s="54">
        <v>518.7557718459725</v>
      </c>
      <c r="AP187" s="54">
        <v>552.34674043799203</v>
      </c>
      <c r="AQ187" s="54">
        <v>490.29421135703564</v>
      </c>
      <c r="AR187" s="54">
        <v>378.69523904695359</v>
      </c>
      <c r="AS187" s="54">
        <v>407.42009784323074</v>
      </c>
      <c r="AT187" s="54">
        <v>446.61350170456558</v>
      </c>
      <c r="AU187" s="54">
        <v>485.96895023645214</v>
      </c>
      <c r="AV187" s="54">
        <v>513.54565857362957</v>
      </c>
      <c r="AW187" s="54">
        <v>467.7660193906965</v>
      </c>
      <c r="AX187" s="54">
        <v>403.50257424022874</v>
      </c>
      <c r="AY187" s="54">
        <v>466.58720572194602</v>
      </c>
      <c r="AZ187" s="54">
        <v>518.14076471307067</v>
      </c>
      <c r="BA187" s="54">
        <v>543.9364125528565</v>
      </c>
      <c r="BB187" s="54">
        <v>548.8197963838528</v>
      </c>
      <c r="BC187" s="54">
        <v>499.21759461627732</v>
      </c>
      <c r="BD187" s="54">
        <v>518.55370066333944</v>
      </c>
      <c r="BE187" s="54">
        <v>531.6496724560202</v>
      </c>
      <c r="BF187" s="54">
        <v>542.38294455651317</v>
      </c>
      <c r="BG187" s="54">
        <v>429.37741913639394</v>
      </c>
      <c r="BH187" s="54">
        <v>484.32804116587903</v>
      </c>
      <c r="BI187" s="54">
        <v>553.93793651059877</v>
      </c>
      <c r="BJ187" s="54">
        <v>417.27783945803208</v>
      </c>
      <c r="BK187" s="54">
        <v>465.35823523409903</v>
      </c>
      <c r="BL187" s="54">
        <v>509.54491715144121</v>
      </c>
      <c r="BM187" s="54">
        <v>509.57695211373346</v>
      </c>
      <c r="BN187" s="54">
        <v>481.97208587685572</v>
      </c>
      <c r="BO187" s="54">
        <v>548.40778158148157</v>
      </c>
      <c r="BP187" s="54">
        <v>427.71875983212749</v>
      </c>
      <c r="BQ187" s="54">
        <v>481.72016923523199</v>
      </c>
      <c r="BR187" s="54">
        <v>584.93599840476975</v>
      </c>
      <c r="BS187" s="54">
        <v>461.73024678553907</v>
      </c>
      <c r="BT187" s="54">
        <v>525.18343558347408</v>
      </c>
      <c r="BU187" s="54">
        <v>519.3445648101756</v>
      </c>
      <c r="BV187" s="54">
        <v>347.21280061135928</v>
      </c>
      <c r="BW187" s="54">
        <v>421.64426703312154</v>
      </c>
      <c r="BX187" s="54">
        <v>515.75157578788276</v>
      </c>
    </row>
    <row r="188" spans="1:76" x14ac:dyDescent="0.3">
      <c r="A188" s="8" t="s">
        <v>100</v>
      </c>
      <c r="B188" s="8" t="s">
        <v>10</v>
      </c>
      <c r="C188" s="8" t="s">
        <v>109</v>
      </c>
      <c r="D188" s="8" t="s">
        <v>110</v>
      </c>
      <c r="E188" s="54">
        <v>-26.804033025892181</v>
      </c>
      <c r="F188" s="54">
        <v>45.022921775599855</v>
      </c>
      <c r="G188" s="54">
        <v>217.79625382505131</v>
      </c>
      <c r="H188" s="54">
        <v>-87.237153766424939</v>
      </c>
      <c r="I188" s="54">
        <v>-15.669574740012848</v>
      </c>
      <c r="J188" s="54">
        <v>126.8985158961995</v>
      </c>
      <c r="K188" s="54">
        <v>13.126268074442615</v>
      </c>
      <c r="L188" s="54">
        <v>112.6134372329427</v>
      </c>
      <c r="M188" s="54">
        <v>257.33320751984155</v>
      </c>
      <c r="N188" s="54">
        <v>55.395983380773558</v>
      </c>
      <c r="O188" s="54">
        <v>155.26196596678489</v>
      </c>
      <c r="P188" s="54">
        <v>266.24540595665746</v>
      </c>
      <c r="Q188" s="54">
        <v>14.368837860165851</v>
      </c>
      <c r="R188" s="54">
        <v>117.67877826883732</v>
      </c>
      <c r="S188" s="54">
        <v>261.63782014237745</v>
      </c>
      <c r="T188" s="54">
        <v>52.698267310123391</v>
      </c>
      <c r="U188" s="54">
        <v>154.90756260094395</v>
      </c>
      <c r="V188" s="54">
        <v>267.10573177084939</v>
      </c>
      <c r="W188" s="54">
        <v>32.07099193305374</v>
      </c>
      <c r="X188" s="54">
        <v>118.29716760444808</v>
      </c>
      <c r="Y188" s="54">
        <v>263.66177784216927</v>
      </c>
      <c r="Z188" s="54">
        <v>-6.2524632206190089</v>
      </c>
      <c r="AA188" s="54">
        <v>98.661305442503732</v>
      </c>
      <c r="AB188" s="54">
        <v>164.4307799849125</v>
      </c>
      <c r="AC188" s="54">
        <v>32.512661199556206</v>
      </c>
      <c r="AD188" s="54">
        <v>119.74327149963516</v>
      </c>
      <c r="AE188" s="54">
        <v>264.07954977751081</v>
      </c>
      <c r="AF188" s="54">
        <v>207.4002392999854</v>
      </c>
      <c r="AG188" s="54">
        <v>299.39395153544069</v>
      </c>
      <c r="AH188" s="54">
        <v>295.33665701938361</v>
      </c>
      <c r="AI188" s="54">
        <v>15.432978894271422</v>
      </c>
      <c r="AJ188" s="54">
        <v>94.697417769477156</v>
      </c>
      <c r="AK188" s="54">
        <v>209.4495428019687</v>
      </c>
      <c r="AL188" s="54">
        <v>-45.16740178787537</v>
      </c>
      <c r="AM188" s="54">
        <v>33.496731655755063</v>
      </c>
      <c r="AN188" s="54">
        <v>117.47436012437562</v>
      </c>
      <c r="AO188" s="54">
        <v>-3.0192141812540596</v>
      </c>
      <c r="AP188" s="54">
        <v>99.05156880661103</v>
      </c>
      <c r="AQ188" s="54">
        <v>168.82134943826111</v>
      </c>
      <c r="AR188" s="54">
        <v>54.629083744265003</v>
      </c>
      <c r="AS188" s="54">
        <v>142.66162124033843</v>
      </c>
      <c r="AT188" s="54">
        <v>200.12826950568231</v>
      </c>
      <c r="AU188" s="54">
        <v>30.048611607490059</v>
      </c>
      <c r="AV188" s="54">
        <v>104.7700707515522</v>
      </c>
      <c r="AW188" s="54">
        <v>267.33216846994503</v>
      </c>
      <c r="AX188" s="54">
        <v>-59.956686471372755</v>
      </c>
      <c r="AY188" s="54">
        <v>47.037853375753173</v>
      </c>
      <c r="AZ188" s="54">
        <v>168.43237360941933</v>
      </c>
      <c r="BA188" s="54">
        <v>43.692259179385907</v>
      </c>
      <c r="BB188" s="54">
        <v>117.64048292234031</v>
      </c>
      <c r="BC188" s="54">
        <v>188.38133236726563</v>
      </c>
      <c r="BD188" s="54">
        <v>-17.418381119599815</v>
      </c>
      <c r="BE188" s="54">
        <v>55.292741054667196</v>
      </c>
      <c r="BF188" s="54">
        <v>96.870868894461054</v>
      </c>
      <c r="BG188" s="54">
        <v>12.858857610144492</v>
      </c>
      <c r="BH188" s="54">
        <v>120.49030037177255</v>
      </c>
      <c r="BI188" s="54">
        <v>249.74076122300937</v>
      </c>
      <c r="BJ188" s="54">
        <v>112.95259627625254</v>
      </c>
      <c r="BK188" s="54">
        <v>150.92979254740868</v>
      </c>
      <c r="BL188" s="54">
        <v>266.19445214858661</v>
      </c>
      <c r="BM188" s="54">
        <v>-30.510946942402086</v>
      </c>
      <c r="BN188" s="54">
        <v>47.153747622371341</v>
      </c>
      <c r="BO188" s="54">
        <v>237.69535360865012</v>
      </c>
      <c r="BP188" s="54">
        <v>55.999797485197675</v>
      </c>
      <c r="BQ188" s="54">
        <v>172.62205119914054</v>
      </c>
      <c r="BR188" s="54">
        <v>253.23658276199978</v>
      </c>
      <c r="BS188" s="54">
        <v>131.76388828239095</v>
      </c>
      <c r="BT188" s="54">
        <v>35.918533353128666</v>
      </c>
      <c r="BU188" s="54">
        <v>225.06802546733385</v>
      </c>
      <c r="BV188" s="54">
        <v>115.75334052314257</v>
      </c>
      <c r="BW188" s="54">
        <v>122.38239875945212</v>
      </c>
      <c r="BX188" s="54">
        <v>172.89347643636032</v>
      </c>
    </row>
    <row r="189" spans="1:76" x14ac:dyDescent="0.3">
      <c r="A189" s="8" t="s">
        <v>100</v>
      </c>
      <c r="B189" s="8" t="s">
        <v>10</v>
      </c>
      <c r="C189" s="8" t="s">
        <v>109</v>
      </c>
      <c r="D189" s="8" t="s">
        <v>115</v>
      </c>
      <c r="E189" s="54">
        <v>302.60858073119203</v>
      </c>
      <c r="F189" s="54">
        <v>275.68368896120023</v>
      </c>
      <c r="G189" s="54">
        <v>206.50248610724864</v>
      </c>
      <c r="H189" s="54">
        <v>202.49463314912487</v>
      </c>
      <c r="I189" s="54">
        <v>183.72730159011275</v>
      </c>
      <c r="J189" s="54">
        <v>100.52566972440047</v>
      </c>
      <c r="K189" s="54">
        <v>289.84845033195717</v>
      </c>
      <c r="L189" s="54">
        <v>225.39841819015714</v>
      </c>
      <c r="M189" s="54">
        <v>177.57969331445821</v>
      </c>
      <c r="N189" s="54">
        <v>309.21371053792626</v>
      </c>
      <c r="O189" s="54">
        <v>248.1934756452151</v>
      </c>
      <c r="P189" s="54">
        <v>193.79808171914249</v>
      </c>
      <c r="Q189" s="54">
        <v>301.61343067123414</v>
      </c>
      <c r="R189" s="54">
        <v>232.2375870286626</v>
      </c>
      <c r="S189" s="54">
        <v>179.82047991482241</v>
      </c>
      <c r="T189" s="54">
        <v>324.32583244787662</v>
      </c>
      <c r="U189" s="54">
        <v>263.83435191795598</v>
      </c>
      <c r="V189" s="54">
        <v>200.45091685715045</v>
      </c>
      <c r="W189" s="54">
        <v>312.69438351494625</v>
      </c>
      <c r="X189" s="54">
        <v>258.14419390795183</v>
      </c>
      <c r="Y189" s="54">
        <v>198.66063261553069</v>
      </c>
      <c r="Z189" s="54">
        <v>168.899049218719</v>
      </c>
      <c r="AA189" s="54">
        <v>104.71452150699622</v>
      </c>
      <c r="AB189" s="54">
        <v>82.098895259287374</v>
      </c>
      <c r="AC189" s="54">
        <v>312.84585853414382</v>
      </c>
      <c r="AD189" s="54">
        <v>257.19757993756474</v>
      </c>
      <c r="AE189" s="54">
        <v>200.31366266008922</v>
      </c>
      <c r="AF189" s="54">
        <v>204.28638003111453</v>
      </c>
      <c r="AG189" s="54">
        <v>147.76685849655914</v>
      </c>
      <c r="AH189" s="54">
        <v>191.64806847531622</v>
      </c>
      <c r="AI189" s="54">
        <v>292.80719580272853</v>
      </c>
      <c r="AJ189" s="54">
        <v>252.5133771020227</v>
      </c>
      <c r="AK189" s="54">
        <v>236.81634778143112</v>
      </c>
      <c r="AL189" s="54">
        <v>201.68483016707529</v>
      </c>
      <c r="AM189" s="54">
        <v>155.95581363994481</v>
      </c>
      <c r="AN189" s="54">
        <v>121.08428840322428</v>
      </c>
      <c r="AO189" s="54">
        <v>302.7784661967541</v>
      </c>
      <c r="AP189" s="54">
        <v>238.75216581448888</v>
      </c>
      <c r="AQ189" s="54">
        <v>265.67530979203877</v>
      </c>
      <c r="AR189" s="54">
        <v>325.42317368283477</v>
      </c>
      <c r="AS189" s="54">
        <v>270.25291082256132</v>
      </c>
      <c r="AT189" s="54">
        <v>264.58753017501755</v>
      </c>
      <c r="AU189" s="54">
        <v>312.00078737440992</v>
      </c>
      <c r="AV189" s="54">
        <v>266.99897875594769</v>
      </c>
      <c r="AW189" s="54">
        <v>190.39077226355505</v>
      </c>
      <c r="AX189" s="54">
        <v>223.02992011357259</v>
      </c>
      <c r="AY189" s="54">
        <v>150.2296280350468</v>
      </c>
      <c r="AZ189" s="54">
        <v>76.82776474258057</v>
      </c>
      <c r="BA189" s="54">
        <v>274.30878113141398</v>
      </c>
      <c r="BB189" s="54">
        <v>231.89085889145966</v>
      </c>
      <c r="BC189" s="54">
        <v>255.73050791543417</v>
      </c>
      <c r="BD189" s="54">
        <v>178.56649734329966</v>
      </c>
      <c r="BE189" s="54">
        <v>141.95392827593278</v>
      </c>
      <c r="BF189" s="54">
        <v>144.20604133733895</v>
      </c>
      <c r="BG189" s="54">
        <v>317.85836370285534</v>
      </c>
      <c r="BH189" s="54">
        <v>244.55644723112746</v>
      </c>
      <c r="BI189" s="54">
        <v>210.1986660517905</v>
      </c>
      <c r="BJ189" s="54">
        <v>284.88358368174738</v>
      </c>
      <c r="BK189" s="54">
        <v>288.32242700859132</v>
      </c>
      <c r="BL189" s="54">
        <v>214.74436404801332</v>
      </c>
      <c r="BM189" s="54">
        <v>322.88191048690209</v>
      </c>
      <c r="BN189" s="54">
        <v>287.95482261282859</v>
      </c>
      <c r="BO189" s="54">
        <v>196.91577206274991</v>
      </c>
      <c r="BP189" s="54">
        <v>314.65580573160224</v>
      </c>
      <c r="BQ189" s="54">
        <v>238.31533324475939</v>
      </c>
      <c r="BR189" s="54">
        <v>184.39160728514258</v>
      </c>
      <c r="BS189" s="54">
        <v>452.81403748180907</v>
      </c>
      <c r="BT189" s="54">
        <v>282.48834252157116</v>
      </c>
      <c r="BU189" s="54">
        <v>196.55636215926597</v>
      </c>
      <c r="BV189" s="54">
        <v>420.07723149955802</v>
      </c>
      <c r="BW189" s="54">
        <v>278.71087174984785</v>
      </c>
      <c r="BX189" s="54">
        <v>109.8551986173406</v>
      </c>
    </row>
    <row r="190" spans="1:76" x14ac:dyDescent="0.3">
      <c r="A190" s="8" t="s">
        <v>100</v>
      </c>
      <c r="B190" s="8" t="s">
        <v>10</v>
      </c>
      <c r="C190" s="8" t="s">
        <v>110</v>
      </c>
      <c r="D190" s="8" t="s">
        <v>111</v>
      </c>
      <c r="E190" s="54">
        <v>198.65944434566686</v>
      </c>
      <c r="F190" s="54">
        <v>194.49526918559678</v>
      </c>
      <c r="G190" s="54">
        <v>138.78294039237792</v>
      </c>
      <c r="H190" s="54">
        <v>249.40532663364579</v>
      </c>
      <c r="I190" s="54">
        <v>247.31189877286931</v>
      </c>
      <c r="J190" s="54">
        <v>111.41299010929883</v>
      </c>
      <c r="K190" s="54">
        <v>237.62463623276031</v>
      </c>
      <c r="L190" s="54">
        <v>121.46639914574253</v>
      </c>
      <c r="M190" s="54">
        <v>67.326249904423591</v>
      </c>
      <c r="N190" s="54">
        <v>349.75401123391038</v>
      </c>
      <c r="O190" s="54">
        <v>235.6860734653674</v>
      </c>
      <c r="P190" s="54">
        <v>95.012875464691277</v>
      </c>
      <c r="Q190" s="54">
        <v>258.71890729416026</v>
      </c>
      <c r="R190" s="54">
        <v>136.40947468164754</v>
      </c>
      <c r="S190" s="54">
        <v>78.834710327551079</v>
      </c>
      <c r="T190" s="54">
        <v>362.11328151126821</v>
      </c>
      <c r="U190" s="54">
        <v>237.86311736354637</v>
      </c>
      <c r="V190" s="54">
        <v>99.381301712840539</v>
      </c>
      <c r="W190" s="54">
        <v>349.20894100428313</v>
      </c>
      <c r="X190" s="54">
        <v>255.31736852310493</v>
      </c>
      <c r="Y190" s="54">
        <v>90.174655477266882</v>
      </c>
      <c r="Z190" s="54">
        <v>240.66852502135851</v>
      </c>
      <c r="AA190" s="54">
        <v>120.77983461359243</v>
      </c>
      <c r="AB190" s="54">
        <v>38.44324838204394</v>
      </c>
      <c r="AC190" s="54">
        <v>350.36360584360506</v>
      </c>
      <c r="AD190" s="54">
        <v>253.62219102294392</v>
      </c>
      <c r="AE190" s="54">
        <v>91.770095330473538</v>
      </c>
      <c r="AF190" s="54">
        <v>167.82986494933627</v>
      </c>
      <c r="AG190" s="54">
        <v>62.540498337455119</v>
      </c>
      <c r="AH190" s="54">
        <v>67.024332040231286</v>
      </c>
      <c r="AI190" s="54">
        <v>251.88309886658834</v>
      </c>
      <c r="AJ190" s="54">
        <v>166.95467012436706</v>
      </c>
      <c r="AK190" s="54">
        <v>152.25484180571081</v>
      </c>
      <c r="AL190" s="54">
        <v>305.20802528267035</v>
      </c>
      <c r="AM190" s="54">
        <v>216.96710035270272</v>
      </c>
      <c r="AN190" s="54">
        <v>118.93953198565922</v>
      </c>
      <c r="AO190" s="54">
        <v>258.1781199457829</v>
      </c>
      <c r="AP190" s="54">
        <v>140.4486944507295</v>
      </c>
      <c r="AQ190" s="54">
        <v>170.22521788999879</v>
      </c>
      <c r="AR190" s="54">
        <v>361.47704647227516</v>
      </c>
      <c r="AS190" s="54">
        <v>259.97407387107228</v>
      </c>
      <c r="AT190" s="54">
        <v>183.85852034887895</v>
      </c>
      <c r="AU190" s="54">
        <v>343.92179147686198</v>
      </c>
      <c r="AV190" s="54">
        <v>271.17434138919714</v>
      </c>
      <c r="AW190" s="54">
        <v>96.594011929380557</v>
      </c>
      <c r="AX190" s="54">
        <v>316.69925410409274</v>
      </c>
      <c r="AY190" s="54">
        <v>189.37286223714932</v>
      </c>
      <c r="AZ190" s="54">
        <v>46.690188937742015</v>
      </c>
      <c r="BA190" s="54">
        <v>218.75650521760303</v>
      </c>
      <c r="BB190" s="54">
        <v>136.19816026967069</v>
      </c>
      <c r="BC190" s="54">
        <v>163.14954942046023</v>
      </c>
      <c r="BD190" s="54">
        <v>269.26580987410034</v>
      </c>
      <c r="BE190" s="54">
        <v>185.54982872864556</v>
      </c>
      <c r="BF190" s="54">
        <v>132.39856854575027</v>
      </c>
      <c r="BG190" s="54">
        <v>285.2746228354037</v>
      </c>
      <c r="BH190" s="54">
        <v>148.2990335194394</v>
      </c>
      <c r="BI190" s="54">
        <v>87.523852326787832</v>
      </c>
      <c r="BJ190" s="54">
        <v>291.48088567121431</v>
      </c>
      <c r="BK190" s="54">
        <v>235.69396949897504</v>
      </c>
      <c r="BL190" s="54">
        <v>101.86758505413751</v>
      </c>
      <c r="BM190" s="54">
        <v>305.74030069462952</v>
      </c>
      <c r="BN190" s="54">
        <v>240.10580792222424</v>
      </c>
      <c r="BO190" s="54">
        <v>105.91697470920836</v>
      </c>
      <c r="BP190" s="54">
        <v>353.06873012219552</v>
      </c>
      <c r="BQ190" s="54">
        <v>216.35972797377144</v>
      </c>
      <c r="BR190" s="54">
        <v>87.806126886704533</v>
      </c>
      <c r="BS190" s="54">
        <v>335.40559346191355</v>
      </c>
      <c r="BT190" s="54">
        <v>229.99911422334552</v>
      </c>
      <c r="BU190" s="54">
        <v>126.68497478875673</v>
      </c>
      <c r="BV190" s="54">
        <v>415.78623733804164</v>
      </c>
      <c r="BW190" s="54">
        <v>280.42691572224544</v>
      </c>
      <c r="BX190" s="54">
        <v>94.778007237013355</v>
      </c>
    </row>
    <row r="191" spans="1:76" x14ac:dyDescent="0.3">
      <c r="A191" s="8" t="s">
        <v>100</v>
      </c>
      <c r="B191" s="8" t="s">
        <v>10</v>
      </c>
      <c r="C191" s="8" t="s">
        <v>110</v>
      </c>
      <c r="D191" s="8" t="s">
        <v>115</v>
      </c>
      <c r="E191" s="54">
        <v>215.14107033374086</v>
      </c>
      <c r="F191" s="54">
        <v>161.27766508633357</v>
      </c>
      <c r="G191" s="54">
        <v>28.770197158973442</v>
      </c>
      <c r="H191" s="54">
        <v>178.61499898262912</v>
      </c>
      <c r="I191" s="54">
        <v>130.31965509674825</v>
      </c>
      <c r="J191" s="54">
        <v>3.5678552015006026</v>
      </c>
      <c r="K191" s="54">
        <v>186.66916618408348</v>
      </c>
      <c r="L191" s="54">
        <v>93.958893510300186</v>
      </c>
      <c r="M191" s="54">
        <v>-10.280141550282007</v>
      </c>
      <c r="N191" s="54">
        <v>178.44448200156427</v>
      </c>
      <c r="O191" s="54">
        <v>87.831334113417597</v>
      </c>
      <c r="P191" s="54">
        <v>-3.9239818322338582</v>
      </c>
      <c r="Q191" s="54">
        <v>193.89120151740647</v>
      </c>
      <c r="R191" s="54">
        <v>95.98566888468973</v>
      </c>
      <c r="S191" s="54">
        <v>-10.938590127973713</v>
      </c>
      <c r="T191" s="54">
        <v>189.86808797685595</v>
      </c>
      <c r="U191" s="54">
        <v>98.435786644832106</v>
      </c>
      <c r="V191" s="54">
        <v>8.1078686008817513E-2</v>
      </c>
      <c r="W191" s="54">
        <v>192.42742637677068</v>
      </c>
      <c r="X191" s="54">
        <v>112.94754546974384</v>
      </c>
      <c r="Y191" s="54">
        <v>0.60953282260234332</v>
      </c>
      <c r="Z191" s="54">
        <v>115.72559775612234</v>
      </c>
      <c r="AA191" s="54">
        <v>20.479028283412305</v>
      </c>
      <c r="AB191" s="54">
        <v>-27.48279315293134</v>
      </c>
      <c r="AC191" s="54">
        <v>192.30757508965112</v>
      </c>
      <c r="AD191" s="54">
        <v>111.59341754189222</v>
      </c>
      <c r="AE191" s="54">
        <v>1.5026668846372937</v>
      </c>
      <c r="AF191" s="54">
        <v>32.49080037075025</v>
      </c>
      <c r="AG191" s="54">
        <v>-51.185736770014366</v>
      </c>
      <c r="AH191" s="54">
        <v>-19.902949526147683</v>
      </c>
      <c r="AI191" s="54">
        <v>187.4883077546834</v>
      </c>
      <c r="AJ191" s="54">
        <v>120.99354251660999</v>
      </c>
      <c r="AK191" s="54">
        <v>53.152793786636508</v>
      </c>
      <c r="AL191" s="54">
        <v>157.04025433865442</v>
      </c>
      <c r="AM191" s="54">
        <v>87.222176598752426</v>
      </c>
      <c r="AN191" s="54">
        <v>21.985678873295058</v>
      </c>
      <c r="AO191" s="54">
        <v>203.36191788846315</v>
      </c>
      <c r="AP191" s="54">
        <v>109.64232613968706</v>
      </c>
      <c r="AQ191" s="54">
        <v>92.706198475562161</v>
      </c>
      <c r="AR191" s="54">
        <v>189.63424058309076</v>
      </c>
      <c r="AS191" s="54">
        <v>108.83779659487169</v>
      </c>
      <c r="AT191" s="54">
        <v>76.327552030503895</v>
      </c>
      <c r="AU191" s="54">
        <v>192.97621911252827</v>
      </c>
      <c r="AV191" s="54">
        <v>125.61428379485574</v>
      </c>
      <c r="AW191" s="54">
        <v>-6.7389027259356915</v>
      </c>
      <c r="AX191" s="54">
        <v>178.66495664473481</v>
      </c>
      <c r="AY191" s="54">
        <v>76.634158668821286</v>
      </c>
      <c r="AZ191" s="54">
        <v>-32.997676976322609</v>
      </c>
      <c r="BA191" s="54">
        <v>161.02639116458306</v>
      </c>
      <c r="BB191" s="54">
        <v>95.773664466469739</v>
      </c>
      <c r="BC191" s="54">
        <v>76.29633909332334</v>
      </c>
      <c r="BD191" s="54">
        <v>127.75352212199964</v>
      </c>
      <c r="BE191" s="54">
        <v>66.98958165662161</v>
      </c>
      <c r="BF191" s="54">
        <v>47.701926444328805</v>
      </c>
      <c r="BG191" s="54">
        <v>205.47614699683137</v>
      </c>
      <c r="BH191" s="54">
        <v>102.79248130153206</v>
      </c>
      <c r="BI191" s="54">
        <v>15.262063423022276</v>
      </c>
      <c r="BJ191" s="54">
        <v>133.4460909830386</v>
      </c>
      <c r="BK191" s="54">
        <v>116.75005506535663</v>
      </c>
      <c r="BL191" s="54">
        <v>10.065683291049066</v>
      </c>
      <c r="BM191" s="54">
        <v>230.51008046246912</v>
      </c>
      <c r="BN191" s="54">
        <v>168.39300793070012</v>
      </c>
      <c r="BO191" s="54">
        <v>12.429504570841686</v>
      </c>
      <c r="BP191" s="54">
        <v>181.77063841180262</v>
      </c>
      <c r="BQ191" s="54">
        <v>72.565863230269485</v>
      </c>
      <c r="BR191" s="54">
        <v>-3.6905531909048328</v>
      </c>
      <c r="BS191" s="54">
        <v>235.99408084667738</v>
      </c>
      <c r="BT191" s="54">
        <v>170.36629500448308</v>
      </c>
      <c r="BU191" s="54">
        <v>18.503562039177133</v>
      </c>
      <c r="BV191" s="54">
        <v>222.17481740480082</v>
      </c>
      <c r="BW191" s="54">
        <v>124.61604845350594</v>
      </c>
      <c r="BX191" s="54">
        <v>-13.209939139953054</v>
      </c>
    </row>
    <row r="192" spans="1:76" x14ac:dyDescent="0.3">
      <c r="A192" s="8" t="s">
        <v>100</v>
      </c>
      <c r="B192" s="8" t="s">
        <v>10</v>
      </c>
      <c r="C192" s="8" t="s">
        <v>111</v>
      </c>
      <c r="D192" s="8" t="s">
        <v>112</v>
      </c>
      <c r="E192" s="54">
        <v>459.39545229469991</v>
      </c>
      <c r="F192" s="54">
        <v>414.4933892631999</v>
      </c>
      <c r="G192" s="54">
        <v>310.90126006769992</v>
      </c>
      <c r="H192" s="54">
        <v>384.7425206173001</v>
      </c>
      <c r="I192" s="54">
        <v>331.94227314990002</v>
      </c>
      <c r="J192" s="54">
        <v>272.5758143793999</v>
      </c>
      <c r="K192" s="54">
        <v>432.22528159360007</v>
      </c>
      <c r="L192" s="54">
        <v>397.18814457690013</v>
      </c>
      <c r="M192" s="54">
        <v>300.28709916570006</v>
      </c>
      <c r="N192" s="54">
        <v>370.59030608130007</v>
      </c>
      <c r="O192" s="54">
        <v>331.74455838800009</v>
      </c>
      <c r="P192" s="54">
        <v>275.15651232420015</v>
      </c>
      <c r="Q192" s="54">
        <v>419.21773146860011</v>
      </c>
      <c r="R192" s="54">
        <v>385.28363470249991</v>
      </c>
      <c r="S192" s="54">
        <v>293.74169994279998</v>
      </c>
      <c r="T192" s="54">
        <v>358.17590024199995</v>
      </c>
      <c r="U192" s="54">
        <v>316.45808548110011</v>
      </c>
      <c r="V192" s="54">
        <v>267.64335137200004</v>
      </c>
      <c r="W192" s="54">
        <v>390.43462455200006</v>
      </c>
      <c r="X192" s="54">
        <v>358.75863848760002</v>
      </c>
      <c r="Y192" s="54">
        <v>272.87758954229992</v>
      </c>
      <c r="Z192" s="54">
        <v>337.35341400190009</v>
      </c>
      <c r="AA192" s="54">
        <v>296.62417305049991</v>
      </c>
      <c r="AB192" s="54">
        <v>253.47032475580011</v>
      </c>
      <c r="AC192" s="54">
        <v>389.84148026629993</v>
      </c>
      <c r="AD192" s="54">
        <v>358.25914856279996</v>
      </c>
      <c r="AE192" s="54">
        <v>270.80678756240007</v>
      </c>
      <c r="AF192" s="54">
        <v>323.51338066890014</v>
      </c>
      <c r="AG192" s="54">
        <v>288.03918996800013</v>
      </c>
      <c r="AH192" s="54">
        <v>248.21527450530013</v>
      </c>
      <c r="AI192" s="54">
        <v>426.959825303</v>
      </c>
      <c r="AJ192" s="54">
        <v>387.98920512850009</v>
      </c>
      <c r="AK192" s="54">
        <v>288.93410941660005</v>
      </c>
      <c r="AL192" s="54">
        <v>343.48257162080012</v>
      </c>
      <c r="AM192" s="54">
        <v>310.54745470430009</v>
      </c>
      <c r="AN192" s="54">
        <v>261.44135147240013</v>
      </c>
      <c r="AO192" s="54">
        <v>435.44074798449992</v>
      </c>
      <c r="AP192" s="54">
        <v>397.39626537890007</v>
      </c>
      <c r="AQ192" s="54">
        <v>300.70334076969993</v>
      </c>
      <c r="AR192" s="54">
        <v>355.14774257289992</v>
      </c>
      <c r="AS192" s="54">
        <v>322.28546793710012</v>
      </c>
      <c r="AT192" s="54">
        <v>270.48420031929999</v>
      </c>
      <c r="AU192" s="54">
        <v>393.15060101810008</v>
      </c>
      <c r="AV192" s="54">
        <v>363.43095049250019</v>
      </c>
      <c r="AW192" s="54">
        <v>277.47705926650013</v>
      </c>
      <c r="AX192" s="54">
        <v>336.92676635780015</v>
      </c>
      <c r="AY192" s="54">
        <v>302.73251858920003</v>
      </c>
      <c r="AZ192" s="54">
        <v>254.7398616480001</v>
      </c>
      <c r="BA192" s="54">
        <v>417.19895968920008</v>
      </c>
      <c r="BB192" s="54">
        <v>385.66865818619988</v>
      </c>
      <c r="BC192" s="54">
        <v>291.08815971730007</v>
      </c>
      <c r="BD192" s="54">
        <v>338.85188377630016</v>
      </c>
      <c r="BE192" s="54">
        <v>302.75333066940016</v>
      </c>
      <c r="BF192" s="54">
        <v>258.92308976819999</v>
      </c>
      <c r="BG192" s="54">
        <v>404.48277868700001</v>
      </c>
      <c r="BH192" s="54">
        <v>370.15325239710006</v>
      </c>
      <c r="BI192" s="54">
        <v>275.26057272520001</v>
      </c>
      <c r="BJ192" s="54">
        <v>337.36382004200016</v>
      </c>
      <c r="BK192" s="54">
        <v>295.94778044400005</v>
      </c>
      <c r="BL192" s="54">
        <v>254.26118380339992</v>
      </c>
      <c r="BM192" s="54">
        <v>442.8290364555001</v>
      </c>
      <c r="BN192" s="54">
        <v>400.09142976480018</v>
      </c>
      <c r="BO192" s="54">
        <v>300.58887432860001</v>
      </c>
      <c r="BP192" s="54">
        <v>364.54439678320006</v>
      </c>
      <c r="BQ192" s="54">
        <v>324.26261555610012</v>
      </c>
      <c r="BR192" s="54">
        <v>269.12100906619997</v>
      </c>
      <c r="BS192" s="54">
        <v>463.4642139738001</v>
      </c>
      <c r="BT192" s="54">
        <v>416.79312412529998</v>
      </c>
      <c r="BU192" s="54">
        <v>313.57561237339991</v>
      </c>
      <c r="BV192" s="54">
        <v>380.89228578030009</v>
      </c>
      <c r="BW192" s="54">
        <v>334.10672949069988</v>
      </c>
      <c r="BX192" s="54">
        <v>272.56540833930012</v>
      </c>
    </row>
    <row r="193" spans="1:76" x14ac:dyDescent="0.3">
      <c r="A193" s="8" t="s">
        <v>100</v>
      </c>
      <c r="B193" s="8" t="s">
        <v>10</v>
      </c>
      <c r="C193" s="8" t="s">
        <v>111</v>
      </c>
      <c r="D193" s="8" t="s">
        <v>115</v>
      </c>
      <c r="E193" s="54">
        <v>37.193650034263783</v>
      </c>
      <c r="F193" s="54">
        <v>-0.6012944262479003</v>
      </c>
      <c r="G193" s="54">
        <v>-65.161689876006122</v>
      </c>
      <c r="H193" s="54">
        <v>-21.917079909056781</v>
      </c>
      <c r="I193" s="54">
        <v>-56.830195410482396</v>
      </c>
      <c r="J193" s="54">
        <v>-66.957227417186346</v>
      </c>
      <c r="K193" s="54">
        <v>-8.5135230074124824</v>
      </c>
      <c r="L193" s="54">
        <v>-5.4473293333640038</v>
      </c>
      <c r="M193" s="54">
        <v>-49.789012352976172</v>
      </c>
      <c r="N193" s="54">
        <v>-84.762895520021033</v>
      </c>
      <c r="O193" s="54">
        <v>-81.430295330791381</v>
      </c>
      <c r="P193" s="54">
        <v>-62.326033539607415</v>
      </c>
      <c r="Q193" s="54">
        <v>-16.28091592079528</v>
      </c>
      <c r="R193" s="54">
        <v>-13.26667001251236</v>
      </c>
      <c r="S193" s="54">
        <v>-57.475636550699761</v>
      </c>
      <c r="T193" s="54">
        <v>-83.919734961900645</v>
      </c>
      <c r="U193" s="54">
        <v>-74.837608368592541</v>
      </c>
      <c r="V193" s="54">
        <v>-62.052504556018739</v>
      </c>
      <c r="W193" s="54">
        <v>-73.935018345098968</v>
      </c>
      <c r="X193" s="54">
        <v>-74.862696224632813</v>
      </c>
      <c r="Y193" s="54">
        <v>-55.902010056339989</v>
      </c>
      <c r="Z193" s="54">
        <v>-63.623629821257353</v>
      </c>
      <c r="AA193" s="54">
        <v>-60.128125420936044</v>
      </c>
      <c r="AB193" s="54">
        <v>-44.639125103476118</v>
      </c>
      <c r="AC193" s="54">
        <v>-74.746572335014918</v>
      </c>
      <c r="AD193" s="54">
        <v>-74.81880623292092</v>
      </c>
      <c r="AE193" s="54">
        <v>-56.22930941806792</v>
      </c>
      <c r="AF193" s="54">
        <v>-80.525565315272331</v>
      </c>
      <c r="AG193" s="54">
        <v>-77.477114038420169</v>
      </c>
      <c r="AH193" s="54">
        <v>-56.817419669755289</v>
      </c>
      <c r="AI193" s="54">
        <v>-16.810705975605302</v>
      </c>
      <c r="AJ193" s="54">
        <v>-13.601511940271926</v>
      </c>
      <c r="AK193" s="54">
        <v>-55.294680788591897</v>
      </c>
      <c r="AL193" s="54">
        <v>-72.974825047678053</v>
      </c>
      <c r="AM193" s="54">
        <v>-70.187805271374913</v>
      </c>
      <c r="AN193" s="54">
        <v>-57.847948336065883</v>
      </c>
      <c r="AO193" s="54">
        <v>-8.8398865497670833</v>
      </c>
      <c r="AP193" s="54">
        <v>-5.548689426940645</v>
      </c>
      <c r="AQ193" s="54">
        <v>-36.861112324577675</v>
      </c>
      <c r="AR193" s="54">
        <v>-83.697473607853951</v>
      </c>
      <c r="AS193" s="54">
        <v>-80.855448723266335</v>
      </c>
      <c r="AT193" s="54">
        <v>-57.66591119517139</v>
      </c>
      <c r="AU193" s="54">
        <v>-70.218955338642417</v>
      </c>
      <c r="AV193" s="54">
        <v>-75.273250522106537</v>
      </c>
      <c r="AW193" s="54">
        <v>-65.42543450031468</v>
      </c>
      <c r="AX193" s="54">
        <v>-63.938316331507039</v>
      </c>
      <c r="AY193" s="54">
        <v>-60.882419896602372</v>
      </c>
      <c r="AZ193" s="54">
        <v>-53.92962581833072</v>
      </c>
      <c r="BA193" s="54">
        <v>-15.953022387564797</v>
      </c>
      <c r="BB193" s="54">
        <v>-13.293601818691879</v>
      </c>
      <c r="BC193" s="54">
        <v>-44.746214067795108</v>
      </c>
      <c r="BD193" s="54">
        <v>-72.475989579813046</v>
      </c>
      <c r="BE193" s="54">
        <v>-65.726456712937306</v>
      </c>
      <c r="BF193" s="54">
        <v>-46.972660507847543</v>
      </c>
      <c r="BG193" s="54">
        <v>-24.189529024503777</v>
      </c>
      <c r="BH193" s="54">
        <v>-15.592534973500548</v>
      </c>
      <c r="BI193" s="54">
        <v>-43.255860136975684</v>
      </c>
      <c r="BJ193" s="54">
        <v>-82.090985307229914</v>
      </c>
      <c r="BK193" s="54">
        <v>-59.746189637841951</v>
      </c>
      <c r="BL193" s="54">
        <v>-56.117978190549202</v>
      </c>
      <c r="BM193" s="54">
        <v>-18.205127587291649</v>
      </c>
      <c r="BN193" s="54">
        <v>-23.771374003365153</v>
      </c>
      <c r="BO193" s="54">
        <v>-56.875980765124012</v>
      </c>
      <c r="BP193" s="54">
        <v>-84.33997751752031</v>
      </c>
      <c r="BQ193" s="54">
        <v>-80.80043256090508</v>
      </c>
      <c r="BR193" s="54">
        <v>-57.646744197368925</v>
      </c>
      <c r="BS193" s="54">
        <v>-32.632935278688045</v>
      </c>
      <c r="BT193" s="54">
        <v>-15.974725136228663</v>
      </c>
      <c r="BU193" s="54">
        <v>-65.300437713590171</v>
      </c>
      <c r="BV193" s="54">
        <v>-93.235285282675434</v>
      </c>
      <c r="BW193" s="54">
        <v>-81.804785986274055</v>
      </c>
      <c r="BX193" s="54">
        <v>-69.143708878098181</v>
      </c>
    </row>
    <row r="194" spans="1:76" x14ac:dyDescent="0.3">
      <c r="A194" s="8" t="s">
        <v>100</v>
      </c>
      <c r="B194" s="8" t="s">
        <v>10</v>
      </c>
      <c r="C194" s="8" t="s">
        <v>111</v>
      </c>
      <c r="D194" s="8" t="s">
        <v>118</v>
      </c>
      <c r="E194" s="54">
        <v>374.28721077842096</v>
      </c>
      <c r="F194" s="54">
        <v>312.32093894955136</v>
      </c>
      <c r="G194" s="54">
        <v>182.94158863363384</v>
      </c>
      <c r="H194" s="54">
        <v>264.75067666875327</v>
      </c>
      <c r="I194" s="54">
        <v>206.35137175987305</v>
      </c>
      <c r="J194" s="54">
        <v>148.32950113166322</v>
      </c>
      <c r="K194" s="54">
        <v>323.08900758995264</v>
      </c>
      <c r="L194" s="54">
        <v>294.27122890476909</v>
      </c>
      <c r="M194" s="54">
        <v>182.87780435820179</v>
      </c>
      <c r="N194" s="54">
        <v>223.40878050912494</v>
      </c>
      <c r="O194" s="54">
        <v>191.41831139102527</v>
      </c>
      <c r="P194" s="54">
        <v>153.36632815991047</v>
      </c>
      <c r="Q194" s="54">
        <v>307.04696548254805</v>
      </c>
      <c r="R194" s="54">
        <v>279.16317835718019</v>
      </c>
      <c r="S194" s="54">
        <v>172.53860551953036</v>
      </c>
      <c r="T194" s="54">
        <v>213.0520717346096</v>
      </c>
      <c r="U194" s="54">
        <v>181.998259774807</v>
      </c>
      <c r="V194" s="54">
        <v>146.95642971688883</v>
      </c>
      <c r="W194" s="54">
        <v>247.26928547594085</v>
      </c>
      <c r="X194" s="54">
        <v>218.99619094187028</v>
      </c>
      <c r="Y194" s="54">
        <v>155.22668481570844</v>
      </c>
      <c r="Z194" s="54">
        <v>207.01005935890814</v>
      </c>
      <c r="AA194" s="54">
        <v>173.46927616662612</v>
      </c>
      <c r="AB194" s="54">
        <v>145.00305909923927</v>
      </c>
      <c r="AC194" s="54">
        <v>246.26335183200365</v>
      </c>
      <c r="AD194" s="54">
        <v>218.58547125269757</v>
      </c>
      <c r="AE194" s="54">
        <v>153.21835346625923</v>
      </c>
      <c r="AF194" s="54">
        <v>184.75886889612414</v>
      </c>
      <c r="AG194" s="54">
        <v>155.54802279894787</v>
      </c>
      <c r="AH194" s="54">
        <v>133.09791339028411</v>
      </c>
      <c r="AI194" s="54">
        <v>313.50342355476204</v>
      </c>
      <c r="AJ194" s="54">
        <v>281.32964732327446</v>
      </c>
      <c r="AK194" s="54">
        <v>169.64053726636985</v>
      </c>
      <c r="AL194" s="54">
        <v>206.76235513959318</v>
      </c>
      <c r="AM194" s="54">
        <v>179.6163397034376</v>
      </c>
      <c r="AN194" s="54">
        <v>144.0524135367105</v>
      </c>
      <c r="AO194" s="54">
        <v>325.70672255657729</v>
      </c>
      <c r="AP194" s="54">
        <v>294.39251855037327</v>
      </c>
      <c r="AQ194" s="54">
        <v>190.99875577874082</v>
      </c>
      <c r="AR194" s="54">
        <v>210.53579058657525</v>
      </c>
      <c r="AS194" s="54">
        <v>183.4865152110028</v>
      </c>
      <c r="AT194" s="54">
        <v>152.07412856228476</v>
      </c>
      <c r="AU194" s="54">
        <v>251.87540268765196</v>
      </c>
      <c r="AV194" s="54">
        <v>222.83813136767372</v>
      </c>
      <c r="AW194" s="54">
        <v>153.53716615799874</v>
      </c>
      <c r="AX194" s="54">
        <v>206.44793076417091</v>
      </c>
      <c r="AY194" s="54">
        <v>178.3615018275886</v>
      </c>
      <c r="AZ194" s="54">
        <v>140.5396034510018</v>
      </c>
      <c r="BA194" s="54">
        <v>305.47727629551116</v>
      </c>
      <c r="BB194" s="54">
        <v>279.48391482170985</v>
      </c>
      <c r="BC194" s="54">
        <v>177.85441131196055</v>
      </c>
      <c r="BD194" s="54">
        <v>203.00980455637486</v>
      </c>
      <c r="BE194" s="54">
        <v>175.47329030796277</v>
      </c>
      <c r="BF194" s="54">
        <v>148.37410724246647</v>
      </c>
      <c r="BG194" s="54">
        <v>289.408713936423</v>
      </c>
      <c r="BH194" s="54">
        <v>264.52857486336234</v>
      </c>
      <c r="BI194" s="54">
        <v>164.89948505236464</v>
      </c>
      <c r="BJ194" s="54">
        <v>195.938751352412</v>
      </c>
      <c r="BK194" s="54">
        <v>173.10659410579487</v>
      </c>
      <c r="BL194" s="54">
        <v>138.80774891364544</v>
      </c>
      <c r="BM194" s="54">
        <v>326.55233034618749</v>
      </c>
      <c r="BN194" s="54">
        <v>285.81717664218087</v>
      </c>
      <c r="BO194" s="54">
        <v>178.88967657845066</v>
      </c>
      <c r="BP194" s="54">
        <v>218.37236067478827</v>
      </c>
      <c r="BQ194" s="54">
        <v>185.24952907504445</v>
      </c>
      <c r="BR194" s="54">
        <v>150.8928364145039</v>
      </c>
      <c r="BS194" s="54">
        <v>335.9514260598624</v>
      </c>
      <c r="BT194" s="54">
        <v>305.10914852790029</v>
      </c>
      <c r="BU194" s="54">
        <v>185.19839819857108</v>
      </c>
      <c r="BV194" s="54">
        <v>227.33957888815738</v>
      </c>
      <c r="BW194" s="54">
        <v>193.26051671259813</v>
      </c>
      <c r="BX194" s="54">
        <v>147.00850697002844</v>
      </c>
    </row>
    <row r="195" spans="1:76" x14ac:dyDescent="0.3">
      <c r="A195" s="8" t="s">
        <v>100</v>
      </c>
      <c r="B195" s="8" t="s">
        <v>10</v>
      </c>
      <c r="C195" s="8" t="s">
        <v>115</v>
      </c>
      <c r="D195" s="8" t="s">
        <v>116</v>
      </c>
      <c r="E195" s="54">
        <v>390.47183598047997</v>
      </c>
      <c r="F195" s="54">
        <v>354.25131341686966</v>
      </c>
      <c r="G195" s="54">
        <v>266.16106654120864</v>
      </c>
      <c r="H195" s="54">
        <v>297.42851018852832</v>
      </c>
      <c r="I195" s="54">
        <v>285.0097554032489</v>
      </c>
      <c r="J195" s="54">
        <v>229.15286450335225</v>
      </c>
      <c r="K195" s="54">
        <v>373.12235415524265</v>
      </c>
      <c r="L195" s="54">
        <v>338.34790682915042</v>
      </c>
      <c r="M195" s="54">
        <v>252.73772415715268</v>
      </c>
      <c r="N195" s="54">
        <v>328.2781275332718</v>
      </c>
      <c r="O195" s="54">
        <v>289.73700349445841</v>
      </c>
      <c r="P195" s="54">
        <v>230.74280622401645</v>
      </c>
      <c r="Q195" s="54">
        <v>361.99347136604399</v>
      </c>
      <c r="R195" s="54">
        <v>328.30487783744024</v>
      </c>
      <c r="S195" s="54">
        <v>247.89328475437</v>
      </c>
      <c r="T195" s="54">
        <v>316.00544972833023</v>
      </c>
      <c r="U195" s="54">
        <v>273.5141550177911</v>
      </c>
      <c r="V195" s="54">
        <v>223.3627684989039</v>
      </c>
      <c r="W195" s="54">
        <v>345.46076260721969</v>
      </c>
      <c r="X195" s="54">
        <v>314.76221177033659</v>
      </c>
      <c r="Y195" s="54">
        <v>227.23605181501051</v>
      </c>
      <c r="Z195" s="54">
        <v>291.64430461610414</v>
      </c>
      <c r="AA195" s="54">
        <v>251.23419380842483</v>
      </c>
      <c r="AB195" s="54">
        <v>206.06139165760041</v>
      </c>
      <c r="AC195" s="54">
        <v>345.04475772664557</v>
      </c>
      <c r="AD195" s="54">
        <v>314.26643109531426</v>
      </c>
      <c r="AE195" s="54">
        <v>225.28247975695348</v>
      </c>
      <c r="AF195" s="54">
        <v>281.53065921523199</v>
      </c>
      <c r="AG195" s="54">
        <v>246.33363302648425</v>
      </c>
      <c r="AH195" s="54">
        <v>203.3733765766188</v>
      </c>
      <c r="AI195" s="54">
        <v>369.64797086554603</v>
      </c>
      <c r="AJ195" s="54">
        <v>331.00977738834183</v>
      </c>
      <c r="AK195" s="54">
        <v>242.76969283890338</v>
      </c>
      <c r="AL195" s="54">
        <v>299.49047233981571</v>
      </c>
      <c r="AM195" s="54">
        <v>266.82132939096761</v>
      </c>
      <c r="AN195" s="54">
        <v>216.47490735280317</v>
      </c>
      <c r="AO195" s="54">
        <v>376.32270659484089</v>
      </c>
      <c r="AP195" s="54">
        <v>338.57109662981566</v>
      </c>
      <c r="AQ195" s="54">
        <v>250.55797971537319</v>
      </c>
      <c r="AR195" s="54">
        <v>313.00854373014818</v>
      </c>
      <c r="AS195" s="54">
        <v>280.3994209833258</v>
      </c>
      <c r="AT195" s="54">
        <v>225.25527755035179</v>
      </c>
      <c r="AU195" s="54">
        <v>347.36562706037597</v>
      </c>
      <c r="AV195" s="54">
        <v>319.39982683460875</v>
      </c>
      <c r="AW195" s="54">
        <v>233.62521968490046</v>
      </c>
      <c r="AX195" s="54">
        <v>291.29126046515654</v>
      </c>
      <c r="AY195" s="54">
        <v>257.34068960379039</v>
      </c>
      <c r="AZ195" s="54">
        <v>209.15729027046615</v>
      </c>
      <c r="BA195" s="54">
        <v>359.95959017448297</v>
      </c>
      <c r="BB195" s="54">
        <v>328.68566209528336</v>
      </c>
      <c r="BC195" s="54">
        <v>242.76019853792641</v>
      </c>
      <c r="BD195" s="54">
        <v>294.8757845978551</v>
      </c>
      <c r="BE195" s="54">
        <v>258.32978874525224</v>
      </c>
      <c r="BF195" s="54">
        <v>211.84454462556457</v>
      </c>
      <c r="BG195" s="54">
        <v>349.20861502472553</v>
      </c>
      <c r="BH195" s="54">
        <v>314.0179280818727</v>
      </c>
      <c r="BI195" s="54">
        <v>227.03023043446512</v>
      </c>
      <c r="BJ195" s="54">
        <v>295.34792160239596</v>
      </c>
      <c r="BK195" s="54">
        <v>250.49832386046833</v>
      </c>
      <c r="BL195" s="54">
        <v>209.12824984642486</v>
      </c>
      <c r="BM195" s="54">
        <v>385.39933606157086</v>
      </c>
      <c r="BN195" s="54">
        <v>344.84341882135294</v>
      </c>
      <c r="BO195" s="54">
        <v>254.44934862340963</v>
      </c>
      <c r="BP195" s="54">
        <v>322.29878236712398</v>
      </c>
      <c r="BQ195" s="54">
        <v>282.31613667937847</v>
      </c>
      <c r="BR195" s="54">
        <v>223.9223326790183</v>
      </c>
      <c r="BS195" s="54">
        <v>408.40419568019269</v>
      </c>
      <c r="BT195" s="54">
        <v>359.56824104941342</v>
      </c>
      <c r="BU195" s="54">
        <v>268.79630960678315</v>
      </c>
      <c r="BV195" s="54">
        <v>340.0170356923278</v>
      </c>
      <c r="BW195" s="54">
        <v>292.11501845068733</v>
      </c>
      <c r="BX195" s="54">
        <v>229.58001490643733</v>
      </c>
    </row>
    <row r="196" spans="1:76" x14ac:dyDescent="0.3">
      <c r="A196" s="8" t="s">
        <v>100</v>
      </c>
      <c r="B196" s="8" t="s">
        <v>10</v>
      </c>
      <c r="C196" s="8" t="s">
        <v>115</v>
      </c>
      <c r="D196" s="8" t="s">
        <v>117</v>
      </c>
      <c r="E196" s="54">
        <v>413.42731012519931</v>
      </c>
      <c r="F196" s="54">
        <v>376.90791542317891</v>
      </c>
      <c r="G196" s="54">
        <v>283.60112502825729</v>
      </c>
      <c r="H196" s="54">
        <v>333.72316882161732</v>
      </c>
      <c r="I196" s="54">
        <v>304.46569228657808</v>
      </c>
      <c r="J196" s="54">
        <v>240.24507750318458</v>
      </c>
      <c r="K196" s="54">
        <v>400.46448303560499</v>
      </c>
      <c r="L196" s="54">
        <v>358.94529799678065</v>
      </c>
      <c r="M196" s="54">
        <v>265.24576898174513</v>
      </c>
      <c r="N196" s="54">
        <v>360.08401020150347</v>
      </c>
      <c r="O196" s="54">
        <v>314.07836027851641</v>
      </c>
      <c r="P196" s="54">
        <v>241.36040258867286</v>
      </c>
      <c r="Q196" s="54">
        <v>388.61275755720806</v>
      </c>
      <c r="R196" s="54">
        <v>348.38284791287987</v>
      </c>
      <c r="S196" s="54">
        <v>260.79320955449958</v>
      </c>
      <c r="T196" s="54">
        <v>345.47017926306034</v>
      </c>
      <c r="U196" s="54">
        <v>293.86184165070193</v>
      </c>
      <c r="V196" s="54">
        <v>232.61085590020758</v>
      </c>
      <c r="W196" s="54">
        <v>378.57382557283972</v>
      </c>
      <c r="X196" s="54">
        <v>342.51751275059326</v>
      </c>
      <c r="Y196" s="54">
        <v>236.17003199618102</v>
      </c>
      <c r="Z196" s="54">
        <v>313.40587803068786</v>
      </c>
      <c r="AA196" s="54">
        <v>265.16904917644911</v>
      </c>
      <c r="AB196" s="54">
        <v>209.34652351056027</v>
      </c>
      <c r="AC196" s="54">
        <v>378.2163312402509</v>
      </c>
      <c r="AD196" s="54">
        <v>341.92554334038851</v>
      </c>
      <c r="AE196" s="54">
        <v>233.91952946398663</v>
      </c>
      <c r="AF196" s="54">
        <v>304.25061389534403</v>
      </c>
      <c r="AG196" s="54">
        <v>262.23591407856816</v>
      </c>
      <c r="AH196" s="54">
        <v>208.17453354899664</v>
      </c>
      <c r="AI196" s="54">
        <v>397.72808148869234</v>
      </c>
      <c r="AJ196" s="54">
        <v>351.62819067388386</v>
      </c>
      <c r="AK196" s="54">
        <v>254.39209814452667</v>
      </c>
      <c r="AL196" s="54">
        <v>324.19488738299117</v>
      </c>
      <c r="AM196" s="54">
        <v>285.20469501849499</v>
      </c>
      <c r="AN196" s="54">
        <v>223.79673352768648</v>
      </c>
      <c r="AO196" s="54">
        <v>404.29281480208169</v>
      </c>
      <c r="AP196" s="54">
        <v>359.22518095651122</v>
      </c>
      <c r="AQ196" s="54">
        <v>260.553286814986</v>
      </c>
      <c r="AR196" s="54">
        <v>341.89889340197664</v>
      </c>
      <c r="AS196" s="54">
        <v>302.97046761697158</v>
      </c>
      <c r="AT196" s="54">
        <v>234.12319484526378</v>
      </c>
      <c r="AU196" s="54">
        <v>380.21077330627207</v>
      </c>
      <c r="AV196" s="54">
        <v>348.05489327521764</v>
      </c>
      <c r="AW196" s="54">
        <v>245.26879195660078</v>
      </c>
      <c r="AX196" s="54">
        <v>313.04110784407271</v>
      </c>
      <c r="AY196" s="54">
        <v>272.49536433622114</v>
      </c>
      <c r="AZ196" s="54">
        <v>214.52269122253176</v>
      </c>
      <c r="BA196" s="54">
        <v>386.16001259760588</v>
      </c>
      <c r="BB196" s="54">
        <v>348.83639764160665</v>
      </c>
      <c r="BC196" s="54">
        <v>252.64986930201317</v>
      </c>
      <c r="BD196" s="54">
        <v>318.67006217467031</v>
      </c>
      <c r="BE196" s="54">
        <v>274.45691295498477</v>
      </c>
      <c r="BF196" s="54">
        <v>216.55061743656901</v>
      </c>
      <c r="BG196" s="54">
        <v>374.83100709985149</v>
      </c>
      <c r="BH196" s="54">
        <v>331.91325424606543</v>
      </c>
      <c r="BI196" s="54">
        <v>233.85200268877048</v>
      </c>
      <c r="BJ196" s="54">
        <v>320.80478717119212</v>
      </c>
      <c r="BK196" s="54">
        <v>264.23842336573665</v>
      </c>
      <c r="BL196" s="54">
        <v>214.84755265012967</v>
      </c>
      <c r="BM196" s="54">
        <v>416.53544295874201</v>
      </c>
      <c r="BN196" s="54">
        <v>369.61369383086605</v>
      </c>
      <c r="BO196" s="54">
        <v>268.42759778393963</v>
      </c>
      <c r="BP196" s="54">
        <v>352.96204730768801</v>
      </c>
      <c r="BQ196" s="54">
        <v>305.22218091387708</v>
      </c>
      <c r="BR196" s="54">
        <v>232.54785810507772</v>
      </c>
      <c r="BS196" s="54">
        <v>446.03702018134527</v>
      </c>
      <c r="BT196" s="54">
        <v>385.70198279858636</v>
      </c>
      <c r="BU196" s="54">
        <v>286.73212931484591</v>
      </c>
      <c r="BV196" s="54">
        <v>375.32024276041523</v>
      </c>
      <c r="BW196" s="54">
        <v>316.94465330881428</v>
      </c>
      <c r="BX196" s="54">
        <v>241.10770314143414</v>
      </c>
    </row>
    <row r="197" spans="1:76" x14ac:dyDescent="0.3">
      <c r="A197" s="8" t="s">
        <v>100</v>
      </c>
      <c r="B197" s="8" t="s">
        <v>10</v>
      </c>
      <c r="C197" s="8" t="s">
        <v>116</v>
      </c>
      <c r="D197" s="8" t="s">
        <v>117</v>
      </c>
      <c r="E197" s="54">
        <v>-68.923616314220169</v>
      </c>
      <c r="F197" s="54">
        <v>-60.242075846330238</v>
      </c>
      <c r="G197" s="54">
        <v>-44.740193526491282</v>
      </c>
      <c r="H197" s="54">
        <v>-28.98880425577066</v>
      </c>
      <c r="I197" s="54">
        <v>-46.932517746651079</v>
      </c>
      <c r="J197" s="54">
        <v>-43.422949876047667</v>
      </c>
      <c r="K197" s="54">
        <v>-59.102927438357547</v>
      </c>
      <c r="L197" s="54">
        <v>-58.840237747749605</v>
      </c>
      <c r="M197" s="54">
        <v>-47.549375008547386</v>
      </c>
      <c r="N197" s="54">
        <v>-42.312178548028271</v>
      </c>
      <c r="O197" s="54">
        <v>-42.007554893541688</v>
      </c>
      <c r="P197" s="54">
        <v>-44.413706100183468</v>
      </c>
      <c r="Q197" s="54">
        <v>-57.224260102556102</v>
      </c>
      <c r="R197" s="54">
        <v>-56.978756865059822</v>
      </c>
      <c r="S197" s="54">
        <v>-45.848415188429968</v>
      </c>
      <c r="T197" s="54">
        <v>-42.170450513669856</v>
      </c>
      <c r="U197" s="54">
        <v>-42.943930463308909</v>
      </c>
      <c r="V197" s="54">
        <v>-44.280582873096222</v>
      </c>
      <c r="W197" s="54">
        <v>-44.973861944780367</v>
      </c>
      <c r="X197" s="54">
        <v>-43.99642671726334</v>
      </c>
      <c r="Y197" s="54">
        <v>-45.641537727289403</v>
      </c>
      <c r="Z197" s="54">
        <v>-45.709109385795976</v>
      </c>
      <c r="AA197" s="54">
        <v>-45.389979242075327</v>
      </c>
      <c r="AB197" s="54">
        <v>-47.408933098199604</v>
      </c>
      <c r="AC197" s="54">
        <v>-44.796722539654496</v>
      </c>
      <c r="AD197" s="54">
        <v>-43.992717467485896</v>
      </c>
      <c r="AE197" s="54">
        <v>-45.524307805446476</v>
      </c>
      <c r="AF197" s="54">
        <v>-41.982721453667992</v>
      </c>
      <c r="AG197" s="54">
        <v>-41.705556941515894</v>
      </c>
      <c r="AH197" s="54">
        <v>-44.84189792868132</v>
      </c>
      <c r="AI197" s="54">
        <v>-57.311854437454016</v>
      </c>
      <c r="AJ197" s="54">
        <v>-56.979427740158293</v>
      </c>
      <c r="AK197" s="54">
        <v>-46.164416577696656</v>
      </c>
      <c r="AL197" s="54">
        <v>-43.992099280984242</v>
      </c>
      <c r="AM197" s="54">
        <v>-43.726125313332531</v>
      </c>
      <c r="AN197" s="54">
        <v>-44.966444119596829</v>
      </c>
      <c r="AO197" s="54">
        <v>-59.118041389659041</v>
      </c>
      <c r="AP197" s="54">
        <v>-58.825168749084391</v>
      </c>
      <c r="AQ197" s="54">
        <v>-50.145361054326983</v>
      </c>
      <c r="AR197" s="54">
        <v>-42.139198842751746</v>
      </c>
      <c r="AS197" s="54">
        <v>-41.88604695377429</v>
      </c>
      <c r="AT197" s="54">
        <v>-45.228922768948301</v>
      </c>
      <c r="AU197" s="54">
        <v>-45.784973957723963</v>
      </c>
      <c r="AV197" s="54">
        <v>-44.031123657891193</v>
      </c>
      <c r="AW197" s="54">
        <v>-43.851839581599549</v>
      </c>
      <c r="AX197" s="54">
        <v>-45.63550589264365</v>
      </c>
      <c r="AY197" s="54">
        <v>-45.391828985409497</v>
      </c>
      <c r="AZ197" s="54">
        <v>-45.582571377533739</v>
      </c>
      <c r="BA197" s="54">
        <v>-57.239369514717083</v>
      </c>
      <c r="BB197" s="54">
        <v>-56.982996090916728</v>
      </c>
      <c r="BC197" s="54">
        <v>-48.327961179373546</v>
      </c>
      <c r="BD197" s="54">
        <v>-43.976099178444919</v>
      </c>
      <c r="BE197" s="54">
        <v>-44.423541924147656</v>
      </c>
      <c r="BF197" s="54">
        <v>-47.078545142635434</v>
      </c>
      <c r="BG197" s="54">
        <v>-55.274163662274447</v>
      </c>
      <c r="BH197" s="54">
        <v>-56.135324315227386</v>
      </c>
      <c r="BI197" s="54">
        <v>-48.230342290734974</v>
      </c>
      <c r="BJ197" s="54">
        <v>-42.015898439603959</v>
      </c>
      <c r="BK197" s="54">
        <v>-45.449456583531614</v>
      </c>
      <c r="BL197" s="54">
        <v>-45.132933956975037</v>
      </c>
      <c r="BM197" s="54">
        <v>-57.429700393929252</v>
      </c>
      <c r="BN197" s="54">
        <v>-55.248010943446999</v>
      </c>
      <c r="BO197" s="54">
        <v>-46.139525705190195</v>
      </c>
      <c r="BP197" s="54">
        <v>-42.245614416076108</v>
      </c>
      <c r="BQ197" s="54">
        <v>-41.946478876721535</v>
      </c>
      <c r="BR197" s="54">
        <v>-45.198676387181671</v>
      </c>
      <c r="BS197" s="54">
        <v>-55.060018293607406</v>
      </c>
      <c r="BT197" s="54">
        <v>-57.224883075886801</v>
      </c>
      <c r="BU197" s="54">
        <v>-44.779302766617015</v>
      </c>
      <c r="BV197" s="54">
        <v>-40.875250087972326</v>
      </c>
      <c r="BW197" s="54">
        <v>-41.991711040012646</v>
      </c>
      <c r="BX197" s="54">
        <v>-42.985393432862672</v>
      </c>
    </row>
    <row r="198" spans="1:76" x14ac:dyDescent="0.3">
      <c r="A198" s="8" t="s">
        <v>100</v>
      </c>
      <c r="B198" s="8" t="s">
        <v>10</v>
      </c>
      <c r="C198" s="8" t="s">
        <v>117</v>
      </c>
      <c r="D198" s="8" t="s">
        <v>118</v>
      </c>
      <c r="E198" s="54">
        <v>85.108241516279165</v>
      </c>
      <c r="F198" s="54">
        <v>102.17245031364874</v>
      </c>
      <c r="G198" s="54">
        <v>127.95967143406617</v>
      </c>
      <c r="H198" s="54">
        <v>119.99184394854679</v>
      </c>
      <c r="I198" s="54">
        <v>125.59090139002693</v>
      </c>
      <c r="J198" s="54">
        <v>124.24631324773682</v>
      </c>
      <c r="K198" s="54">
        <v>109.13627400364756</v>
      </c>
      <c r="L198" s="54">
        <v>102.91691567213101</v>
      </c>
      <c r="M198" s="54">
        <v>117.40929480749828</v>
      </c>
      <c r="N198" s="54">
        <v>147.18152557217513</v>
      </c>
      <c r="O198" s="54">
        <v>140.32624699697482</v>
      </c>
      <c r="P198" s="54">
        <v>121.79018416428956</v>
      </c>
      <c r="Q198" s="54">
        <v>112.17076598605202</v>
      </c>
      <c r="R198" s="54">
        <v>106.12045634531997</v>
      </c>
      <c r="S198" s="54">
        <v>121.20309442326959</v>
      </c>
      <c r="T198" s="54">
        <v>145.12382850739036</v>
      </c>
      <c r="U198" s="54">
        <v>134.459825706293</v>
      </c>
      <c r="V198" s="54">
        <v>120.68692165511119</v>
      </c>
      <c r="W198" s="54">
        <v>143.16533907605921</v>
      </c>
      <c r="X198" s="54">
        <v>139.76244754572974</v>
      </c>
      <c r="Y198" s="54">
        <v>117.65090472659145</v>
      </c>
      <c r="Z198" s="54">
        <v>130.34335464299195</v>
      </c>
      <c r="AA198" s="54">
        <v>123.15489688387393</v>
      </c>
      <c r="AB198" s="54">
        <v>108.46726565656084</v>
      </c>
      <c r="AC198" s="54">
        <v>143.5781284342963</v>
      </c>
      <c r="AD198" s="54">
        <v>139.67367731010251</v>
      </c>
      <c r="AE198" s="54">
        <v>117.58843409614084</v>
      </c>
      <c r="AF198" s="54">
        <v>138.75451177277597</v>
      </c>
      <c r="AG198" s="54">
        <v>132.49116716905206</v>
      </c>
      <c r="AH198" s="54">
        <v>115.11736111501602</v>
      </c>
      <c r="AI198" s="54">
        <v>113.45640174823812</v>
      </c>
      <c r="AJ198" s="54">
        <v>106.65955780522563</v>
      </c>
      <c r="AK198" s="54">
        <v>119.29357215023018</v>
      </c>
      <c r="AL198" s="54">
        <v>136.72021648120679</v>
      </c>
      <c r="AM198" s="54">
        <v>130.93111500086241</v>
      </c>
      <c r="AN198" s="54">
        <v>117.38893793568961</v>
      </c>
      <c r="AO198" s="54">
        <v>109.73402542792266</v>
      </c>
      <c r="AP198" s="54">
        <v>103.00374682852687</v>
      </c>
      <c r="AQ198" s="54">
        <v>109.70458499095915</v>
      </c>
      <c r="AR198" s="54">
        <v>144.61195198632481</v>
      </c>
      <c r="AS198" s="54">
        <v>138.79895272609733</v>
      </c>
      <c r="AT198" s="54">
        <v>118.41007175701534</v>
      </c>
      <c r="AU198" s="54">
        <v>141.27519833044809</v>
      </c>
      <c r="AV198" s="54">
        <v>140.59281912482635</v>
      </c>
      <c r="AW198" s="54">
        <v>123.93989310850128</v>
      </c>
      <c r="AX198" s="54">
        <v>130.47883559362916</v>
      </c>
      <c r="AY198" s="54">
        <v>124.37101676161144</v>
      </c>
      <c r="AZ198" s="54">
        <v>114.20025819699819</v>
      </c>
      <c r="BA198" s="54">
        <v>111.72168339368882</v>
      </c>
      <c r="BB198" s="54">
        <v>106.18474336449002</v>
      </c>
      <c r="BC198" s="54">
        <v>113.23374840533951</v>
      </c>
      <c r="BD198" s="54">
        <v>135.8420792199253</v>
      </c>
      <c r="BE198" s="54">
        <v>127.28004036143726</v>
      </c>
      <c r="BF198" s="54">
        <v>110.54898252573354</v>
      </c>
      <c r="BG198" s="54">
        <v>115.07406475057702</v>
      </c>
      <c r="BH198" s="54">
        <v>105.62467753373784</v>
      </c>
      <c r="BI198" s="54">
        <v>110.36108767283548</v>
      </c>
      <c r="BJ198" s="54">
        <v>141.42506868958804</v>
      </c>
      <c r="BK198" s="54">
        <v>122.84118633820506</v>
      </c>
      <c r="BL198" s="54">
        <v>115.45343488975458</v>
      </c>
      <c r="BM198" s="54">
        <v>116.27670610931263</v>
      </c>
      <c r="BN198" s="54">
        <v>114.27425312261907</v>
      </c>
      <c r="BO198" s="54">
        <v>121.69919775014937</v>
      </c>
      <c r="BP198" s="54">
        <v>146.17203610841179</v>
      </c>
      <c r="BQ198" s="54">
        <v>139.01308648105558</v>
      </c>
      <c r="BR198" s="54">
        <v>118.22817265169616</v>
      </c>
      <c r="BS198" s="54">
        <v>127.51278791393771</v>
      </c>
      <c r="BT198" s="54">
        <v>111.68397559739974</v>
      </c>
      <c r="BU198" s="54">
        <v>128.37721417482894</v>
      </c>
      <c r="BV198" s="54">
        <v>153.55270689214274</v>
      </c>
      <c r="BW198" s="54">
        <v>140.84621277810183</v>
      </c>
      <c r="BX198" s="54">
        <v>125.55690136927156</v>
      </c>
    </row>
  </sheetData>
  <phoneticPr fontId="1" type="noConversion"/>
  <pageMargins left="0.75" right="0.75" top="1" bottom="1" header="0" footer="0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1">
    <tabColor indexed="47"/>
  </sheetPr>
  <dimension ref="A1:BW138"/>
  <sheetViews>
    <sheetView showRowColHeaders="0" workbookViewId="0">
      <pane xSplit="3" ySplit="3" topLeftCell="D4" activePane="bottomRight" state="frozen"/>
      <selection pane="topRight"/>
      <selection pane="bottomLeft"/>
      <selection pane="bottomRight" activeCell="D4" sqref="D4"/>
    </sheetView>
  </sheetViews>
  <sheetFormatPr baseColWidth="10" defaultColWidth="11.44140625" defaultRowHeight="13.8" x14ac:dyDescent="0.3"/>
  <cols>
    <col min="1" max="2" width="4.5546875" style="8" bestFit="1" customWidth="1"/>
    <col min="3" max="3" width="7" style="8" bestFit="1" customWidth="1"/>
    <col min="4" max="75" width="8.33203125" style="6" bestFit="1" customWidth="1"/>
    <col min="76" max="16384" width="11.44140625" style="6"/>
  </cols>
  <sheetData>
    <row r="1" spans="1:75" s="9" customFormat="1" x14ac:dyDescent="0.3">
      <c r="A1" s="7" t="s">
        <v>165</v>
      </c>
      <c r="B1" s="7" t="s">
        <v>166</v>
      </c>
      <c r="C1" s="7" t="s">
        <v>169</v>
      </c>
      <c r="D1" s="51" t="s">
        <v>21</v>
      </c>
      <c r="E1" s="9" t="s">
        <v>21</v>
      </c>
      <c r="F1" s="9" t="s">
        <v>21</v>
      </c>
      <c r="G1" s="9" t="s">
        <v>21</v>
      </c>
      <c r="H1" s="9" t="s">
        <v>21</v>
      </c>
      <c r="I1" s="9" t="s">
        <v>21</v>
      </c>
      <c r="J1" s="9" t="s">
        <v>29</v>
      </c>
      <c r="K1" s="9" t="s">
        <v>29</v>
      </c>
      <c r="L1" s="9" t="s">
        <v>29</v>
      </c>
      <c r="M1" s="9" t="s">
        <v>29</v>
      </c>
      <c r="N1" s="9" t="s">
        <v>29</v>
      </c>
      <c r="O1" s="9" t="s">
        <v>29</v>
      </c>
      <c r="P1" s="9" t="s">
        <v>30</v>
      </c>
      <c r="Q1" s="9" t="s">
        <v>30</v>
      </c>
      <c r="R1" s="9" t="s">
        <v>30</v>
      </c>
      <c r="S1" s="9" t="s">
        <v>30</v>
      </c>
      <c r="T1" s="9" t="s">
        <v>30</v>
      </c>
      <c r="U1" s="9" t="s">
        <v>30</v>
      </c>
      <c r="V1" s="9" t="s">
        <v>31</v>
      </c>
      <c r="W1" s="9" t="s">
        <v>31</v>
      </c>
      <c r="X1" s="9" t="s">
        <v>31</v>
      </c>
      <c r="Y1" s="9" t="s">
        <v>31</v>
      </c>
      <c r="Z1" s="9" t="s">
        <v>31</v>
      </c>
      <c r="AA1" s="9" t="s">
        <v>31</v>
      </c>
      <c r="AB1" s="9" t="s">
        <v>32</v>
      </c>
      <c r="AC1" s="9" t="s">
        <v>32</v>
      </c>
      <c r="AD1" s="9" t="s">
        <v>32</v>
      </c>
      <c r="AE1" s="9" t="s">
        <v>32</v>
      </c>
      <c r="AF1" s="9" t="s">
        <v>32</v>
      </c>
      <c r="AG1" s="9" t="s">
        <v>32</v>
      </c>
      <c r="AH1" s="9" t="s">
        <v>33</v>
      </c>
      <c r="AI1" s="9" t="s">
        <v>33</v>
      </c>
      <c r="AJ1" s="9" t="s">
        <v>33</v>
      </c>
      <c r="AK1" s="9" t="s">
        <v>33</v>
      </c>
      <c r="AL1" s="9" t="s">
        <v>33</v>
      </c>
      <c r="AM1" s="9" t="s">
        <v>33</v>
      </c>
      <c r="AN1" s="9" t="s">
        <v>34</v>
      </c>
      <c r="AO1" s="9" t="s">
        <v>34</v>
      </c>
      <c r="AP1" s="9" t="s">
        <v>34</v>
      </c>
      <c r="AQ1" s="9" t="s">
        <v>34</v>
      </c>
      <c r="AR1" s="9" t="s">
        <v>34</v>
      </c>
      <c r="AS1" s="9" t="s">
        <v>34</v>
      </c>
      <c r="AT1" s="9" t="s">
        <v>35</v>
      </c>
      <c r="AU1" s="9" t="s">
        <v>35</v>
      </c>
      <c r="AV1" s="9" t="s">
        <v>35</v>
      </c>
      <c r="AW1" s="9" t="s">
        <v>35</v>
      </c>
      <c r="AX1" s="9" t="s">
        <v>35</v>
      </c>
      <c r="AY1" s="9" t="s">
        <v>35</v>
      </c>
      <c r="AZ1" s="9" t="s">
        <v>36</v>
      </c>
      <c r="BA1" s="9" t="s">
        <v>36</v>
      </c>
      <c r="BB1" s="9" t="s">
        <v>36</v>
      </c>
      <c r="BC1" s="9" t="s">
        <v>36</v>
      </c>
      <c r="BD1" s="9" t="s">
        <v>36</v>
      </c>
      <c r="BE1" s="9" t="s">
        <v>36</v>
      </c>
      <c r="BF1" s="9" t="s">
        <v>37</v>
      </c>
      <c r="BG1" s="9" t="s">
        <v>37</v>
      </c>
      <c r="BH1" s="9" t="s">
        <v>37</v>
      </c>
      <c r="BI1" s="9" t="s">
        <v>37</v>
      </c>
      <c r="BJ1" s="9" t="s">
        <v>37</v>
      </c>
      <c r="BK1" s="9" t="s">
        <v>37</v>
      </c>
      <c r="BL1" s="9" t="s">
        <v>38</v>
      </c>
      <c r="BM1" s="9" t="s">
        <v>38</v>
      </c>
      <c r="BN1" s="9" t="s">
        <v>38</v>
      </c>
      <c r="BO1" s="9" t="s">
        <v>38</v>
      </c>
      <c r="BP1" s="9" t="s">
        <v>38</v>
      </c>
      <c r="BQ1" s="9" t="s">
        <v>38</v>
      </c>
      <c r="BR1" s="9" t="s">
        <v>22</v>
      </c>
      <c r="BS1" s="9" t="s">
        <v>22</v>
      </c>
      <c r="BT1" s="9" t="s">
        <v>22</v>
      </c>
      <c r="BU1" s="9" t="s">
        <v>22</v>
      </c>
      <c r="BV1" s="9" t="s">
        <v>22</v>
      </c>
      <c r="BW1" s="9" t="s">
        <v>22</v>
      </c>
    </row>
    <row r="2" spans="1:75" s="9" customFormat="1" x14ac:dyDescent="0.3">
      <c r="A2" s="7"/>
      <c r="B2" s="7"/>
      <c r="C2" s="7"/>
      <c r="D2" s="51" t="s">
        <v>156</v>
      </c>
      <c r="E2" s="9" t="s">
        <v>156</v>
      </c>
      <c r="F2" s="9" t="s">
        <v>156</v>
      </c>
      <c r="G2" s="9" t="s">
        <v>39</v>
      </c>
      <c r="H2" s="9" t="s">
        <v>39</v>
      </c>
      <c r="I2" s="9" t="s">
        <v>39</v>
      </c>
      <c r="J2" s="9" t="s">
        <v>156</v>
      </c>
      <c r="K2" s="9" t="s">
        <v>156</v>
      </c>
      <c r="L2" s="9" t="s">
        <v>156</v>
      </c>
      <c r="M2" s="9" t="s">
        <v>39</v>
      </c>
      <c r="N2" s="9" t="s">
        <v>39</v>
      </c>
      <c r="O2" s="9" t="s">
        <v>39</v>
      </c>
      <c r="P2" s="9" t="s">
        <v>156</v>
      </c>
      <c r="Q2" s="9" t="s">
        <v>156</v>
      </c>
      <c r="R2" s="9" t="s">
        <v>156</v>
      </c>
      <c r="S2" s="9" t="s">
        <v>39</v>
      </c>
      <c r="T2" s="9" t="s">
        <v>39</v>
      </c>
      <c r="U2" s="9" t="s">
        <v>39</v>
      </c>
      <c r="V2" s="9" t="s">
        <v>156</v>
      </c>
      <c r="W2" s="9" t="s">
        <v>156</v>
      </c>
      <c r="X2" s="9" t="s">
        <v>156</v>
      </c>
      <c r="Y2" s="9" t="s">
        <v>39</v>
      </c>
      <c r="Z2" s="9" t="s">
        <v>39</v>
      </c>
      <c r="AA2" s="9" t="s">
        <v>39</v>
      </c>
      <c r="AB2" s="9" t="s">
        <v>156</v>
      </c>
      <c r="AC2" s="9" t="s">
        <v>156</v>
      </c>
      <c r="AD2" s="9" t="s">
        <v>156</v>
      </c>
      <c r="AE2" s="9" t="s">
        <v>39</v>
      </c>
      <c r="AF2" s="9" t="s">
        <v>39</v>
      </c>
      <c r="AG2" s="9" t="s">
        <v>39</v>
      </c>
      <c r="AH2" s="9" t="s">
        <v>156</v>
      </c>
      <c r="AI2" s="9" t="s">
        <v>156</v>
      </c>
      <c r="AJ2" s="9" t="s">
        <v>156</v>
      </c>
      <c r="AK2" s="9" t="s">
        <v>39</v>
      </c>
      <c r="AL2" s="9" t="s">
        <v>39</v>
      </c>
      <c r="AM2" s="9" t="s">
        <v>39</v>
      </c>
      <c r="AN2" s="9" t="s">
        <v>156</v>
      </c>
      <c r="AO2" s="9" t="s">
        <v>156</v>
      </c>
      <c r="AP2" s="9" t="s">
        <v>156</v>
      </c>
      <c r="AQ2" s="9" t="s">
        <v>39</v>
      </c>
      <c r="AR2" s="9" t="s">
        <v>39</v>
      </c>
      <c r="AS2" s="9" t="s">
        <v>39</v>
      </c>
      <c r="AT2" s="9" t="s">
        <v>156</v>
      </c>
      <c r="AU2" s="9" t="s">
        <v>156</v>
      </c>
      <c r="AV2" s="9" t="s">
        <v>156</v>
      </c>
      <c r="AW2" s="9" t="s">
        <v>39</v>
      </c>
      <c r="AX2" s="9" t="s">
        <v>39</v>
      </c>
      <c r="AY2" s="9" t="s">
        <v>39</v>
      </c>
      <c r="AZ2" s="9" t="s">
        <v>156</v>
      </c>
      <c r="BA2" s="9" t="s">
        <v>156</v>
      </c>
      <c r="BB2" s="9" t="s">
        <v>156</v>
      </c>
      <c r="BC2" s="9" t="s">
        <v>39</v>
      </c>
      <c r="BD2" s="9" t="s">
        <v>39</v>
      </c>
      <c r="BE2" s="9" t="s">
        <v>39</v>
      </c>
      <c r="BF2" s="9" t="s">
        <v>156</v>
      </c>
      <c r="BG2" s="9" t="s">
        <v>156</v>
      </c>
      <c r="BH2" s="9" t="s">
        <v>156</v>
      </c>
      <c r="BI2" s="9" t="s">
        <v>39</v>
      </c>
      <c r="BJ2" s="9" t="s">
        <v>39</v>
      </c>
      <c r="BK2" s="9" t="s">
        <v>39</v>
      </c>
      <c r="BL2" s="9" t="s">
        <v>156</v>
      </c>
      <c r="BM2" s="9" t="s">
        <v>156</v>
      </c>
      <c r="BN2" s="9" t="s">
        <v>156</v>
      </c>
      <c r="BO2" s="9" t="s">
        <v>39</v>
      </c>
      <c r="BP2" s="9" t="s">
        <v>39</v>
      </c>
      <c r="BQ2" s="9" t="s">
        <v>39</v>
      </c>
      <c r="BR2" s="9" t="s">
        <v>156</v>
      </c>
      <c r="BS2" s="9" t="s">
        <v>156</v>
      </c>
      <c r="BT2" s="9" t="s">
        <v>156</v>
      </c>
      <c r="BU2" s="9" t="s">
        <v>39</v>
      </c>
      <c r="BV2" s="9" t="s">
        <v>39</v>
      </c>
      <c r="BW2" s="9" t="s">
        <v>39</v>
      </c>
    </row>
    <row r="3" spans="1:75" s="9" customFormat="1" x14ac:dyDescent="0.3">
      <c r="A3" s="7"/>
      <c r="B3" s="7"/>
      <c r="C3" s="7"/>
      <c r="D3" s="51" t="s">
        <v>26</v>
      </c>
      <c r="E3" s="9" t="s">
        <v>56</v>
      </c>
      <c r="F3" s="9" t="s">
        <v>57</v>
      </c>
      <c r="G3" s="9" t="s">
        <v>26</v>
      </c>
      <c r="H3" s="9" t="s">
        <v>56</v>
      </c>
      <c r="I3" s="9" t="s">
        <v>57</v>
      </c>
      <c r="J3" s="9" t="s">
        <v>26</v>
      </c>
      <c r="K3" s="9" t="s">
        <v>56</v>
      </c>
      <c r="L3" s="9" t="s">
        <v>57</v>
      </c>
      <c r="M3" s="9" t="s">
        <v>26</v>
      </c>
      <c r="N3" s="9" t="s">
        <v>56</v>
      </c>
      <c r="O3" s="9" t="s">
        <v>57</v>
      </c>
      <c r="P3" s="9" t="s">
        <v>26</v>
      </c>
      <c r="Q3" s="9" t="s">
        <v>56</v>
      </c>
      <c r="R3" s="9" t="s">
        <v>57</v>
      </c>
      <c r="S3" s="9" t="s">
        <v>26</v>
      </c>
      <c r="T3" s="9" t="s">
        <v>56</v>
      </c>
      <c r="U3" s="9" t="s">
        <v>57</v>
      </c>
      <c r="V3" s="9" t="s">
        <v>26</v>
      </c>
      <c r="W3" s="9" t="s">
        <v>56</v>
      </c>
      <c r="X3" s="9" t="s">
        <v>57</v>
      </c>
      <c r="Y3" s="9" t="s">
        <v>26</v>
      </c>
      <c r="Z3" s="9" t="s">
        <v>56</v>
      </c>
      <c r="AA3" s="9" t="s">
        <v>57</v>
      </c>
      <c r="AB3" s="9" t="s">
        <v>26</v>
      </c>
      <c r="AC3" s="9" t="s">
        <v>56</v>
      </c>
      <c r="AD3" s="9" t="s">
        <v>57</v>
      </c>
      <c r="AE3" s="9" t="s">
        <v>26</v>
      </c>
      <c r="AF3" s="9" t="s">
        <v>56</v>
      </c>
      <c r="AG3" s="9" t="s">
        <v>57</v>
      </c>
      <c r="AH3" s="9" t="s">
        <v>26</v>
      </c>
      <c r="AI3" s="9" t="s">
        <v>56</v>
      </c>
      <c r="AJ3" s="9" t="s">
        <v>57</v>
      </c>
      <c r="AK3" s="9" t="s">
        <v>26</v>
      </c>
      <c r="AL3" s="9" t="s">
        <v>56</v>
      </c>
      <c r="AM3" s="9" t="s">
        <v>57</v>
      </c>
      <c r="AN3" s="9" t="s">
        <v>26</v>
      </c>
      <c r="AO3" s="9" t="s">
        <v>56</v>
      </c>
      <c r="AP3" s="9" t="s">
        <v>57</v>
      </c>
      <c r="AQ3" s="9" t="s">
        <v>26</v>
      </c>
      <c r="AR3" s="9" t="s">
        <v>56</v>
      </c>
      <c r="AS3" s="9" t="s">
        <v>57</v>
      </c>
      <c r="AT3" s="9" t="s">
        <v>26</v>
      </c>
      <c r="AU3" s="9" t="s">
        <v>56</v>
      </c>
      <c r="AV3" s="9" t="s">
        <v>57</v>
      </c>
      <c r="AW3" s="9" t="s">
        <v>26</v>
      </c>
      <c r="AX3" s="9" t="s">
        <v>56</v>
      </c>
      <c r="AY3" s="9" t="s">
        <v>57</v>
      </c>
      <c r="AZ3" s="9" t="s">
        <v>26</v>
      </c>
      <c r="BA3" s="9" t="s">
        <v>56</v>
      </c>
      <c r="BB3" s="9" t="s">
        <v>57</v>
      </c>
      <c r="BC3" s="9" t="s">
        <v>26</v>
      </c>
      <c r="BD3" s="9" t="s">
        <v>56</v>
      </c>
      <c r="BE3" s="9" t="s">
        <v>57</v>
      </c>
      <c r="BF3" s="9" t="s">
        <v>26</v>
      </c>
      <c r="BG3" s="9" t="s">
        <v>56</v>
      </c>
      <c r="BH3" s="9" t="s">
        <v>57</v>
      </c>
      <c r="BI3" s="9" t="s">
        <v>26</v>
      </c>
      <c r="BJ3" s="9" t="s">
        <v>56</v>
      </c>
      <c r="BK3" s="9" t="s">
        <v>57</v>
      </c>
      <c r="BL3" s="9" t="s">
        <v>26</v>
      </c>
      <c r="BM3" s="9" t="s">
        <v>56</v>
      </c>
      <c r="BN3" s="9" t="s">
        <v>57</v>
      </c>
      <c r="BO3" s="9" t="s">
        <v>26</v>
      </c>
      <c r="BP3" s="9" t="s">
        <v>56</v>
      </c>
      <c r="BQ3" s="9" t="s">
        <v>57</v>
      </c>
      <c r="BR3" s="9" t="s">
        <v>26</v>
      </c>
      <c r="BS3" s="9" t="s">
        <v>56</v>
      </c>
      <c r="BT3" s="9" t="s">
        <v>57</v>
      </c>
      <c r="BU3" s="9" t="s">
        <v>26</v>
      </c>
      <c r="BV3" s="9" t="s">
        <v>56</v>
      </c>
      <c r="BW3" s="9" t="s">
        <v>57</v>
      </c>
    </row>
    <row r="4" spans="1:75" x14ac:dyDescent="0.3">
      <c r="A4" s="7" t="s">
        <v>89</v>
      </c>
      <c r="B4" s="7" t="s">
        <v>8</v>
      </c>
      <c r="C4" s="7" t="s">
        <v>108</v>
      </c>
      <c r="D4" s="57">
        <v>0</v>
      </c>
      <c r="E4" s="57">
        <v>0</v>
      </c>
      <c r="F4" s="57">
        <v>0</v>
      </c>
      <c r="G4" s="57">
        <v>0</v>
      </c>
      <c r="H4" s="57">
        <v>0</v>
      </c>
      <c r="I4" s="57">
        <v>0</v>
      </c>
      <c r="J4" s="57">
        <v>0</v>
      </c>
      <c r="K4" s="57">
        <v>0</v>
      </c>
      <c r="L4" s="57">
        <v>0</v>
      </c>
      <c r="M4" s="57">
        <v>0</v>
      </c>
      <c r="N4" s="57">
        <v>0</v>
      </c>
      <c r="O4" s="57">
        <v>0</v>
      </c>
      <c r="P4" s="57">
        <v>0</v>
      </c>
      <c r="Q4" s="57">
        <v>0</v>
      </c>
      <c r="R4" s="57">
        <v>0</v>
      </c>
      <c r="S4" s="57">
        <v>0</v>
      </c>
      <c r="T4" s="57">
        <v>0</v>
      </c>
      <c r="U4" s="57">
        <v>0</v>
      </c>
      <c r="V4" s="57">
        <v>0</v>
      </c>
      <c r="W4" s="57">
        <v>0</v>
      </c>
      <c r="X4" s="57">
        <v>0</v>
      </c>
      <c r="Y4" s="57">
        <v>0</v>
      </c>
      <c r="Z4" s="57">
        <v>0</v>
      </c>
      <c r="AA4" s="57">
        <v>0</v>
      </c>
      <c r="AB4" s="57">
        <v>0</v>
      </c>
      <c r="AC4" s="57">
        <v>0</v>
      </c>
      <c r="AD4" s="57">
        <v>0</v>
      </c>
      <c r="AE4" s="57">
        <v>0</v>
      </c>
      <c r="AF4" s="57">
        <v>0</v>
      </c>
      <c r="AG4" s="57">
        <v>0</v>
      </c>
      <c r="AH4" s="57">
        <v>0</v>
      </c>
      <c r="AI4" s="57">
        <v>0</v>
      </c>
      <c r="AJ4" s="57">
        <v>0</v>
      </c>
      <c r="AK4" s="57">
        <v>0</v>
      </c>
      <c r="AL4" s="57">
        <v>0</v>
      </c>
      <c r="AM4" s="57">
        <v>0</v>
      </c>
      <c r="AN4" s="57">
        <v>0</v>
      </c>
      <c r="AO4" s="57">
        <v>0</v>
      </c>
      <c r="AP4" s="57">
        <v>0</v>
      </c>
      <c r="AQ4" s="57">
        <v>0</v>
      </c>
      <c r="AR4" s="57">
        <v>0</v>
      </c>
      <c r="AS4" s="57">
        <v>0</v>
      </c>
      <c r="AT4" s="57">
        <v>0</v>
      </c>
      <c r="AU4" s="57">
        <v>0</v>
      </c>
      <c r="AV4" s="57">
        <v>0</v>
      </c>
      <c r="AW4" s="57">
        <v>0</v>
      </c>
      <c r="AX4" s="57">
        <v>0</v>
      </c>
      <c r="AY4" s="57">
        <v>0</v>
      </c>
      <c r="AZ4" s="57">
        <v>0</v>
      </c>
      <c r="BA4" s="57">
        <v>0</v>
      </c>
      <c r="BB4" s="57">
        <v>0</v>
      </c>
      <c r="BC4" s="57">
        <v>0</v>
      </c>
      <c r="BD4" s="57">
        <v>0</v>
      </c>
      <c r="BE4" s="57">
        <v>0</v>
      </c>
      <c r="BF4" s="57">
        <v>0</v>
      </c>
      <c r="BG4" s="57">
        <v>0</v>
      </c>
      <c r="BH4" s="57">
        <v>0</v>
      </c>
      <c r="BI4" s="57">
        <v>0</v>
      </c>
      <c r="BJ4" s="57">
        <v>0</v>
      </c>
      <c r="BK4" s="57">
        <v>0</v>
      </c>
      <c r="BL4" s="57">
        <v>0</v>
      </c>
      <c r="BM4" s="57">
        <v>0</v>
      </c>
      <c r="BN4" s="57">
        <v>0</v>
      </c>
      <c r="BO4" s="57">
        <v>0</v>
      </c>
      <c r="BP4" s="57">
        <v>0</v>
      </c>
      <c r="BQ4" s="57">
        <v>0</v>
      </c>
      <c r="BR4" s="57">
        <v>0</v>
      </c>
      <c r="BS4" s="57">
        <v>0</v>
      </c>
      <c r="BT4" s="57">
        <v>0</v>
      </c>
      <c r="BU4" s="57">
        <v>0</v>
      </c>
      <c r="BV4" s="57">
        <v>0</v>
      </c>
      <c r="BW4" s="57">
        <v>0</v>
      </c>
    </row>
    <row r="5" spans="1:75" x14ac:dyDescent="0.3">
      <c r="A5" s="7" t="s">
        <v>89</v>
      </c>
      <c r="B5" s="7" t="s">
        <v>8</v>
      </c>
      <c r="C5" s="7" t="s">
        <v>109</v>
      </c>
      <c r="D5" s="57">
        <v>2.5842753942652352E-2</v>
      </c>
      <c r="E5" s="57">
        <v>8.6702695340501769E-3</v>
      </c>
      <c r="F5" s="57">
        <v>-2.0654052737047918E-2</v>
      </c>
      <c r="G5" s="57">
        <v>1.8532643906810115E-2</v>
      </c>
      <c r="H5" s="57">
        <v>4.666829928315388E-3</v>
      </c>
      <c r="I5" s="57">
        <v>-2.597704767025091E-2</v>
      </c>
      <c r="J5" s="57">
        <v>2.2777307526881695E-2</v>
      </c>
      <c r="K5" s="57">
        <v>-8.3951503584227729E-3</v>
      </c>
      <c r="L5" s="57">
        <v>-2.6029128354371142E-2</v>
      </c>
      <c r="M5" s="57">
        <v>4.9755396594982147E-2</v>
      </c>
      <c r="N5" s="57">
        <v>1.5038960573476663E-2</v>
      </c>
      <c r="O5" s="57">
        <v>-1.9478258641109632E-2</v>
      </c>
      <c r="P5" s="57">
        <v>3.140067491039427E-2</v>
      </c>
      <c r="Q5" s="57">
        <v>9.3413082437236706E-5</v>
      </c>
      <c r="R5" s="57">
        <v>-1.9504905376344094E-2</v>
      </c>
      <c r="S5" s="57">
        <v>3.7513035842293971E-2</v>
      </c>
      <c r="T5" s="57">
        <v>1.4496378315412162E-2</v>
      </c>
      <c r="U5" s="57">
        <v>-1.901192114695344E-2</v>
      </c>
      <c r="V5" s="57">
        <v>2.4145863799283178E-2</v>
      </c>
      <c r="W5" s="57">
        <v>4.4733435556628988E-3</v>
      </c>
      <c r="X5" s="57">
        <v>-6.4315732510461548E-2</v>
      </c>
      <c r="Y5" s="57">
        <v>-9.2715849641576989E-2</v>
      </c>
      <c r="Z5" s="57">
        <v>-0.10577334103942654</v>
      </c>
      <c r="AA5" s="57">
        <v>-0.107518557779279</v>
      </c>
      <c r="AB5" s="57">
        <v>3.8117352882967186E-2</v>
      </c>
      <c r="AC5" s="57">
        <v>-3.0286401433691069E-3</v>
      </c>
      <c r="AD5" s="57">
        <v>-1.3159817921146894E-2</v>
      </c>
      <c r="AE5" s="57">
        <v>4.6404184743650068E-3</v>
      </c>
      <c r="AF5" s="57">
        <v>-3.1651684587813533E-2</v>
      </c>
      <c r="AG5" s="57">
        <v>-1.7366710931899655E-2</v>
      </c>
      <c r="AH5" s="57">
        <v>-6.1433637992831698E-3</v>
      </c>
      <c r="AI5" s="57">
        <v>-7.4659611111110979E-3</v>
      </c>
      <c r="AJ5" s="57">
        <v>-7.4571903225806608E-3</v>
      </c>
      <c r="AK5" s="57">
        <v>4.8076209318996296E-2</v>
      </c>
      <c r="AL5" s="57">
        <v>3.4308090143369184E-2</v>
      </c>
      <c r="AM5" s="57">
        <v>-3.235755555555555E-3</v>
      </c>
      <c r="AN5" s="57">
        <v>7.5162908835676974E-3</v>
      </c>
      <c r="AO5" s="57">
        <v>-1.2103553942652419E-2</v>
      </c>
      <c r="AP5" s="57">
        <v>4.1489370967741574E-3</v>
      </c>
      <c r="AQ5" s="57">
        <v>4.7460098052026528E-2</v>
      </c>
      <c r="AR5" s="57">
        <v>3.1681453584229337E-2</v>
      </c>
      <c r="AS5" s="57">
        <v>5.681772939068146E-3</v>
      </c>
      <c r="AT5" s="57">
        <v>3.3511023965461073E-2</v>
      </c>
      <c r="AU5" s="57">
        <v>-2.4835797491038532E-3</v>
      </c>
      <c r="AV5" s="57">
        <v>-3.7573732974911255E-3</v>
      </c>
      <c r="AW5" s="57">
        <v>-1.4536601328697054E-2</v>
      </c>
      <c r="AX5" s="57">
        <v>-2.9963927598566316E-2</v>
      </c>
      <c r="AY5" s="57">
        <v>-5.8264295340501794E-2</v>
      </c>
      <c r="AZ5" s="57">
        <v>-5.2901010035842057E-2</v>
      </c>
      <c r="BA5" s="57">
        <v>-5.7877803942652309E-2</v>
      </c>
      <c r="BB5" s="57">
        <v>-4.8241215181771588E-2</v>
      </c>
      <c r="BC5" s="57">
        <v>-2.9963101254480158E-2</v>
      </c>
      <c r="BD5" s="57">
        <v>-4.9984694265232985E-2</v>
      </c>
      <c r="BE5" s="57">
        <v>-5.41390405017921E-2</v>
      </c>
      <c r="BF5" s="57">
        <v>2.8941625448028654E-2</v>
      </c>
      <c r="BG5" s="57">
        <v>-3.8326467741934176E-3</v>
      </c>
      <c r="BH5" s="57">
        <v>7.658777079963118E-3</v>
      </c>
      <c r="BI5" s="57">
        <v>1.1928207885304365E-3</v>
      </c>
      <c r="BJ5" s="57">
        <v>-3.9847103942652333E-2</v>
      </c>
      <c r="BK5" s="57">
        <v>-5.7163249084911293E-2</v>
      </c>
      <c r="BL5" s="57">
        <v>5.4684762544802971E-2</v>
      </c>
      <c r="BM5" s="57">
        <v>1.6452750646247388E-2</v>
      </c>
      <c r="BN5" s="57">
        <v>-5.4549850738941634E-4</v>
      </c>
      <c r="BO5" s="57">
        <v>1.3444887455197179E-2</v>
      </c>
      <c r="BP5" s="57">
        <v>-2.3227340213967634E-2</v>
      </c>
      <c r="BQ5" s="57">
        <v>-5.6286771625668953E-2</v>
      </c>
      <c r="BR5" s="57">
        <v>9.9096089605735169E-3</v>
      </c>
      <c r="BS5" s="57">
        <v>1.5707324754456074E-3</v>
      </c>
      <c r="BT5" s="57">
        <v>-2.5995604659498094E-2</v>
      </c>
      <c r="BU5" s="57">
        <v>1.4735767562724137E-2</v>
      </c>
      <c r="BV5" s="57">
        <v>4.7436557347670565E-3</v>
      </c>
      <c r="BW5" s="57">
        <v>-3.9412648215199624E-2</v>
      </c>
    </row>
    <row r="6" spans="1:75" x14ac:dyDescent="0.3">
      <c r="A6" s="7" t="s">
        <v>89</v>
      </c>
      <c r="B6" s="7" t="s">
        <v>8</v>
      </c>
      <c r="C6" s="7" t="s">
        <v>110</v>
      </c>
      <c r="D6" s="57">
        <v>3.3815649103942705E-2</v>
      </c>
      <c r="E6" s="57">
        <v>-1.1051988530465946E-2</v>
      </c>
      <c r="F6" s="57">
        <v>-8.1678783675464328E-2</v>
      </c>
      <c r="G6" s="57">
        <v>-3.5460577060930495E-3</v>
      </c>
      <c r="H6" s="57">
        <v>-4.0845113620071712E-2</v>
      </c>
      <c r="I6" s="57">
        <v>-0.10560625734767023</v>
      </c>
      <c r="J6" s="57">
        <v>1.6635630107526923E-2</v>
      </c>
      <c r="K6" s="57">
        <v>-4.2561368100358161E-2</v>
      </c>
      <c r="L6" s="57">
        <v>-9.4075413417484738E-2</v>
      </c>
      <c r="M6" s="57">
        <v>3.2168953046595117E-2</v>
      </c>
      <c r="N6" s="57">
        <v>-3.1457491039426536E-2</v>
      </c>
      <c r="O6" s="57">
        <v>-9.5526567897771641E-2</v>
      </c>
      <c r="P6" s="57">
        <v>2.21434329749104E-2</v>
      </c>
      <c r="Q6" s="57">
        <v>-3.5377514336917583E-2</v>
      </c>
      <c r="R6" s="57">
        <v>-8.8330421505376316E-2</v>
      </c>
      <c r="S6" s="57">
        <v>9.5648100358424262E-3</v>
      </c>
      <c r="T6" s="57">
        <v>-3.0542920071684614E-2</v>
      </c>
      <c r="U6" s="57">
        <v>-9.8489017921146962E-2</v>
      </c>
      <c r="V6" s="57">
        <v>6.8181218637993384E-3</v>
      </c>
      <c r="W6" s="57">
        <v>-3.5119523822459961E-2</v>
      </c>
      <c r="X6" s="57">
        <v>-7.6292768610782533E-2</v>
      </c>
      <c r="Y6" s="57">
        <v>-4.7896631899641551E-2</v>
      </c>
      <c r="Z6" s="57">
        <v>-8.5166397491039492E-2</v>
      </c>
      <c r="AA6" s="57">
        <v>-9.598756968605146E-2</v>
      </c>
      <c r="AB6" s="57">
        <v>2.5547778198535265E-2</v>
      </c>
      <c r="AC6" s="57">
        <v>-4.5568027240143236E-2</v>
      </c>
      <c r="AD6" s="57">
        <v>-8.9682205017921041E-2</v>
      </c>
      <c r="AE6" s="57">
        <v>-5.1766559435873341E-2</v>
      </c>
      <c r="AF6" s="57">
        <v>-0.11814007168458766</v>
      </c>
      <c r="AG6" s="57">
        <v>-0.10622347706093191</v>
      </c>
      <c r="AH6" s="57">
        <v>-2.5243121863799303E-2</v>
      </c>
      <c r="AI6" s="57">
        <v>-4.245474172335599E-2</v>
      </c>
      <c r="AJ6" s="57">
        <v>-7.4236561290322578E-2</v>
      </c>
      <c r="AK6" s="57">
        <v>1.6905370609318859E-2</v>
      </c>
      <c r="AL6" s="57">
        <v>-1.2103272759856617E-2</v>
      </c>
      <c r="AM6" s="57">
        <v>-7.9988755555555541E-2</v>
      </c>
      <c r="AN6" s="57">
        <v>-2.593437576094777E-3</v>
      </c>
      <c r="AO6" s="57">
        <v>-4.7508449103942717E-2</v>
      </c>
      <c r="AP6" s="57">
        <v>-5.2807151612903266E-2</v>
      </c>
      <c r="AQ6" s="57">
        <v>2.6366724431073713E-2</v>
      </c>
      <c r="AR6" s="57">
        <v>-1.5554618996415805E-2</v>
      </c>
      <c r="AS6" s="57">
        <v>-6.352354157706086E-2</v>
      </c>
      <c r="AT6" s="57">
        <v>2.0863389801238211E-2</v>
      </c>
      <c r="AU6" s="57">
        <v>-4.2350152329748925E-2</v>
      </c>
      <c r="AV6" s="57">
        <v>-7.211252652329761E-2</v>
      </c>
      <c r="AW6" s="57">
        <v>-4.5056787154659243E-3</v>
      </c>
      <c r="AX6" s="57">
        <v>-4.7313443727598589E-2</v>
      </c>
      <c r="AY6" s="57">
        <v>-9.7057714695340483E-2</v>
      </c>
      <c r="AZ6" s="57">
        <v>-3.3523106810035536E-2</v>
      </c>
      <c r="BA6" s="57">
        <v>-5.5265949103942627E-2</v>
      </c>
      <c r="BB6" s="57">
        <v>-6.8682598822324553E-2</v>
      </c>
      <c r="BC6" s="57">
        <v>-3.0487238351254262E-2</v>
      </c>
      <c r="BD6" s="57">
        <v>-6.5400710394265246E-2</v>
      </c>
      <c r="BE6" s="57">
        <v>-8.9440895340501772E-2</v>
      </c>
      <c r="BF6" s="57">
        <v>1.8932835125448008E-2</v>
      </c>
      <c r="BG6" s="57">
        <v>-4.196968709677399E-2</v>
      </c>
      <c r="BH6" s="57">
        <v>-5.9548319408760812E-2</v>
      </c>
      <c r="BI6" s="57">
        <v>2.0183949820788492E-2</v>
      </c>
      <c r="BJ6" s="57">
        <v>-5.561774910394264E-2</v>
      </c>
      <c r="BK6" s="57">
        <v>-9.5788490734925527E-2</v>
      </c>
      <c r="BL6" s="57">
        <v>6.5134883512545011E-2</v>
      </c>
      <c r="BM6" s="57">
        <v>-5.3640802432931784E-3</v>
      </c>
      <c r="BN6" s="57">
        <v>-5.9250557499877246E-2</v>
      </c>
      <c r="BO6" s="57">
        <v>4.0887016487455283E-2</v>
      </c>
      <c r="BP6" s="57">
        <v>-2.6421743684153374E-2</v>
      </c>
      <c r="BQ6" s="57">
        <v>-8.7481249972995487E-2</v>
      </c>
      <c r="BR6" s="57">
        <v>1.1575302508960619E-2</v>
      </c>
      <c r="BS6" s="57">
        <v>-2.0614667587394775E-2</v>
      </c>
      <c r="BT6" s="57">
        <v>-8.8669685304659296E-2</v>
      </c>
      <c r="BU6" s="57">
        <v>-1.0556563082437041E-2</v>
      </c>
      <c r="BV6" s="57">
        <v>-4.0974610394265212E-2</v>
      </c>
      <c r="BW6" s="57">
        <v>-0.11424099762270479</v>
      </c>
    </row>
    <row r="7" spans="1:75" x14ac:dyDescent="0.3">
      <c r="A7" s="8" t="s">
        <v>89</v>
      </c>
      <c r="B7" s="8" t="s">
        <v>8</v>
      </c>
      <c r="C7" s="8" t="s">
        <v>111</v>
      </c>
      <c r="D7" s="57">
        <v>-0.11674834059139784</v>
      </c>
      <c r="E7" s="57">
        <v>-0.11138792043010753</v>
      </c>
      <c r="F7" s="57">
        <v>-0.15000556458944281</v>
      </c>
      <c r="G7" s="57">
        <v>-0.16588636908602147</v>
      </c>
      <c r="H7" s="57">
        <v>-0.15696213198924733</v>
      </c>
      <c r="I7" s="57">
        <v>-0.15443284784946232</v>
      </c>
      <c r="J7" s="57">
        <v>-0.10974931612903228</v>
      </c>
      <c r="K7" s="57">
        <v>-0.11467770994623648</v>
      </c>
      <c r="L7" s="57">
        <v>-0.14941296455119207</v>
      </c>
      <c r="M7" s="57">
        <v>-0.14541598198924729</v>
      </c>
      <c r="N7" s="57">
        <v>-0.15116134408602153</v>
      </c>
      <c r="O7" s="57">
        <v>-0.15191531750818141</v>
      </c>
      <c r="P7" s="57">
        <v>-0.10122549623655915</v>
      </c>
      <c r="Q7" s="57">
        <v>-0.10669197446236563</v>
      </c>
      <c r="R7" s="57">
        <v>-0.14400367419354837</v>
      </c>
      <c r="S7" s="57">
        <v>-0.14777600537634408</v>
      </c>
      <c r="T7" s="57">
        <v>-0.14743316424731182</v>
      </c>
      <c r="U7" s="57">
        <v>-0.14930631182795698</v>
      </c>
      <c r="V7" s="57">
        <v>-0.16480427956989249</v>
      </c>
      <c r="W7" s="57">
        <v>-0.16489750648071813</v>
      </c>
      <c r="X7" s="57">
        <v>-0.14737711217840449</v>
      </c>
      <c r="Y7" s="57">
        <v>-0.16521779005376344</v>
      </c>
      <c r="Z7" s="57">
        <v>-0.15906410134408602</v>
      </c>
      <c r="AA7" s="57">
        <v>-0.14745682588808195</v>
      </c>
      <c r="AB7" s="57">
        <v>-0.15745474391070591</v>
      </c>
      <c r="AC7" s="57">
        <v>-0.16858581397849456</v>
      </c>
      <c r="AD7" s="57">
        <v>-0.14724304731182794</v>
      </c>
      <c r="AE7" s="57">
        <v>-0.15369414874941559</v>
      </c>
      <c r="AF7" s="57">
        <v>-0.16110924731182794</v>
      </c>
      <c r="AG7" s="57">
        <v>-0.14227346586021505</v>
      </c>
      <c r="AH7" s="57">
        <v>-0.12291447043010753</v>
      </c>
      <c r="AI7" s="57">
        <v>-0.11159478282312925</v>
      </c>
      <c r="AJ7" s="57">
        <v>-0.1363109564516129</v>
      </c>
      <c r="AK7" s="57">
        <v>-0.13772599139784952</v>
      </c>
      <c r="AL7" s="57">
        <v>-0.13489486102150539</v>
      </c>
      <c r="AM7" s="57">
        <v>-0.13926236666666664</v>
      </c>
      <c r="AN7" s="57">
        <v>-0.11858710465808461</v>
      </c>
      <c r="AO7" s="57">
        <v>-0.11664445940860214</v>
      </c>
      <c r="AP7" s="57">
        <v>-0.13407358306451614</v>
      </c>
      <c r="AQ7" s="57">
        <v>-0.14215010573335346</v>
      </c>
      <c r="AR7" s="57">
        <v>-0.13944432553763439</v>
      </c>
      <c r="AS7" s="57">
        <v>-0.1375432884408602</v>
      </c>
      <c r="AT7" s="57">
        <v>-0.16085998609481916</v>
      </c>
      <c r="AU7" s="57">
        <v>-0.16993777553763439</v>
      </c>
      <c r="AV7" s="57">
        <v>-0.14501224650537634</v>
      </c>
      <c r="AW7" s="57">
        <v>-0.14818325278049213</v>
      </c>
      <c r="AX7" s="57">
        <v>-0.14481114086021507</v>
      </c>
      <c r="AY7" s="57">
        <v>-0.14524839569892473</v>
      </c>
      <c r="AZ7" s="57">
        <v>-0.11540067849462353</v>
      </c>
      <c r="BA7" s="57">
        <v>-0.10801758440860217</v>
      </c>
      <c r="BB7" s="57">
        <v>-0.12949323022273423</v>
      </c>
      <c r="BC7" s="57">
        <v>-0.15616162231182792</v>
      </c>
      <c r="BD7" s="57">
        <v>-0.15591299086021509</v>
      </c>
      <c r="BE7" s="57">
        <v>-0.14445314892473116</v>
      </c>
      <c r="BF7" s="57">
        <v>-0.15736001881720427</v>
      </c>
      <c r="BG7" s="57">
        <v>-0.16445511048387099</v>
      </c>
      <c r="BH7" s="57">
        <v>-0.12974170373013622</v>
      </c>
      <c r="BI7" s="57">
        <v>-0.14053697311827953</v>
      </c>
      <c r="BJ7" s="57">
        <v>-0.14850063440860214</v>
      </c>
      <c r="BK7" s="57">
        <v>-0.1445329548054049</v>
      </c>
      <c r="BL7" s="57">
        <v>-9.6736901881720405E-2</v>
      </c>
      <c r="BM7" s="57">
        <v>-0.10392278774845226</v>
      </c>
      <c r="BN7" s="57">
        <v>-0.13644406200471348</v>
      </c>
      <c r="BO7" s="57">
        <v>-0.14201307311827954</v>
      </c>
      <c r="BP7" s="57">
        <v>-0.14827779661942003</v>
      </c>
      <c r="BQ7" s="57">
        <v>-0.14877099103697158</v>
      </c>
      <c r="BR7" s="57">
        <v>-0.10546302634408601</v>
      </c>
      <c r="BS7" s="57">
        <v>-0.10745816637131686</v>
      </c>
      <c r="BT7" s="57">
        <v>-0.14529275430107522</v>
      </c>
      <c r="BU7" s="57">
        <v>-0.16661831263440854</v>
      </c>
      <c r="BV7" s="57">
        <v>-0.15749001586021505</v>
      </c>
      <c r="BW7" s="57">
        <v>-0.1581358081248628</v>
      </c>
    </row>
    <row r="8" spans="1:75" x14ac:dyDescent="0.3">
      <c r="A8" s="8" t="s">
        <v>89</v>
      </c>
      <c r="B8" s="8" t="s">
        <v>8</v>
      </c>
      <c r="C8" s="8" t="s">
        <v>112</v>
      </c>
      <c r="D8" s="57">
        <v>-0.42577734059139782</v>
      </c>
      <c r="E8" s="57">
        <v>-0.39021192043010755</v>
      </c>
      <c r="F8" s="57">
        <v>-0.35914456458944277</v>
      </c>
      <c r="G8" s="57">
        <v>-0.42469736908602151</v>
      </c>
      <c r="H8" s="57">
        <v>-0.38025513198924732</v>
      </c>
      <c r="I8" s="57">
        <v>-0.33779084784946234</v>
      </c>
      <c r="J8" s="57">
        <v>-0.40050131612903234</v>
      </c>
      <c r="K8" s="57">
        <v>-0.3818607099462365</v>
      </c>
      <c r="L8" s="57">
        <v>-0.35141196455119206</v>
      </c>
      <c r="M8" s="57">
        <v>-0.39470698198924736</v>
      </c>
      <c r="N8" s="57">
        <v>-0.37432134408602158</v>
      </c>
      <c r="O8" s="57">
        <v>-0.33700931750818142</v>
      </c>
      <c r="P8" s="57">
        <v>-0.38322749623655911</v>
      </c>
      <c r="Q8" s="57">
        <v>-0.36586697446236566</v>
      </c>
      <c r="R8" s="57">
        <v>-0.34159967419354842</v>
      </c>
      <c r="S8" s="57">
        <v>-0.38871600537634415</v>
      </c>
      <c r="T8" s="57">
        <v>-0.36031016424731183</v>
      </c>
      <c r="U8" s="57">
        <v>-0.32934631182795698</v>
      </c>
      <c r="V8" s="57">
        <v>-0.4274442795698925</v>
      </c>
      <c r="W8" s="57">
        <v>-0.40622950648071809</v>
      </c>
      <c r="X8" s="57">
        <v>-0.33093811217840452</v>
      </c>
      <c r="Y8" s="57">
        <v>-0.39215079005376341</v>
      </c>
      <c r="Z8" s="57">
        <v>-0.35859910134408601</v>
      </c>
      <c r="AA8" s="57">
        <v>-0.31796282588808195</v>
      </c>
      <c r="AB8" s="57">
        <v>-0.41969574391070597</v>
      </c>
      <c r="AC8" s="57">
        <v>-0.40958181397849458</v>
      </c>
      <c r="AD8" s="57">
        <v>-0.32941104731182796</v>
      </c>
      <c r="AE8" s="57">
        <v>-0.37131714874941563</v>
      </c>
      <c r="AF8" s="57">
        <v>-0.35486924731182795</v>
      </c>
      <c r="AG8" s="57">
        <v>-0.30924446586021509</v>
      </c>
      <c r="AH8" s="57">
        <v>-0.41012447043010752</v>
      </c>
      <c r="AI8" s="57">
        <v>-0.37258978282312921</v>
      </c>
      <c r="AJ8" s="57">
        <v>-0.33067295645161288</v>
      </c>
      <c r="AK8" s="57">
        <v>-0.36878199139784951</v>
      </c>
      <c r="AL8" s="57">
        <v>-0.34379586102150539</v>
      </c>
      <c r="AM8" s="57">
        <v>-0.31513036666666661</v>
      </c>
      <c r="AN8" s="57">
        <v>-0.41150210465808457</v>
      </c>
      <c r="AO8" s="57">
        <v>-0.38396745940860216</v>
      </c>
      <c r="AP8" s="57">
        <v>-0.33635258306451615</v>
      </c>
      <c r="AQ8" s="57">
        <v>-0.38105310573335344</v>
      </c>
      <c r="AR8" s="57">
        <v>-0.35624132553763443</v>
      </c>
      <c r="AS8" s="57">
        <v>-0.3194942884408602</v>
      </c>
      <c r="AT8" s="57">
        <v>-0.42532698609481917</v>
      </c>
      <c r="AU8" s="57">
        <v>-0.41441277553763439</v>
      </c>
      <c r="AV8" s="57">
        <v>-0.33166724650537632</v>
      </c>
      <c r="AW8" s="57">
        <v>-0.37482925278049217</v>
      </c>
      <c r="AX8" s="57">
        <v>-0.34845514086021506</v>
      </c>
      <c r="AY8" s="57">
        <v>-0.31660839569892474</v>
      </c>
      <c r="AZ8" s="57">
        <v>-0.39604467849462355</v>
      </c>
      <c r="BA8" s="57">
        <v>-0.36745158440860221</v>
      </c>
      <c r="BB8" s="57">
        <v>-0.32530423022273425</v>
      </c>
      <c r="BC8" s="57">
        <v>-0.38410262231182801</v>
      </c>
      <c r="BD8" s="57">
        <v>-0.35957099086021516</v>
      </c>
      <c r="BE8" s="57">
        <v>-0.31862714892473115</v>
      </c>
      <c r="BF8" s="57">
        <v>-0.42945001881720429</v>
      </c>
      <c r="BG8" s="57">
        <v>-0.41345211048387104</v>
      </c>
      <c r="BH8" s="57">
        <v>-0.31490570373013627</v>
      </c>
      <c r="BI8" s="57">
        <v>-0.36747697311827954</v>
      </c>
      <c r="BJ8" s="57">
        <v>-0.34758063440860215</v>
      </c>
      <c r="BK8" s="57">
        <v>-0.31557095480540487</v>
      </c>
      <c r="BL8" s="57">
        <v>-0.39462190188172047</v>
      </c>
      <c r="BM8" s="57">
        <v>-0.3730587877484523</v>
      </c>
      <c r="BN8" s="57">
        <v>-0.33864606200471348</v>
      </c>
      <c r="BO8" s="57">
        <v>-0.38723707311827954</v>
      </c>
      <c r="BP8" s="57">
        <v>-0.36640479661942005</v>
      </c>
      <c r="BQ8" s="57">
        <v>-0.32980499103697158</v>
      </c>
      <c r="BR8" s="57">
        <v>-0.41722902634408604</v>
      </c>
      <c r="BS8" s="57">
        <v>-0.38782916637131692</v>
      </c>
      <c r="BT8" s="57">
        <v>-0.35623075430107526</v>
      </c>
      <c r="BU8" s="57">
        <v>-0.4228393126344086</v>
      </c>
      <c r="BV8" s="57">
        <v>-0.38223901586021503</v>
      </c>
      <c r="BW8" s="57">
        <v>-0.34148680812486282</v>
      </c>
    </row>
    <row r="9" spans="1:75" x14ac:dyDescent="0.3">
      <c r="A9" s="8" t="s">
        <v>89</v>
      </c>
      <c r="B9" s="8" t="s">
        <v>8</v>
      </c>
      <c r="C9" s="8" t="s">
        <v>115</v>
      </c>
      <c r="D9" s="57">
        <v>-0.10227977293906809</v>
      </c>
      <c r="E9" s="57">
        <v>-9.9785386379928301E-2</v>
      </c>
      <c r="F9" s="57">
        <v>-0.11385974481915934</v>
      </c>
      <c r="G9" s="57">
        <v>-9.8217087275985618E-2</v>
      </c>
      <c r="H9" s="57">
        <v>-0.1011345786738351</v>
      </c>
      <c r="I9" s="57">
        <v>-0.10910876810035842</v>
      </c>
      <c r="J9" s="57">
        <v>-9.696978924731188E-2</v>
      </c>
      <c r="K9" s="57">
        <v>-0.10424419336917554</v>
      </c>
      <c r="L9" s="57">
        <v>-0.11395274827021966</v>
      </c>
      <c r="M9" s="57">
        <v>-7.8424012007168434E-2</v>
      </c>
      <c r="N9" s="57">
        <v>-8.9525770609318975E-2</v>
      </c>
      <c r="O9" s="57">
        <v>-0.10639251296556024</v>
      </c>
      <c r="P9" s="57">
        <v>-8.9192335842293899E-2</v>
      </c>
      <c r="Q9" s="57">
        <v>-9.8592017025089587E-2</v>
      </c>
      <c r="R9" s="57">
        <v>-0.1089055505376344</v>
      </c>
      <c r="S9" s="57">
        <v>-8.162266308243725E-2</v>
      </c>
      <c r="T9" s="57">
        <v>-9.7887223835125436E-2</v>
      </c>
      <c r="U9" s="57">
        <v>-0.10424245878136201</v>
      </c>
      <c r="V9" s="57">
        <v>-9.6750480286738341E-2</v>
      </c>
      <c r="W9" s="57">
        <v>-9.8912166606839921E-2</v>
      </c>
      <c r="X9" s="57">
        <v>-0.11213435104336733</v>
      </c>
      <c r="Y9" s="57">
        <v>-0.11687880663082433</v>
      </c>
      <c r="Z9" s="57">
        <v>-0.11330926577060928</v>
      </c>
      <c r="AA9" s="57">
        <v>-0.119541208570249</v>
      </c>
      <c r="AB9" s="57">
        <v>-8.935121420445688E-2</v>
      </c>
      <c r="AC9" s="57">
        <v>-0.10267745734767021</v>
      </c>
      <c r="AD9" s="57">
        <v>-0.10111396845878134</v>
      </c>
      <c r="AE9" s="57">
        <v>-8.9874277645317108E-2</v>
      </c>
      <c r="AF9" s="57">
        <v>-9.9693835125448008E-2</v>
      </c>
      <c r="AG9" s="57">
        <v>-9.7559022759856603E-2</v>
      </c>
      <c r="AH9" s="57">
        <v>-0.11063701971326165</v>
      </c>
      <c r="AI9" s="57">
        <v>-0.10575425362811788</v>
      </c>
      <c r="AJ9" s="57">
        <v>-0.10143402903225805</v>
      </c>
      <c r="AK9" s="57">
        <v>-7.241067240143377E-2</v>
      </c>
      <c r="AL9" s="57">
        <v>-7.8518092652329702E-2</v>
      </c>
      <c r="AM9" s="57">
        <v>-9.4482422222222209E-2</v>
      </c>
      <c r="AN9" s="57">
        <v>-0.10570407117021564</v>
      </c>
      <c r="AO9" s="57">
        <v>-0.10622102706093194</v>
      </c>
      <c r="AP9" s="57">
        <v>-9.8401611290322585E-2</v>
      </c>
      <c r="AQ9" s="57">
        <v>-8.1979403786703028E-2</v>
      </c>
      <c r="AR9" s="57">
        <v>-7.5533116308243747E-2</v>
      </c>
      <c r="AS9" s="57">
        <v>-9.2152474372759835E-2</v>
      </c>
      <c r="AT9" s="57">
        <v>-9.258146381557511E-2</v>
      </c>
      <c r="AU9" s="57">
        <v>-0.10370814964157704</v>
      </c>
      <c r="AV9" s="57">
        <v>-0.10003716899641575</v>
      </c>
      <c r="AW9" s="57">
        <v>-9.8399164813005202E-2</v>
      </c>
      <c r="AX9" s="57">
        <v>-9.046323942652329E-2</v>
      </c>
      <c r="AY9" s="57">
        <v>-0.10861973620071683</v>
      </c>
      <c r="AZ9" s="57">
        <v>-0.11837021433691744</v>
      </c>
      <c r="BA9" s="57">
        <v>-0.1131122770609319</v>
      </c>
      <c r="BB9" s="57">
        <v>-0.10909403699436764</v>
      </c>
      <c r="BC9" s="57">
        <v>-9.9012251792114661E-2</v>
      </c>
      <c r="BD9" s="57">
        <v>-0.11305400609318995</v>
      </c>
      <c r="BE9" s="57">
        <v>-0.10754190071684587</v>
      </c>
      <c r="BF9" s="57">
        <v>-9.6313320788530443E-2</v>
      </c>
      <c r="BG9" s="57">
        <v>-0.1047792596774193</v>
      </c>
      <c r="BH9" s="57">
        <v>-9.1003760935071579E-2</v>
      </c>
      <c r="BI9" s="57">
        <v>-9.4448684587813608E-2</v>
      </c>
      <c r="BJ9" s="57">
        <v>-0.10505957706093187</v>
      </c>
      <c r="BK9" s="57">
        <v>-0.10792692688489229</v>
      </c>
      <c r="BL9" s="57">
        <v>-8.3108732078853026E-2</v>
      </c>
      <c r="BM9" s="57">
        <v>-9.4746141501031819E-2</v>
      </c>
      <c r="BN9" s="57">
        <v>-0.10080808651740561</v>
      </c>
      <c r="BO9" s="57">
        <v>-8.3016617921146965E-2</v>
      </c>
      <c r="BP9" s="57">
        <v>-9.4324135587053312E-2</v>
      </c>
      <c r="BQ9" s="57">
        <v>-0.11124613382923357</v>
      </c>
      <c r="BR9" s="57">
        <v>-0.1082393157706093</v>
      </c>
      <c r="BS9" s="57">
        <v>-0.10271673410743383</v>
      </c>
      <c r="BT9" s="57">
        <v>-0.11597416379928314</v>
      </c>
      <c r="BU9" s="57">
        <v>-9.9209124910394256E-2</v>
      </c>
      <c r="BV9" s="57">
        <v>-9.9950656093189968E-2</v>
      </c>
      <c r="BW9" s="57">
        <v>-0.1140659238351255</v>
      </c>
    </row>
    <row r="10" spans="1:75" x14ac:dyDescent="0.3">
      <c r="A10" s="8" t="s">
        <v>89</v>
      </c>
      <c r="B10" s="8" t="s">
        <v>8</v>
      </c>
      <c r="C10" s="8" t="s">
        <v>116</v>
      </c>
      <c r="D10" s="57">
        <v>-0.33271000808691753</v>
      </c>
      <c r="E10" s="57">
        <v>-0.3045429664874551</v>
      </c>
      <c r="F10" s="57">
        <v>-0.26406206778470187</v>
      </c>
      <c r="G10" s="57">
        <v>-0.29465952954749092</v>
      </c>
      <c r="H10" s="57">
        <v>-0.26611786167114693</v>
      </c>
      <c r="I10" s="57">
        <v>-0.23914228006272403</v>
      </c>
      <c r="J10" s="57">
        <v>-0.31187231827957002</v>
      </c>
      <c r="K10" s="57">
        <v>-0.29909787085573464</v>
      </c>
      <c r="L10" s="57">
        <v>-0.2580852307123655</v>
      </c>
      <c r="M10" s="57">
        <v>-0.2668088575044803</v>
      </c>
      <c r="N10" s="57">
        <v>-0.25526910663082431</v>
      </c>
      <c r="O10" s="57">
        <v>-0.23790663364695336</v>
      </c>
      <c r="P10" s="57">
        <v>-0.29667040990143356</v>
      </c>
      <c r="Q10" s="57">
        <v>-0.28640326064068089</v>
      </c>
      <c r="R10" s="57">
        <v>-0.24930406908602148</v>
      </c>
      <c r="S10" s="57">
        <v>-0.26290266442652327</v>
      </c>
      <c r="T10" s="57">
        <v>-0.25322346489695335</v>
      </c>
      <c r="U10" s="57">
        <v>-0.23146403673835123</v>
      </c>
      <c r="V10" s="57">
        <v>-0.29645055017921146</v>
      </c>
      <c r="W10" s="57">
        <v>-0.28049456758792157</v>
      </c>
      <c r="X10" s="57">
        <v>-0.24082531521362291</v>
      </c>
      <c r="Y10" s="57">
        <v>-0.28378080414426521</v>
      </c>
      <c r="Z10" s="57">
        <v>-0.25692674110663083</v>
      </c>
      <c r="AA10" s="57">
        <v>-0.23622285116792394</v>
      </c>
      <c r="AB10" s="57">
        <v>-0.28872529366039418</v>
      </c>
      <c r="AC10" s="57">
        <v>-0.28396751084229371</v>
      </c>
      <c r="AD10" s="57">
        <v>-0.23027373028673828</v>
      </c>
      <c r="AE10" s="57">
        <v>-0.25131790831093193</v>
      </c>
      <c r="AF10" s="57">
        <v>-0.24083414695340502</v>
      </c>
      <c r="AG10" s="57">
        <v>-0.2138062392249104</v>
      </c>
      <c r="AH10" s="57">
        <v>-0.32250413732078848</v>
      </c>
      <c r="AI10" s="57">
        <v>-0.29474758300736964</v>
      </c>
      <c r="AJ10" s="57">
        <v>-0.23909666814516131</v>
      </c>
      <c r="AK10" s="57">
        <v>-0.24530477025089617</v>
      </c>
      <c r="AL10" s="57">
        <v>-0.2315561579077062</v>
      </c>
      <c r="AM10" s="57">
        <v>-0.2181748138888889</v>
      </c>
      <c r="AN10" s="57">
        <v>-0.32242977619339602</v>
      </c>
      <c r="AO10" s="57">
        <v>-0.30119019191308249</v>
      </c>
      <c r="AP10" s="57">
        <v>-0.2427998570564516</v>
      </c>
      <c r="AQ10" s="57">
        <v>-0.26065965907870048</v>
      </c>
      <c r="AR10" s="57">
        <v>-0.23630014769265231</v>
      </c>
      <c r="AS10" s="57">
        <v>-0.22102014648297488</v>
      </c>
      <c r="AT10" s="57">
        <v>-0.29384209215746171</v>
      </c>
      <c r="AU10" s="57">
        <v>-0.28795384352598563</v>
      </c>
      <c r="AV10" s="57">
        <v>-0.23828468062275965</v>
      </c>
      <c r="AW10" s="57">
        <v>-0.26527807800812819</v>
      </c>
      <c r="AX10" s="57">
        <v>-0.23880362464157706</v>
      </c>
      <c r="AY10" s="57">
        <v>-0.22732203512544805</v>
      </c>
      <c r="AZ10" s="57">
        <v>-0.32246298396057321</v>
      </c>
      <c r="BA10" s="57">
        <v>-0.29916077316308232</v>
      </c>
      <c r="BB10" s="57">
        <v>-0.24579596597862263</v>
      </c>
      <c r="BC10" s="57">
        <v>-0.26807820737007165</v>
      </c>
      <c r="BD10" s="57">
        <v>-0.25968275380824374</v>
      </c>
      <c r="BE10" s="57">
        <v>-0.22863828794802862</v>
      </c>
      <c r="BF10" s="57">
        <v>-0.30285982549283152</v>
      </c>
      <c r="BG10" s="57">
        <v>-0.29182098729838701</v>
      </c>
      <c r="BH10" s="57">
        <v>-0.22155865235433128</v>
      </c>
      <c r="BI10" s="57">
        <v>-0.26101892786738357</v>
      </c>
      <c r="BJ10" s="57">
        <v>-0.24794973566308248</v>
      </c>
      <c r="BK10" s="57">
        <v>-0.22635673107296914</v>
      </c>
      <c r="BL10" s="57">
        <v>-0.30409970754928317</v>
      </c>
      <c r="BM10" s="57">
        <v>-0.29104343843814479</v>
      </c>
      <c r="BN10" s="57">
        <v>-0.24513658284050183</v>
      </c>
      <c r="BO10" s="57">
        <v>-0.2668032862007168</v>
      </c>
      <c r="BP10" s="57">
        <v>-0.25470903474190831</v>
      </c>
      <c r="BQ10" s="57">
        <v>-0.23816756241039422</v>
      </c>
      <c r="BR10" s="57">
        <v>-0.33837017235663086</v>
      </c>
      <c r="BS10" s="57">
        <v>-0.30773799894701609</v>
      </c>
      <c r="BT10" s="57">
        <v>-0.26665585237455203</v>
      </c>
      <c r="BU10" s="57">
        <v>-0.29344805306899646</v>
      </c>
      <c r="BV10" s="57">
        <v>-0.2664075100582437</v>
      </c>
      <c r="BW10" s="57">
        <v>-0.24390545647858611</v>
      </c>
    </row>
    <row r="11" spans="1:75" x14ac:dyDescent="0.3">
      <c r="A11" s="8" t="s">
        <v>89</v>
      </c>
      <c r="B11" s="8" t="s">
        <v>8</v>
      </c>
      <c r="C11" s="8" t="s">
        <v>117</v>
      </c>
      <c r="D11" s="57">
        <v>-0.3097421648521505</v>
      </c>
      <c r="E11" s="57">
        <v>-0.28172001989247314</v>
      </c>
      <c r="F11" s="57">
        <v>-0.24468894976173014</v>
      </c>
      <c r="G11" s="57">
        <v>-0.27772915772849466</v>
      </c>
      <c r="H11" s="57">
        <v>-0.24851071700268812</v>
      </c>
      <c r="I11" s="57">
        <v>-0.22105528803763438</v>
      </c>
      <c r="J11" s="57">
        <v>-0.28899667096774201</v>
      </c>
      <c r="K11" s="57">
        <v>-0.2763243225134408</v>
      </c>
      <c r="L11" s="57">
        <v>-0.23874555234046277</v>
      </c>
      <c r="M11" s="57">
        <v>-0.24994675450268816</v>
      </c>
      <c r="N11" s="57">
        <v>-0.23824466397849459</v>
      </c>
      <c r="O11" s="57">
        <v>-0.2198147141012155</v>
      </c>
      <c r="P11" s="57">
        <v>-0.27384512594086025</v>
      </c>
      <c r="Q11" s="57">
        <v>-0.26351075638440835</v>
      </c>
      <c r="R11" s="57">
        <v>-0.22999108145161293</v>
      </c>
      <c r="S11" s="57">
        <v>-0.24607599865591398</v>
      </c>
      <c r="T11" s="57">
        <v>-0.23513695893817207</v>
      </c>
      <c r="U11" s="57">
        <v>-0.21339842204301079</v>
      </c>
      <c r="V11" s="57">
        <v>-0.27950393010752683</v>
      </c>
      <c r="W11" s="57">
        <v>-0.26364550157530953</v>
      </c>
      <c r="X11" s="57">
        <v>-0.22172729132712662</v>
      </c>
      <c r="Y11" s="57">
        <v>-0.26537280248655909</v>
      </c>
      <c r="Z11" s="57">
        <v>-0.23865172466397849</v>
      </c>
      <c r="AA11" s="57">
        <v>-0.21657861289970723</v>
      </c>
      <c r="AB11" s="57">
        <v>-0.27178934663101917</v>
      </c>
      <c r="AC11" s="57">
        <v>-0.26711554650537633</v>
      </c>
      <c r="AD11" s="57">
        <v>-0.21228423817204303</v>
      </c>
      <c r="AE11" s="57">
        <v>-0.23459099542134171</v>
      </c>
      <c r="AF11" s="57">
        <v>-0.22420768817204303</v>
      </c>
      <c r="AG11" s="57">
        <v>-0.1958923835349462</v>
      </c>
      <c r="AH11" s="57">
        <v>-0.29962888239247315</v>
      </c>
      <c r="AI11" s="57">
        <v>-0.27160313592687069</v>
      </c>
      <c r="AJ11" s="57">
        <v>-0.21980776088709678</v>
      </c>
      <c r="AK11" s="57">
        <v>-0.22853550215053769</v>
      </c>
      <c r="AL11" s="57">
        <v>-0.21420953474462365</v>
      </c>
      <c r="AM11" s="57">
        <v>-0.2001404083333333</v>
      </c>
      <c r="AN11" s="57">
        <v>-0.29953357954218285</v>
      </c>
      <c r="AO11" s="57">
        <v>-0.27841363514784945</v>
      </c>
      <c r="AP11" s="57">
        <v>-0.223477354233871</v>
      </c>
      <c r="AQ11" s="57">
        <v>-0.24326382927336568</v>
      </c>
      <c r="AR11" s="57">
        <v>-0.21959416861559142</v>
      </c>
      <c r="AS11" s="57">
        <v>-0.20295992788978495</v>
      </c>
      <c r="AT11" s="57">
        <v>-0.27689184438538611</v>
      </c>
      <c r="AU11" s="57">
        <v>-0.27108430611559142</v>
      </c>
      <c r="AV11" s="57">
        <v>-0.2171096883736558</v>
      </c>
      <c r="AW11" s="57">
        <v>-0.24701868680487701</v>
      </c>
      <c r="AX11" s="57">
        <v>-0.22132921478494624</v>
      </c>
      <c r="AY11" s="57">
        <v>-0.20853690107526876</v>
      </c>
      <c r="AZ11" s="57">
        <v>-0.29815683037634394</v>
      </c>
      <c r="BA11" s="57">
        <v>-0.27494510389784932</v>
      </c>
      <c r="BB11" s="57">
        <v>-0.22503858530145934</v>
      </c>
      <c r="BC11" s="57">
        <v>-0.25053684442204305</v>
      </c>
      <c r="BD11" s="57">
        <v>-0.24105925228494604</v>
      </c>
      <c r="BE11" s="57">
        <v>-0.2098412127688172</v>
      </c>
      <c r="BF11" s="57">
        <v>-0.28507749529569887</v>
      </c>
      <c r="BG11" s="57">
        <v>-0.27423147237903223</v>
      </c>
      <c r="BH11" s="57">
        <v>-0.20278724663383774</v>
      </c>
      <c r="BI11" s="57">
        <v>-0.24238575672043025</v>
      </c>
      <c r="BJ11" s="57">
        <v>-0.22944984139784946</v>
      </c>
      <c r="BK11" s="57">
        <v>-0.20757393386502046</v>
      </c>
      <c r="BL11" s="57">
        <v>-0.28120702452956992</v>
      </c>
      <c r="BM11" s="57">
        <v>-0.26811630306288692</v>
      </c>
      <c r="BN11" s="57">
        <v>-0.22581158038923252</v>
      </c>
      <c r="BO11" s="57">
        <v>-0.24919973172043008</v>
      </c>
      <c r="BP11" s="57">
        <v>-0.23698830084514497</v>
      </c>
      <c r="BQ11" s="57">
        <v>-0.21933384813116807</v>
      </c>
      <c r="BR11" s="57">
        <v>-0.31363874341397846</v>
      </c>
      <c r="BS11" s="57">
        <v>-0.28420684217340469</v>
      </c>
      <c r="BT11" s="57">
        <v>-0.24657431142473116</v>
      </c>
      <c r="BU11" s="57">
        <v>-0.27652867184139784</v>
      </c>
      <c r="BV11" s="57">
        <v>-0.24895074603494627</v>
      </c>
      <c r="BW11" s="57">
        <v>-0.22569314490755987</v>
      </c>
    </row>
    <row r="12" spans="1:75" x14ac:dyDescent="0.3">
      <c r="A12" s="8" t="s">
        <v>89</v>
      </c>
      <c r="B12" s="8" t="s">
        <v>8</v>
      </c>
      <c r="C12" s="8" t="s">
        <v>118</v>
      </c>
      <c r="D12" s="57">
        <v>-0.34455271757392475</v>
      </c>
      <c r="E12" s="57">
        <v>-0.31426759005376342</v>
      </c>
      <c r="F12" s="57">
        <v>-0.27902563421004406</v>
      </c>
      <c r="G12" s="57">
        <v>-0.32181962113575269</v>
      </c>
      <c r="H12" s="57">
        <v>-0.28803404149865597</v>
      </c>
      <c r="I12" s="57">
        <v>-0.25607595598118277</v>
      </c>
      <c r="J12" s="57">
        <v>-0.32244806451612912</v>
      </c>
      <c r="K12" s="57">
        <v>-0.30798523874327954</v>
      </c>
      <c r="L12" s="57">
        <v>-0.27254547600368156</v>
      </c>
      <c r="M12" s="57">
        <v>-0.29337482274865595</v>
      </c>
      <c r="N12" s="57">
        <v>-0.27906766801075272</v>
      </c>
      <c r="O12" s="57">
        <v>-0.25497309512330529</v>
      </c>
      <c r="P12" s="57">
        <v>-0.30665983702956989</v>
      </c>
      <c r="Q12" s="57">
        <v>-0.29421762180779576</v>
      </c>
      <c r="R12" s="57">
        <v>-0.26347365927419353</v>
      </c>
      <c r="S12" s="57">
        <v>-0.28886800067204305</v>
      </c>
      <c r="T12" s="57">
        <v>-0.27268892053091398</v>
      </c>
      <c r="U12" s="57">
        <v>-0.24818278897849463</v>
      </c>
      <c r="V12" s="57">
        <v>-0.32388603494623658</v>
      </c>
      <c r="W12" s="57">
        <v>-0.30642070304693209</v>
      </c>
      <c r="X12" s="57">
        <v>-0.25449053758250995</v>
      </c>
      <c r="Y12" s="57">
        <v>-0.30340619875672042</v>
      </c>
      <c r="Z12" s="57">
        <v>-0.2746359376680107</v>
      </c>
      <c r="AA12" s="57">
        <v>-0.24699387679621967</v>
      </c>
      <c r="AB12" s="57">
        <v>-0.31616126581492526</v>
      </c>
      <c r="AC12" s="57">
        <v>-0.30985542674731181</v>
      </c>
      <c r="AD12" s="57">
        <v>-0.2474222809139785</v>
      </c>
      <c r="AE12" s="57">
        <v>-0.27560884141976394</v>
      </c>
      <c r="AF12" s="57">
        <v>-0.26340615591397842</v>
      </c>
      <c r="AG12" s="57">
        <v>-0.22989800823252685</v>
      </c>
      <c r="AH12" s="57">
        <v>-0.33277755880376342</v>
      </c>
      <c r="AI12" s="57">
        <v>-0.30189912999574831</v>
      </c>
      <c r="AJ12" s="57">
        <v>-0.25306731955645156</v>
      </c>
      <c r="AK12" s="57">
        <v>-0.27060944892473127</v>
      </c>
      <c r="AL12" s="57">
        <v>-0.25308543262768829</v>
      </c>
      <c r="AM12" s="57">
        <v>-0.23463739583333332</v>
      </c>
      <c r="AN12" s="57">
        <v>-0.33312413707695337</v>
      </c>
      <c r="AO12" s="57">
        <v>-0.31007978242607537</v>
      </c>
      <c r="AP12" s="57">
        <v>-0.25733992288306451</v>
      </c>
      <c r="AQ12" s="57">
        <v>-0.28460061221136201</v>
      </c>
      <c r="AR12" s="57">
        <v>-0.26058831569220431</v>
      </c>
      <c r="AS12" s="57">
        <v>-0.23792023605510751</v>
      </c>
      <c r="AT12" s="57">
        <v>-0.32142238689821601</v>
      </c>
      <c r="AU12" s="57">
        <v>-0.31408284694220434</v>
      </c>
      <c r="AV12" s="57">
        <v>-0.25147695581317198</v>
      </c>
      <c r="AW12" s="57">
        <v>-0.28536185659756147</v>
      </c>
      <c r="AX12" s="57">
        <v>-0.25946699260752693</v>
      </c>
      <c r="AY12" s="57">
        <v>-0.24095834946236555</v>
      </c>
      <c r="AZ12" s="57">
        <v>-0.32752318481182785</v>
      </c>
      <c r="BA12" s="57">
        <v>-0.30269704805107533</v>
      </c>
      <c r="BB12" s="57">
        <v>-0.25511827877784171</v>
      </c>
      <c r="BC12" s="57">
        <v>-0.29060657778897853</v>
      </c>
      <c r="BD12" s="57">
        <v>-0.27661277385752692</v>
      </c>
      <c r="BE12" s="57">
        <v>-0.24247699361559139</v>
      </c>
      <c r="BF12" s="57">
        <v>-0.32838925235215055</v>
      </c>
      <c r="BG12" s="57">
        <v>-0.31599766381048383</v>
      </c>
      <c r="BH12" s="57">
        <v>-0.23642278376272732</v>
      </c>
      <c r="BI12" s="57">
        <v>-0.27991312163978493</v>
      </c>
      <c r="BJ12" s="57">
        <v>-0.26488907930107525</v>
      </c>
      <c r="BK12" s="57">
        <v>-0.23997304014713577</v>
      </c>
      <c r="BL12" s="57">
        <v>-0.31523148773521509</v>
      </c>
      <c r="BM12" s="57">
        <v>-0.29959904846855667</v>
      </c>
      <c r="BN12" s="57">
        <v>-0.25966192487387685</v>
      </c>
      <c r="BO12" s="57">
        <v>-0.29061093413978489</v>
      </c>
      <c r="BP12" s="57">
        <v>-0.27581324957742753</v>
      </c>
      <c r="BQ12" s="57">
        <v>-0.25247519100290916</v>
      </c>
      <c r="BR12" s="57">
        <v>-0.34471582829301078</v>
      </c>
      <c r="BS12" s="57">
        <v>-0.31529353943277832</v>
      </c>
      <c r="BT12" s="57">
        <v>-0.27947124428763442</v>
      </c>
      <c r="BU12" s="57">
        <v>-0.32042186407930107</v>
      </c>
      <c r="BV12" s="57">
        <v>-0.288937226982527</v>
      </c>
      <c r="BW12" s="57">
        <v>-0.26043124387275068</v>
      </c>
    </row>
    <row r="13" spans="1:75" x14ac:dyDescent="0.3">
      <c r="A13" s="8" t="s">
        <v>89</v>
      </c>
      <c r="B13" s="8" t="s">
        <v>9</v>
      </c>
      <c r="C13" s="8" t="s">
        <v>108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v>0</v>
      </c>
      <c r="Q13" s="57">
        <v>0</v>
      </c>
      <c r="R13" s="57">
        <v>0</v>
      </c>
      <c r="S13" s="57">
        <v>0</v>
      </c>
      <c r="T13" s="57">
        <v>0</v>
      </c>
      <c r="U13" s="57">
        <v>0</v>
      </c>
      <c r="V13" s="57">
        <v>0</v>
      </c>
      <c r="W13" s="57">
        <v>0</v>
      </c>
      <c r="X13" s="57">
        <v>0</v>
      </c>
      <c r="Y13" s="57">
        <v>0</v>
      </c>
      <c r="Z13" s="57">
        <v>0</v>
      </c>
      <c r="AA13" s="57">
        <v>0</v>
      </c>
      <c r="AB13" s="57">
        <v>0</v>
      </c>
      <c r="AC13" s="57">
        <v>0</v>
      </c>
      <c r="AD13" s="57">
        <v>0</v>
      </c>
      <c r="AE13" s="57">
        <v>0</v>
      </c>
      <c r="AF13" s="57">
        <v>0</v>
      </c>
      <c r="AG13" s="57">
        <v>0</v>
      </c>
      <c r="AH13" s="57">
        <v>0</v>
      </c>
      <c r="AI13" s="57">
        <v>0</v>
      </c>
      <c r="AJ13" s="57">
        <v>0</v>
      </c>
      <c r="AK13" s="57">
        <v>0</v>
      </c>
      <c r="AL13" s="57">
        <v>0</v>
      </c>
      <c r="AM13" s="57">
        <v>0</v>
      </c>
      <c r="AN13" s="57">
        <v>0</v>
      </c>
      <c r="AO13" s="57">
        <v>0</v>
      </c>
      <c r="AP13" s="57">
        <v>0</v>
      </c>
      <c r="AQ13" s="57">
        <v>0</v>
      </c>
      <c r="AR13" s="57">
        <v>0</v>
      </c>
      <c r="AS13" s="57">
        <v>0</v>
      </c>
      <c r="AT13" s="57">
        <v>0</v>
      </c>
      <c r="AU13" s="57">
        <v>0</v>
      </c>
      <c r="AV13" s="57">
        <v>0</v>
      </c>
      <c r="AW13" s="57">
        <v>0</v>
      </c>
      <c r="AX13" s="57">
        <v>0</v>
      </c>
      <c r="AY13" s="57">
        <v>0</v>
      </c>
      <c r="AZ13" s="57">
        <v>0</v>
      </c>
      <c r="BA13" s="57">
        <v>0</v>
      </c>
      <c r="BB13" s="57">
        <v>0</v>
      </c>
      <c r="BC13" s="57">
        <v>0</v>
      </c>
      <c r="BD13" s="57">
        <v>0</v>
      </c>
      <c r="BE13" s="57">
        <v>0</v>
      </c>
      <c r="BF13" s="57">
        <v>0</v>
      </c>
      <c r="BG13" s="57">
        <v>0</v>
      </c>
      <c r="BH13" s="57">
        <v>0</v>
      </c>
      <c r="BI13" s="57">
        <v>0</v>
      </c>
      <c r="BJ13" s="57">
        <v>0</v>
      </c>
      <c r="BK13" s="57">
        <v>0</v>
      </c>
      <c r="BL13" s="57">
        <v>0</v>
      </c>
      <c r="BM13" s="57">
        <v>0</v>
      </c>
      <c r="BN13" s="57">
        <v>0</v>
      </c>
      <c r="BO13" s="57">
        <v>0</v>
      </c>
      <c r="BP13" s="57">
        <v>0</v>
      </c>
      <c r="BQ13" s="57">
        <v>0</v>
      </c>
      <c r="BR13" s="57">
        <v>0</v>
      </c>
      <c r="BS13" s="57">
        <v>0</v>
      </c>
      <c r="BT13" s="57">
        <v>0</v>
      </c>
      <c r="BU13" s="57">
        <v>0</v>
      </c>
      <c r="BV13" s="57">
        <v>0</v>
      </c>
      <c r="BW13" s="57">
        <v>0</v>
      </c>
    </row>
    <row r="14" spans="1:75" x14ac:dyDescent="0.3">
      <c r="A14" s="8" t="s">
        <v>89</v>
      </c>
      <c r="B14" s="8" t="s">
        <v>9</v>
      </c>
      <c r="C14" s="8" t="s">
        <v>109</v>
      </c>
      <c r="D14" s="57">
        <v>2.5842753942652365E-2</v>
      </c>
      <c r="E14" s="57">
        <v>-1.1645873624219143E-2</v>
      </c>
      <c r="F14" s="57">
        <v>-2.0654052737047859E-2</v>
      </c>
      <c r="G14" s="57">
        <v>1.8532643906810219E-2</v>
      </c>
      <c r="H14" s="57">
        <v>-7.0577636200717343E-3</v>
      </c>
      <c r="I14" s="57">
        <v>-2.5977047670251059E-2</v>
      </c>
      <c r="J14" s="57">
        <v>-9.5087885304634325E-4</v>
      </c>
      <c r="K14" s="57">
        <v>-2.543191594982085E-2</v>
      </c>
      <c r="L14" s="57">
        <v>-3.1121751075268843E-2</v>
      </c>
      <c r="M14" s="57">
        <v>4.5765578853047455E-3</v>
      </c>
      <c r="N14" s="57">
        <v>-6.8111756272401808E-3</v>
      </c>
      <c r="O14" s="57">
        <v>-1.0431578136200827E-2</v>
      </c>
      <c r="P14" s="57">
        <v>4.4092072759856632E-2</v>
      </c>
      <c r="Q14" s="57">
        <v>7.7239507168460455E-3</v>
      </c>
      <c r="R14" s="57">
        <v>1.118923193791977E-2</v>
      </c>
      <c r="S14" s="57">
        <v>1.9315304659498242E-3</v>
      </c>
      <c r="T14" s="57">
        <v>-3.3975019534050029E-2</v>
      </c>
      <c r="U14" s="57">
        <v>-5.1248851933047922E-2</v>
      </c>
      <c r="V14" s="57">
        <v>2.4145863799283185E-2</v>
      </c>
      <c r="W14" s="57">
        <v>-7.0911405017920577E-3</v>
      </c>
      <c r="X14" s="57">
        <v>-7.0269399266266281E-3</v>
      </c>
      <c r="Y14" s="57">
        <v>-5.8548107706093144E-2</v>
      </c>
      <c r="Z14" s="57">
        <v>-5.1820652867383465E-2</v>
      </c>
      <c r="AA14" s="57">
        <v>-6.7831585983974194E-2</v>
      </c>
      <c r="AB14" s="57">
        <v>4.0386803405017928E-2</v>
      </c>
      <c r="AC14" s="57">
        <v>-1.4457949905123777E-3</v>
      </c>
      <c r="AD14" s="57">
        <v>-1.3159817921146968E-2</v>
      </c>
      <c r="AE14" s="57">
        <v>6.9098689964156986E-3</v>
      </c>
      <c r="AF14" s="57">
        <v>-3.0068839434956762E-2</v>
      </c>
      <c r="AG14" s="57">
        <v>-1.7366710931899672E-2</v>
      </c>
      <c r="AH14" s="57">
        <v>-6.1433637992832236E-3</v>
      </c>
      <c r="AI14" s="57">
        <v>-1.8545969803106466E-2</v>
      </c>
      <c r="AJ14" s="57">
        <v>-1.2509878494623625E-2</v>
      </c>
      <c r="AK14" s="57">
        <v>-3.0955864854902017E-2</v>
      </c>
      <c r="AL14" s="57">
        <v>-3.8162063351493532E-2</v>
      </c>
      <c r="AM14" s="57">
        <v>-2.1550092473118301E-2</v>
      </c>
      <c r="AN14" s="57">
        <v>2.2200259856630824E-3</v>
      </c>
      <c r="AO14" s="57">
        <v>-2.178273836754643E-2</v>
      </c>
      <c r="AP14" s="57">
        <v>9.3919134408602372E-3</v>
      </c>
      <c r="AQ14" s="57">
        <v>-4.4420797670250894E-2</v>
      </c>
      <c r="AR14" s="57">
        <v>-3.4321585842293903E-2</v>
      </c>
      <c r="AS14" s="57">
        <v>-3.7928262903225762E-2</v>
      </c>
      <c r="AT14" s="57">
        <v>2.6824200896057256E-2</v>
      </c>
      <c r="AU14" s="57">
        <v>1.7503518246987312E-3</v>
      </c>
      <c r="AV14" s="57">
        <v>-1.6127102150538528E-3</v>
      </c>
      <c r="AW14" s="57">
        <v>-2.4108627598566221E-2</v>
      </c>
      <c r="AX14" s="57">
        <v>-4.5532650179211424E-2</v>
      </c>
      <c r="AY14" s="57">
        <v>-5.8264295340501794E-2</v>
      </c>
      <c r="AZ14" s="57">
        <v>-4.6117345519713297E-2</v>
      </c>
      <c r="BA14" s="57">
        <v>-7.7210684229390661E-2</v>
      </c>
      <c r="BB14" s="57">
        <v>-3.5681379032258063E-2</v>
      </c>
      <c r="BC14" s="57">
        <v>-5.7070404480286732E-2</v>
      </c>
      <c r="BD14" s="57">
        <v>-5.5662793189964165E-2</v>
      </c>
      <c r="BE14" s="57">
        <v>-5.41390405017921E-2</v>
      </c>
      <c r="BF14" s="57">
        <v>-5.8657299283154052E-2</v>
      </c>
      <c r="BG14" s="57">
        <v>-7.0950576523297532E-2</v>
      </c>
      <c r="BH14" s="57">
        <v>-6.2968099895327867E-2</v>
      </c>
      <c r="BI14" s="57">
        <v>-5.8537845878136145E-2</v>
      </c>
      <c r="BJ14" s="57">
        <v>-5.2487671684587844E-2</v>
      </c>
      <c r="BK14" s="57">
        <v>-7.0414819967012418E-2</v>
      </c>
      <c r="BL14" s="57">
        <v>5.4684762544802909E-2</v>
      </c>
      <c r="BM14" s="57">
        <v>2.0710617921146927E-2</v>
      </c>
      <c r="BN14" s="57">
        <v>-1.1924382073943161E-2</v>
      </c>
      <c r="BO14" s="57">
        <v>4.3793274551971337E-2</v>
      </c>
      <c r="BP14" s="57">
        <v>1.4773394444444445E-2</v>
      </c>
      <c r="BQ14" s="57">
        <v>-1.5367433642657715E-3</v>
      </c>
      <c r="BR14" s="57">
        <v>1.7866598207885383E-2</v>
      </c>
      <c r="BS14" s="57">
        <v>-7.4577001792114897E-3</v>
      </c>
      <c r="BT14" s="57">
        <v>-2.2098733874481299E-2</v>
      </c>
      <c r="BU14" s="57">
        <v>1.4735767562724074E-2</v>
      </c>
      <c r="BV14" s="57">
        <v>-9.7572532258063272E-3</v>
      </c>
      <c r="BW14" s="57">
        <v>-2.5964069354838783E-2</v>
      </c>
    </row>
    <row r="15" spans="1:75" x14ac:dyDescent="0.3">
      <c r="A15" s="8" t="s">
        <v>89</v>
      </c>
      <c r="B15" s="8" t="s">
        <v>9</v>
      </c>
      <c r="C15" s="8" t="s">
        <v>110</v>
      </c>
      <c r="D15" s="57">
        <v>3.3815649103942726E-2</v>
      </c>
      <c r="E15" s="57">
        <v>-3.450731521312915E-2</v>
      </c>
      <c r="F15" s="57">
        <v>-8.1678783675464259E-2</v>
      </c>
      <c r="G15" s="57">
        <v>-3.5460577060928422E-3</v>
      </c>
      <c r="H15" s="57">
        <v>-5.1436287813620099E-2</v>
      </c>
      <c r="I15" s="57">
        <v>-0.10560625734767042</v>
      </c>
      <c r="J15" s="57">
        <v>-1.5655782078852543E-2</v>
      </c>
      <c r="K15" s="57">
        <v>-5.9529230465949913E-2</v>
      </c>
      <c r="L15" s="57">
        <v>-0.10100590430107531</v>
      </c>
      <c r="M15" s="57">
        <v>-2.9314401792114531E-2</v>
      </c>
      <c r="N15" s="57">
        <v>-5.1195369175627239E-2</v>
      </c>
      <c r="O15" s="57">
        <v>-8.3215045878136371E-2</v>
      </c>
      <c r="P15" s="57">
        <v>4.1009024372759842E-2</v>
      </c>
      <c r="Q15" s="57">
        <v>-2.5095363799282896E-2</v>
      </c>
      <c r="R15" s="57">
        <v>-4.6559127911751347E-2</v>
      </c>
      <c r="S15" s="57">
        <v>1.893878853046593E-2</v>
      </c>
      <c r="T15" s="57">
        <v>-4.6668511469533769E-2</v>
      </c>
      <c r="U15" s="57">
        <v>-8.1332663395622271E-2</v>
      </c>
      <c r="V15" s="57">
        <v>6.8181218637993757E-3</v>
      </c>
      <c r="W15" s="57">
        <v>-5.0857495340501657E-2</v>
      </c>
      <c r="X15" s="57">
        <v>-7.9672795483120437E-2</v>
      </c>
      <c r="Y15" s="57">
        <v>-7.0105664157706027E-2</v>
      </c>
      <c r="Z15" s="57">
        <v>-6.8235644802867312E-2</v>
      </c>
      <c r="AA15" s="57">
        <v>-0.1106855463791777</v>
      </c>
      <c r="AB15" s="57">
        <v>2.8636246953405043E-2</v>
      </c>
      <c r="AC15" s="57">
        <v>-4.3413951726755245E-2</v>
      </c>
      <c r="AD15" s="57">
        <v>-8.9682205017921152E-2</v>
      </c>
      <c r="AE15" s="57">
        <v>-4.8678090681003636E-2</v>
      </c>
      <c r="AF15" s="57">
        <v>-0.11598599617119962</v>
      </c>
      <c r="AG15" s="57">
        <v>-0.10622347706093194</v>
      </c>
      <c r="AH15" s="57">
        <v>-2.52431218637994E-2</v>
      </c>
      <c r="AI15" s="57">
        <v>-5.2463643237822266E-2</v>
      </c>
      <c r="AJ15" s="57">
        <v>-8.1747313978494551E-2</v>
      </c>
      <c r="AK15" s="57">
        <v>-9.8976650135665561E-2</v>
      </c>
      <c r="AL15" s="57">
        <v>-0.1162358174313706</v>
      </c>
      <c r="AM15" s="57">
        <v>-0.10721276989247312</v>
      </c>
      <c r="AN15" s="57">
        <v>-9.80106272401432E-3</v>
      </c>
      <c r="AO15" s="57">
        <v>-5.6251944379276629E-2</v>
      </c>
      <c r="AP15" s="57">
        <v>-4.5672046236559086E-2</v>
      </c>
      <c r="AQ15" s="57">
        <v>-5.0688757347670262E-2</v>
      </c>
      <c r="AR15" s="57">
        <v>-3.97641100358423E-2</v>
      </c>
      <c r="AS15" s="57">
        <v>-6.3510351612903151E-2</v>
      </c>
      <c r="AT15" s="57">
        <v>1.176337025089591E-2</v>
      </c>
      <c r="AU15" s="57">
        <v>-3.6588244216356869E-2</v>
      </c>
      <c r="AV15" s="57">
        <v>-7.010254086021514E-2</v>
      </c>
      <c r="AW15" s="57">
        <v>-2.344164372759841E-2</v>
      </c>
      <c r="AX15" s="57">
        <v>-6.1377134050179145E-2</v>
      </c>
      <c r="AY15" s="57">
        <v>-9.7057714695340483E-2</v>
      </c>
      <c r="AZ15" s="57">
        <v>-2.3289248745519797E-2</v>
      </c>
      <c r="BA15" s="57">
        <v>-8.0699603584229368E-2</v>
      </c>
      <c r="BB15" s="57">
        <v>-5.0588016129032257E-2</v>
      </c>
      <c r="BC15" s="57">
        <v>-6.7377251254480269E-2</v>
      </c>
      <c r="BD15" s="57">
        <v>-7.0529906093189959E-2</v>
      </c>
      <c r="BE15" s="57">
        <v>-8.9440895340501772E-2</v>
      </c>
      <c r="BF15" s="57">
        <v>-4.644286379928303E-2</v>
      </c>
      <c r="BG15" s="57">
        <v>-6.7393939426523344E-2</v>
      </c>
      <c r="BH15" s="57">
        <v>-9.529998542201934E-2</v>
      </c>
      <c r="BI15" s="57">
        <v>-7.0086716845878028E-2</v>
      </c>
      <c r="BJ15" s="57">
        <v>-6.9467220071684668E-2</v>
      </c>
      <c r="BK15" s="57">
        <v>-0.11382239904209097</v>
      </c>
      <c r="BL15" s="57">
        <v>6.51348835125449E-2</v>
      </c>
      <c r="BM15" s="57">
        <v>3.4830050179211146E-3</v>
      </c>
      <c r="BN15" s="57">
        <v>-7.4735947473854772E-2</v>
      </c>
      <c r="BO15" s="57">
        <v>2.1160564874551979E-2</v>
      </c>
      <c r="BP15" s="57">
        <v>-3.1009855555555556E-2</v>
      </c>
      <c r="BQ15" s="57">
        <v>-7.399979263514514E-2</v>
      </c>
      <c r="BR15" s="57">
        <v>2.3403259498208026E-2</v>
      </c>
      <c r="BS15" s="57">
        <v>-2.1075434050179236E-2</v>
      </c>
      <c r="BT15" s="57">
        <v>-8.3366479288775885E-2</v>
      </c>
      <c r="BU15" s="57">
        <v>-1.0556563082437159E-2</v>
      </c>
      <c r="BV15" s="57">
        <v>-5.4073712903225671E-2</v>
      </c>
      <c r="BW15" s="57">
        <v>-0.10559357741935489</v>
      </c>
    </row>
    <row r="16" spans="1:75" x14ac:dyDescent="0.3">
      <c r="A16" s="8" t="s">
        <v>89</v>
      </c>
      <c r="B16" s="8" t="s">
        <v>9</v>
      </c>
      <c r="C16" s="8" t="s">
        <v>111</v>
      </c>
      <c r="D16" s="57">
        <v>-0.11674834059139784</v>
      </c>
      <c r="E16" s="57">
        <v>-0.12218407274149135</v>
      </c>
      <c r="F16" s="57">
        <v>-0.15000556458944281</v>
      </c>
      <c r="G16" s="57">
        <v>-0.16588636908602145</v>
      </c>
      <c r="H16" s="57">
        <v>-0.16346040295698921</v>
      </c>
      <c r="I16" s="57">
        <v>-0.1544328478494624</v>
      </c>
      <c r="J16" s="57">
        <v>-0.12191348817204294</v>
      </c>
      <c r="K16" s="57">
        <v>-0.12397675510752687</v>
      </c>
      <c r="L16" s="57">
        <v>-0.15202367983870968</v>
      </c>
      <c r="M16" s="57">
        <v>-0.16857675618279569</v>
      </c>
      <c r="N16" s="57">
        <v>-0.16327162365591391</v>
      </c>
      <c r="O16" s="57">
        <v>-0.14727756827956995</v>
      </c>
      <c r="P16" s="57">
        <v>-0.10791420591397854</v>
      </c>
      <c r="Q16" s="57">
        <v>-0.112834555107527</v>
      </c>
      <c r="R16" s="57">
        <v>-0.12826843168389185</v>
      </c>
      <c r="S16" s="57">
        <v>-0.14561277956989249</v>
      </c>
      <c r="T16" s="57">
        <v>-0.15115445456989243</v>
      </c>
      <c r="U16" s="57">
        <v>-0.14572220910324671</v>
      </c>
      <c r="V16" s="57">
        <v>-0.16480427956989244</v>
      </c>
      <c r="W16" s="57">
        <v>-0.17082599892473113</v>
      </c>
      <c r="X16" s="57">
        <v>-0.14481333263666052</v>
      </c>
      <c r="Y16" s="57">
        <v>-0.170342951344086</v>
      </c>
      <c r="Z16" s="57">
        <v>-0.15515700456989245</v>
      </c>
      <c r="AA16" s="57">
        <v>-0.14975257322805835</v>
      </c>
      <c r="AB16" s="57">
        <v>-0.15629131801075263</v>
      </c>
      <c r="AC16" s="57">
        <v>-0.16777437392789377</v>
      </c>
      <c r="AD16" s="57">
        <v>-0.14724304731182797</v>
      </c>
      <c r="AE16" s="57">
        <v>-0.1525307228494624</v>
      </c>
      <c r="AF16" s="57">
        <v>-0.16029780726122705</v>
      </c>
      <c r="AG16" s="57">
        <v>-0.14227346586021505</v>
      </c>
      <c r="AH16" s="57">
        <v>-0.12291447043010754</v>
      </c>
      <c r="AI16" s="57">
        <v>-0.11773579730762936</v>
      </c>
      <c r="AJ16" s="57">
        <v>-0.13364805322580645</v>
      </c>
      <c r="AK16" s="57">
        <v>-0.10930258216805895</v>
      </c>
      <c r="AL16" s="57">
        <v>-0.10336381827537129</v>
      </c>
      <c r="AM16" s="57">
        <v>-0.12961021612903223</v>
      </c>
      <c r="AN16" s="57">
        <v>-0.12130221639784947</v>
      </c>
      <c r="AO16" s="57">
        <v>-0.12200907719941349</v>
      </c>
      <c r="AP16" s="57">
        <v>-0.131385789516129</v>
      </c>
      <c r="AQ16" s="57">
        <v>-9.9774722849462372E-2</v>
      </c>
      <c r="AR16" s="57">
        <v>-9.1132669623655932E-2</v>
      </c>
      <c r="AS16" s="57">
        <v>-0.12600178306451612</v>
      </c>
      <c r="AT16" s="57">
        <v>-0.16428796263440862</v>
      </c>
      <c r="AU16" s="57">
        <v>-0.16776726527370475</v>
      </c>
      <c r="AV16" s="57">
        <v>-0.14348859596774197</v>
      </c>
      <c r="AW16" s="57">
        <v>-0.15255309086021504</v>
      </c>
      <c r="AX16" s="57">
        <v>-0.15343999247311826</v>
      </c>
      <c r="AY16" s="57">
        <v>-0.14524839569892473</v>
      </c>
      <c r="AZ16" s="57">
        <v>-0.12021778817204304</v>
      </c>
      <c r="BA16" s="57">
        <v>-0.12621181236559137</v>
      </c>
      <c r="BB16" s="57">
        <v>-0.13134920564516128</v>
      </c>
      <c r="BC16" s="57">
        <v>-0.17005808682795701</v>
      </c>
      <c r="BD16" s="57">
        <v>-0.15906003602150534</v>
      </c>
      <c r="BE16" s="57">
        <v>-0.14445314892473116</v>
      </c>
      <c r="BF16" s="57">
        <v>-0.12263518010752686</v>
      </c>
      <c r="BG16" s="57">
        <v>-0.11921886102150536</v>
      </c>
      <c r="BH16" s="57">
        <v>-0.14034501944047961</v>
      </c>
      <c r="BI16" s="57">
        <v>-0.17034097311827956</v>
      </c>
      <c r="BJ16" s="57">
        <v>-0.15528558924731184</v>
      </c>
      <c r="BK16" s="57">
        <v>-0.1513263264297269</v>
      </c>
      <c r="BL16" s="57">
        <v>-9.6736901881720405E-2</v>
      </c>
      <c r="BM16" s="57">
        <v>-0.10113115268817206</v>
      </c>
      <c r="BN16" s="57">
        <v>-0.14227740700397698</v>
      </c>
      <c r="BO16" s="57">
        <v>-0.14656533118279574</v>
      </c>
      <c r="BP16" s="57">
        <v>-0.14933659166666668</v>
      </c>
      <c r="BQ16" s="57">
        <v>-0.14081383281042864</v>
      </c>
      <c r="BR16" s="57">
        <v>-0.1096565747311828</v>
      </c>
      <c r="BS16" s="57">
        <v>-0.10997891747311828</v>
      </c>
      <c r="BT16" s="57">
        <v>-0.1432950370756903</v>
      </c>
      <c r="BU16" s="57">
        <v>-0.16661831263440857</v>
      </c>
      <c r="BV16" s="57">
        <v>-0.16552703951612885</v>
      </c>
      <c r="BW16" s="57">
        <v>-0.15442291209677422</v>
      </c>
    </row>
    <row r="17" spans="1:75" x14ac:dyDescent="0.3">
      <c r="A17" s="8" t="s">
        <v>89</v>
      </c>
      <c r="B17" s="8" t="s">
        <v>9</v>
      </c>
      <c r="C17" s="8" t="s">
        <v>112</v>
      </c>
      <c r="D17" s="57">
        <v>-0.42577734059139782</v>
      </c>
      <c r="E17" s="57">
        <v>-0.40100807274149136</v>
      </c>
      <c r="F17" s="57">
        <v>-0.35914456458944277</v>
      </c>
      <c r="G17" s="57">
        <v>-0.42469736908602146</v>
      </c>
      <c r="H17" s="57">
        <v>-0.38675340295698923</v>
      </c>
      <c r="I17" s="57">
        <v>-0.33779084784946239</v>
      </c>
      <c r="J17" s="57">
        <v>-0.41266548817204302</v>
      </c>
      <c r="K17" s="57">
        <v>-0.39115975510752693</v>
      </c>
      <c r="L17" s="57">
        <v>-0.35402267983870972</v>
      </c>
      <c r="M17" s="57">
        <v>-0.41786775618279576</v>
      </c>
      <c r="N17" s="57">
        <v>-0.38643162365591388</v>
      </c>
      <c r="O17" s="57">
        <v>-0.33237156827956993</v>
      </c>
      <c r="P17" s="57">
        <v>-0.38991620591397852</v>
      </c>
      <c r="Q17" s="57">
        <v>-0.37200955510752703</v>
      </c>
      <c r="R17" s="57">
        <v>-0.32586443168389184</v>
      </c>
      <c r="S17" s="57">
        <v>-0.38655277956989254</v>
      </c>
      <c r="T17" s="57">
        <v>-0.36403145456989244</v>
      </c>
      <c r="U17" s="57">
        <v>-0.32576220910324671</v>
      </c>
      <c r="V17" s="57">
        <v>-0.42744427956989239</v>
      </c>
      <c r="W17" s="57">
        <v>-0.41215799892473109</v>
      </c>
      <c r="X17" s="57">
        <v>-0.32837433263666055</v>
      </c>
      <c r="Y17" s="57">
        <v>-0.397275951344086</v>
      </c>
      <c r="Z17" s="57">
        <v>-0.35469200456989242</v>
      </c>
      <c r="AA17" s="57">
        <v>-0.32025857322805834</v>
      </c>
      <c r="AB17" s="57">
        <v>-0.41853231801075264</v>
      </c>
      <c r="AC17" s="57">
        <v>-0.40877037392789378</v>
      </c>
      <c r="AD17" s="57">
        <v>-0.32941104731182802</v>
      </c>
      <c r="AE17" s="57">
        <v>-0.37015372284946246</v>
      </c>
      <c r="AF17" s="57">
        <v>-0.3540578072612271</v>
      </c>
      <c r="AG17" s="57">
        <v>-0.30924446586021509</v>
      </c>
      <c r="AH17" s="57">
        <v>-0.41012447043010752</v>
      </c>
      <c r="AI17" s="57">
        <v>-0.37873079730762932</v>
      </c>
      <c r="AJ17" s="57">
        <v>-0.32801005322580645</v>
      </c>
      <c r="AK17" s="57">
        <v>-0.34035858216805898</v>
      </c>
      <c r="AL17" s="57">
        <v>-0.31226481827537134</v>
      </c>
      <c r="AM17" s="57">
        <v>-0.30547821612903225</v>
      </c>
      <c r="AN17" s="57">
        <v>-0.41421721639784942</v>
      </c>
      <c r="AO17" s="57">
        <v>-0.38933207719941354</v>
      </c>
      <c r="AP17" s="57">
        <v>-0.33366478951612899</v>
      </c>
      <c r="AQ17" s="57">
        <v>-0.3386777228494624</v>
      </c>
      <c r="AR17" s="57">
        <v>-0.30792966962365598</v>
      </c>
      <c r="AS17" s="57">
        <v>-0.30795278306451612</v>
      </c>
      <c r="AT17" s="57">
        <v>-0.4287549626344086</v>
      </c>
      <c r="AU17" s="57">
        <v>-0.41224226527370483</v>
      </c>
      <c r="AV17" s="57">
        <v>-0.33014359596774195</v>
      </c>
      <c r="AW17" s="57">
        <v>-0.37919909086021508</v>
      </c>
      <c r="AX17" s="57">
        <v>-0.35708399247311828</v>
      </c>
      <c r="AY17" s="57">
        <v>-0.31660839569892474</v>
      </c>
      <c r="AZ17" s="57">
        <v>-0.40086178817204299</v>
      </c>
      <c r="BA17" s="57">
        <v>-0.38564581236559137</v>
      </c>
      <c r="BB17" s="57">
        <v>-0.32716020564516129</v>
      </c>
      <c r="BC17" s="57">
        <v>-0.39799908682795704</v>
      </c>
      <c r="BD17" s="57">
        <v>-0.36271803602150537</v>
      </c>
      <c r="BE17" s="57">
        <v>-0.31862714892473115</v>
      </c>
      <c r="BF17" s="57">
        <v>-0.39472518010752689</v>
      </c>
      <c r="BG17" s="57">
        <v>-0.36821586102150539</v>
      </c>
      <c r="BH17" s="57">
        <v>-0.32550901944047966</v>
      </c>
      <c r="BI17" s="57">
        <v>-0.39728097311827953</v>
      </c>
      <c r="BJ17" s="57">
        <v>-0.35436558924731182</v>
      </c>
      <c r="BK17" s="57">
        <v>-0.3223643264297269</v>
      </c>
      <c r="BL17" s="57">
        <v>-0.39462190188172047</v>
      </c>
      <c r="BM17" s="57">
        <v>-0.37026715268817212</v>
      </c>
      <c r="BN17" s="57">
        <v>-0.344479407003977</v>
      </c>
      <c r="BO17" s="57">
        <v>-0.39178933118279574</v>
      </c>
      <c r="BP17" s="57">
        <v>-0.3674635916666667</v>
      </c>
      <c r="BQ17" s="57">
        <v>-0.32184783281042867</v>
      </c>
      <c r="BR17" s="57">
        <v>-0.42142257473118283</v>
      </c>
      <c r="BS17" s="57">
        <v>-0.39034991747311831</v>
      </c>
      <c r="BT17" s="57">
        <v>-0.35423303707569032</v>
      </c>
      <c r="BU17" s="57">
        <v>-0.4228393126344086</v>
      </c>
      <c r="BV17" s="57">
        <v>-0.39027603951612883</v>
      </c>
      <c r="BW17" s="57">
        <v>-0.33777391209677426</v>
      </c>
    </row>
    <row r="18" spans="1:75" x14ac:dyDescent="0.3">
      <c r="A18" s="8" t="s">
        <v>89</v>
      </c>
      <c r="B18" s="8" t="s">
        <v>9</v>
      </c>
      <c r="C18" s="8" t="s">
        <v>115</v>
      </c>
      <c r="D18" s="57">
        <v>-0.10227977293906809</v>
      </c>
      <c r="E18" s="57">
        <v>-0.11591595150567244</v>
      </c>
      <c r="F18" s="57">
        <v>-0.11385974481915929</v>
      </c>
      <c r="G18" s="57">
        <v>-9.8217087275985646E-2</v>
      </c>
      <c r="H18" s="57">
        <v>-0.11437039802867387</v>
      </c>
      <c r="I18" s="57">
        <v>-0.10910876810035849</v>
      </c>
      <c r="J18" s="57">
        <v>-0.109280341218638</v>
      </c>
      <c r="K18" s="57">
        <v>-0.12137282992831538</v>
      </c>
      <c r="L18" s="57">
        <v>-0.11659488010752687</v>
      </c>
      <c r="M18" s="57">
        <v>-0.10186349587813617</v>
      </c>
      <c r="N18" s="57">
        <v>-0.11419225089605735</v>
      </c>
      <c r="O18" s="57">
        <v>-0.10169895448028676</v>
      </c>
      <c r="P18" s="57">
        <v>-8.4733196057347623E-2</v>
      </c>
      <c r="Q18" s="57">
        <v>-9.4496963261648664E-2</v>
      </c>
      <c r="R18" s="57">
        <v>-9.2980954929185372E-2</v>
      </c>
      <c r="S18" s="57">
        <v>-8.3064813620071634E-2</v>
      </c>
      <c r="T18" s="57">
        <v>-9.5406363620071682E-2</v>
      </c>
      <c r="U18" s="57">
        <v>-0.10825710331628212</v>
      </c>
      <c r="V18" s="57">
        <v>-9.6750480286738341E-2</v>
      </c>
      <c r="W18" s="57">
        <v>-0.10491200071684588</v>
      </c>
      <c r="X18" s="57">
        <v>-9.9353799184634786E-2</v>
      </c>
      <c r="Y18" s="57">
        <v>-0.11346203243727594</v>
      </c>
      <c r="Z18" s="57">
        <v>-0.115913996953405</v>
      </c>
      <c r="AA18" s="57">
        <v>-0.11326097212370284</v>
      </c>
      <c r="AB18" s="57">
        <v>-8.8173787992831543E-2</v>
      </c>
      <c r="AC18" s="57">
        <v>-0.10185625267552184</v>
      </c>
      <c r="AD18" s="57">
        <v>-0.10111396845878136</v>
      </c>
      <c r="AE18" s="57">
        <v>-8.8696851433691798E-2</v>
      </c>
      <c r="AF18" s="57">
        <v>-9.8872630453299554E-2</v>
      </c>
      <c r="AG18" s="57">
        <v>-9.7559022759856617E-2</v>
      </c>
      <c r="AH18" s="57">
        <v>-0.11063701971326163</v>
      </c>
      <c r="AI18" s="57">
        <v>-0.11826240522348536</v>
      </c>
      <c r="AJ18" s="57">
        <v>-0.10320929784946237</v>
      </c>
      <c r="AK18" s="57">
        <v>-0.10230948448055056</v>
      </c>
      <c r="AL18" s="57">
        <v>-0.10877172457832404</v>
      </c>
      <c r="AM18" s="57">
        <v>-0.10091718924731181</v>
      </c>
      <c r="AN18" s="57">
        <v>-0.10845185573476702</v>
      </c>
      <c r="AO18" s="57">
        <v>-0.11714779701857278</v>
      </c>
      <c r="AP18" s="57">
        <v>-9.5681473655913979E-2</v>
      </c>
      <c r="AQ18" s="57">
        <v>-9.9547518100358431E-2</v>
      </c>
      <c r="AR18" s="57">
        <v>-0.10318088691756269</v>
      </c>
      <c r="AS18" s="57">
        <v>-9.9846811290322551E-2</v>
      </c>
      <c r="AT18" s="57">
        <v>-9.605069157706092E-2</v>
      </c>
      <c r="AU18" s="57">
        <v>-0.1015115201205604</v>
      </c>
      <c r="AV18" s="57">
        <v>-9.7712936021505409E-2</v>
      </c>
      <c r="AW18" s="57">
        <v>-9.5485939426523267E-2</v>
      </c>
      <c r="AX18" s="57">
        <v>-0.10803867168458779</v>
      </c>
      <c r="AY18" s="57">
        <v>-0.10861973620071683</v>
      </c>
      <c r="AZ18" s="57">
        <v>-0.11618680788530464</v>
      </c>
      <c r="BA18" s="57">
        <v>-0.12431079175627238</v>
      </c>
      <c r="BB18" s="57">
        <v>-0.1039138629032258</v>
      </c>
      <c r="BC18" s="57">
        <v>-0.11307594211469529</v>
      </c>
      <c r="BD18" s="57">
        <v>-0.11946397598566307</v>
      </c>
      <c r="BE18" s="57">
        <v>-0.10754190071684587</v>
      </c>
      <c r="BF18" s="57">
        <v>-0.11946321326164874</v>
      </c>
      <c r="BG18" s="57">
        <v>-0.13340875931899643</v>
      </c>
      <c r="BH18" s="57">
        <v>-0.11405091919307259</v>
      </c>
      <c r="BI18" s="57">
        <v>-0.11345935125448027</v>
      </c>
      <c r="BJ18" s="57">
        <v>-0.11608827383512543</v>
      </c>
      <c r="BK18" s="57">
        <v>-0.11480204786690772</v>
      </c>
      <c r="BL18" s="57">
        <v>-8.3108732078853026E-2</v>
      </c>
      <c r="BM18" s="57">
        <v>-9.6607231541218613E-2</v>
      </c>
      <c r="BN18" s="57">
        <v>-0.10671162820739431</v>
      </c>
      <c r="BO18" s="57">
        <v>-7.9981779211469498E-2</v>
      </c>
      <c r="BP18" s="57">
        <v>-9.3618272222222215E-2</v>
      </c>
      <c r="BQ18" s="57">
        <v>-9.5551344336426577E-2</v>
      </c>
      <c r="BR18" s="57">
        <v>-0.10544361684587811</v>
      </c>
      <c r="BS18" s="57">
        <v>-0.12316872168458778</v>
      </c>
      <c r="BT18" s="57">
        <v>-0.11395240665542182</v>
      </c>
      <c r="BU18" s="57">
        <v>-9.9209124910394228E-2</v>
      </c>
      <c r="BV18" s="57">
        <v>-0.11632064032258058</v>
      </c>
      <c r="BW18" s="57">
        <v>-0.10909939193548392</v>
      </c>
    </row>
    <row r="19" spans="1:75" x14ac:dyDescent="0.3">
      <c r="A19" s="8" t="s">
        <v>89</v>
      </c>
      <c r="B19" s="8" t="s">
        <v>9</v>
      </c>
      <c r="C19" s="8" t="s">
        <v>116</v>
      </c>
      <c r="D19" s="57">
        <v>-0.33271000808691753</v>
      </c>
      <c r="E19" s="57">
        <v>-0.31987336969104524</v>
      </c>
      <c r="F19" s="57">
        <v>-0.2640620677847017</v>
      </c>
      <c r="G19" s="57">
        <v>-0.29465952954749097</v>
      </c>
      <c r="H19" s="57">
        <v>-0.27834304876792121</v>
      </c>
      <c r="I19" s="57">
        <v>-0.23914228006272409</v>
      </c>
      <c r="J19" s="57">
        <v>-0.32416091326164886</v>
      </c>
      <c r="K19" s="57">
        <v>-0.31505206870519709</v>
      </c>
      <c r="L19" s="57">
        <v>-0.2607226500672043</v>
      </c>
      <c r="M19" s="57">
        <v>-0.29020653492383508</v>
      </c>
      <c r="N19" s="57">
        <v>-0.27805215681003581</v>
      </c>
      <c r="O19" s="57">
        <v>-0.23322144655017921</v>
      </c>
      <c r="P19" s="57">
        <v>-0.29388344753584217</v>
      </c>
      <c r="Q19" s="57">
        <v>-0.28384385203853035</v>
      </c>
      <c r="R19" s="57">
        <v>-0.23340787644239133</v>
      </c>
      <c r="S19" s="57">
        <v>-0.26380400851254476</v>
      </c>
      <c r="T19" s="57">
        <v>-0.25167292726254475</v>
      </c>
      <c r="U19" s="57">
        <v>-0.23433886918432684</v>
      </c>
      <c r="V19" s="57">
        <v>-0.29645055017921135</v>
      </c>
      <c r="W19" s="57">
        <v>-0.28648370044802857</v>
      </c>
      <c r="X19" s="57">
        <v>-0.22957727920243867</v>
      </c>
      <c r="Y19" s="57">
        <v>-0.28164532027329742</v>
      </c>
      <c r="Z19" s="57">
        <v>-0.25855469809587811</v>
      </c>
      <c r="AA19" s="57">
        <v>-0.23122901228935619</v>
      </c>
      <c r="AB19" s="57">
        <v>-0.2875499674955197</v>
      </c>
      <c r="AC19" s="57">
        <v>-0.28314777086337756</v>
      </c>
      <c r="AD19" s="57">
        <v>-0.23027373028673834</v>
      </c>
      <c r="AE19" s="57">
        <v>-0.25014258214605739</v>
      </c>
      <c r="AF19" s="57">
        <v>-0.2400144069744887</v>
      </c>
      <c r="AG19" s="57">
        <v>-0.2138062392249104</v>
      </c>
      <c r="AH19" s="57">
        <v>-0.32250413732078842</v>
      </c>
      <c r="AI19" s="57">
        <v>-0.30630066403610695</v>
      </c>
      <c r="AJ19" s="57">
        <v>-0.24020621115591398</v>
      </c>
      <c r="AK19" s="57">
        <v>-0.2664552491336768</v>
      </c>
      <c r="AL19" s="57">
        <v>-0.25254208863288108</v>
      </c>
      <c r="AM19" s="57">
        <v>-0.22219654327956984</v>
      </c>
      <c r="AN19" s="57">
        <v>-0.32517265983422938</v>
      </c>
      <c r="AO19" s="57">
        <v>-0.31128263904569886</v>
      </c>
      <c r="AP19" s="57">
        <v>-0.24008457103494618</v>
      </c>
      <c r="AQ19" s="57">
        <v>-0.26923624881272407</v>
      </c>
      <c r="AR19" s="57">
        <v>-0.25255400432347674</v>
      </c>
      <c r="AS19" s="57">
        <v>-0.22582910705645162</v>
      </c>
      <c r="AT19" s="57">
        <v>-0.29730513223566296</v>
      </c>
      <c r="AU19" s="57">
        <v>-0.28576113189353203</v>
      </c>
      <c r="AV19" s="57">
        <v>-0.23056953501344088</v>
      </c>
      <c r="AW19" s="57">
        <v>-0.26345731214157703</v>
      </c>
      <c r="AX19" s="57">
        <v>-0.25503706980286739</v>
      </c>
      <c r="AY19" s="57">
        <v>-0.22732203512544805</v>
      </c>
      <c r="AZ19" s="57">
        <v>-0.32132965492831522</v>
      </c>
      <c r="BA19" s="57">
        <v>-0.31140864484767011</v>
      </c>
      <c r="BB19" s="57">
        <v>-0.2416712143145161</v>
      </c>
      <c r="BC19" s="57">
        <v>-0.28211681382168446</v>
      </c>
      <c r="BD19" s="57">
        <v>-0.26560328499103936</v>
      </c>
      <c r="BE19" s="57">
        <v>-0.22863828794802862</v>
      </c>
      <c r="BF19" s="57">
        <v>-0.31732850828853043</v>
      </c>
      <c r="BG19" s="57">
        <v>-0.30937062457437281</v>
      </c>
      <c r="BH19" s="57">
        <v>-0.24273923423018365</v>
      </c>
      <c r="BI19" s="57">
        <v>-0.28164859453405017</v>
      </c>
      <c r="BJ19" s="57">
        <v>-0.25834187114695334</v>
      </c>
      <c r="BK19" s="57">
        <v>-0.23321958965133055</v>
      </c>
      <c r="BL19" s="57">
        <v>-0.30409970754928312</v>
      </c>
      <c r="BM19" s="57">
        <v>-0.29220661971326162</v>
      </c>
      <c r="BN19" s="57">
        <v>-0.25102959502688171</v>
      </c>
      <c r="BO19" s="57">
        <v>-0.2649065120071683</v>
      </c>
      <c r="BP19" s="57">
        <v>-0.25426787013888885</v>
      </c>
      <c r="BQ19" s="57">
        <v>-0.22363341760752689</v>
      </c>
      <c r="BR19" s="57">
        <v>-0.3366228605286738</v>
      </c>
      <c r="BS19" s="57">
        <v>-0.32550030105286731</v>
      </c>
      <c r="BT19" s="57">
        <v>-0.26463770121846208</v>
      </c>
      <c r="BU19" s="57">
        <v>-0.29344805306899635</v>
      </c>
      <c r="BV19" s="57">
        <v>-0.28152755020161274</v>
      </c>
      <c r="BW19" s="57">
        <v>-0.23912696995967742</v>
      </c>
    </row>
    <row r="20" spans="1:75" x14ac:dyDescent="0.3">
      <c r="A20" s="8" t="s">
        <v>89</v>
      </c>
      <c r="B20" s="8" t="s">
        <v>9</v>
      </c>
      <c r="C20" s="8" t="s">
        <v>117</v>
      </c>
      <c r="D20" s="57">
        <v>-0.3097421648521505</v>
      </c>
      <c r="E20" s="57">
        <v>-0.29651698181462721</v>
      </c>
      <c r="F20" s="57">
        <v>-0.24468894976173011</v>
      </c>
      <c r="G20" s="57">
        <v>-0.27772915772849466</v>
      </c>
      <c r="H20" s="57">
        <v>-0.26006214926075272</v>
      </c>
      <c r="I20" s="57">
        <v>-0.22105528803763441</v>
      </c>
      <c r="J20" s="57">
        <v>-0.30127062795698928</v>
      </c>
      <c r="K20" s="57">
        <v>-0.2914955612231182</v>
      </c>
      <c r="L20" s="57">
        <v>-0.24137983004032257</v>
      </c>
      <c r="M20" s="57">
        <v>-0.27331656095430107</v>
      </c>
      <c r="N20" s="57">
        <v>-0.25977209408602148</v>
      </c>
      <c r="O20" s="57">
        <v>-0.21513510793010754</v>
      </c>
      <c r="P20" s="57">
        <v>-0.27217294852150525</v>
      </c>
      <c r="Q20" s="57">
        <v>-0.26197511122311817</v>
      </c>
      <c r="R20" s="57">
        <v>-0.21411382411786203</v>
      </c>
      <c r="S20" s="57">
        <v>-0.24661680510752684</v>
      </c>
      <c r="T20" s="57">
        <v>-0.23420663635752692</v>
      </c>
      <c r="U20" s="57">
        <v>-0.21551337976302329</v>
      </c>
      <c r="V20" s="57">
        <v>-0.27950393010752694</v>
      </c>
      <c r="W20" s="57">
        <v>-0.26962750026881721</v>
      </c>
      <c r="X20" s="57">
        <v>-0.21150093254764121</v>
      </c>
      <c r="Y20" s="57">
        <v>-0.26409151216397847</v>
      </c>
      <c r="Z20" s="57">
        <v>-0.23962849885752688</v>
      </c>
      <c r="AA20" s="57">
        <v>-0.21244237239979175</v>
      </c>
      <c r="AB20" s="57">
        <v>-0.2706154204973118</v>
      </c>
      <c r="AC20" s="57">
        <v>-0.26629678298861481</v>
      </c>
      <c r="AD20" s="57">
        <v>-0.21228423817204303</v>
      </c>
      <c r="AE20" s="57">
        <v>-0.23341706928763445</v>
      </c>
      <c r="AF20" s="57">
        <v>-0.2233889246552814</v>
      </c>
      <c r="AG20" s="57">
        <v>-0.19589238353494623</v>
      </c>
      <c r="AH20" s="57">
        <v>-0.29962888239247315</v>
      </c>
      <c r="AI20" s="57">
        <v>-0.28251950324452135</v>
      </c>
      <c r="AJ20" s="57">
        <v>-0.22047348669354841</v>
      </c>
      <c r="AK20" s="57">
        <v>-0.24385375890242766</v>
      </c>
      <c r="AL20" s="57">
        <v>-0.22901699800258588</v>
      </c>
      <c r="AM20" s="57">
        <v>-0.20255344596774191</v>
      </c>
      <c r="AN20" s="57">
        <v>-0.30227319590053764</v>
      </c>
      <c r="AO20" s="57">
        <v>-0.28794986706378295</v>
      </c>
      <c r="AP20" s="57">
        <v>-0.22076530262096775</v>
      </c>
      <c r="AQ20" s="57">
        <v>-0.24584606928763442</v>
      </c>
      <c r="AR20" s="57">
        <v>-0.22825208259408589</v>
      </c>
      <c r="AS20" s="57">
        <v>-0.20584530423387098</v>
      </c>
      <c r="AT20" s="57">
        <v>-0.28035075934139775</v>
      </c>
      <c r="AU20" s="57">
        <v>-0.26889420640884648</v>
      </c>
      <c r="AV20" s="57">
        <v>-0.21248060100806451</v>
      </c>
      <c r="AW20" s="57">
        <v>-0.2459262272849462</v>
      </c>
      <c r="AX20" s="57">
        <v>-0.23666800188172044</v>
      </c>
      <c r="AY20" s="57">
        <v>-0.20853690107526876</v>
      </c>
      <c r="AZ20" s="57">
        <v>-0.2977235529569891</v>
      </c>
      <c r="BA20" s="57">
        <v>-0.28789254690860205</v>
      </c>
      <c r="BB20" s="57">
        <v>-0.22161744858870971</v>
      </c>
      <c r="BC20" s="57">
        <v>-0.26455872829301069</v>
      </c>
      <c r="BD20" s="57">
        <v>-0.24665349099462369</v>
      </c>
      <c r="BE20" s="57">
        <v>-0.2098412127688172</v>
      </c>
      <c r="BF20" s="57">
        <v>-0.29375870497311835</v>
      </c>
      <c r="BG20" s="57">
        <v>-0.28439453474462356</v>
      </c>
      <c r="BH20" s="57">
        <v>-0.22272344425492432</v>
      </c>
      <c r="BI20" s="57">
        <v>-0.26409475672043015</v>
      </c>
      <c r="BJ20" s="57">
        <v>-0.23941760268817205</v>
      </c>
      <c r="BK20" s="57">
        <v>-0.21442861750761252</v>
      </c>
      <c r="BL20" s="57">
        <v>-0.28120702452956992</v>
      </c>
      <c r="BM20" s="57">
        <v>-0.26881421182795701</v>
      </c>
      <c r="BN20" s="57">
        <v>-0.23169757290653994</v>
      </c>
      <c r="BO20" s="57">
        <v>-0.24806166720430092</v>
      </c>
      <c r="BP20" s="57">
        <v>-0.23672360208333332</v>
      </c>
      <c r="BQ20" s="57">
        <v>-0.20557346645492708</v>
      </c>
      <c r="BR20" s="57">
        <v>-0.31259035631720422</v>
      </c>
      <c r="BS20" s="57">
        <v>-0.30017602063172044</v>
      </c>
      <c r="BT20" s="57">
        <v>-0.24455856426048891</v>
      </c>
      <c r="BU20" s="57">
        <v>-0.27652867184139779</v>
      </c>
      <c r="BV20" s="57">
        <v>-0.26323749012096764</v>
      </c>
      <c r="BW20" s="57">
        <v>-0.22104002197580652</v>
      </c>
    </row>
    <row r="21" spans="1:75" x14ac:dyDescent="0.3">
      <c r="A21" s="8" t="s">
        <v>89</v>
      </c>
      <c r="B21" s="8" t="s">
        <v>9</v>
      </c>
      <c r="C21" s="8" t="s">
        <v>118</v>
      </c>
      <c r="D21" s="57">
        <v>-0.34455271757392475</v>
      </c>
      <c r="E21" s="57">
        <v>-0.32786430909268638</v>
      </c>
      <c r="F21" s="57">
        <v>-0.27902563421004412</v>
      </c>
      <c r="G21" s="57">
        <v>-0.32181962113575269</v>
      </c>
      <c r="H21" s="57">
        <v>-0.29806952536962367</v>
      </c>
      <c r="I21" s="57">
        <v>-0.25607595598118288</v>
      </c>
      <c r="J21" s="57">
        <v>-0.33468908602150543</v>
      </c>
      <c r="K21" s="57">
        <v>-0.32139481938844089</v>
      </c>
      <c r="L21" s="57">
        <v>-0.27517268497983866</v>
      </c>
      <c r="M21" s="57">
        <v>-0.31668191952284946</v>
      </c>
      <c r="N21" s="57">
        <v>-0.29776995295698927</v>
      </c>
      <c r="O21" s="57">
        <v>-0.25030604603494627</v>
      </c>
      <c r="P21" s="57">
        <v>-0.3074959257392475</v>
      </c>
      <c r="Q21" s="57">
        <v>-0.29498544438844099</v>
      </c>
      <c r="R21" s="57">
        <v>-0.24763900638767097</v>
      </c>
      <c r="S21" s="57">
        <v>-0.28859759744623664</v>
      </c>
      <c r="T21" s="57">
        <v>-0.27315408182123657</v>
      </c>
      <c r="U21" s="57">
        <v>-0.2485880285650903</v>
      </c>
      <c r="V21" s="57">
        <v>-0.32388603494623652</v>
      </c>
      <c r="W21" s="57">
        <v>-0.31238664986559139</v>
      </c>
      <c r="X21" s="57">
        <v>-0.24656295257434702</v>
      </c>
      <c r="Y21" s="57">
        <v>-0.30404684391801073</v>
      </c>
      <c r="Z21" s="57">
        <v>-0.27414755057123652</v>
      </c>
      <c r="AA21" s="57">
        <v>-0.24478723264827171</v>
      </c>
      <c r="AB21" s="57">
        <v>-0.31499048975134414</v>
      </c>
      <c r="AC21" s="57">
        <v>-0.30903886027039851</v>
      </c>
      <c r="AD21" s="57">
        <v>-0.24742228091397853</v>
      </c>
      <c r="AE21" s="57">
        <v>-0.27443806535618293</v>
      </c>
      <c r="AF21" s="57">
        <v>-0.26258958943706512</v>
      </c>
      <c r="AG21" s="57">
        <v>-0.22989800823252685</v>
      </c>
      <c r="AH21" s="57">
        <v>-0.33277755880376342</v>
      </c>
      <c r="AI21" s="57">
        <v>-0.31138289146345377</v>
      </c>
      <c r="AJ21" s="57">
        <v>-0.2527344566532258</v>
      </c>
      <c r="AK21" s="57">
        <v>-0.2728052058821171</v>
      </c>
      <c r="AL21" s="57">
        <v>-0.25399134408442153</v>
      </c>
      <c r="AM21" s="57">
        <v>-0.23343087701612902</v>
      </c>
      <c r="AN21" s="57">
        <v>-0.33585640204973122</v>
      </c>
      <c r="AO21" s="57">
        <v>-0.31836453010447224</v>
      </c>
      <c r="AP21" s="57">
        <v>-0.25463514868951614</v>
      </c>
      <c r="AQ21" s="57">
        <v>-0.27369556535618283</v>
      </c>
      <c r="AR21" s="57">
        <v>-0.25215535870295708</v>
      </c>
      <c r="AS21" s="57">
        <v>-0.23647754788306449</v>
      </c>
      <c r="AT21" s="57">
        <v>-0.32487202032930118</v>
      </c>
      <c r="AU21" s="57">
        <v>-0.3118986240683041</v>
      </c>
      <c r="AV21" s="57">
        <v>-0.24777949949596778</v>
      </c>
      <c r="AW21" s="57">
        <v>-0.2859080863575269</v>
      </c>
      <c r="AX21" s="57">
        <v>-0.27279279905913978</v>
      </c>
      <c r="AY21" s="57">
        <v>-0.24095834946236555</v>
      </c>
      <c r="AZ21" s="57">
        <v>-0.3286650235215054</v>
      </c>
      <c r="BA21" s="57">
        <v>-0.31721852654569882</v>
      </c>
      <c r="BB21" s="57">
        <v>-0.25328027570564515</v>
      </c>
      <c r="BC21" s="57">
        <v>-0.30459083585349472</v>
      </c>
      <c r="BD21" s="57">
        <v>-0.28147285450268816</v>
      </c>
      <c r="BE21" s="57">
        <v>-0.24247699361559139</v>
      </c>
      <c r="BF21" s="57">
        <v>-0.32404864751344087</v>
      </c>
      <c r="BG21" s="57">
        <v>-0.30954093262768817</v>
      </c>
      <c r="BH21" s="57">
        <v>-0.25355911681059096</v>
      </c>
      <c r="BI21" s="57">
        <v>-0.30405062163978486</v>
      </c>
      <c r="BJ21" s="57">
        <v>-0.27390199865591403</v>
      </c>
      <c r="BK21" s="57">
        <v>-0.24680933018424683</v>
      </c>
      <c r="BL21" s="57">
        <v>-0.31523148773521498</v>
      </c>
      <c r="BM21" s="57">
        <v>-0.29925009408602155</v>
      </c>
      <c r="BN21" s="57">
        <v>-0.26553212313577107</v>
      </c>
      <c r="BO21" s="57">
        <v>-0.29117996639784965</v>
      </c>
      <c r="BP21" s="57">
        <v>-0.27594559895833337</v>
      </c>
      <c r="BQ21" s="57">
        <v>-0.24045577636157756</v>
      </c>
      <c r="BR21" s="57">
        <v>-0.34524002184139785</v>
      </c>
      <c r="BS21" s="57">
        <v>-0.32722818968413991</v>
      </c>
      <c r="BT21" s="57">
        <v>-0.27746090610504942</v>
      </c>
      <c r="BU21" s="57">
        <v>-0.32042186407930118</v>
      </c>
      <c r="BV21" s="57">
        <v>-0.30134905493951603</v>
      </c>
      <c r="BW21" s="57">
        <v>-0.25606018901209693</v>
      </c>
    </row>
    <row r="22" spans="1:75" x14ac:dyDescent="0.3">
      <c r="A22" s="8" t="s">
        <v>89</v>
      </c>
      <c r="B22" s="8" t="s">
        <v>10</v>
      </c>
      <c r="C22" s="8" t="s">
        <v>108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v>0</v>
      </c>
      <c r="Q22" s="57">
        <v>0</v>
      </c>
      <c r="R22" s="57">
        <v>0</v>
      </c>
      <c r="S22" s="57">
        <v>0</v>
      </c>
      <c r="T22" s="57">
        <v>0</v>
      </c>
      <c r="U22" s="57">
        <v>0</v>
      </c>
      <c r="V22" s="57">
        <v>0</v>
      </c>
      <c r="W22" s="57">
        <v>0</v>
      </c>
      <c r="X22" s="57">
        <v>0</v>
      </c>
      <c r="Y22" s="57">
        <v>0</v>
      </c>
      <c r="Z22" s="57">
        <v>0</v>
      </c>
      <c r="AA22" s="57">
        <v>0</v>
      </c>
      <c r="AB22" s="57">
        <v>0</v>
      </c>
      <c r="AC22" s="57">
        <v>0</v>
      </c>
      <c r="AD22" s="57">
        <v>0</v>
      </c>
      <c r="AE22" s="57">
        <v>0</v>
      </c>
      <c r="AF22" s="57">
        <v>0</v>
      </c>
      <c r="AG22" s="57">
        <v>0</v>
      </c>
      <c r="AH22" s="57">
        <v>0</v>
      </c>
      <c r="AI22" s="57">
        <v>0</v>
      </c>
      <c r="AJ22" s="57">
        <v>0</v>
      </c>
      <c r="AK22" s="57">
        <v>0</v>
      </c>
      <c r="AL22" s="57">
        <v>0</v>
      </c>
      <c r="AM22" s="57">
        <v>0</v>
      </c>
      <c r="AN22" s="57">
        <v>0</v>
      </c>
      <c r="AO22" s="57">
        <v>0</v>
      </c>
      <c r="AP22" s="57">
        <v>0</v>
      </c>
      <c r="AQ22" s="57">
        <v>0</v>
      </c>
      <c r="AR22" s="57">
        <v>0</v>
      </c>
      <c r="AS22" s="57">
        <v>0</v>
      </c>
      <c r="AT22" s="57">
        <v>0</v>
      </c>
      <c r="AU22" s="57">
        <v>0</v>
      </c>
      <c r="AV22" s="57">
        <v>0</v>
      </c>
      <c r="AW22" s="57">
        <v>0</v>
      </c>
      <c r="AX22" s="57">
        <v>0</v>
      </c>
      <c r="AY22" s="57">
        <v>0</v>
      </c>
      <c r="AZ22" s="57">
        <v>0</v>
      </c>
      <c r="BA22" s="57">
        <v>0</v>
      </c>
      <c r="BB22" s="57">
        <v>0</v>
      </c>
      <c r="BC22" s="57">
        <v>0</v>
      </c>
      <c r="BD22" s="57">
        <v>0</v>
      </c>
      <c r="BE22" s="57">
        <v>0</v>
      </c>
      <c r="BF22" s="57">
        <v>0</v>
      </c>
      <c r="BG22" s="57">
        <v>0</v>
      </c>
      <c r="BH22" s="57">
        <v>0</v>
      </c>
      <c r="BI22" s="57">
        <v>0</v>
      </c>
      <c r="BJ22" s="57">
        <v>0</v>
      </c>
      <c r="BK22" s="57">
        <v>0</v>
      </c>
      <c r="BL22" s="57">
        <v>0</v>
      </c>
      <c r="BM22" s="57">
        <v>0</v>
      </c>
      <c r="BN22" s="57">
        <v>0</v>
      </c>
      <c r="BO22" s="57">
        <v>0</v>
      </c>
      <c r="BP22" s="57">
        <v>0</v>
      </c>
      <c r="BQ22" s="57">
        <v>0</v>
      </c>
      <c r="BR22" s="57">
        <v>0</v>
      </c>
      <c r="BS22" s="57">
        <v>0</v>
      </c>
      <c r="BT22" s="57">
        <v>0</v>
      </c>
      <c r="BU22" s="57">
        <v>0</v>
      </c>
      <c r="BV22" s="57">
        <v>0</v>
      </c>
      <c r="BW22" s="57">
        <v>0</v>
      </c>
    </row>
    <row r="23" spans="1:75" x14ac:dyDescent="0.3">
      <c r="A23" s="8" t="s">
        <v>89</v>
      </c>
      <c r="B23" s="8" t="s">
        <v>10</v>
      </c>
      <c r="C23" s="8" t="s">
        <v>109</v>
      </c>
      <c r="D23" s="57">
        <v>3.7829850716846129E-2</v>
      </c>
      <c r="E23" s="57">
        <v>-1.2268561194619394E-2</v>
      </c>
      <c r="F23" s="57">
        <v>-3.0982428494623661E-2</v>
      </c>
      <c r="G23" s="57">
        <v>2.867457939068134E-2</v>
      </c>
      <c r="H23" s="57">
        <v>-6.4285679211469621E-3</v>
      </c>
      <c r="I23" s="57">
        <v>-2.597615782556752E-2</v>
      </c>
      <c r="J23" s="57">
        <v>7.3581235432667827E-2</v>
      </c>
      <c r="K23" s="57">
        <v>9.6763851254480608E-3</v>
      </c>
      <c r="L23" s="57">
        <v>-2.9016667204301062E-2</v>
      </c>
      <c r="M23" s="57">
        <v>6.719899475166409E-2</v>
      </c>
      <c r="N23" s="57">
        <v>1.144799283154127E-2</v>
      </c>
      <c r="O23" s="57">
        <v>-2.6539483512544797E-2</v>
      </c>
      <c r="P23" s="57">
        <v>4.4092072759856632E-2</v>
      </c>
      <c r="Q23" s="57">
        <v>7.7239507168459873E-3</v>
      </c>
      <c r="R23" s="57">
        <v>-1.7983557706093126E-2</v>
      </c>
      <c r="S23" s="57">
        <v>1.0849408602150693E-3</v>
      </c>
      <c r="T23" s="57">
        <v>-3.3975019534050029E-2</v>
      </c>
      <c r="U23" s="57">
        <v>-8.0421641577060943E-2</v>
      </c>
      <c r="V23" s="57">
        <v>2.414586379928307E-2</v>
      </c>
      <c r="W23" s="57">
        <v>-7.0911405017920915E-3</v>
      </c>
      <c r="X23" s="57">
        <v>-6.1990823880162742E-2</v>
      </c>
      <c r="Y23" s="57">
        <v>-7.6752752867383506E-2</v>
      </c>
      <c r="Z23" s="57">
        <v>-9.8712902329749067E-2</v>
      </c>
      <c r="AA23" s="57">
        <v>-9.2290423342528474E-2</v>
      </c>
      <c r="AB23" s="57">
        <v>3.6807821326164981E-2</v>
      </c>
      <c r="AC23" s="57">
        <v>1.6490363044488001E-3</v>
      </c>
      <c r="AD23" s="57">
        <v>-2.0458813033561438E-2</v>
      </c>
      <c r="AE23" s="57">
        <v>3.3308869175627913E-3</v>
      </c>
      <c r="AF23" s="57">
        <v>-2.6974008139995627E-2</v>
      </c>
      <c r="AG23" s="57">
        <v>-1.7366710931899672E-2</v>
      </c>
      <c r="AH23" s="57">
        <v>4.70225860215054E-2</v>
      </c>
      <c r="AI23" s="57">
        <v>1.8998190860215206E-2</v>
      </c>
      <c r="AJ23" s="57">
        <v>-1.0398351612903249E-2</v>
      </c>
      <c r="AK23" s="57">
        <v>-2.2155503942652297E-2</v>
      </c>
      <c r="AL23" s="57">
        <v>-3.742481308243694E-2</v>
      </c>
      <c r="AM23" s="57">
        <v>-2.7276409318996459E-2</v>
      </c>
      <c r="AN23" s="57">
        <v>3.1656074731182794E-2</v>
      </c>
      <c r="AO23" s="57">
        <v>1.7488095795423108E-2</v>
      </c>
      <c r="AP23" s="57">
        <v>2.2889342622163637E-2</v>
      </c>
      <c r="AQ23" s="57">
        <v>1.443162903225857E-3</v>
      </c>
      <c r="AR23" s="57">
        <v>-1.4639705279845561E-2</v>
      </c>
      <c r="AS23" s="57">
        <v>-3.4409328345578291E-2</v>
      </c>
      <c r="AT23" s="57">
        <v>4.7391942831541405E-2</v>
      </c>
      <c r="AU23" s="57">
        <v>-2.4835797491039114E-3</v>
      </c>
      <c r="AV23" s="57">
        <v>-1.6127102150539109E-3</v>
      </c>
      <c r="AW23" s="57">
        <v>-2.5368759816805985E-2</v>
      </c>
      <c r="AX23" s="57">
        <v>-2.9963927598566316E-2</v>
      </c>
      <c r="AY23" s="57">
        <v>-5.8264295340501794E-2</v>
      </c>
      <c r="AZ23" s="57">
        <v>2.9409880286738358E-2</v>
      </c>
      <c r="BA23" s="57">
        <v>7.1689999999999103E-4</v>
      </c>
      <c r="BB23" s="57">
        <v>1.1781472189638278E-2</v>
      </c>
      <c r="BC23" s="57">
        <v>-1.1891565770609239E-2</v>
      </c>
      <c r="BD23" s="57">
        <v>-3.9605545878136236E-2</v>
      </c>
      <c r="BE23" s="57">
        <v>-4.3090253796024741E-2</v>
      </c>
      <c r="BF23" s="57">
        <v>1.8769940860215068E-2</v>
      </c>
      <c r="BG23" s="57">
        <v>-1.4208560752688244E-2</v>
      </c>
      <c r="BH23" s="57">
        <v>-4.4556971909791694E-2</v>
      </c>
      <c r="BI23" s="57">
        <v>-2.8189458781362E-2</v>
      </c>
      <c r="BJ23" s="57">
        <v>-5.1671146953405016E-2</v>
      </c>
      <c r="BK23" s="57">
        <v>-6.2660036067497649E-2</v>
      </c>
      <c r="BL23" s="57">
        <v>7.1613794802867864E-2</v>
      </c>
      <c r="BM23" s="57">
        <v>2.1189172486772531E-2</v>
      </c>
      <c r="BN23" s="57">
        <v>-2.5732495814630815E-2</v>
      </c>
      <c r="BO23" s="57">
        <v>4.3793274551971337E-2</v>
      </c>
      <c r="BP23" s="57">
        <v>4.069738530465993E-3</v>
      </c>
      <c r="BQ23" s="57">
        <v>-3.5438870609318808E-2</v>
      </c>
      <c r="BR23" s="57">
        <v>1.5277350896057728E-2</v>
      </c>
      <c r="BS23" s="57">
        <v>2.128221953405009E-2</v>
      </c>
      <c r="BT23" s="57">
        <v>-6.2562486379928117E-2</v>
      </c>
      <c r="BU23" s="57">
        <v>2.0103509498208067E-2</v>
      </c>
      <c r="BV23" s="57">
        <v>-4.2941077060932639E-3</v>
      </c>
      <c r="BW23" s="57">
        <v>-0.10146771953404986</v>
      </c>
    </row>
    <row r="24" spans="1:75" x14ac:dyDescent="0.3">
      <c r="A24" s="8" t="s">
        <v>89</v>
      </c>
      <c r="B24" s="8" t="s">
        <v>10</v>
      </c>
      <c r="C24" s="8" t="s">
        <v>110</v>
      </c>
      <c r="D24" s="57">
        <v>2.6024036200716971E-2</v>
      </c>
      <c r="E24" s="57">
        <v>-3.9547399133454876E-2</v>
      </c>
      <c r="F24" s="57">
        <v>-0.10211061397849461</v>
      </c>
      <c r="G24" s="57">
        <v>-1.0138315770609141E-2</v>
      </c>
      <c r="H24" s="57">
        <v>-6.2794705017921157E-2</v>
      </c>
      <c r="I24" s="57">
        <v>-0.10560545352449223</v>
      </c>
      <c r="J24" s="57">
        <v>2.6747943635432703E-2</v>
      </c>
      <c r="K24" s="57">
        <v>-1.7968026164874484E-2</v>
      </c>
      <c r="L24" s="57">
        <v>-0.10799836881720427</v>
      </c>
      <c r="M24" s="57">
        <v>2.0830614244751633E-2</v>
      </c>
      <c r="N24" s="57">
        <v>-3.8561362007168323E-2</v>
      </c>
      <c r="O24" s="57">
        <v>-0.10635146738351252</v>
      </c>
      <c r="P24" s="57">
        <v>4.1009024372759842E-2</v>
      </c>
      <c r="Q24" s="57">
        <v>-2.5095363799282986E-2</v>
      </c>
      <c r="R24" s="57">
        <v>-9.7430364157706034E-2</v>
      </c>
      <c r="S24" s="57">
        <v>1.8902763440860223E-2</v>
      </c>
      <c r="T24" s="57">
        <v>-4.6668511469533769E-2</v>
      </c>
      <c r="U24" s="57">
        <v>-0.13220389964157706</v>
      </c>
      <c r="V24" s="57">
        <v>6.8181218637991536E-3</v>
      </c>
      <c r="W24" s="57">
        <v>-5.0857495340501713E-2</v>
      </c>
      <c r="X24" s="57">
        <v>-0.1241747675974403</v>
      </c>
      <c r="Y24" s="57">
        <v>-0.10121224480286736</v>
      </c>
      <c r="Z24" s="57">
        <v>-0.14426544265232971</v>
      </c>
      <c r="AA24" s="57">
        <v>-0.15225666544690275</v>
      </c>
      <c r="AB24" s="57">
        <v>2.3765651971326327E-2</v>
      </c>
      <c r="AC24" s="57">
        <v>-4.86085169312249E-2</v>
      </c>
      <c r="AD24" s="57">
        <v>-0.10045891274030626</v>
      </c>
      <c r="AE24" s="57">
        <v>-5.3548685663082275E-2</v>
      </c>
      <c r="AF24" s="57">
        <v>-0.12118056137566935</v>
      </c>
      <c r="AG24" s="57">
        <v>-0.10622347706093192</v>
      </c>
      <c r="AH24" s="57">
        <v>5.3787344086021552E-2</v>
      </c>
      <c r="AI24" s="57">
        <v>-1.0409307987711378E-2</v>
      </c>
      <c r="AJ24" s="57">
        <v>-8.2653206451612907E-2</v>
      </c>
      <c r="AK24" s="57">
        <v>-7.8672149103942546E-2</v>
      </c>
      <c r="AL24" s="57">
        <v>-0.12176645709165387</v>
      </c>
      <c r="AM24" s="57">
        <v>-0.11639057060931901</v>
      </c>
      <c r="AN24" s="57">
        <v>3.0550598924731168E-2</v>
      </c>
      <c r="AO24" s="57">
        <v>-5.71912194651235E-3</v>
      </c>
      <c r="AP24" s="57">
        <v>-3.3318436334415405E-2</v>
      </c>
      <c r="AQ24" s="57">
        <v>1.9103751612903265E-2</v>
      </c>
      <c r="AR24" s="57">
        <v>-1.7565326247587471E-2</v>
      </c>
      <c r="AS24" s="57">
        <v>-6.3070720205383152E-2</v>
      </c>
      <c r="AT24" s="57">
        <v>-1.6056620071683569E-3</v>
      </c>
      <c r="AU24" s="57">
        <v>-4.2350152329748952E-2</v>
      </c>
      <c r="AV24" s="57">
        <v>-7.0102540860215154E-2</v>
      </c>
      <c r="AW24" s="57">
        <v>-2.5156542970927814E-2</v>
      </c>
      <c r="AX24" s="57">
        <v>-4.7313443727598589E-2</v>
      </c>
      <c r="AY24" s="57">
        <v>-9.7057714695340483E-2</v>
      </c>
      <c r="AZ24" s="57">
        <v>1.8467654480286755E-2</v>
      </c>
      <c r="BA24" s="57">
        <v>-3.537460000000002E-2</v>
      </c>
      <c r="BB24" s="57">
        <v>-4.7023593059628541E-2</v>
      </c>
      <c r="BC24" s="57">
        <v>-5.8938964157704554E-3</v>
      </c>
      <c r="BD24" s="57">
        <v>-5.6024916845878167E-2</v>
      </c>
      <c r="BE24" s="57">
        <v>-7.440473033561415E-2</v>
      </c>
      <c r="BF24" s="57">
        <v>3.812763440860322E-3</v>
      </c>
      <c r="BG24" s="57">
        <v>-5.7393343010752718E-2</v>
      </c>
      <c r="BH24" s="57">
        <v>-0.11536403985155584</v>
      </c>
      <c r="BI24" s="57">
        <v>-8.9813168458781262E-2</v>
      </c>
      <c r="BJ24" s="57">
        <v>-0.14159792114695338</v>
      </c>
      <c r="BK24" s="57">
        <v>-0.13824782981571349</v>
      </c>
      <c r="BL24" s="57">
        <v>5.4131012544803098E-2</v>
      </c>
      <c r="BM24" s="57">
        <v>1.7599153439162293E-4</v>
      </c>
      <c r="BN24" s="57">
        <v>-0.10154066563329139</v>
      </c>
      <c r="BO24" s="57">
        <v>2.1160564874551979E-2</v>
      </c>
      <c r="BP24" s="57">
        <v>-5.2184479211469438E-2</v>
      </c>
      <c r="BQ24" s="57">
        <v>-0.11025101577060922</v>
      </c>
      <c r="BR24" s="57">
        <v>8.0862702508965184E-3</v>
      </c>
      <c r="BS24" s="57">
        <v>8.511711469533929E-3</v>
      </c>
      <c r="BT24" s="57">
        <v>-0.11690121218637989</v>
      </c>
      <c r="BU24" s="57">
        <v>-1.4045595340501704E-2</v>
      </c>
      <c r="BV24" s="57">
        <v>-5.885366415770623E-2</v>
      </c>
      <c r="BW24" s="57">
        <v>-0.14719271146953389</v>
      </c>
    </row>
    <row r="25" spans="1:75" x14ac:dyDescent="0.3">
      <c r="A25" s="8" t="s">
        <v>89</v>
      </c>
      <c r="B25" s="8" t="s">
        <v>10</v>
      </c>
      <c r="C25" s="8" t="s">
        <v>111</v>
      </c>
      <c r="D25" s="57">
        <v>-0.11854640510752684</v>
      </c>
      <c r="E25" s="57">
        <v>-0.12212213902080733</v>
      </c>
      <c r="F25" s="57">
        <v>-0.15472072822580646</v>
      </c>
      <c r="G25" s="57">
        <v>-0.16740765940860208</v>
      </c>
      <c r="H25" s="57">
        <v>-0.16202742231182796</v>
      </c>
      <c r="I25" s="57">
        <v>-0.15443235465949817</v>
      </c>
      <c r="J25" s="57">
        <v>-0.10315570531490015</v>
      </c>
      <c r="K25" s="57">
        <v>-0.10541340026881722</v>
      </c>
      <c r="L25" s="57">
        <v>-0.1500484024193548</v>
      </c>
      <c r="M25" s="57">
        <v>-0.14803252171274961</v>
      </c>
      <c r="N25" s="57">
        <v>-0.15280069892473114</v>
      </c>
      <c r="O25" s="57">
        <v>-0.15542474247311824</v>
      </c>
      <c r="P25" s="57">
        <v>-0.10791420591397854</v>
      </c>
      <c r="Q25" s="57">
        <v>-0.11283455510752698</v>
      </c>
      <c r="R25" s="57">
        <v>-0.142208276344086</v>
      </c>
      <c r="S25" s="57">
        <v>-0.14272176612903223</v>
      </c>
      <c r="T25" s="57">
        <v>-0.15115445456989243</v>
      </c>
      <c r="U25" s="57">
        <v>-0.15966205376344089</v>
      </c>
      <c r="V25" s="57">
        <v>-0.16480427956989249</v>
      </c>
      <c r="W25" s="57">
        <v>-0.17082599892473116</v>
      </c>
      <c r="X25" s="57">
        <v>-0.15952289768760905</v>
      </c>
      <c r="Y25" s="57">
        <v>-0.16883985456989242</v>
      </c>
      <c r="Z25" s="57">
        <v>-0.17808572715053766</v>
      </c>
      <c r="AA25" s="57">
        <v>-0.16153809526825422</v>
      </c>
      <c r="AB25" s="57">
        <v>-0.15812607069892468</v>
      </c>
      <c r="AC25" s="57">
        <v>-0.16928746544566725</v>
      </c>
      <c r="AD25" s="57">
        <v>-0.15090816168132942</v>
      </c>
      <c r="AE25" s="57">
        <v>-0.15436547553763438</v>
      </c>
      <c r="AF25" s="57">
        <v>-0.16181089877900065</v>
      </c>
      <c r="AG25" s="57">
        <v>-0.14227346586021505</v>
      </c>
      <c r="AH25" s="57">
        <v>-0.15093436290322582</v>
      </c>
      <c r="AI25" s="57">
        <v>-0.1480921411290323</v>
      </c>
      <c r="AJ25" s="57">
        <v>-0.14285018225806451</v>
      </c>
      <c r="AK25" s="57">
        <v>-0.17373003440860219</v>
      </c>
      <c r="AL25" s="57">
        <v>-0.1733259255376344</v>
      </c>
      <c r="AM25" s="57">
        <v>-0.15125170860215054</v>
      </c>
      <c r="AN25" s="57">
        <v>-0.10863306370967749</v>
      </c>
      <c r="AO25" s="57">
        <v>-0.11404334840777487</v>
      </c>
      <c r="AP25" s="57">
        <v>-0.12391957184640355</v>
      </c>
      <c r="AQ25" s="57">
        <v>-0.14357356693548384</v>
      </c>
      <c r="AR25" s="57">
        <v>-0.14308045324648472</v>
      </c>
      <c r="AS25" s="57">
        <v>-0.13743879120124228</v>
      </c>
      <c r="AT25" s="57">
        <v>-0.16737312392473114</v>
      </c>
      <c r="AU25" s="57">
        <v>-0.16993777553763439</v>
      </c>
      <c r="AV25" s="57">
        <v>-0.14348859596774197</v>
      </c>
      <c r="AW25" s="57">
        <v>-0.15319909324970132</v>
      </c>
      <c r="AX25" s="57">
        <v>-0.14481114086021507</v>
      </c>
      <c r="AY25" s="57">
        <v>-0.14524839569892473</v>
      </c>
      <c r="AZ25" s="57">
        <v>-0.10160927204301075</v>
      </c>
      <c r="BA25" s="57">
        <v>-0.10886835000000003</v>
      </c>
      <c r="BB25" s="57">
        <v>-0.12712779332844576</v>
      </c>
      <c r="BC25" s="57">
        <v>-0.14689731263440856</v>
      </c>
      <c r="BD25" s="57">
        <v>-0.15016042311827957</v>
      </c>
      <c r="BE25" s="57">
        <v>-0.13878902693059628</v>
      </c>
      <c r="BF25" s="57">
        <v>-0.15199926612903222</v>
      </c>
      <c r="BG25" s="57">
        <v>-0.15898672338709671</v>
      </c>
      <c r="BH25" s="57">
        <v>-0.15148655412503567</v>
      </c>
      <c r="BI25" s="57">
        <v>-0.17489323118279571</v>
      </c>
      <c r="BJ25" s="57">
        <v>-0.17386682795698921</v>
      </c>
      <c r="BK25" s="57">
        <v>-0.15887740950137977</v>
      </c>
      <c r="BL25" s="57">
        <v>-9.9276256720430084E-2</v>
      </c>
      <c r="BM25" s="57">
        <v>-0.10942012063492068</v>
      </c>
      <c r="BN25" s="57">
        <v>-0.14862759591537492</v>
      </c>
      <c r="BO25" s="57">
        <v>-0.14656533118279574</v>
      </c>
      <c r="BP25" s="57">
        <v>-0.15422304327956987</v>
      </c>
      <c r="BQ25" s="57">
        <v>-0.15493598440860212</v>
      </c>
      <c r="BR25" s="57">
        <v>-0.1062681876344085</v>
      </c>
      <c r="BS25" s="57">
        <v>-0.11640234543010748</v>
      </c>
      <c r="BT25" s="57">
        <v>-0.15180772204301074</v>
      </c>
      <c r="BU25" s="57">
        <v>-0.1674234739247312</v>
      </c>
      <c r="BV25" s="57">
        <v>-0.16161595134408602</v>
      </c>
      <c r="BW25" s="57">
        <v>-0.16784240456989244</v>
      </c>
    </row>
    <row r="26" spans="1:75" x14ac:dyDescent="0.3">
      <c r="A26" s="8" t="s">
        <v>89</v>
      </c>
      <c r="B26" s="8" t="s">
        <v>10</v>
      </c>
      <c r="C26" s="8" t="s">
        <v>112</v>
      </c>
      <c r="D26" s="57">
        <v>-0.42757540510752684</v>
      </c>
      <c r="E26" s="57">
        <v>-0.40094613902080734</v>
      </c>
      <c r="F26" s="57">
        <v>-0.36385972822580642</v>
      </c>
      <c r="G26" s="57">
        <v>-0.4262186594086021</v>
      </c>
      <c r="H26" s="57">
        <v>-0.385320422311828</v>
      </c>
      <c r="I26" s="57">
        <v>-0.33779035465949819</v>
      </c>
      <c r="J26" s="57">
        <v>-0.39390770531490027</v>
      </c>
      <c r="K26" s="57">
        <v>-0.37259640026881718</v>
      </c>
      <c r="L26" s="57">
        <v>-0.35204740241935478</v>
      </c>
      <c r="M26" s="57">
        <v>-0.39732352171274965</v>
      </c>
      <c r="N26" s="57">
        <v>-0.37596069892473116</v>
      </c>
      <c r="O26" s="57">
        <v>-0.34051874247311825</v>
      </c>
      <c r="P26" s="57">
        <v>-0.38991620591397852</v>
      </c>
      <c r="Q26" s="57">
        <v>-0.37200955510752703</v>
      </c>
      <c r="R26" s="57">
        <v>-0.339804276344086</v>
      </c>
      <c r="S26" s="57">
        <v>-0.38366176612903224</v>
      </c>
      <c r="T26" s="57">
        <v>-0.36403145456989244</v>
      </c>
      <c r="U26" s="57">
        <v>-0.33970205376344093</v>
      </c>
      <c r="V26" s="57">
        <v>-0.4274442795698925</v>
      </c>
      <c r="W26" s="57">
        <v>-0.41215799892473115</v>
      </c>
      <c r="X26" s="57">
        <v>-0.34308389768760905</v>
      </c>
      <c r="Y26" s="57">
        <v>-0.39577285456989242</v>
      </c>
      <c r="Z26" s="57">
        <v>-0.37762072715053768</v>
      </c>
      <c r="AA26" s="57">
        <v>-0.33204409526825424</v>
      </c>
      <c r="AB26" s="57">
        <v>-0.42036707069892465</v>
      </c>
      <c r="AC26" s="57">
        <v>-0.41028346544566729</v>
      </c>
      <c r="AD26" s="57">
        <v>-0.33307616168132942</v>
      </c>
      <c r="AE26" s="57">
        <v>-0.37198847553763442</v>
      </c>
      <c r="AF26" s="57">
        <v>-0.35557089877900072</v>
      </c>
      <c r="AG26" s="57">
        <v>-0.30924446586021509</v>
      </c>
      <c r="AH26" s="57">
        <v>-0.43814436290322584</v>
      </c>
      <c r="AI26" s="57">
        <v>-0.40908714112903233</v>
      </c>
      <c r="AJ26" s="57">
        <v>-0.33721218225806449</v>
      </c>
      <c r="AK26" s="57">
        <v>-0.40478603440860222</v>
      </c>
      <c r="AL26" s="57">
        <v>-0.38222692553763443</v>
      </c>
      <c r="AM26" s="57">
        <v>-0.32711970860215056</v>
      </c>
      <c r="AN26" s="57">
        <v>-0.40154806370967744</v>
      </c>
      <c r="AO26" s="57">
        <v>-0.38136634840777495</v>
      </c>
      <c r="AP26" s="57">
        <v>-0.32619857184640355</v>
      </c>
      <c r="AQ26" s="57">
        <v>-0.38247656693548387</v>
      </c>
      <c r="AR26" s="57">
        <v>-0.35987745324648468</v>
      </c>
      <c r="AS26" s="57">
        <v>-0.31938979120124228</v>
      </c>
      <c r="AT26" s="57">
        <v>-0.43184012392473115</v>
      </c>
      <c r="AU26" s="57">
        <v>-0.41441277553763439</v>
      </c>
      <c r="AV26" s="57">
        <v>-0.33014359596774195</v>
      </c>
      <c r="AW26" s="57">
        <v>-0.37984509324970134</v>
      </c>
      <c r="AX26" s="57">
        <v>-0.34845514086021506</v>
      </c>
      <c r="AY26" s="57">
        <v>-0.31660839569892474</v>
      </c>
      <c r="AZ26" s="57">
        <v>-0.38225327204301074</v>
      </c>
      <c r="BA26" s="57">
        <v>-0.36830235</v>
      </c>
      <c r="BB26" s="57">
        <v>-0.32293879332844577</v>
      </c>
      <c r="BC26" s="57">
        <v>-0.37483831263440859</v>
      </c>
      <c r="BD26" s="57">
        <v>-0.35381842311827955</v>
      </c>
      <c r="BE26" s="57">
        <v>-0.3129630269305963</v>
      </c>
      <c r="BF26" s="57">
        <v>-0.42408926612903231</v>
      </c>
      <c r="BG26" s="57">
        <v>-0.40798372338709671</v>
      </c>
      <c r="BH26" s="57">
        <v>-0.33665055412503569</v>
      </c>
      <c r="BI26" s="57">
        <v>-0.40183323118279574</v>
      </c>
      <c r="BJ26" s="57">
        <v>-0.37294682795698919</v>
      </c>
      <c r="BK26" s="57">
        <v>-0.32991540950137976</v>
      </c>
      <c r="BL26" s="57">
        <v>-0.39716125672043018</v>
      </c>
      <c r="BM26" s="57">
        <v>-0.37855612063492067</v>
      </c>
      <c r="BN26" s="57">
        <v>-0.35082959591537494</v>
      </c>
      <c r="BO26" s="57">
        <v>-0.39178933118279574</v>
      </c>
      <c r="BP26" s="57">
        <v>-0.37235004327956989</v>
      </c>
      <c r="BQ26" s="57">
        <v>-0.3359699844086021</v>
      </c>
      <c r="BR26" s="57">
        <v>-0.41803418763440858</v>
      </c>
      <c r="BS26" s="57">
        <v>-0.39677334543010756</v>
      </c>
      <c r="BT26" s="57">
        <v>-0.36274572204301075</v>
      </c>
      <c r="BU26" s="57">
        <v>-0.4236444739247312</v>
      </c>
      <c r="BV26" s="57">
        <v>-0.38636495134408594</v>
      </c>
      <c r="BW26" s="57">
        <v>-0.35119340456989245</v>
      </c>
    </row>
    <row r="27" spans="1:75" x14ac:dyDescent="0.3">
      <c r="A27" s="8" t="s">
        <v>89</v>
      </c>
      <c r="B27" s="8" t="s">
        <v>10</v>
      </c>
      <c r="C27" s="8" t="s">
        <v>115</v>
      </c>
      <c r="D27" s="57">
        <v>-0.10108106326164876</v>
      </c>
      <c r="E27" s="57">
        <v>-0.11064877727617206</v>
      </c>
      <c r="F27" s="57">
        <v>-0.11071684784946235</v>
      </c>
      <c r="G27" s="57">
        <v>-9.7202893727598536E-2</v>
      </c>
      <c r="H27" s="57">
        <v>-9.775771845878134E-2</v>
      </c>
      <c r="I27" s="57">
        <v>-0.10910776356033454</v>
      </c>
      <c r="J27" s="57">
        <v>-8.2905529790066518E-2</v>
      </c>
      <c r="K27" s="57">
        <v>-9.4868399820788513E-2</v>
      </c>
      <c r="L27" s="57">
        <v>-0.1023597317204301</v>
      </c>
      <c r="M27" s="57">
        <v>-7.6679652191500219E-2</v>
      </c>
      <c r="N27" s="57">
        <v>-8.8432867383512553E-2</v>
      </c>
      <c r="O27" s="57">
        <v>-0.10843550501792114</v>
      </c>
      <c r="P27" s="57">
        <v>-8.4733196057347623E-2</v>
      </c>
      <c r="Q27" s="57">
        <v>-9.4496963261648678E-2</v>
      </c>
      <c r="R27" s="57">
        <v>-9.3222482437275878E-2</v>
      </c>
      <c r="S27" s="57">
        <v>-8.4992155913978476E-2</v>
      </c>
      <c r="T27" s="57">
        <v>-9.5406363620071682E-2</v>
      </c>
      <c r="U27" s="57">
        <v>-0.10849863082437271</v>
      </c>
      <c r="V27" s="57">
        <v>-9.6750480286738341E-2</v>
      </c>
      <c r="W27" s="57">
        <v>-0.10491200071684591</v>
      </c>
      <c r="X27" s="57">
        <v>-0.10878689892379292</v>
      </c>
      <c r="Y27" s="57">
        <v>-0.114464096953405</v>
      </c>
      <c r="Z27" s="57">
        <v>-0.12395618189964154</v>
      </c>
      <c r="AA27" s="57">
        <v>-0.11490343387002944</v>
      </c>
      <c r="AB27" s="57">
        <v>-9.003061953405013E-2</v>
      </c>
      <c r="AC27" s="57">
        <v>-0.10220968970288839</v>
      </c>
      <c r="AD27" s="57">
        <v>-0.10377601342456823</v>
      </c>
      <c r="AE27" s="57">
        <v>-9.0553682974910371E-2</v>
      </c>
      <c r="AF27" s="57">
        <v>-9.9226067480666202E-2</v>
      </c>
      <c r="AG27" s="57">
        <v>-9.7559022759856617E-2</v>
      </c>
      <c r="AH27" s="57">
        <v>-9.1957091397849453E-2</v>
      </c>
      <c r="AI27" s="57">
        <v>-9.6823334485407059E-2</v>
      </c>
      <c r="AJ27" s="57">
        <v>-9.7074545161290327E-2</v>
      </c>
      <c r="AK27" s="57">
        <v>-0.10884797706093187</v>
      </c>
      <c r="AL27" s="57">
        <v>-0.10976881154633895</v>
      </c>
      <c r="AM27" s="57">
        <v>-0.10204152759856631</v>
      </c>
      <c r="AN27" s="57">
        <v>-9.3569957526881686E-2</v>
      </c>
      <c r="AO27" s="57">
        <v>-9.2892947215329563E-2</v>
      </c>
      <c r="AP27" s="57">
        <v>-8.065895210239761E-2</v>
      </c>
      <c r="AQ27" s="57">
        <v>-8.5588288709677399E-2</v>
      </c>
      <c r="AR27" s="57">
        <v>-8.6854877322856322E-2</v>
      </c>
      <c r="AS27" s="57">
        <v>-9.2222139199171785E-2</v>
      </c>
      <c r="AT27" s="57">
        <v>-9.3993917383512565E-2</v>
      </c>
      <c r="AU27" s="57">
        <v>-0.10370814964157704</v>
      </c>
      <c r="AV27" s="57">
        <v>-9.7712936021505437E-2</v>
      </c>
      <c r="AW27" s="57">
        <v>-9.6139715611310184E-2</v>
      </c>
      <c r="AX27" s="57">
        <v>-9.046323942652329E-2</v>
      </c>
      <c r="AY27" s="57">
        <v>-0.10861973620071683</v>
      </c>
      <c r="AZ27" s="57">
        <v>-8.9712485304659487E-2</v>
      </c>
      <c r="BA27" s="57">
        <v>-9.6993099999999971E-2</v>
      </c>
      <c r="BB27" s="57">
        <v>-9.1999774144672558E-2</v>
      </c>
      <c r="BC27" s="57">
        <v>-8.9636458243727596E-2</v>
      </c>
      <c r="BD27" s="57">
        <v>-0.10133705125448027</v>
      </c>
      <c r="BE27" s="57">
        <v>-0.10180961840990549</v>
      </c>
      <c r="BF27" s="57">
        <v>-9.9887155913978481E-2</v>
      </c>
      <c r="BG27" s="57">
        <v>-0.10842485107526879</v>
      </c>
      <c r="BH27" s="57">
        <v>-0.11491915860690836</v>
      </c>
      <c r="BI27" s="57">
        <v>-0.11042451254480283</v>
      </c>
      <c r="BJ27" s="57">
        <v>-0.11208878136200716</v>
      </c>
      <c r="BK27" s="57">
        <v>-0.11806392168934565</v>
      </c>
      <c r="BL27" s="57">
        <v>-8.1415828853046573E-2</v>
      </c>
      <c r="BM27" s="57">
        <v>-9.1081252910052882E-2</v>
      </c>
      <c r="BN27" s="57">
        <v>-0.10319093605641669</v>
      </c>
      <c r="BO27" s="57">
        <v>-7.9981779211469498E-2</v>
      </c>
      <c r="BP27" s="57">
        <v>-9.0360637813620082E-2</v>
      </c>
      <c r="BQ27" s="57">
        <v>-0.11108134372759858</v>
      </c>
      <c r="BR27" s="57">
        <v>-0.10770254157706098</v>
      </c>
      <c r="BS27" s="57">
        <v>-9.5558436379928322E-2</v>
      </c>
      <c r="BT27" s="57">
        <v>-0.11163085197132613</v>
      </c>
      <c r="BU27" s="57">
        <v>-9.8672350716845825E-2</v>
      </c>
      <c r="BV27" s="57">
        <v>-9.7200032437275985E-2</v>
      </c>
      <c r="BW27" s="57">
        <v>-0.1167050636200717</v>
      </c>
    </row>
    <row r="28" spans="1:75" x14ac:dyDescent="0.3">
      <c r="A28" s="8" t="s">
        <v>89</v>
      </c>
      <c r="B28" s="8" t="s">
        <v>10</v>
      </c>
      <c r="C28" s="8" t="s">
        <v>116</v>
      </c>
      <c r="D28" s="57">
        <v>-0.33196081453853049</v>
      </c>
      <c r="E28" s="57">
        <v>-0.31538698153786726</v>
      </c>
      <c r="F28" s="57">
        <v>-0.26209787990591399</v>
      </c>
      <c r="G28" s="57">
        <v>-0.29402565857974905</v>
      </c>
      <c r="H28" s="57">
        <v>-0.26400732403673843</v>
      </c>
      <c r="I28" s="57">
        <v>-0.23914135222520891</v>
      </c>
      <c r="J28" s="57">
        <v>-0.2989286561187916</v>
      </c>
      <c r="K28" s="57">
        <v>-0.28973879988799278</v>
      </c>
      <c r="L28" s="57">
        <v>-0.24832648232526883</v>
      </c>
      <c r="M28" s="57">
        <v>-0.2657186326196877</v>
      </c>
      <c r="N28" s="57">
        <v>-0.25458604211469532</v>
      </c>
      <c r="O28" s="57">
        <v>-0.24016959063620069</v>
      </c>
      <c r="P28" s="57">
        <v>-0.29388344753584217</v>
      </c>
      <c r="Q28" s="57">
        <v>-0.28384385203853035</v>
      </c>
      <c r="R28" s="57">
        <v>-0.23570415152329738</v>
      </c>
      <c r="S28" s="57">
        <v>-0.25945409744623654</v>
      </c>
      <c r="T28" s="57">
        <v>-0.25167292726254475</v>
      </c>
      <c r="U28" s="57">
        <v>-0.23663514426523297</v>
      </c>
      <c r="V28" s="57">
        <v>-0.29645055017921135</v>
      </c>
      <c r="W28" s="57">
        <v>-0.28648370044802862</v>
      </c>
      <c r="X28" s="57">
        <v>-0.23980184873836533</v>
      </c>
      <c r="Y28" s="57">
        <v>-0.2656396105958781</v>
      </c>
      <c r="Z28" s="57">
        <v>-0.26882986368727596</v>
      </c>
      <c r="AA28" s="57">
        <v>-0.23439293307976306</v>
      </c>
      <c r="AB28" s="57">
        <v>-0.28940348720878134</v>
      </c>
      <c r="AC28" s="57">
        <v>-0.28367515606430527</v>
      </c>
      <c r="AD28" s="57">
        <v>-0.23308623566308248</v>
      </c>
      <c r="AE28" s="57">
        <v>-0.25199610185931892</v>
      </c>
      <c r="AF28" s="57">
        <v>-0.24054179217541638</v>
      </c>
      <c r="AG28" s="57">
        <v>-0.21380623922491029</v>
      </c>
      <c r="AH28" s="57">
        <v>-0.3108291821236559</v>
      </c>
      <c r="AI28" s="57">
        <v>-0.29263090548195092</v>
      </c>
      <c r="AJ28" s="57">
        <v>-0.23637199072580636</v>
      </c>
      <c r="AK28" s="57">
        <v>-0.28167708566308231</v>
      </c>
      <c r="AL28" s="57">
        <v>-0.26388392864503329</v>
      </c>
      <c r="AM28" s="57">
        <v>-0.22639845474910394</v>
      </c>
      <c r="AN28" s="57">
        <v>-0.310622673454301</v>
      </c>
      <c r="AO28" s="57">
        <v>-0.28947115739419632</v>
      </c>
      <c r="AP28" s="57">
        <v>-0.22619549506399847</v>
      </c>
      <c r="AQ28" s="57">
        <v>-0.26144173044354829</v>
      </c>
      <c r="AR28" s="57">
        <v>-0.24646906371140054</v>
      </c>
      <c r="AS28" s="57">
        <v>-0.22106368699948239</v>
      </c>
      <c r="AT28" s="57">
        <v>-0.2960196483646953</v>
      </c>
      <c r="AU28" s="57">
        <v>-0.28795384352598563</v>
      </c>
      <c r="AV28" s="57">
        <v>-0.23056953501344093</v>
      </c>
      <c r="AW28" s="57">
        <v>-0.26410992225706881</v>
      </c>
      <c r="AX28" s="57">
        <v>-0.23880362464157706</v>
      </c>
      <c r="AY28" s="57">
        <v>-0.22732203512544805</v>
      </c>
      <c r="AZ28" s="57">
        <v>-0.29603520331541211</v>
      </c>
      <c r="BA28" s="57">
        <v>-0.28558708749999995</v>
      </c>
      <c r="BB28" s="57">
        <v>-0.23091102702223851</v>
      </c>
      <c r="BC28" s="57">
        <v>-0.2587191364023298</v>
      </c>
      <c r="BD28" s="57">
        <v>-0.24886045703405013</v>
      </c>
      <c r="BE28" s="57">
        <v>-0.22291622968800903</v>
      </c>
      <c r="BF28" s="57">
        <v>-0.30509347244623652</v>
      </c>
      <c r="BG28" s="57">
        <v>-0.29409948192204288</v>
      </c>
      <c r="BH28" s="57">
        <v>-0.24514846793462747</v>
      </c>
      <c r="BI28" s="57">
        <v>-0.27975182034050172</v>
      </c>
      <c r="BJ28" s="57">
        <v>-0.25772948835125442</v>
      </c>
      <c r="BK28" s="57">
        <v>-0.23712484486115068</v>
      </c>
      <c r="BL28" s="57">
        <v>-0.30304164303315406</v>
      </c>
      <c r="BM28" s="57">
        <v>-0.28875288306878305</v>
      </c>
      <c r="BN28" s="57">
        <v>-0.24898953503526047</v>
      </c>
      <c r="BO28" s="57">
        <v>-0.2649065120071683</v>
      </c>
      <c r="BP28" s="57">
        <v>-0.25223184863351245</v>
      </c>
      <c r="BQ28" s="57">
        <v>-0.23895223982974909</v>
      </c>
      <c r="BR28" s="57">
        <v>-0.3380346884856632</v>
      </c>
      <c r="BS28" s="57">
        <v>-0.30299507273745524</v>
      </c>
      <c r="BT28" s="57">
        <v>-0.26394128248207888</v>
      </c>
      <c r="BU28" s="57">
        <v>-0.29311256919802858</v>
      </c>
      <c r="BV28" s="57">
        <v>-0.26468837027329745</v>
      </c>
      <c r="BW28" s="57">
        <v>-0.24760471476254478</v>
      </c>
    </row>
    <row r="29" spans="1:75" x14ac:dyDescent="0.3">
      <c r="A29" s="8" t="s">
        <v>89</v>
      </c>
      <c r="B29" s="8" t="s">
        <v>10</v>
      </c>
      <c r="C29" s="8" t="s">
        <v>117</v>
      </c>
      <c r="D29" s="57">
        <v>-0.30929264872311829</v>
      </c>
      <c r="E29" s="57">
        <v>-0.29255111771233094</v>
      </c>
      <c r="F29" s="57">
        <v>-0.24351056794354817</v>
      </c>
      <c r="G29" s="57">
        <v>-0.27734883514784947</v>
      </c>
      <c r="H29" s="57">
        <v>-0.24724439442204296</v>
      </c>
      <c r="I29" s="57">
        <v>-0.22105441133512513</v>
      </c>
      <c r="J29" s="57">
        <v>-0.27680007367127496</v>
      </c>
      <c r="K29" s="57">
        <v>-0.2669763999327957</v>
      </c>
      <c r="L29" s="57">
        <v>-0.23020964939516095</v>
      </c>
      <c r="M29" s="57">
        <v>-0.24929261957181259</v>
      </c>
      <c r="N29" s="57">
        <v>-0.23783482526881722</v>
      </c>
      <c r="O29" s="57">
        <v>-0.22222431438172027</v>
      </c>
      <c r="P29" s="57">
        <v>-0.27217294852150525</v>
      </c>
      <c r="Q29" s="57">
        <v>-0.26197511122311823</v>
      </c>
      <c r="R29" s="57">
        <v>-0.2177799309139784</v>
      </c>
      <c r="S29" s="57">
        <v>-0.23808205846774189</v>
      </c>
      <c r="T29" s="57">
        <v>-0.23420663635752692</v>
      </c>
      <c r="U29" s="57">
        <v>-0.21917948655913996</v>
      </c>
      <c r="V29" s="57">
        <v>-0.27950393010752694</v>
      </c>
      <c r="W29" s="57">
        <v>-0.26962750026881727</v>
      </c>
      <c r="X29" s="57">
        <v>-0.22225314861474696</v>
      </c>
      <c r="Y29" s="57">
        <v>-0.23674728635752676</v>
      </c>
      <c r="Z29" s="57">
        <v>-0.25139231821236557</v>
      </c>
      <c r="AA29" s="57">
        <v>-0.21662059921958562</v>
      </c>
      <c r="AB29" s="57">
        <v>-0.27246673232526875</v>
      </c>
      <c r="AC29" s="57">
        <v>-0.26694013363858304</v>
      </c>
      <c r="AD29" s="57">
        <v>-0.21519705048875859</v>
      </c>
      <c r="AE29" s="57">
        <v>-0.2352683811155914</v>
      </c>
      <c r="AF29" s="57">
        <v>-0.22403227530524983</v>
      </c>
      <c r="AG29" s="57">
        <v>-0.19589238353494598</v>
      </c>
      <c r="AH29" s="57">
        <v>-0.29262390927419352</v>
      </c>
      <c r="AI29" s="57">
        <v>-0.27402928614631333</v>
      </c>
      <c r="AJ29" s="57">
        <v>-0.21817295443548371</v>
      </c>
      <c r="AK29" s="57">
        <v>-0.26486449139784934</v>
      </c>
      <c r="AL29" s="57">
        <v>-0.24725534004416286</v>
      </c>
      <c r="AM29" s="57">
        <v>-0.20880707284946226</v>
      </c>
      <c r="AN29" s="57">
        <v>-0.28794448407258066</v>
      </c>
      <c r="AO29" s="57">
        <v>-0.26776729751344086</v>
      </c>
      <c r="AP29" s="57">
        <v>-0.20763185703839909</v>
      </c>
      <c r="AQ29" s="57">
        <v>-0.24216135826612897</v>
      </c>
      <c r="AR29" s="57">
        <v>-0.22899452130376333</v>
      </c>
      <c r="AS29" s="57">
        <v>-0.20298605219968943</v>
      </c>
      <c r="AT29" s="57">
        <v>-0.27957946901881719</v>
      </c>
      <c r="AU29" s="57">
        <v>-0.27108430611559142</v>
      </c>
      <c r="AV29" s="57">
        <v>-0.21248060100806451</v>
      </c>
      <c r="AW29" s="57">
        <v>-0.24657806002090796</v>
      </c>
      <c r="AX29" s="57">
        <v>-0.22132921478494624</v>
      </c>
      <c r="AY29" s="57">
        <v>-0.20853690107526876</v>
      </c>
      <c r="AZ29" s="57">
        <v>-0.27321568198924723</v>
      </c>
      <c r="BA29" s="57">
        <v>-0.26306841249999996</v>
      </c>
      <c r="BB29" s="57">
        <v>-0.21162652894061593</v>
      </c>
      <c r="BC29" s="57">
        <v>-0.24118892184139792</v>
      </c>
      <c r="BD29" s="57">
        <v>-0.23083339422043012</v>
      </c>
      <c r="BE29" s="57">
        <v>-0.20412597054007822</v>
      </c>
      <c r="BF29" s="57">
        <v>-0.28641768346774193</v>
      </c>
      <c r="BG29" s="57">
        <v>-0.27559856915322573</v>
      </c>
      <c r="BH29" s="57">
        <v>-0.22616000748644022</v>
      </c>
      <c r="BI29" s="57">
        <v>-0.26295669220430101</v>
      </c>
      <c r="BJ29" s="57">
        <v>-0.24106329301075266</v>
      </c>
      <c r="BK29" s="57">
        <v>-0.21876279364235424</v>
      </c>
      <c r="BL29" s="57">
        <v>-0.28057218581989246</v>
      </c>
      <c r="BM29" s="57">
        <v>-0.2667419698412698</v>
      </c>
      <c r="BN29" s="57">
        <v>-0.23064460102115619</v>
      </c>
      <c r="BO29" s="57">
        <v>-0.24806166720430092</v>
      </c>
      <c r="BP29" s="57">
        <v>-0.23550198918010753</v>
      </c>
      <c r="BQ29" s="57">
        <v>-0.22075150389784948</v>
      </c>
      <c r="BR29" s="57">
        <v>-0.31343745309139787</v>
      </c>
      <c r="BS29" s="57">
        <v>-0.28107416364247312</v>
      </c>
      <c r="BT29" s="57">
        <v>-0.24494556948924728</v>
      </c>
      <c r="BU29" s="57">
        <v>-0.27632738151881714</v>
      </c>
      <c r="BV29" s="57">
        <v>-0.2479192621639785</v>
      </c>
      <c r="BW29" s="57">
        <v>-0.23009914885752694</v>
      </c>
    </row>
    <row r="30" spans="1:75" x14ac:dyDescent="0.3">
      <c r="A30" s="8" t="s">
        <v>89</v>
      </c>
      <c r="B30" s="8" t="s">
        <v>10</v>
      </c>
      <c r="C30" s="8" t="s">
        <v>118</v>
      </c>
      <c r="D30" s="57">
        <v>-0.34477747563844086</v>
      </c>
      <c r="E30" s="57">
        <v>-0.32506962410487383</v>
      </c>
      <c r="F30" s="57">
        <v>-0.2796153160282257</v>
      </c>
      <c r="G30" s="57">
        <v>-0.32200978242607525</v>
      </c>
      <c r="H30" s="57">
        <v>-0.28866720278897851</v>
      </c>
      <c r="I30" s="57">
        <v>-0.25607519433243703</v>
      </c>
      <c r="J30" s="57">
        <v>-0.31193236316436257</v>
      </c>
      <c r="K30" s="57">
        <v>-0.29866240003360217</v>
      </c>
      <c r="L30" s="57">
        <v>-0.26676097530241921</v>
      </c>
      <c r="M30" s="57">
        <v>-0.29370189021409371</v>
      </c>
      <c r="N30" s="57">
        <v>-0.27927258736559141</v>
      </c>
      <c r="O30" s="57">
        <v>-0.25771264280913969</v>
      </c>
      <c r="P30" s="57">
        <v>-0.3074959257392475</v>
      </c>
      <c r="Q30" s="57">
        <v>-0.29498544438844099</v>
      </c>
      <c r="R30" s="57">
        <v>-0.25438723454301077</v>
      </c>
      <c r="S30" s="57">
        <v>-0.27064697076612892</v>
      </c>
      <c r="T30" s="57">
        <v>-0.27315408182123657</v>
      </c>
      <c r="U30" s="57">
        <v>-0.25533625672043031</v>
      </c>
      <c r="V30" s="57">
        <v>-0.32388603494623658</v>
      </c>
      <c r="W30" s="57">
        <v>-0.31238664986559139</v>
      </c>
      <c r="X30" s="57">
        <v>-0.25850237333660558</v>
      </c>
      <c r="Y30" s="57">
        <v>-0.25119095682123643</v>
      </c>
      <c r="Z30" s="57">
        <v>-0.28926084089381721</v>
      </c>
      <c r="AA30" s="57">
        <v>-0.25124764803418626</v>
      </c>
      <c r="AB30" s="57">
        <v>-0.31683683383736555</v>
      </c>
      <c r="AC30" s="57">
        <v>-0.30994313318070843</v>
      </c>
      <c r="AD30" s="57">
        <v>-0.25056078384652974</v>
      </c>
      <c r="AE30" s="57">
        <v>-0.27628440944220428</v>
      </c>
      <c r="AF30" s="57">
        <v>-0.2634938623473751</v>
      </c>
      <c r="AG30" s="57">
        <v>-0.22989800823252671</v>
      </c>
      <c r="AH30" s="57">
        <v>-0.33628004536290318</v>
      </c>
      <c r="AI30" s="57">
        <v>-0.31454664264112908</v>
      </c>
      <c r="AJ30" s="57">
        <v>-0.25388472278225788</v>
      </c>
      <c r="AK30" s="57">
        <v>-0.30684095430107544</v>
      </c>
      <c r="AL30" s="57">
        <v>-0.28774681569220428</v>
      </c>
      <c r="AM30" s="57">
        <v>-0.2443008635752687</v>
      </c>
      <c r="AN30" s="57">
        <v>-0.32202555796370969</v>
      </c>
      <c r="AO30" s="57">
        <v>-0.3018470127817412</v>
      </c>
      <c r="AP30" s="57">
        <v>-0.24320187148080044</v>
      </c>
      <c r="AQ30" s="57">
        <v>-0.27925792086693546</v>
      </c>
      <c r="AR30" s="57">
        <v>-0.2682594008865799</v>
      </c>
      <c r="AS30" s="57">
        <v>-0.23790717390015528</v>
      </c>
      <c r="AT30" s="57">
        <v>-0.32525766549059137</v>
      </c>
      <c r="AU30" s="57">
        <v>-0.31408284694220434</v>
      </c>
      <c r="AV30" s="57">
        <v>-0.24777949949596784</v>
      </c>
      <c r="AW30" s="57">
        <v>-0.28655816998954603</v>
      </c>
      <c r="AX30" s="57">
        <v>-0.25946699260752693</v>
      </c>
      <c r="AY30" s="57">
        <v>-0.24095834946236555</v>
      </c>
      <c r="AZ30" s="57">
        <v>-0.30592695900537636</v>
      </c>
      <c r="BA30" s="57">
        <v>-0.29463859375000007</v>
      </c>
      <c r="BB30" s="57">
        <v>-0.24502020825696488</v>
      </c>
      <c r="BC30" s="57">
        <v>-0.28128373907930099</v>
      </c>
      <c r="BD30" s="57">
        <v>-0.26772890288978501</v>
      </c>
      <c r="BE30" s="57">
        <v>-0.23677708745723364</v>
      </c>
      <c r="BF30" s="57">
        <v>-0.32771915826612907</v>
      </c>
      <c r="BG30" s="57">
        <v>-0.31531411542338711</v>
      </c>
      <c r="BH30" s="57">
        <v>-0.25930717147801885</v>
      </c>
      <c r="BI30" s="57">
        <v>-0.30461965389784962</v>
      </c>
      <c r="BJ30" s="57">
        <v>-0.28062835349462362</v>
      </c>
      <c r="BK30" s="57">
        <v>-0.25210857840006179</v>
      </c>
      <c r="BL30" s="57">
        <v>-0.31554890709005384</v>
      </c>
      <c r="BM30" s="57">
        <v>-0.3002862150793652</v>
      </c>
      <c r="BN30" s="57">
        <v>-0.2667000994894218</v>
      </c>
      <c r="BO30" s="57">
        <v>-0.29117996639784965</v>
      </c>
      <c r="BP30" s="57">
        <v>-0.27655640540994625</v>
      </c>
      <c r="BQ30" s="57">
        <v>-0.25531704805107525</v>
      </c>
      <c r="BR30" s="57">
        <v>-0.34481647345430105</v>
      </c>
      <c r="BS30" s="57">
        <v>-0.31578391817876345</v>
      </c>
      <c r="BT30" s="57">
        <v>-0.28028561525537632</v>
      </c>
      <c r="BU30" s="57">
        <v>-0.32052250924059161</v>
      </c>
      <c r="BV30" s="57">
        <v>-0.28945296891801076</v>
      </c>
      <c r="BW30" s="57">
        <v>-0.26642742557123655</v>
      </c>
    </row>
    <row r="31" spans="1:75" x14ac:dyDescent="0.3">
      <c r="A31" s="8" t="s">
        <v>102</v>
      </c>
      <c r="B31" s="8" t="s">
        <v>8</v>
      </c>
      <c r="C31" s="8" t="s">
        <v>108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v>0</v>
      </c>
      <c r="Q31" s="57">
        <v>0</v>
      </c>
      <c r="R31" s="57">
        <v>0</v>
      </c>
      <c r="S31" s="57">
        <v>0</v>
      </c>
      <c r="T31" s="57">
        <v>0</v>
      </c>
      <c r="U31" s="57">
        <v>0</v>
      </c>
      <c r="V31" s="57">
        <v>0</v>
      </c>
      <c r="W31" s="57">
        <v>0</v>
      </c>
      <c r="X31" s="57">
        <v>0</v>
      </c>
      <c r="Y31" s="57">
        <v>0</v>
      </c>
      <c r="Z31" s="57">
        <v>0</v>
      </c>
      <c r="AA31" s="57">
        <v>0</v>
      </c>
      <c r="AB31" s="57">
        <v>0</v>
      </c>
      <c r="AC31" s="57">
        <v>0</v>
      </c>
      <c r="AD31" s="57">
        <v>0</v>
      </c>
      <c r="AE31" s="57">
        <v>0</v>
      </c>
      <c r="AF31" s="57">
        <v>0</v>
      </c>
      <c r="AG31" s="57">
        <v>0</v>
      </c>
      <c r="AH31" s="57">
        <v>0</v>
      </c>
      <c r="AI31" s="57">
        <v>0</v>
      </c>
      <c r="AJ31" s="57">
        <v>0</v>
      </c>
      <c r="AK31" s="57">
        <v>0</v>
      </c>
      <c r="AL31" s="57">
        <v>0</v>
      </c>
      <c r="AM31" s="57">
        <v>0</v>
      </c>
      <c r="AN31" s="57">
        <v>0</v>
      </c>
      <c r="AO31" s="57">
        <v>0</v>
      </c>
      <c r="AP31" s="57">
        <v>0</v>
      </c>
      <c r="AQ31" s="57">
        <v>0</v>
      </c>
      <c r="AR31" s="57">
        <v>0</v>
      </c>
      <c r="AS31" s="57">
        <v>0</v>
      </c>
      <c r="AT31" s="57">
        <v>0</v>
      </c>
      <c r="AU31" s="57">
        <v>0</v>
      </c>
      <c r="AV31" s="57">
        <v>0</v>
      </c>
      <c r="AW31" s="57">
        <v>0</v>
      </c>
      <c r="AX31" s="57">
        <v>0</v>
      </c>
      <c r="AY31" s="57">
        <v>0</v>
      </c>
      <c r="AZ31" s="57">
        <v>0</v>
      </c>
      <c r="BA31" s="57">
        <v>0</v>
      </c>
      <c r="BB31" s="57">
        <v>0</v>
      </c>
      <c r="BC31" s="57">
        <v>0</v>
      </c>
      <c r="BD31" s="57">
        <v>0</v>
      </c>
      <c r="BE31" s="57">
        <v>0</v>
      </c>
      <c r="BF31" s="57">
        <v>0</v>
      </c>
      <c r="BG31" s="57">
        <v>0</v>
      </c>
      <c r="BH31" s="57">
        <v>0</v>
      </c>
      <c r="BI31" s="57">
        <v>0</v>
      </c>
      <c r="BJ31" s="57">
        <v>0</v>
      </c>
      <c r="BK31" s="57">
        <v>0</v>
      </c>
      <c r="BL31" s="57">
        <v>0</v>
      </c>
      <c r="BM31" s="57">
        <v>0</v>
      </c>
      <c r="BN31" s="57">
        <v>0</v>
      </c>
      <c r="BO31" s="57">
        <v>0</v>
      </c>
      <c r="BP31" s="57">
        <v>0</v>
      </c>
      <c r="BQ31" s="57">
        <v>0</v>
      </c>
      <c r="BR31" s="57">
        <v>0</v>
      </c>
      <c r="BS31" s="57">
        <v>0</v>
      </c>
      <c r="BT31" s="57">
        <v>0</v>
      </c>
      <c r="BU31" s="57">
        <v>0</v>
      </c>
      <c r="BV31" s="57">
        <v>0</v>
      </c>
      <c r="BW31" s="57">
        <v>0</v>
      </c>
    </row>
    <row r="32" spans="1:75" x14ac:dyDescent="0.3">
      <c r="A32" s="8" t="s">
        <v>102</v>
      </c>
      <c r="B32" s="8" t="s">
        <v>8</v>
      </c>
      <c r="C32" s="8" t="s">
        <v>109</v>
      </c>
      <c r="D32" s="57">
        <v>3.3143881840501474E-2</v>
      </c>
      <c r="E32" s="57">
        <v>-1.4349542379928325E-2</v>
      </c>
      <c r="F32" s="57">
        <v>-1.7588760220430193E-2</v>
      </c>
      <c r="G32" s="57">
        <v>2.2326749557347762E-2</v>
      </c>
      <c r="H32" s="57">
        <v>4.7846504283154227E-3</v>
      </c>
      <c r="I32" s="57">
        <v>-2.3287515112305878E-2</v>
      </c>
      <c r="J32" s="57">
        <v>2.5663146695340436E-2</v>
      </c>
      <c r="K32" s="57">
        <v>-8.8414255083634451E-3</v>
      </c>
      <c r="L32" s="57">
        <v>-2.8160495381720402E-2</v>
      </c>
      <c r="M32" s="57">
        <v>5.3409941385304686E-2</v>
      </c>
      <c r="N32" s="57">
        <v>1.5156710896057284E-2</v>
      </c>
      <c r="O32" s="57">
        <v>-7.2161584910395522E-3</v>
      </c>
      <c r="P32" s="57">
        <v>4.7465851695340094E-2</v>
      </c>
      <c r="Q32" s="57">
        <v>1.7362957437277056E-3</v>
      </c>
      <c r="R32" s="57">
        <v>-1.6608196580645156E-2</v>
      </c>
      <c r="S32" s="57">
        <v>4.1045157025089644E-2</v>
      </c>
      <c r="T32" s="57">
        <v>1.4608702815412168E-2</v>
      </c>
      <c r="U32" s="57">
        <v>-1.6372578996415803E-2</v>
      </c>
      <c r="V32" s="57">
        <v>2.995752100358429E-2</v>
      </c>
      <c r="W32" s="57">
        <v>9.1555539802939939E-3</v>
      </c>
      <c r="X32" s="57">
        <v>-2.9246401537099714E-2</v>
      </c>
      <c r="Y32" s="57">
        <v>-2.4872938603942577E-2</v>
      </c>
      <c r="Z32" s="57">
        <v>-5.273055449820057E-2</v>
      </c>
      <c r="AA32" s="57">
        <v>-2.8550262010752874E-2</v>
      </c>
      <c r="AB32" s="57">
        <v>6.2373866135543597E-2</v>
      </c>
      <c r="AC32" s="57">
        <v>-1.0639428888888605E-3</v>
      </c>
      <c r="AD32" s="57">
        <v>-1.2848931426523253E-2</v>
      </c>
      <c r="AE32" s="57">
        <v>2.9724169551314315E-2</v>
      </c>
      <c r="AF32" s="57">
        <v>-2.8811210609318912E-2</v>
      </c>
      <c r="AG32" s="57">
        <v>-1.7278608722222224E-2</v>
      </c>
      <c r="AH32" s="57">
        <v>-1.9329357885304297E-3</v>
      </c>
      <c r="AI32" s="57">
        <v>-1.7441034342293972E-2</v>
      </c>
      <c r="AJ32" s="57">
        <v>1.1278606032258127E-2</v>
      </c>
      <c r="AK32" s="57">
        <v>-4.9116666867383481E-2</v>
      </c>
      <c r="AL32" s="57">
        <v>-5.4792242231182779E-2</v>
      </c>
      <c r="AM32" s="57">
        <v>-4.9077496480286656E-2</v>
      </c>
      <c r="AN32" s="57">
        <v>6.5140878942652166E-3</v>
      </c>
      <c r="AO32" s="57">
        <v>-2.2529971386608019E-2</v>
      </c>
      <c r="AP32" s="57">
        <v>4.5780394569891825E-3</v>
      </c>
      <c r="AQ32" s="57">
        <v>-4.8850166937276028E-2</v>
      </c>
      <c r="AR32" s="57">
        <v>-3.5250660338709688E-2</v>
      </c>
      <c r="AS32" s="57">
        <v>-3.5260905962365481E-2</v>
      </c>
      <c r="AT32" s="57">
        <v>7.0116539444441033E-3</v>
      </c>
      <c r="AU32" s="57">
        <v>-6.0816498955372528E-2</v>
      </c>
      <c r="AV32" s="57">
        <v>-3.7374566729390733E-2</v>
      </c>
      <c r="AW32" s="57">
        <v>-4.9138029716845964E-2</v>
      </c>
      <c r="AX32" s="57">
        <v>-9.902539130465951E-2</v>
      </c>
      <c r="AY32" s="57">
        <v>-8.1892348960573499E-2</v>
      </c>
      <c r="AZ32" s="57">
        <v>3.3524052351254434E-2</v>
      </c>
      <c r="BA32" s="57">
        <v>2.1197802544802311E-3</v>
      </c>
      <c r="BB32" s="57">
        <v>1.8040827647930885E-2</v>
      </c>
      <c r="BC32" s="57">
        <v>-8.5500067329748967E-3</v>
      </c>
      <c r="BD32" s="57">
        <v>-3.9498085781361991E-2</v>
      </c>
      <c r="BE32" s="57">
        <v>-3.6429738608341401E-2</v>
      </c>
      <c r="BF32" s="57">
        <v>2.2042584354838805E-2</v>
      </c>
      <c r="BG32" s="57">
        <v>-1.214972377956988E-2</v>
      </c>
      <c r="BH32" s="57">
        <v>-3.5960369553144717E-2</v>
      </c>
      <c r="BI32" s="57">
        <v>-2.4862574157706156E-2</v>
      </c>
      <c r="BJ32" s="57">
        <v>-6.1536812114695541E-2</v>
      </c>
      <c r="BK32" s="57">
        <v>-3.8751432381101951E-2</v>
      </c>
      <c r="BL32" s="57">
        <v>8.1471683431899797E-2</v>
      </c>
      <c r="BM32" s="57">
        <v>1.6921878654191314E-2</v>
      </c>
      <c r="BN32" s="57">
        <v>-5.2040339088230518E-3</v>
      </c>
      <c r="BO32" s="57">
        <v>-4.926843270250892E-2</v>
      </c>
      <c r="BP32" s="57">
        <v>-5.0794067883512546E-2</v>
      </c>
      <c r="BQ32" s="57">
        <v>-6.6894506424952246E-2</v>
      </c>
      <c r="BR32" s="57">
        <v>3.1475408992831758E-2</v>
      </c>
      <c r="BS32" s="57">
        <v>-5.4459344094005165E-3</v>
      </c>
      <c r="BT32" s="57">
        <v>-2.2903305422938874E-2</v>
      </c>
      <c r="BU32" s="57">
        <v>2.858261412724036E-2</v>
      </c>
      <c r="BV32" s="57">
        <v>4.8622444928314822E-3</v>
      </c>
      <c r="BW32" s="57">
        <v>-3.3345025682941898E-2</v>
      </c>
    </row>
    <row r="33" spans="1:75" x14ac:dyDescent="0.3">
      <c r="A33" s="8" t="s">
        <v>102</v>
      </c>
      <c r="B33" s="8" t="s">
        <v>8</v>
      </c>
      <c r="C33" s="8" t="s">
        <v>110</v>
      </c>
      <c r="D33" s="57">
        <v>4.0379273695340459E-2</v>
      </c>
      <c r="E33" s="57">
        <v>-4.0394908186379926E-2</v>
      </c>
      <c r="F33" s="57">
        <v>-7.6018757881720578E-2</v>
      </c>
      <c r="G33" s="57">
        <v>3.4593318960575142E-3</v>
      </c>
      <c r="H33" s="57">
        <v>-4.1043710620071679E-2</v>
      </c>
      <c r="I33" s="57">
        <v>-0.10064109000477897</v>
      </c>
      <c r="J33" s="57">
        <v>2.2632304114695304E-2</v>
      </c>
      <c r="K33" s="57">
        <v>-4.1267077255675327E-2</v>
      </c>
      <c r="L33" s="57">
        <v>-9.553827852688164E-2</v>
      </c>
      <c r="M33" s="57">
        <v>3.8916659207885361E-2</v>
      </c>
      <c r="N33" s="57">
        <v>-3.1655969749103986E-2</v>
      </c>
      <c r="O33" s="57">
        <v>-7.7521849297491174E-2</v>
      </c>
      <c r="P33" s="57">
        <v>2.2021334114695201E-2</v>
      </c>
      <c r="Q33" s="57">
        <v>-3.2628508691756042E-2</v>
      </c>
      <c r="R33" s="57">
        <v>-8.2981974322580629E-2</v>
      </c>
      <c r="S33" s="57">
        <v>1.6086474767025169E-2</v>
      </c>
      <c r="T33" s="57">
        <v>-3.0732253071684586E-2</v>
      </c>
      <c r="U33" s="57">
        <v>-9.3615769318996456E-2</v>
      </c>
      <c r="V33" s="57">
        <v>1.265223068100374E-2</v>
      </c>
      <c r="W33" s="57">
        <v>-2.6102574765691198E-2</v>
      </c>
      <c r="X33" s="57">
        <v>-0.10860454306652802</v>
      </c>
      <c r="Y33" s="57">
        <v>-8.3689586749103748E-2</v>
      </c>
      <c r="Z33" s="57">
        <v>-0.14036831767966956</v>
      </c>
      <c r="AA33" s="57">
        <v>-0.1170417260430109</v>
      </c>
      <c r="AB33" s="57">
        <v>1.6399345942694044E-2</v>
      </c>
      <c r="AC33" s="57">
        <v>-4.1179052888888804E-2</v>
      </c>
      <c r="AD33" s="57">
        <v>-8.9419363039426408E-2</v>
      </c>
      <c r="AE33" s="57">
        <v>-6.0106773060890073E-2</v>
      </c>
      <c r="AF33" s="57">
        <v>-0.11289545577060915</v>
      </c>
      <c r="AG33" s="57">
        <v>-0.1063719812222222</v>
      </c>
      <c r="AH33" s="57">
        <v>-1.7469039820788467E-2</v>
      </c>
      <c r="AI33" s="57">
        <v>-5.1822052464413772E-2</v>
      </c>
      <c r="AJ33" s="57">
        <v>-4.7355901870967609E-2</v>
      </c>
      <c r="AK33" s="57">
        <v>-5.2691568802867308E-2</v>
      </c>
      <c r="AL33" s="57">
        <v>-7.0745095353302603E-2</v>
      </c>
      <c r="AM33" s="57">
        <v>-8.0095323254480127E-2</v>
      </c>
      <c r="AN33" s="57">
        <v>-1.8725600896057635E-3</v>
      </c>
      <c r="AO33" s="57">
        <v>-5.7292116819159342E-2</v>
      </c>
      <c r="AP33" s="57">
        <v>-4.5683379172042876E-2</v>
      </c>
      <c r="AQ33" s="57">
        <v>-5.5016290082437309E-2</v>
      </c>
      <c r="AR33" s="57">
        <v>-4.0001332354838721E-2</v>
      </c>
      <c r="AS33" s="57">
        <v>-5.8585376849462148E-2</v>
      </c>
      <c r="AT33" s="57">
        <v>-5.177037855555576E-2</v>
      </c>
      <c r="AU33" s="57">
        <v>-0.12832293256974195</v>
      </c>
      <c r="AV33" s="57">
        <v>-0.1179740985842294</v>
      </c>
      <c r="AW33" s="57">
        <v>-6.4218950200716926E-2</v>
      </c>
      <c r="AX33" s="57">
        <v>-0.14864500388530466</v>
      </c>
      <c r="AY33" s="57">
        <v>-0.1335461425089606</v>
      </c>
      <c r="AZ33" s="57">
        <v>2.606401073835125E-2</v>
      </c>
      <c r="BA33" s="57">
        <v>-3.1920447648745513E-2</v>
      </c>
      <c r="BB33" s="57">
        <v>-3.7111663620397466E-2</v>
      </c>
      <c r="BC33" s="57">
        <v>2.759167347671232E-4</v>
      </c>
      <c r="BD33" s="57">
        <v>-5.6206050458781347E-2</v>
      </c>
      <c r="BE33" s="57">
        <v>-6.4100864312153658E-2</v>
      </c>
      <c r="BF33" s="57">
        <v>1.0113067419355026E-2</v>
      </c>
      <c r="BG33" s="57">
        <v>-5.3019186118279535E-2</v>
      </c>
      <c r="BH33" s="57">
        <v>-0.11098309906213709</v>
      </c>
      <c r="BI33" s="57">
        <v>-8.3670449964157553E-2</v>
      </c>
      <c r="BJ33" s="57">
        <v>-0.15078182179211477</v>
      </c>
      <c r="BK33" s="57">
        <v>-0.1239338123739652</v>
      </c>
      <c r="BL33" s="57">
        <v>5.8624912060931969E-2</v>
      </c>
      <c r="BM33" s="57">
        <v>-5.6808980585579399E-3</v>
      </c>
      <c r="BN33" s="57">
        <v>-6.4151171772278581E-2</v>
      </c>
      <c r="BO33" s="57">
        <v>-5.1041669476702439E-2</v>
      </c>
      <c r="BP33" s="57">
        <v>-5.8019285867383523E-2</v>
      </c>
      <c r="BQ33" s="57">
        <v>-0.10229435783679501</v>
      </c>
      <c r="BR33" s="57">
        <v>2.3718804637992908E-2</v>
      </c>
      <c r="BS33" s="57">
        <v>-2.8168083298665939E-2</v>
      </c>
      <c r="BT33" s="57">
        <v>-8.2960102358422605E-2</v>
      </c>
      <c r="BU33" s="57">
        <v>-1.0180239824372661E-2</v>
      </c>
      <c r="BV33" s="57">
        <v>-4.117450236200719E-2</v>
      </c>
      <c r="BW33" s="57">
        <v>-0.11147496049367268</v>
      </c>
    </row>
    <row r="34" spans="1:75" x14ac:dyDescent="0.3">
      <c r="A34" s="8" t="s">
        <v>102</v>
      </c>
      <c r="B34" s="8" t="s">
        <v>8</v>
      </c>
      <c r="C34" s="8" t="s">
        <v>111</v>
      </c>
      <c r="D34" s="57">
        <v>-0.11629063905107527</v>
      </c>
      <c r="E34" s="57">
        <v>-0.12449641804301076</v>
      </c>
      <c r="F34" s="57">
        <v>-0.14941485499193549</v>
      </c>
      <c r="G34" s="57">
        <v>-0.16515495965860214</v>
      </c>
      <c r="H34" s="57">
        <v>-0.15777169773924735</v>
      </c>
      <c r="I34" s="57">
        <v>-0.15391387711648746</v>
      </c>
      <c r="J34" s="57">
        <v>-0.10963330520430112</v>
      </c>
      <c r="K34" s="57">
        <v>-0.11615937523207899</v>
      </c>
      <c r="L34" s="57">
        <v>-0.15145282321774189</v>
      </c>
      <c r="M34" s="57">
        <v>-0.14471147643279569</v>
      </c>
      <c r="N34" s="57">
        <v>-0.15197042763440863</v>
      </c>
      <c r="O34" s="57">
        <v>-0.1464971438763441</v>
      </c>
      <c r="P34" s="57">
        <v>-0.10221821270430109</v>
      </c>
      <c r="Q34" s="57">
        <v>-0.10694405248655908</v>
      </c>
      <c r="R34" s="57">
        <v>-0.14344526061290322</v>
      </c>
      <c r="S34" s="57">
        <v>-0.14709510005376342</v>
      </c>
      <c r="T34" s="57">
        <v>-0.14820496599731184</v>
      </c>
      <c r="U34" s="57">
        <v>-0.14879751215053766</v>
      </c>
      <c r="V34" s="57">
        <v>-0.16435626215053759</v>
      </c>
      <c r="W34" s="57">
        <v>-0.16371315476111364</v>
      </c>
      <c r="X34" s="57">
        <v>-0.15706482285847001</v>
      </c>
      <c r="Y34" s="57">
        <v>-0.17425388838440858</v>
      </c>
      <c r="Z34" s="57">
        <v>-0.17564326091433943</v>
      </c>
      <c r="AA34" s="57">
        <v>-0.15052493504838718</v>
      </c>
      <c r="AB34" s="57">
        <v>-0.16075705587359229</v>
      </c>
      <c r="AC34" s="57">
        <v>-0.16870870566666665</v>
      </c>
      <c r="AD34" s="57">
        <v>-0.14780546608602146</v>
      </c>
      <c r="AE34" s="57">
        <v>-0.15636315583595795</v>
      </c>
      <c r="AF34" s="57">
        <v>-0.16056167440860211</v>
      </c>
      <c r="AG34" s="57">
        <v>-0.14287883191666667</v>
      </c>
      <c r="AH34" s="57">
        <v>-0.12210280438172044</v>
      </c>
      <c r="AI34" s="57">
        <v>-0.11814597901651308</v>
      </c>
      <c r="AJ34" s="57">
        <v>-0.12761752485483868</v>
      </c>
      <c r="AK34" s="57">
        <v>-0.16852480356989244</v>
      </c>
      <c r="AL34" s="57">
        <v>-0.16145023718317972</v>
      </c>
      <c r="AM34" s="57">
        <v>-0.14347740882795695</v>
      </c>
      <c r="AN34" s="57">
        <v>-0.12047442780913982</v>
      </c>
      <c r="AO34" s="57">
        <v>-0.12347060310337245</v>
      </c>
      <c r="AP34" s="57">
        <v>-0.13312149644354834</v>
      </c>
      <c r="AQ34" s="57">
        <v>-0.10316569588440862</v>
      </c>
      <c r="AR34" s="57">
        <v>-8.835535352419352E-2</v>
      </c>
      <c r="AS34" s="57">
        <v>-0.12548758283064509</v>
      </c>
      <c r="AT34" s="57">
        <v>-0.11667314591666673</v>
      </c>
      <c r="AU34" s="57">
        <v>-0.13204941739707871</v>
      </c>
      <c r="AV34" s="57">
        <v>-0.11907521361559135</v>
      </c>
      <c r="AW34" s="57">
        <v>-9.7508196392473184E-2</v>
      </c>
      <c r="AX34" s="57">
        <v>-0.11218873820430107</v>
      </c>
      <c r="AY34" s="57">
        <v>-0.11219906365591398</v>
      </c>
      <c r="AZ34" s="57">
        <v>-0.10081616175268819</v>
      </c>
      <c r="BA34" s="57">
        <v>-0.10687012618817203</v>
      </c>
      <c r="BB34" s="57">
        <v>-0.12483716037218964</v>
      </c>
      <c r="BC34" s="57">
        <v>-0.14625314296505373</v>
      </c>
      <c r="BD34" s="57">
        <v>-0.15089880068279571</v>
      </c>
      <c r="BE34" s="57">
        <v>-0.13619127985874879</v>
      </c>
      <c r="BF34" s="57">
        <v>-0.15085291040322579</v>
      </c>
      <c r="BG34" s="57">
        <v>-0.15744433900806451</v>
      </c>
      <c r="BH34" s="57">
        <v>-0.15079360911304593</v>
      </c>
      <c r="BI34" s="57">
        <v>-0.17425189037634409</v>
      </c>
      <c r="BJ34" s="57">
        <v>-0.18011480118279571</v>
      </c>
      <c r="BK34" s="57">
        <v>-0.15382891583885239</v>
      </c>
      <c r="BL34" s="57">
        <v>-9.9258067889784959E-2</v>
      </c>
      <c r="BM34" s="57">
        <v>-0.10416643339812874</v>
      </c>
      <c r="BN34" s="57">
        <v>-0.13978041664449842</v>
      </c>
      <c r="BO34" s="57">
        <v>-0.10637382449462365</v>
      </c>
      <c r="BP34" s="57">
        <v>-0.1149893341424731</v>
      </c>
      <c r="BQ34" s="57">
        <v>-0.14127013496707913</v>
      </c>
      <c r="BR34" s="57">
        <v>-0.10973452219892477</v>
      </c>
      <c r="BS34" s="57">
        <v>-0.11236996171064886</v>
      </c>
      <c r="BT34" s="57">
        <v>-0.14469663573655908</v>
      </c>
      <c r="BU34" s="57">
        <v>-0.167407829094086</v>
      </c>
      <c r="BV34" s="57">
        <v>-0.15830486044892472</v>
      </c>
      <c r="BW34" s="57">
        <v>-0.15812461272970155</v>
      </c>
    </row>
    <row r="35" spans="1:75" x14ac:dyDescent="0.3">
      <c r="A35" s="8" t="s">
        <v>102</v>
      </c>
      <c r="B35" s="8" t="s">
        <v>8</v>
      </c>
      <c r="C35" s="8" t="s">
        <v>112</v>
      </c>
      <c r="D35" s="57">
        <v>-0.42840992905107533</v>
      </c>
      <c r="E35" s="57">
        <v>-0.40610865804301072</v>
      </c>
      <c r="F35" s="57">
        <v>-0.36064524499193545</v>
      </c>
      <c r="G35" s="57">
        <v>-0.42655406965860215</v>
      </c>
      <c r="H35" s="57">
        <v>-0.38329762773924736</v>
      </c>
      <c r="I35" s="57">
        <v>-0.33910545711648749</v>
      </c>
      <c r="J35" s="57">
        <v>-0.40329282520430115</v>
      </c>
      <c r="K35" s="57">
        <v>-0.38601420523207902</v>
      </c>
      <c r="L35" s="57">
        <v>-0.35547181321774185</v>
      </c>
      <c r="M35" s="57">
        <v>-0.39649538643279575</v>
      </c>
      <c r="N35" s="57">
        <v>-0.37736202763440868</v>
      </c>
      <c r="O35" s="57">
        <v>-0.33344208387634405</v>
      </c>
      <c r="P35" s="57">
        <v>-0.3870402327043011</v>
      </c>
      <c r="Q35" s="57">
        <v>-0.36871080248655907</v>
      </c>
      <c r="R35" s="57">
        <v>-0.34301722061290324</v>
      </c>
      <c r="S35" s="57">
        <v>-0.39044450005376347</v>
      </c>
      <c r="T35" s="57">
        <v>-0.36321073599731185</v>
      </c>
      <c r="U35" s="57">
        <v>-0.33063791215053767</v>
      </c>
      <c r="V35" s="57">
        <v>-0.42962266215053752</v>
      </c>
      <c r="W35" s="57">
        <v>-0.40745847476111363</v>
      </c>
      <c r="X35" s="57">
        <v>-0.34246143285847003</v>
      </c>
      <c r="Y35" s="57">
        <v>-0.40345621838440865</v>
      </c>
      <c r="Z35" s="57">
        <v>-0.37717361091433943</v>
      </c>
      <c r="AA35" s="57">
        <v>-0.32273599504838724</v>
      </c>
      <c r="AB35" s="57">
        <v>-0.42562046587359231</v>
      </c>
      <c r="AC35" s="57">
        <v>-0.41211466566666671</v>
      </c>
      <c r="AD35" s="57">
        <v>-0.33179514608602145</v>
      </c>
      <c r="AE35" s="57">
        <v>-0.37616238583595796</v>
      </c>
      <c r="AF35" s="57">
        <v>-0.35625927440860211</v>
      </c>
      <c r="AG35" s="57">
        <v>-0.3115195419166667</v>
      </c>
      <c r="AH35" s="57">
        <v>-0.41218490438172045</v>
      </c>
      <c r="AI35" s="57">
        <v>-0.38175092901651309</v>
      </c>
      <c r="AJ35" s="57">
        <v>-0.3239231448548387</v>
      </c>
      <c r="AK35" s="57">
        <v>-0.40189136356989247</v>
      </c>
      <c r="AL35" s="57">
        <v>-0.37244024718317975</v>
      </c>
      <c r="AM35" s="57">
        <v>-0.32110408882795699</v>
      </c>
      <c r="AN35" s="57">
        <v>-0.41631857780913983</v>
      </c>
      <c r="AO35" s="57">
        <v>-0.39346683310337249</v>
      </c>
      <c r="AP35" s="57">
        <v>-0.33742328644354835</v>
      </c>
      <c r="AQ35" s="57">
        <v>-0.34445772588440865</v>
      </c>
      <c r="AR35" s="57">
        <v>-0.30732032352419353</v>
      </c>
      <c r="AS35" s="57">
        <v>-0.30925809283064515</v>
      </c>
      <c r="AT35" s="57">
        <v>-0.38378481591666669</v>
      </c>
      <c r="AU35" s="57">
        <v>-0.3789691673970787</v>
      </c>
      <c r="AV35" s="57">
        <v>-0.30759676361559135</v>
      </c>
      <c r="AW35" s="57">
        <v>-0.32642065639247325</v>
      </c>
      <c r="AX35" s="57">
        <v>-0.31786917820430105</v>
      </c>
      <c r="AY35" s="57">
        <v>-0.28527266365591397</v>
      </c>
      <c r="AZ35" s="57">
        <v>-0.38426660175268812</v>
      </c>
      <c r="BA35" s="57">
        <v>-0.36889846618817201</v>
      </c>
      <c r="BB35" s="57">
        <v>-0.32260627037218964</v>
      </c>
      <c r="BC35" s="57">
        <v>-0.3764735529650538</v>
      </c>
      <c r="BD35" s="57">
        <v>-0.35659338068279567</v>
      </c>
      <c r="BE35" s="57">
        <v>-0.31210701985874884</v>
      </c>
      <c r="BF35" s="57">
        <v>-0.42566381040322587</v>
      </c>
      <c r="BG35" s="57">
        <v>-0.40893130900806451</v>
      </c>
      <c r="BH35" s="57">
        <v>-0.33780924911304594</v>
      </c>
      <c r="BI35" s="57">
        <v>-0.40346129037634415</v>
      </c>
      <c r="BJ35" s="57">
        <v>-0.38118560118279576</v>
      </c>
      <c r="BK35" s="57">
        <v>-0.32657729583885237</v>
      </c>
      <c r="BL35" s="57">
        <v>-0.40012191788978502</v>
      </c>
      <c r="BM35" s="57">
        <v>-0.37599379339812872</v>
      </c>
      <c r="BN35" s="57">
        <v>-0.34400443664449842</v>
      </c>
      <c r="BO35" s="57">
        <v>-0.35405006449462362</v>
      </c>
      <c r="BP35" s="57">
        <v>-0.33529760414247306</v>
      </c>
      <c r="BQ35" s="57">
        <v>-0.32411447496707912</v>
      </c>
      <c r="BR35" s="57">
        <v>-0.42461818219892478</v>
      </c>
      <c r="BS35" s="57">
        <v>-0.39554467171064889</v>
      </c>
      <c r="BT35" s="57">
        <v>-0.35774401573655906</v>
      </c>
      <c r="BU35" s="57">
        <v>-0.42619103909408601</v>
      </c>
      <c r="BV35" s="57">
        <v>-0.38530135044892472</v>
      </c>
      <c r="BW35" s="57">
        <v>-0.3433091227297016</v>
      </c>
    </row>
    <row r="36" spans="1:75" x14ac:dyDescent="0.3">
      <c r="A36" s="8" t="s">
        <v>102</v>
      </c>
      <c r="B36" s="8" t="s">
        <v>8</v>
      </c>
      <c r="C36" s="8" t="s">
        <v>115</v>
      </c>
      <c r="D36" s="57">
        <v>-0.10081902729928315</v>
      </c>
      <c r="E36" s="57">
        <v>-0.11278110797132615</v>
      </c>
      <c r="F36" s="57">
        <v>-0.11305901667204302</v>
      </c>
      <c r="G36" s="57">
        <v>-9.7225773560931858E-2</v>
      </c>
      <c r="H36" s="57">
        <v>-9.9318908173835055E-2</v>
      </c>
      <c r="I36" s="57">
        <v>-0.10840565525567505</v>
      </c>
      <c r="J36" s="57">
        <v>-9.6570289863799327E-2</v>
      </c>
      <c r="K36" s="57">
        <v>-0.10548446317861422</v>
      </c>
      <c r="L36" s="57">
        <v>-0.11582117118817201</v>
      </c>
      <c r="M36" s="57">
        <v>-7.7469162378136183E-2</v>
      </c>
      <c r="N36" s="57">
        <v>-8.7711181577060898E-2</v>
      </c>
      <c r="O36" s="57">
        <v>-0.10072955741577064</v>
      </c>
      <c r="P36" s="57">
        <v>-8.6919084863799262E-2</v>
      </c>
      <c r="Q36" s="57">
        <v>-9.6942965008960602E-2</v>
      </c>
      <c r="R36" s="57">
        <v>-0.1081487062580645</v>
      </c>
      <c r="S36" s="57">
        <v>-8.0699799964157687E-2</v>
      </c>
      <c r="T36" s="57">
        <v>-9.6156249335125399E-2</v>
      </c>
      <c r="U36" s="57">
        <v>-0.10355285856630823</v>
      </c>
      <c r="V36" s="57">
        <v>-9.554835856630825E-2</v>
      </c>
      <c r="W36" s="57">
        <v>-9.8630567691725721E-2</v>
      </c>
      <c r="X36" s="57">
        <v>-0.1115746261645286</v>
      </c>
      <c r="Y36" s="57">
        <v>-0.1095579810770609</v>
      </c>
      <c r="Z36" s="57">
        <v>-0.11480000358957516</v>
      </c>
      <c r="AA36" s="57">
        <v>-0.10623532330107537</v>
      </c>
      <c r="AB36" s="57">
        <v>-8.6925952895865868E-2</v>
      </c>
      <c r="AC36" s="57">
        <v>-0.10256800955555555</v>
      </c>
      <c r="AD36" s="57">
        <v>-9.9698062609318988E-2</v>
      </c>
      <c r="AE36" s="57">
        <v>-8.6851379587622193E-2</v>
      </c>
      <c r="AF36" s="57">
        <v>-9.8951683727598536E-2</v>
      </c>
      <c r="AG36" s="57">
        <v>-9.6201325388888856E-2</v>
      </c>
      <c r="AH36" s="57">
        <v>-0.10953693041218636</v>
      </c>
      <c r="AI36" s="57">
        <v>-0.11504827684613418</v>
      </c>
      <c r="AJ36" s="57">
        <v>-9.244741009677418E-2</v>
      </c>
      <c r="AK36" s="57">
        <v>-0.11099781095340501</v>
      </c>
      <c r="AL36" s="57">
        <v>-0.11295605140168968</v>
      </c>
      <c r="AM36" s="57">
        <v>-0.10621943411469531</v>
      </c>
      <c r="AN36" s="57">
        <v>-0.1073299147939068</v>
      </c>
      <c r="AO36" s="57">
        <v>-0.11597688414320621</v>
      </c>
      <c r="AP36" s="57">
        <v>-9.7880455704301081E-2</v>
      </c>
      <c r="AQ36" s="57">
        <v>-0.10274750941039429</v>
      </c>
      <c r="AR36" s="57">
        <v>-0.10379359098387095</v>
      </c>
      <c r="AS36" s="57">
        <v>-9.9149891446236552E-2</v>
      </c>
      <c r="AT36" s="57">
        <v>-0.10249826272222234</v>
      </c>
      <c r="AU36" s="57">
        <v>-0.1237909208028799</v>
      </c>
      <c r="AV36" s="57">
        <v>-0.11626192425627239</v>
      </c>
      <c r="AW36" s="57">
        <v>-9.8223015738351321E-2</v>
      </c>
      <c r="AX36" s="57">
        <v>-0.11533422786379927</v>
      </c>
      <c r="AY36" s="57">
        <v>-0.11412142422939066</v>
      </c>
      <c r="AZ36" s="57">
        <v>-8.863754549820789E-2</v>
      </c>
      <c r="BA36" s="57">
        <v>-9.6842769207885315E-2</v>
      </c>
      <c r="BB36" s="57">
        <v>-8.9491597327631164E-2</v>
      </c>
      <c r="BC36" s="57">
        <v>-8.8763384689964142E-2</v>
      </c>
      <c r="BD36" s="57">
        <v>-9.9681039544802813E-2</v>
      </c>
      <c r="BE36" s="57">
        <v>-9.9011624336591691E-2</v>
      </c>
      <c r="BF36" s="57">
        <v>-9.9096593064516111E-2</v>
      </c>
      <c r="BG36" s="57">
        <v>-0.10803026732795697</v>
      </c>
      <c r="BH36" s="57">
        <v>-0.11295682601903125</v>
      </c>
      <c r="BI36" s="57">
        <v>-0.10955527308243727</v>
      </c>
      <c r="BJ36" s="57">
        <v>-0.12172586587813615</v>
      </c>
      <c r="BK36" s="57">
        <v>-0.11035440820182701</v>
      </c>
      <c r="BL36" s="57">
        <v>-7.9725754740143318E-2</v>
      </c>
      <c r="BM36" s="57">
        <v>-9.3045791067914149E-2</v>
      </c>
      <c r="BN36" s="57">
        <v>-0.10398841009088229</v>
      </c>
      <c r="BO36" s="57">
        <v>-0.10537483700358423</v>
      </c>
      <c r="BP36" s="57">
        <v>-0.11527000390501792</v>
      </c>
      <c r="BQ36" s="57">
        <v>-0.1152122245424952</v>
      </c>
      <c r="BR36" s="57">
        <v>-0.10361013186738345</v>
      </c>
      <c r="BS36" s="57">
        <v>-0.10741561589037993</v>
      </c>
      <c r="BT36" s="57">
        <v>-0.11516621617562717</v>
      </c>
      <c r="BU36" s="57">
        <v>-9.7218660603942603E-2</v>
      </c>
      <c r="BV36" s="57">
        <v>-9.8123146367383493E-2</v>
      </c>
      <c r="BW36" s="57">
        <v>-0.11302566743189964</v>
      </c>
    </row>
    <row r="37" spans="1:75" x14ac:dyDescent="0.3">
      <c r="A37" s="8" t="s">
        <v>102</v>
      </c>
      <c r="B37" s="8" t="s">
        <v>8</v>
      </c>
      <c r="C37" s="8" t="s">
        <v>116</v>
      </c>
      <c r="D37" s="57">
        <v>-0.33398231856205196</v>
      </c>
      <c r="E37" s="57">
        <v>-0.31988577648207878</v>
      </c>
      <c r="F37" s="57">
        <v>-0.26504064692002688</v>
      </c>
      <c r="G37" s="57">
        <v>-0.29587012197558243</v>
      </c>
      <c r="H37" s="57">
        <v>-0.26656206810864702</v>
      </c>
      <c r="I37" s="57">
        <v>-0.23999913753479685</v>
      </c>
      <c r="J37" s="57">
        <v>-0.31394519816487471</v>
      </c>
      <c r="K37" s="57">
        <v>-0.30260723648663385</v>
      </c>
      <c r="L37" s="57">
        <v>-0.26166750349260742</v>
      </c>
      <c r="M37" s="57">
        <v>-0.2679749199863351</v>
      </c>
      <c r="N37" s="57">
        <v>-0.25571304848566301</v>
      </c>
      <c r="O37" s="57">
        <v>-0.23382725238485658</v>
      </c>
      <c r="P37" s="57">
        <v>-0.29724378503987453</v>
      </c>
      <c r="Q37" s="57">
        <v>-0.28720534063060033</v>
      </c>
      <c r="R37" s="57">
        <v>-0.25022832741129031</v>
      </c>
      <c r="S37" s="57">
        <v>-0.2640296649775985</v>
      </c>
      <c r="T37" s="57">
        <v>-0.25364695033445339</v>
      </c>
      <c r="U37" s="57">
        <v>-0.23230617660394259</v>
      </c>
      <c r="V37" s="57">
        <v>-0.29755646410394254</v>
      </c>
      <c r="W37" s="57">
        <v>-0.28209440175213391</v>
      </c>
      <c r="X37" s="57">
        <v>-0.2433367511686198</v>
      </c>
      <c r="Y37" s="57">
        <v>-0.28081002867316296</v>
      </c>
      <c r="Z37" s="57">
        <v>-0.26234828468828975</v>
      </c>
      <c r="AA37" s="57">
        <v>-0.22679800806317219</v>
      </c>
      <c r="AB37" s="57">
        <v>-0.28935075384252473</v>
      </c>
      <c r="AC37" s="57">
        <v>-0.28590695197222221</v>
      </c>
      <c r="AD37" s="57">
        <v>-0.23067697713082436</v>
      </c>
      <c r="AE37" s="57">
        <v>-0.25096750252487254</v>
      </c>
      <c r="AF37" s="57">
        <v>-0.24174046232974905</v>
      </c>
      <c r="AG37" s="57">
        <v>-0.21413840186805558</v>
      </c>
      <c r="AH37" s="57">
        <v>-0.32384756650761654</v>
      </c>
      <c r="AI37" s="57">
        <v>-0.30581135467169102</v>
      </c>
      <c r="AJ37" s="57">
        <v>-0.23177833831048386</v>
      </c>
      <c r="AK37" s="57">
        <v>-0.28465462784587814</v>
      </c>
      <c r="AL37" s="57">
        <v>-0.26655754476891319</v>
      </c>
      <c r="AM37" s="57">
        <v>-0.2302532843216846</v>
      </c>
      <c r="AN37" s="57">
        <v>-0.32654277424619177</v>
      </c>
      <c r="AO37" s="57">
        <v>-0.3127406484872311</v>
      </c>
      <c r="AP37" s="57">
        <v>-0.24390453631518816</v>
      </c>
      <c r="AQ37" s="57">
        <v>-0.27446143388149646</v>
      </c>
      <c r="AR37" s="57">
        <v>-0.25447000886491922</v>
      </c>
      <c r="AS37" s="57">
        <v>-0.22668018565389789</v>
      </c>
      <c r="AT37" s="57">
        <v>-0.29785353370138906</v>
      </c>
      <c r="AU37" s="57">
        <v>-0.30138405779200966</v>
      </c>
      <c r="AV37" s="57">
        <v>-0.27468482016017015</v>
      </c>
      <c r="AW37" s="57">
        <v>-0.25942120583646966</v>
      </c>
      <c r="AX37" s="57">
        <v>-0.25675248641487447</v>
      </c>
      <c r="AY37" s="57">
        <v>-0.22847315014336914</v>
      </c>
      <c r="AZ37" s="57">
        <v>-0.29734791993637982</v>
      </c>
      <c r="BA37" s="57">
        <v>-0.28732769975492828</v>
      </c>
      <c r="BB37" s="57">
        <v>-0.23007190228431493</v>
      </c>
      <c r="BC37" s="57">
        <v>-0.2597853339312276</v>
      </c>
      <c r="BD37" s="57">
        <v>-0.24926560271550183</v>
      </c>
      <c r="BE37" s="57">
        <v>-0.22160386966491524</v>
      </c>
      <c r="BF37" s="57">
        <v>-0.30652343566532259</v>
      </c>
      <c r="BG37" s="57">
        <v>-0.29561363157997306</v>
      </c>
      <c r="BH37" s="57">
        <v>-0.24492398548313341</v>
      </c>
      <c r="BI37" s="57">
        <v>-0.28081333567652328</v>
      </c>
      <c r="BJ37" s="57">
        <v>-0.26852194617383518</v>
      </c>
      <c r="BK37" s="57">
        <v>-0.23124387334738081</v>
      </c>
      <c r="BL37" s="57">
        <v>-0.3040918192125896</v>
      </c>
      <c r="BM37" s="57">
        <v>-0.29188389541744619</v>
      </c>
      <c r="BN37" s="57">
        <v>-0.25003014207392471</v>
      </c>
      <c r="BO37" s="57">
        <v>-0.28251125712724012</v>
      </c>
      <c r="BP37" s="57">
        <v>-0.26934267194063621</v>
      </c>
      <c r="BQ37" s="57">
        <v>-0.24192653810618278</v>
      </c>
      <c r="BR37" s="57">
        <v>-0.33768156341711464</v>
      </c>
      <c r="BS37" s="57">
        <v>-0.31481191826342031</v>
      </c>
      <c r="BT37" s="57">
        <v>-0.26764251810976697</v>
      </c>
      <c r="BU37" s="57">
        <v>-0.29401586137746416</v>
      </c>
      <c r="BV37" s="57">
        <v>-0.26685461297961455</v>
      </c>
      <c r="BW37" s="57">
        <v>-0.24455184972656999</v>
      </c>
    </row>
    <row r="38" spans="1:75" x14ac:dyDescent="0.3">
      <c r="A38" s="8" t="s">
        <v>102</v>
      </c>
      <c r="B38" s="8" t="s">
        <v>8</v>
      </c>
      <c r="C38" s="8" t="s">
        <v>117</v>
      </c>
      <c r="D38" s="57">
        <v>-0.31107063273723129</v>
      </c>
      <c r="E38" s="57">
        <v>-0.29703427548924732</v>
      </c>
      <c r="F38" s="57">
        <v>-0.24565865375201609</v>
      </c>
      <c r="G38" s="57">
        <v>-0.27892876758534946</v>
      </c>
      <c r="H38" s="57">
        <v>-0.24918554806518817</v>
      </c>
      <c r="I38" s="57">
        <v>-0.22190436572087816</v>
      </c>
      <c r="J38" s="57">
        <v>-0.29105636369892479</v>
      </c>
      <c r="K38" s="57">
        <v>-0.27981965869198044</v>
      </c>
      <c r="L38" s="57">
        <v>-0.24231611169556447</v>
      </c>
      <c r="M38" s="57">
        <v>-0.25110223839180112</v>
      </c>
      <c r="N38" s="57">
        <v>-0.23891909309139753</v>
      </c>
      <c r="O38" s="57">
        <v>-0.21573336903091397</v>
      </c>
      <c r="P38" s="57">
        <v>-0.2747048118239247</v>
      </c>
      <c r="Q38" s="57">
        <v>-0.26446592437836025</v>
      </c>
      <c r="R38" s="57">
        <v>-0.2309069548467742</v>
      </c>
      <c r="S38" s="57">
        <v>-0.24719277498655914</v>
      </c>
      <c r="T38" s="57">
        <v>-0.23578031100067184</v>
      </c>
      <c r="U38" s="57">
        <v>-0.21423292196236562</v>
      </c>
      <c r="V38" s="57">
        <v>-0.28064773446236563</v>
      </c>
      <c r="W38" s="57">
        <v>-0.26512058445907266</v>
      </c>
      <c r="X38" s="57">
        <v>-0.22523724783801391</v>
      </c>
      <c r="Y38" s="57">
        <v>-0.26400530040389786</v>
      </c>
      <c r="Z38" s="57">
        <v>-0.24555360542076621</v>
      </c>
      <c r="AA38" s="57">
        <v>-0.20876681123790333</v>
      </c>
      <c r="AB38" s="57">
        <v>-0.2729501011402975</v>
      </c>
      <c r="AC38" s="57">
        <v>-0.26904379358333336</v>
      </c>
      <c r="AD38" s="57">
        <v>-0.21285929347849464</v>
      </c>
      <c r="AE38" s="57">
        <v>-0.2347786911497062</v>
      </c>
      <c r="AF38" s="57">
        <v>-0.22510578139784948</v>
      </c>
      <c r="AG38" s="57">
        <v>-0.1963969995208332</v>
      </c>
      <c r="AH38" s="57">
        <v>-0.30096012390456989</v>
      </c>
      <c r="AI38" s="57">
        <v>-0.28235533988872891</v>
      </c>
      <c r="AJ38" s="57">
        <v>-0.21249098378629033</v>
      </c>
      <c r="AK38" s="57">
        <v>-0.26707351910752686</v>
      </c>
      <c r="AL38" s="57">
        <v>-0.2483928203470622</v>
      </c>
      <c r="AM38" s="57">
        <v>-0.21144155779301071</v>
      </c>
      <c r="AN38" s="57">
        <v>-0.30363088054771498</v>
      </c>
      <c r="AO38" s="57">
        <v>-0.2896329313832478</v>
      </c>
      <c r="AP38" s="57">
        <v>-0.22451004338911287</v>
      </c>
      <c r="AQ38" s="57">
        <v>-0.25105622352889784</v>
      </c>
      <c r="AR38" s="57">
        <v>-0.22979811411895154</v>
      </c>
      <c r="AS38" s="57">
        <v>-0.20668866179233872</v>
      </c>
      <c r="AT38" s="57">
        <v>-0.27545514102083341</v>
      </c>
      <c r="AU38" s="57">
        <v>-0.27868248245142968</v>
      </c>
      <c r="AV38" s="57">
        <v>-0.2356634840961021</v>
      </c>
      <c r="AW38" s="57">
        <v>-0.23607954590188179</v>
      </c>
      <c r="AX38" s="57">
        <v>-0.23349964544892476</v>
      </c>
      <c r="AY38" s="57">
        <v>-0.20580843408602148</v>
      </c>
      <c r="AZ38" s="57">
        <v>-0.274516489561828</v>
      </c>
      <c r="BA38" s="57">
        <v>-0.26458717345295701</v>
      </c>
      <c r="BB38" s="57">
        <v>-0.21078118558877076</v>
      </c>
      <c r="BC38" s="57">
        <v>-0.24224544675873652</v>
      </c>
      <c r="BD38" s="57">
        <v>-0.23144888482930112</v>
      </c>
      <c r="BE38" s="57">
        <v>-0.20280875321713099</v>
      </c>
      <c r="BF38" s="57">
        <v>-0.28777319739919355</v>
      </c>
      <c r="BG38" s="57">
        <v>-0.27696236774798388</v>
      </c>
      <c r="BH38" s="57">
        <v>-0.22603601179253494</v>
      </c>
      <c r="BI38" s="57">
        <v>-0.26400857740591405</v>
      </c>
      <c r="BJ38" s="57">
        <v>-0.25148839970430087</v>
      </c>
      <c r="BK38" s="57">
        <v>-0.21312349011108334</v>
      </c>
      <c r="BL38" s="57">
        <v>-0.28174699552755378</v>
      </c>
      <c r="BM38" s="57">
        <v>-0.26911271165046791</v>
      </c>
      <c r="BN38" s="57">
        <v>-0.23069185672928635</v>
      </c>
      <c r="BO38" s="57">
        <v>-0.25907292387634412</v>
      </c>
      <c r="BP38" s="57">
        <v>-0.24616734396438175</v>
      </c>
      <c r="BQ38" s="57">
        <v>-0.22192026714864119</v>
      </c>
      <c r="BR38" s="57">
        <v>-0.3137956644502688</v>
      </c>
      <c r="BS38" s="57">
        <v>-0.29126199984544715</v>
      </c>
      <c r="BT38" s="57">
        <v>-0.24755202606586019</v>
      </c>
      <c r="BU38" s="57">
        <v>-0.2773378752264784</v>
      </c>
      <c r="BV38" s="57">
        <v>-0.24962997738776882</v>
      </c>
      <c r="BW38" s="57">
        <v>-0.22641625125635009</v>
      </c>
    </row>
    <row r="39" spans="1:75" x14ac:dyDescent="0.3">
      <c r="A39" s="8" t="s">
        <v>102</v>
      </c>
      <c r="B39" s="8" t="s">
        <v>8</v>
      </c>
      <c r="C39" s="8" t="s">
        <v>118</v>
      </c>
      <c r="D39" s="57">
        <v>-0.34627242163138444</v>
      </c>
      <c r="E39" s="57">
        <v>-0.32975659025537635</v>
      </c>
      <c r="F39" s="57">
        <v>-0.28015463112399192</v>
      </c>
      <c r="G39" s="57">
        <v>-0.3232163582073253</v>
      </c>
      <c r="H39" s="57">
        <v>-0.28941917196740602</v>
      </c>
      <c r="I39" s="57">
        <v>-0.25706469313956098</v>
      </c>
      <c r="J39" s="57">
        <v>-0.3247273021505378</v>
      </c>
      <c r="K39" s="57">
        <v>-0.31167802265401001</v>
      </c>
      <c r="L39" s="57">
        <v>-0.2762628221522177</v>
      </c>
      <c r="M39" s="57">
        <v>-0.29472018280409945</v>
      </c>
      <c r="N39" s="57">
        <v>-0.28045197345430101</v>
      </c>
      <c r="O39" s="57">
        <v>-0.25104598348454299</v>
      </c>
      <c r="P39" s="57">
        <v>-0.30840543808803766</v>
      </c>
      <c r="Q39" s="57">
        <v>-0.29573938781081988</v>
      </c>
      <c r="R39" s="57">
        <v>-0.2645400345766129</v>
      </c>
      <c r="S39" s="57">
        <v>-0.29016829250672044</v>
      </c>
      <c r="T39" s="57">
        <v>-0.27400943849966397</v>
      </c>
      <c r="U39" s="57">
        <v>-0.24915441901881727</v>
      </c>
      <c r="V39" s="57">
        <v>-0.32534021276881714</v>
      </c>
      <c r="W39" s="57">
        <v>-0.307821951549685</v>
      </c>
      <c r="X39" s="57">
        <v>-0.26040450334415088</v>
      </c>
      <c r="Y39" s="57">
        <v>-0.30584057579805107</v>
      </c>
      <c r="Z39" s="57">
        <v>-0.28503960706883819</v>
      </c>
      <c r="AA39" s="57">
        <v>-0.24295756638104848</v>
      </c>
      <c r="AB39" s="57">
        <v>-0.31875121056028588</v>
      </c>
      <c r="AC39" s="57">
        <v>-0.31196505520833334</v>
      </c>
      <c r="AD39" s="57">
        <v>-0.24854004926075265</v>
      </c>
      <c r="AE39" s="57">
        <v>-0.27719379955558171</v>
      </c>
      <c r="AF39" s="57">
        <v>-0.26445182930107525</v>
      </c>
      <c r="AG39" s="57">
        <v>-0.23093376223958334</v>
      </c>
      <c r="AH39" s="57">
        <v>-0.33432755804771502</v>
      </c>
      <c r="AI39" s="57">
        <v>-0.31217401662706423</v>
      </c>
      <c r="AJ39" s="57">
        <v>-0.24592063210685489</v>
      </c>
      <c r="AK39" s="57">
        <v>-0.3075188724462366</v>
      </c>
      <c r="AL39" s="57">
        <v>-0.28560704839789752</v>
      </c>
      <c r="AM39" s="57">
        <v>-0.2443403171034946</v>
      </c>
      <c r="AN39" s="57">
        <v>-0.33743718972614245</v>
      </c>
      <c r="AO39" s="57">
        <v>-0.32078310189928516</v>
      </c>
      <c r="AP39" s="57">
        <v>-0.25838401630544355</v>
      </c>
      <c r="AQ39" s="57">
        <v>-0.2790766742355511</v>
      </c>
      <c r="AR39" s="57">
        <v>-0.25305477694052442</v>
      </c>
      <c r="AS39" s="57">
        <v>-0.23745949110383055</v>
      </c>
      <c r="AT39" s="57">
        <v>-0.30795404348958338</v>
      </c>
      <c r="AU39" s="57">
        <v>-0.30876848793512435</v>
      </c>
      <c r="AV39" s="57">
        <v>-0.25724346795194891</v>
      </c>
      <c r="AW39" s="57">
        <v>-0.26318187904905926</v>
      </c>
      <c r="AX39" s="57">
        <v>-0.25881050527553767</v>
      </c>
      <c r="AY39" s="57">
        <v>-0.22964770295698939</v>
      </c>
      <c r="AZ39" s="57">
        <v>-0.30744152321908608</v>
      </c>
      <c r="BA39" s="57">
        <v>-0.29588056127352147</v>
      </c>
      <c r="BB39" s="57">
        <v>-0.24432871102379647</v>
      </c>
      <c r="BC39" s="57">
        <v>-0.28251387862063171</v>
      </c>
      <c r="BD39" s="57">
        <v>-0.26899223358534946</v>
      </c>
      <c r="BE39" s="57">
        <v>-0.23559823320961634</v>
      </c>
      <c r="BF39" s="57">
        <v>-0.32914038130040318</v>
      </c>
      <c r="BG39" s="57">
        <v>-0.31655305012600798</v>
      </c>
      <c r="BH39" s="57">
        <v>-0.25956798298868827</v>
      </c>
      <c r="BI39" s="57">
        <v>-0.30584439129704299</v>
      </c>
      <c r="BJ39" s="57">
        <v>-0.29039756014784962</v>
      </c>
      <c r="BK39" s="57">
        <v>-0.24715963182941406</v>
      </c>
      <c r="BL39" s="57">
        <v>-0.31725947223622314</v>
      </c>
      <c r="BM39" s="57">
        <v>-0.3011770361747661</v>
      </c>
      <c r="BN39" s="57">
        <v>-0.26468563070384998</v>
      </c>
      <c r="BO39" s="57">
        <v>-0.287566066061828</v>
      </c>
      <c r="BP39" s="57">
        <v>-0.27290642201780901</v>
      </c>
      <c r="BQ39" s="57">
        <v>-0.25257852949417259</v>
      </c>
      <c r="BR39" s="57">
        <v>-0.34704241977486566</v>
      </c>
      <c r="BS39" s="57">
        <v>-0.32254680140500774</v>
      </c>
      <c r="BT39" s="57">
        <v>-0.28060962296706987</v>
      </c>
      <c r="BU39" s="57">
        <v>-0.32199382438676077</v>
      </c>
      <c r="BV39" s="57">
        <v>-0.29033138930611568</v>
      </c>
      <c r="BW39" s="57">
        <v>-0.26148411269835559</v>
      </c>
    </row>
    <row r="40" spans="1:75" x14ac:dyDescent="0.3">
      <c r="A40" s="8" t="s">
        <v>102</v>
      </c>
      <c r="B40" s="8" t="s">
        <v>9</v>
      </c>
      <c r="C40" s="8" t="s">
        <v>108</v>
      </c>
      <c r="D40" s="57">
        <v>0</v>
      </c>
      <c r="E40" s="57">
        <v>0</v>
      </c>
      <c r="F40" s="57">
        <v>0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>
        <v>0</v>
      </c>
      <c r="Q40" s="57">
        <v>0</v>
      </c>
      <c r="R40" s="57">
        <v>0</v>
      </c>
      <c r="S40" s="57">
        <v>0</v>
      </c>
      <c r="T40" s="57">
        <v>0</v>
      </c>
      <c r="U40" s="57">
        <v>0</v>
      </c>
      <c r="V40" s="57">
        <v>0</v>
      </c>
      <c r="W40" s="57">
        <v>0</v>
      </c>
      <c r="X40" s="57">
        <v>0</v>
      </c>
      <c r="Y40" s="57">
        <v>0</v>
      </c>
      <c r="Z40" s="57">
        <v>0</v>
      </c>
      <c r="AA40" s="57">
        <v>0</v>
      </c>
      <c r="AB40" s="57">
        <v>0</v>
      </c>
      <c r="AC40" s="57">
        <v>0</v>
      </c>
      <c r="AD40" s="57">
        <v>0</v>
      </c>
      <c r="AE40" s="57">
        <v>0</v>
      </c>
      <c r="AF40" s="57">
        <v>0</v>
      </c>
      <c r="AG40" s="57">
        <v>0</v>
      </c>
      <c r="AH40" s="57">
        <v>0</v>
      </c>
      <c r="AI40" s="57">
        <v>0</v>
      </c>
      <c r="AJ40" s="57">
        <v>0</v>
      </c>
      <c r="AK40" s="57">
        <v>0</v>
      </c>
      <c r="AL40" s="57">
        <v>0</v>
      </c>
      <c r="AM40" s="57">
        <v>0</v>
      </c>
      <c r="AN40" s="57">
        <v>0</v>
      </c>
      <c r="AO40" s="57">
        <v>0</v>
      </c>
      <c r="AP40" s="57">
        <v>0</v>
      </c>
      <c r="AQ40" s="57">
        <v>0</v>
      </c>
      <c r="AR40" s="57">
        <v>0</v>
      </c>
      <c r="AS40" s="57">
        <v>0</v>
      </c>
      <c r="AT40" s="57">
        <v>0</v>
      </c>
      <c r="AU40" s="57">
        <v>0</v>
      </c>
      <c r="AV40" s="57">
        <v>0</v>
      </c>
      <c r="AW40" s="57">
        <v>0</v>
      </c>
      <c r="AX40" s="57">
        <v>0</v>
      </c>
      <c r="AY40" s="57">
        <v>0</v>
      </c>
      <c r="AZ40" s="57">
        <v>0</v>
      </c>
      <c r="BA40" s="57">
        <v>0</v>
      </c>
      <c r="BB40" s="57">
        <v>0</v>
      </c>
      <c r="BC40" s="57">
        <v>0</v>
      </c>
      <c r="BD40" s="57">
        <v>0</v>
      </c>
      <c r="BE40" s="57">
        <v>0</v>
      </c>
      <c r="BF40" s="57">
        <v>0</v>
      </c>
      <c r="BG40" s="57">
        <v>0</v>
      </c>
      <c r="BH40" s="57">
        <v>0</v>
      </c>
      <c r="BI40" s="57">
        <v>0</v>
      </c>
      <c r="BJ40" s="57">
        <v>0</v>
      </c>
      <c r="BK40" s="57">
        <v>0</v>
      </c>
      <c r="BL40" s="57">
        <v>0</v>
      </c>
      <c r="BM40" s="57">
        <v>0</v>
      </c>
      <c r="BN40" s="57">
        <v>0</v>
      </c>
      <c r="BO40" s="57">
        <v>0</v>
      </c>
      <c r="BP40" s="57">
        <v>0</v>
      </c>
      <c r="BQ40" s="57">
        <v>0</v>
      </c>
      <c r="BR40" s="57">
        <v>0</v>
      </c>
      <c r="BS40" s="57">
        <v>0</v>
      </c>
      <c r="BT40" s="57">
        <v>0</v>
      </c>
      <c r="BU40" s="57">
        <v>0</v>
      </c>
      <c r="BV40" s="57">
        <v>0</v>
      </c>
      <c r="BW40" s="57">
        <v>0</v>
      </c>
    </row>
    <row r="41" spans="1:75" x14ac:dyDescent="0.3">
      <c r="A41" s="8" t="s">
        <v>102</v>
      </c>
      <c r="B41" s="8" t="s">
        <v>9</v>
      </c>
      <c r="C41" s="8" t="s">
        <v>109</v>
      </c>
      <c r="D41" s="57">
        <v>2.2394835245519686E-2</v>
      </c>
      <c r="E41" s="57">
        <v>-1.2117435442772766E-2</v>
      </c>
      <c r="F41" s="57">
        <v>-2.5566968105734795E-2</v>
      </c>
      <c r="G41" s="57">
        <v>2.2326749557347758E-2</v>
      </c>
      <c r="H41" s="57">
        <v>-1.0784072152329838E-2</v>
      </c>
      <c r="I41" s="57">
        <v>-2.3287515112305937E-2</v>
      </c>
      <c r="J41" s="57">
        <v>3.3114740071686602E-3</v>
      </c>
      <c r="K41" s="57">
        <v>-2.5290936901433671E-2</v>
      </c>
      <c r="L41" s="57">
        <v>-2.8160495381720437E-2</v>
      </c>
      <c r="M41" s="57">
        <v>8.2311026756273532E-3</v>
      </c>
      <c r="N41" s="57">
        <v>-1.0791160071684555E-2</v>
      </c>
      <c r="O41" s="57">
        <v>-7.7181455878137396E-3</v>
      </c>
      <c r="P41" s="57">
        <v>3.5534754921146917E-2</v>
      </c>
      <c r="Q41" s="57">
        <v>1.7362957437277056E-3</v>
      </c>
      <c r="R41" s="57">
        <v>-5.52874026996562E-3</v>
      </c>
      <c r="S41" s="57">
        <v>4.1045157025089631E-2</v>
      </c>
      <c r="T41" s="57">
        <v>1.4608702815412209E-2</v>
      </c>
      <c r="U41" s="57">
        <v>-1.8261122685736087E-2</v>
      </c>
      <c r="V41" s="57">
        <v>2.7996101648745619E-2</v>
      </c>
      <c r="W41" s="57">
        <v>-3.5532726953404281E-3</v>
      </c>
      <c r="X41" s="57">
        <v>-1.9999270807048861E-2</v>
      </c>
      <c r="Y41" s="57">
        <v>-2.4872938603942511E-2</v>
      </c>
      <c r="Z41" s="57">
        <v>-6.1512563969533994E-2</v>
      </c>
      <c r="AA41" s="57">
        <v>-2.8550262010752791E-2</v>
      </c>
      <c r="AB41" s="57">
        <v>2.7405328213261651E-2</v>
      </c>
      <c r="AC41" s="57">
        <v>-4.0507661146951864E-3</v>
      </c>
      <c r="AD41" s="57">
        <v>-5.6991853333333191E-3</v>
      </c>
      <c r="AE41" s="57">
        <v>-6.470172521684589E-2</v>
      </c>
      <c r="AF41" s="57">
        <v>-4.8178732859112089E-2</v>
      </c>
      <c r="AG41" s="57">
        <v>-6.2250707646953354E-2</v>
      </c>
      <c r="AH41" s="57">
        <v>-1.9329357885304297E-3</v>
      </c>
      <c r="AI41" s="57">
        <v>-1.8251047245519725E-2</v>
      </c>
      <c r="AJ41" s="57">
        <v>-1.299243597491051E-2</v>
      </c>
      <c r="AK41" s="57">
        <v>-3.9897684788530403E-2</v>
      </c>
      <c r="AL41" s="57">
        <v>-3.6901294560931878E-2</v>
      </c>
      <c r="AM41" s="57">
        <v>-2.23037674480287E-2</v>
      </c>
      <c r="AN41" s="57">
        <v>6.5140878942653163E-3</v>
      </c>
      <c r="AO41" s="57">
        <v>-2.1490232871890509E-2</v>
      </c>
      <c r="AP41" s="57">
        <v>1.1682380102150636E-2</v>
      </c>
      <c r="AQ41" s="57">
        <v>-4.349693763156233E-2</v>
      </c>
      <c r="AR41" s="57">
        <v>-3.5250660338709688E-2</v>
      </c>
      <c r="AS41" s="57">
        <v>-3.5260905962365516E-2</v>
      </c>
      <c r="AT41" s="57">
        <v>-6.6115982184587793E-2</v>
      </c>
      <c r="AU41" s="57">
        <v>-7.6834018997481018E-2</v>
      </c>
      <c r="AV41" s="57">
        <v>-5.4345741460573499E-2</v>
      </c>
      <c r="AW41" s="57">
        <v>-4.5185398749104058E-2</v>
      </c>
      <c r="AX41" s="57">
        <v>-5.3409425713261634E-2</v>
      </c>
      <c r="AY41" s="57">
        <v>-6.373040774193553E-2</v>
      </c>
      <c r="AZ41" s="57">
        <v>3.3524052351254469E-2</v>
      </c>
      <c r="BA41" s="57">
        <v>2.1197802544803603E-3</v>
      </c>
      <c r="BB41" s="57">
        <v>-1.0354727980029009E-3</v>
      </c>
      <c r="BC41" s="57">
        <v>2.1798380363799417E-2</v>
      </c>
      <c r="BD41" s="57">
        <v>2.5570500025089551E-2</v>
      </c>
      <c r="BE41" s="57">
        <v>-3.1657698888888745E-3</v>
      </c>
      <c r="BF41" s="57">
        <v>2.2042584354838857E-2</v>
      </c>
      <c r="BG41" s="57">
        <v>-1.2149723779569797E-2</v>
      </c>
      <c r="BH41" s="57">
        <v>-2.8464298756684794E-2</v>
      </c>
      <c r="BI41" s="57">
        <v>-2.486257415770593E-2</v>
      </c>
      <c r="BJ41" s="57">
        <v>-5.9205057275985483E-2</v>
      </c>
      <c r="BK41" s="57">
        <v>-3.1255361584641678E-2</v>
      </c>
      <c r="BL41" s="57">
        <v>5.1966762634408558E-3</v>
      </c>
      <c r="BM41" s="57">
        <v>-2.3854933392853335E-2</v>
      </c>
      <c r="BN41" s="57">
        <v>-3.0910256123189411E-2</v>
      </c>
      <c r="BO41" s="57">
        <v>4.7388198121863796E-2</v>
      </c>
      <c r="BP41" s="57">
        <v>1.576824537596393E-2</v>
      </c>
      <c r="BQ41" s="57">
        <v>-7.2529230479206194E-3</v>
      </c>
      <c r="BR41" s="57">
        <v>2.1384699315412221E-2</v>
      </c>
      <c r="BS41" s="57">
        <v>-6.7559972647908183E-3</v>
      </c>
      <c r="BT41" s="57">
        <v>-2.2903305422938933E-2</v>
      </c>
      <c r="BU41" s="57">
        <v>1.8491904449820854E-2</v>
      </c>
      <c r="BV41" s="57">
        <v>-9.6154641214216009E-3</v>
      </c>
      <c r="BW41" s="57">
        <v>-1.9220262022639146E-2</v>
      </c>
    </row>
    <row r="42" spans="1:75" x14ac:dyDescent="0.3">
      <c r="A42" s="8" t="s">
        <v>102</v>
      </c>
      <c r="B42" s="8" t="s">
        <v>9</v>
      </c>
      <c r="C42" s="8" t="s">
        <v>110</v>
      </c>
      <c r="D42" s="57">
        <v>3.0320820648745597E-2</v>
      </c>
      <c r="E42" s="57">
        <v>-3.2055740115050468E-2</v>
      </c>
      <c r="F42" s="57">
        <v>-8.7878256089605741E-2</v>
      </c>
      <c r="G42" s="57">
        <v>3.4593318960576269E-3</v>
      </c>
      <c r="H42" s="57">
        <v>-5.5107400942652394E-2</v>
      </c>
      <c r="I42" s="57">
        <v>-0.10064109000477897</v>
      </c>
      <c r="J42" s="57">
        <v>-7.7858266379924324E-3</v>
      </c>
      <c r="K42" s="57">
        <v>-5.976686327240141E-2</v>
      </c>
      <c r="L42" s="57">
        <v>-9.5538278526881709E-2</v>
      </c>
      <c r="M42" s="57">
        <v>-2.2566695630824141E-2</v>
      </c>
      <c r="N42" s="57">
        <v>-5.5095453620071622E-2</v>
      </c>
      <c r="O42" s="57">
        <v>-7.8204997684587996E-2</v>
      </c>
      <c r="P42" s="57">
        <v>2.9776547017921096E-2</v>
      </c>
      <c r="Q42" s="57">
        <v>-3.2628508691756042E-2</v>
      </c>
      <c r="R42" s="57">
        <v>-6.790407140995941E-2</v>
      </c>
      <c r="S42" s="57">
        <v>1.6086474767025183E-2</v>
      </c>
      <c r="T42" s="57">
        <v>-3.0732253071684538E-2</v>
      </c>
      <c r="U42" s="57">
        <v>-9.6185866406374915E-2</v>
      </c>
      <c r="V42" s="57">
        <v>1.392715326164895E-2</v>
      </c>
      <c r="W42" s="57">
        <v>-4.4325220114695196E-2</v>
      </c>
      <c r="X42" s="57">
        <v>-9.6020230672640192E-2</v>
      </c>
      <c r="Y42" s="57">
        <v>-8.368958674910365E-2</v>
      </c>
      <c r="Z42" s="57">
        <v>-0.15082269421146943</v>
      </c>
      <c r="AA42" s="57">
        <v>-0.11704172604301082</v>
      </c>
      <c r="AB42" s="57">
        <v>1.2836356519713266E-2</v>
      </c>
      <c r="AC42" s="57">
        <v>-4.524378579211441E-2</v>
      </c>
      <c r="AD42" s="57">
        <v>-7.7560765333333281E-2</v>
      </c>
      <c r="AE42" s="57">
        <v>-8.0900003200716858E-2</v>
      </c>
      <c r="AF42" s="57">
        <v>-6.6010590923628126E-2</v>
      </c>
      <c r="AG42" s="57">
        <v>-0.10441817692114684</v>
      </c>
      <c r="AH42" s="57">
        <v>-1.7469039820788467E-2</v>
      </c>
      <c r="AI42" s="57">
        <v>-5.2553761220174092E-2</v>
      </c>
      <c r="AJ42" s="57">
        <v>-8.1439163232975037E-2</v>
      </c>
      <c r="AK42" s="57">
        <v>-0.10950097382078838</v>
      </c>
      <c r="AL42" s="57">
        <v>-0.11538229514848947</v>
      </c>
      <c r="AM42" s="57">
        <v>-0.10740520712544802</v>
      </c>
      <c r="AN42" s="57">
        <v>-1.8725600896055683E-3</v>
      </c>
      <c r="AO42" s="57">
        <v>-5.635289008352299E-2</v>
      </c>
      <c r="AP42" s="57">
        <v>-4.1115296591397704E-2</v>
      </c>
      <c r="AQ42" s="57">
        <v>-4.773114273610516E-2</v>
      </c>
      <c r="AR42" s="57">
        <v>-4.0001332354838721E-2</v>
      </c>
      <c r="AS42" s="57">
        <v>-5.8585376849462224E-2</v>
      </c>
      <c r="AT42" s="57">
        <v>-5.0426963071684573E-2</v>
      </c>
      <c r="AU42" s="57">
        <v>-7.8405687283630315E-2</v>
      </c>
      <c r="AV42" s="57">
        <v>-8.2178297508960621E-2</v>
      </c>
      <c r="AW42" s="57">
        <v>-4.0802106329749219E-2</v>
      </c>
      <c r="AX42" s="57">
        <v>-6.7025941519713264E-2</v>
      </c>
      <c r="AY42" s="57">
        <v>-0.104278910967742</v>
      </c>
      <c r="AZ42" s="57">
        <v>2.606401073835124E-2</v>
      </c>
      <c r="BA42" s="57">
        <v>-3.1920447648745354E-2</v>
      </c>
      <c r="BB42" s="57">
        <v>-6.3072378477726329E-2</v>
      </c>
      <c r="BC42" s="57">
        <v>-1.9450534878135917E-2</v>
      </c>
      <c r="BD42" s="57">
        <v>-1.9558187232974953E-2</v>
      </c>
      <c r="BE42" s="57">
        <v>-7.9859534888888806E-2</v>
      </c>
      <c r="BF42" s="57">
        <v>1.0113067419355137E-2</v>
      </c>
      <c r="BG42" s="57">
        <v>-5.3019186118279382E-2</v>
      </c>
      <c r="BH42" s="57">
        <v>-0.10616313446036738</v>
      </c>
      <c r="BI42" s="57">
        <v>-8.3670449964157401E-2</v>
      </c>
      <c r="BJ42" s="57">
        <v>-0.14616900243727562</v>
      </c>
      <c r="BK42" s="57">
        <v>-0.11911384777219523</v>
      </c>
      <c r="BL42" s="57">
        <v>-1.1824499462365187E-3</v>
      </c>
      <c r="BM42" s="57">
        <v>-5.6048752581514129E-2</v>
      </c>
      <c r="BN42" s="57">
        <v>-0.10013651798134224</v>
      </c>
      <c r="BO42" s="57">
        <v>2.7798187154121912E-2</v>
      </c>
      <c r="BP42" s="57">
        <v>-2.9463470506245253E-2</v>
      </c>
      <c r="BQ42" s="57">
        <v>-8.0490401680266999E-2</v>
      </c>
      <c r="BR42" s="57">
        <v>3.0277765928315475E-2</v>
      </c>
      <c r="BS42" s="57">
        <v>-1.9189347686868721E-2</v>
      </c>
      <c r="BT42" s="57">
        <v>-8.2960102358422716E-2</v>
      </c>
      <c r="BU42" s="57">
        <v>-3.6212785340500537E-3</v>
      </c>
      <c r="BV42" s="57">
        <v>-5.3079882446725332E-2</v>
      </c>
      <c r="BW42" s="57">
        <v>-9.5111044627971611E-2</v>
      </c>
    </row>
    <row r="43" spans="1:75" x14ac:dyDescent="0.3">
      <c r="A43" s="8" t="s">
        <v>102</v>
      </c>
      <c r="B43" s="8" t="s">
        <v>9</v>
      </c>
      <c r="C43" s="8" t="s">
        <v>111</v>
      </c>
      <c r="D43" s="57">
        <v>-0.11167028206182797</v>
      </c>
      <c r="E43" s="57">
        <v>-0.11563045618039625</v>
      </c>
      <c r="F43" s="57">
        <v>-0.14521012380913978</v>
      </c>
      <c r="G43" s="57">
        <v>-0.16515495965860208</v>
      </c>
      <c r="H43" s="57">
        <v>-0.16640054935215057</v>
      </c>
      <c r="I43" s="57">
        <v>-0.15391387711648749</v>
      </c>
      <c r="J43" s="57">
        <v>-0.12109181230107519</v>
      </c>
      <c r="K43" s="57">
        <v>-0.12494544738978496</v>
      </c>
      <c r="L43" s="57">
        <v>-0.15145282321774192</v>
      </c>
      <c r="M43" s="57">
        <v>-0.16787225062634406</v>
      </c>
      <c r="N43" s="57">
        <v>-0.16635184698924735</v>
      </c>
      <c r="O43" s="57">
        <v>-0.14675448581182798</v>
      </c>
      <c r="P43" s="57">
        <v>-0.10042854818817204</v>
      </c>
      <c r="Q43" s="57">
        <v>-0.10694405248655908</v>
      </c>
      <c r="R43" s="57">
        <v>-0.13776541595270908</v>
      </c>
      <c r="S43" s="57">
        <v>-0.14709510005376342</v>
      </c>
      <c r="T43" s="57">
        <v>-0.14820496599731187</v>
      </c>
      <c r="U43" s="57">
        <v>-0.14976566749034348</v>
      </c>
      <c r="V43" s="57">
        <v>-0.16406204924731177</v>
      </c>
      <c r="W43" s="57">
        <v>-0.17014398579569887</v>
      </c>
      <c r="X43" s="57">
        <v>-0.15232431352060927</v>
      </c>
      <c r="Y43" s="57">
        <v>-0.17425388838440858</v>
      </c>
      <c r="Z43" s="57">
        <v>-0.18028141452956989</v>
      </c>
      <c r="AA43" s="57">
        <v>-0.15052493504838713</v>
      </c>
      <c r="AB43" s="57">
        <v>-0.16417593570698924</v>
      </c>
      <c r="AC43" s="57">
        <v>-0.17023989018279567</v>
      </c>
      <c r="AD43" s="57">
        <v>-0.14433368199999999</v>
      </c>
      <c r="AE43" s="57">
        <v>-0.17039396814247312</v>
      </c>
      <c r="AF43" s="57">
        <v>-0.15149053991728698</v>
      </c>
      <c r="AG43" s="57">
        <v>-0.14601687707795696</v>
      </c>
      <c r="AH43" s="57">
        <v>-0.12210280438172044</v>
      </c>
      <c r="AI43" s="57">
        <v>-0.11859492279531487</v>
      </c>
      <c r="AJ43" s="57">
        <v>-0.13134280055376335</v>
      </c>
      <c r="AK43" s="57">
        <v>-0.1149700508817204</v>
      </c>
      <c r="AL43" s="57">
        <v>-0.10348352504800304</v>
      </c>
      <c r="AM43" s="57">
        <v>-0.12735722818279566</v>
      </c>
      <c r="AN43" s="57">
        <v>-0.12047442780913975</v>
      </c>
      <c r="AO43" s="57">
        <v>-0.1228943355699737</v>
      </c>
      <c r="AP43" s="57">
        <v>-0.13116012354032253</v>
      </c>
      <c r="AQ43" s="57">
        <v>-0.10042138153953009</v>
      </c>
      <c r="AR43" s="57">
        <v>-8.835535352419352E-2</v>
      </c>
      <c r="AS43" s="57">
        <v>-0.12548758283064512</v>
      </c>
      <c r="AT43" s="57">
        <v>-0.10449798849731183</v>
      </c>
      <c r="AU43" s="57">
        <v>-0.10862407276139172</v>
      </c>
      <c r="AV43" s="57">
        <v>-0.12920449990591398</v>
      </c>
      <c r="AW43" s="57">
        <v>-0.14479441703763449</v>
      </c>
      <c r="AX43" s="57">
        <v>-0.15055849304301075</v>
      </c>
      <c r="AY43" s="57">
        <v>-0.14055939483870969</v>
      </c>
      <c r="AZ43" s="57">
        <v>-0.10081616175268819</v>
      </c>
      <c r="BA43" s="57">
        <v>-0.106870126188172</v>
      </c>
      <c r="BB43" s="57">
        <v>-0.13461655930529948</v>
      </c>
      <c r="BC43" s="57">
        <v>-0.15080540102956985</v>
      </c>
      <c r="BD43" s="57">
        <v>-0.13848132455376344</v>
      </c>
      <c r="BE43" s="57">
        <v>-0.13924887516666662</v>
      </c>
      <c r="BF43" s="57">
        <v>-0.15085291040322574</v>
      </c>
      <c r="BG43" s="57">
        <v>-0.15744433900806448</v>
      </c>
      <c r="BH43" s="57">
        <v>-0.14872408698915215</v>
      </c>
      <c r="BI43" s="57">
        <v>-0.17425189037634406</v>
      </c>
      <c r="BJ43" s="57">
        <v>-0.17905030440860203</v>
      </c>
      <c r="BK43" s="57">
        <v>-0.15175939371495856</v>
      </c>
      <c r="BL43" s="57">
        <v>-0.11448326681451608</v>
      </c>
      <c r="BM43" s="57">
        <v>-0.11696333828804173</v>
      </c>
      <c r="BN43" s="57">
        <v>-0.14466389021645304</v>
      </c>
      <c r="BO43" s="57">
        <v>-0.14587231911827955</v>
      </c>
      <c r="BP43" s="57">
        <v>-0.14972579982836429</v>
      </c>
      <c r="BQ43" s="57">
        <v>-0.14459312337774335</v>
      </c>
      <c r="BR43" s="57">
        <v>-0.10822091574731182</v>
      </c>
      <c r="BS43" s="57">
        <v>-0.1086627049469696</v>
      </c>
      <c r="BT43" s="57">
        <v>-0.14469663573655919</v>
      </c>
      <c r="BU43" s="57">
        <v>-0.16589422264247308</v>
      </c>
      <c r="BV43" s="57">
        <v>-0.16643564046847506</v>
      </c>
      <c r="BW43" s="57">
        <v>-0.15182549870731843</v>
      </c>
    </row>
    <row r="44" spans="1:75" x14ac:dyDescent="0.3">
      <c r="A44" s="8" t="s">
        <v>102</v>
      </c>
      <c r="B44" s="8" t="s">
        <v>9</v>
      </c>
      <c r="C44" s="8" t="s">
        <v>112</v>
      </c>
      <c r="D44" s="57">
        <v>-0.42378957206182793</v>
      </c>
      <c r="E44" s="57">
        <v>-0.39724269618039632</v>
      </c>
      <c r="F44" s="57">
        <v>-0.35644051380913971</v>
      </c>
      <c r="G44" s="57">
        <v>-0.42655406965860215</v>
      </c>
      <c r="H44" s="57">
        <v>-0.39192647935215064</v>
      </c>
      <c r="I44" s="57">
        <v>-0.33910545711648749</v>
      </c>
      <c r="J44" s="57">
        <v>-0.41475133230107525</v>
      </c>
      <c r="K44" s="57">
        <v>-0.39480027738978496</v>
      </c>
      <c r="L44" s="57">
        <v>-0.35547181321774196</v>
      </c>
      <c r="M44" s="57">
        <v>-0.41965616062634409</v>
      </c>
      <c r="N44" s="57">
        <v>-0.3917434469892474</v>
      </c>
      <c r="O44" s="57">
        <v>-0.33369942581182799</v>
      </c>
      <c r="P44" s="57">
        <v>-0.38525056818817205</v>
      </c>
      <c r="Q44" s="57">
        <v>-0.36871080248655907</v>
      </c>
      <c r="R44" s="57">
        <v>-0.33733737595270913</v>
      </c>
      <c r="S44" s="57">
        <v>-0.39044450005376347</v>
      </c>
      <c r="T44" s="57">
        <v>-0.36321073599731196</v>
      </c>
      <c r="U44" s="57">
        <v>-0.33160606749034349</v>
      </c>
      <c r="V44" s="57">
        <v>-0.42932844924731173</v>
      </c>
      <c r="W44" s="57">
        <v>-0.41388930579569888</v>
      </c>
      <c r="X44" s="57">
        <v>-0.33772092352060928</v>
      </c>
      <c r="Y44" s="57">
        <v>-0.40345621838440865</v>
      </c>
      <c r="Z44" s="57">
        <v>-0.38181176452956983</v>
      </c>
      <c r="AA44" s="57">
        <v>-0.32273599504838718</v>
      </c>
      <c r="AB44" s="57">
        <v>-0.42903934570698926</v>
      </c>
      <c r="AC44" s="57">
        <v>-0.4136458501827957</v>
      </c>
      <c r="AD44" s="57">
        <v>-0.32832336200000001</v>
      </c>
      <c r="AE44" s="57">
        <v>-0.39019319814247322</v>
      </c>
      <c r="AF44" s="57">
        <v>-0.34718813991728698</v>
      </c>
      <c r="AG44" s="57">
        <v>-0.31465758707795699</v>
      </c>
      <c r="AH44" s="57">
        <v>-0.41218490438172045</v>
      </c>
      <c r="AI44" s="57">
        <v>-0.38219987279531492</v>
      </c>
      <c r="AJ44" s="57">
        <v>-0.32764842055376336</v>
      </c>
      <c r="AK44" s="57">
        <v>-0.34833661088172041</v>
      </c>
      <c r="AL44" s="57">
        <v>-0.31447353504800302</v>
      </c>
      <c r="AM44" s="57">
        <v>-0.30498390818279564</v>
      </c>
      <c r="AN44" s="57">
        <v>-0.41631857780913972</v>
      </c>
      <c r="AO44" s="57">
        <v>-0.39289056556997376</v>
      </c>
      <c r="AP44" s="57">
        <v>-0.33546191354032251</v>
      </c>
      <c r="AQ44" s="57">
        <v>-0.34171341153953011</v>
      </c>
      <c r="AR44" s="57">
        <v>-0.30732032352419353</v>
      </c>
      <c r="AS44" s="57">
        <v>-0.30925809283064515</v>
      </c>
      <c r="AT44" s="57">
        <v>-0.37160965849731181</v>
      </c>
      <c r="AU44" s="57">
        <v>-0.35554382276139179</v>
      </c>
      <c r="AV44" s="57">
        <v>-0.31772604990591402</v>
      </c>
      <c r="AW44" s="57">
        <v>-0.3737068770376345</v>
      </c>
      <c r="AX44" s="57">
        <v>-0.3562389330430108</v>
      </c>
      <c r="AY44" s="57">
        <v>-0.31363299483870966</v>
      </c>
      <c r="AZ44" s="57">
        <v>-0.38426660175268812</v>
      </c>
      <c r="BA44" s="57">
        <v>-0.36889846618817201</v>
      </c>
      <c r="BB44" s="57">
        <v>-0.3323856693052995</v>
      </c>
      <c r="BC44" s="57">
        <v>-0.38102581102956989</v>
      </c>
      <c r="BD44" s="57">
        <v>-0.34417590455376346</v>
      </c>
      <c r="BE44" s="57">
        <v>-0.31516461516666666</v>
      </c>
      <c r="BF44" s="57">
        <v>-0.42566381040322576</v>
      </c>
      <c r="BG44" s="57">
        <v>-0.40893130900806451</v>
      </c>
      <c r="BH44" s="57">
        <v>-0.33573972698915217</v>
      </c>
      <c r="BI44" s="57">
        <v>-0.40346129037634404</v>
      </c>
      <c r="BJ44" s="57">
        <v>-0.38012110440860197</v>
      </c>
      <c r="BK44" s="57">
        <v>-0.32450777371495854</v>
      </c>
      <c r="BL44" s="57">
        <v>-0.41534711681451619</v>
      </c>
      <c r="BM44" s="57">
        <v>-0.38879069828804175</v>
      </c>
      <c r="BN44" s="57">
        <v>-0.34888791021645305</v>
      </c>
      <c r="BO44" s="57">
        <v>-0.39354855911827957</v>
      </c>
      <c r="BP44" s="57">
        <v>-0.37003406982836429</v>
      </c>
      <c r="BQ44" s="57">
        <v>-0.32743746337774332</v>
      </c>
      <c r="BR44" s="57">
        <v>-0.42310457574731186</v>
      </c>
      <c r="BS44" s="57">
        <v>-0.39183741494696961</v>
      </c>
      <c r="BT44" s="57">
        <v>-0.35774401573655923</v>
      </c>
      <c r="BU44" s="57">
        <v>-0.4246774326424731</v>
      </c>
      <c r="BV44" s="57">
        <v>-0.39343213046847503</v>
      </c>
      <c r="BW44" s="57">
        <v>-0.33701000870731845</v>
      </c>
    </row>
    <row r="45" spans="1:75" x14ac:dyDescent="0.3">
      <c r="A45" s="8" t="s">
        <v>102</v>
      </c>
      <c r="B45" s="8" t="s">
        <v>9</v>
      </c>
      <c r="C45" s="8" t="s">
        <v>115</v>
      </c>
      <c r="D45" s="57">
        <v>-0.1038992652921147</v>
      </c>
      <c r="E45" s="57">
        <v>-0.11869174921306916</v>
      </c>
      <c r="F45" s="57">
        <v>-0.11586217079390683</v>
      </c>
      <c r="G45" s="57">
        <v>-9.7225773560931886E-2</v>
      </c>
      <c r="H45" s="57">
        <v>-0.11689434043189958</v>
      </c>
      <c r="I45" s="57">
        <v>-0.10840565525567504</v>
      </c>
      <c r="J45" s="57">
        <v>-0.1081666851326165</v>
      </c>
      <c r="K45" s="57">
        <v>-0.11920027507347666</v>
      </c>
      <c r="L45" s="57">
        <v>-0.11582117118817205</v>
      </c>
      <c r="M45" s="57">
        <v>-0.10090864624910394</v>
      </c>
      <c r="N45" s="57">
        <v>-0.11700356867383509</v>
      </c>
      <c r="O45" s="57">
        <v>-0.10098999612544804</v>
      </c>
      <c r="P45" s="57">
        <v>-8.811219454121863E-2</v>
      </c>
      <c r="Q45" s="57">
        <v>-9.6942965008960602E-2</v>
      </c>
      <c r="R45" s="57">
        <v>-0.10240051208330724</v>
      </c>
      <c r="S45" s="57">
        <v>-8.0699799964157687E-2</v>
      </c>
      <c r="T45" s="57">
        <v>-9.6156249335125385E-2</v>
      </c>
      <c r="U45" s="57">
        <v>-0.10453266439155093</v>
      </c>
      <c r="V45" s="57">
        <v>-9.5744500501792132E-2</v>
      </c>
      <c r="W45" s="57">
        <v>-0.10398763613620071</v>
      </c>
      <c r="X45" s="57">
        <v>-0.10677707098626039</v>
      </c>
      <c r="Y45" s="57">
        <v>-0.10955798107706091</v>
      </c>
      <c r="Z45" s="57">
        <v>-0.12135219031362002</v>
      </c>
      <c r="AA45" s="57">
        <v>-0.10623532330107532</v>
      </c>
      <c r="AB45" s="57">
        <v>-9.5898856195340484E-2</v>
      </c>
      <c r="AC45" s="57">
        <v>-0.10411761987813617</v>
      </c>
      <c r="AD45" s="57">
        <v>-9.882678533333332E-2</v>
      </c>
      <c r="AE45" s="57">
        <v>-0.1175044612383512</v>
      </c>
      <c r="AF45" s="57">
        <v>-0.11257572210642401</v>
      </c>
      <c r="AG45" s="57">
        <v>-0.10966129528136198</v>
      </c>
      <c r="AH45" s="57">
        <v>-0.10953693041218636</v>
      </c>
      <c r="AI45" s="57">
        <v>-0.11596269527931387</v>
      </c>
      <c r="AJ45" s="57">
        <v>-0.10363549296415775</v>
      </c>
      <c r="AK45" s="57">
        <v>-0.10782097941218638</v>
      </c>
      <c r="AL45" s="57">
        <v>-0.10577424044418836</v>
      </c>
      <c r="AM45" s="57">
        <v>-0.10141422121146954</v>
      </c>
      <c r="AN45" s="57">
        <v>-0.10732991479390684</v>
      </c>
      <c r="AO45" s="57">
        <v>-0.11480312992304714</v>
      </c>
      <c r="AP45" s="57">
        <v>-9.5256837639784889E-2</v>
      </c>
      <c r="AQ45" s="57">
        <v>-9.9970170825505189E-2</v>
      </c>
      <c r="AR45" s="57">
        <v>-0.10379359098387095</v>
      </c>
      <c r="AS45" s="57">
        <v>-9.9149891446236538E-2</v>
      </c>
      <c r="AT45" s="57">
        <v>-0.13439943433512544</v>
      </c>
      <c r="AU45" s="57">
        <v>-0.13364146128261523</v>
      </c>
      <c r="AV45" s="57">
        <v>-0.10950906672939067</v>
      </c>
      <c r="AW45" s="57">
        <v>-0.12022266864157714</v>
      </c>
      <c r="AX45" s="57">
        <v>-0.1177223913046595</v>
      </c>
      <c r="AY45" s="57">
        <v>-0.11076653677419354</v>
      </c>
      <c r="AZ45" s="57">
        <v>-8.863754549820789E-2</v>
      </c>
      <c r="BA45" s="57">
        <v>-9.6842769207885329E-2</v>
      </c>
      <c r="BB45" s="57">
        <v>-9.9388678558371635E-2</v>
      </c>
      <c r="BC45" s="57">
        <v>-8.5728545980286744E-2</v>
      </c>
      <c r="BD45" s="57">
        <v>-9.0798156964157745E-2</v>
      </c>
      <c r="BE45" s="57">
        <v>-9.4464136555555564E-2</v>
      </c>
      <c r="BF45" s="57">
        <v>-9.9096593064516139E-2</v>
      </c>
      <c r="BG45" s="57">
        <v>-0.10803026732795699</v>
      </c>
      <c r="BH45" s="57">
        <v>-0.11018854283319061</v>
      </c>
      <c r="BI45" s="57">
        <v>-0.10955527308243725</v>
      </c>
      <c r="BJ45" s="57">
        <v>-0.12243553039426526</v>
      </c>
      <c r="BK45" s="57">
        <v>-0.10758612501598627</v>
      </c>
      <c r="BL45" s="57">
        <v>-0.10845562212365592</v>
      </c>
      <c r="BM45" s="57">
        <v>-0.11967992114130556</v>
      </c>
      <c r="BN45" s="57">
        <v>-0.11598913364565226</v>
      </c>
      <c r="BO45" s="57">
        <v>-7.9042507254480296E-2</v>
      </c>
      <c r="BP45" s="57">
        <v>-9.2112360114423794E-2</v>
      </c>
      <c r="BQ45" s="57">
        <v>-9.9200471538125376E-2</v>
      </c>
      <c r="BR45" s="57">
        <v>-0.10461920283512542</v>
      </c>
      <c r="BS45" s="57">
        <v>-0.12244407670202023</v>
      </c>
      <c r="BT45" s="57">
        <v>-0.1151662161756272</v>
      </c>
      <c r="BU45" s="57">
        <v>-9.8227731571684546E-2</v>
      </c>
      <c r="BV45" s="57">
        <v>-0.11603062635434995</v>
      </c>
      <c r="BW45" s="57">
        <v>-0.10629283188219586</v>
      </c>
    </row>
    <row r="46" spans="1:75" x14ac:dyDescent="0.3">
      <c r="A46" s="8" t="s">
        <v>102</v>
      </c>
      <c r="B46" s="8" t="s">
        <v>9</v>
      </c>
      <c r="C46" s="8" t="s">
        <v>116</v>
      </c>
      <c r="D46" s="57">
        <v>-0.33590746730757159</v>
      </c>
      <c r="E46" s="57">
        <v>-0.32357992725816814</v>
      </c>
      <c r="F46" s="57">
        <v>-0.26679261824619166</v>
      </c>
      <c r="G46" s="57">
        <v>-0.29587012197558243</v>
      </c>
      <c r="H46" s="57">
        <v>-0.28279551326993724</v>
      </c>
      <c r="I46" s="57">
        <v>-0.23999913753479685</v>
      </c>
      <c r="J46" s="57">
        <v>-0.32552091020788537</v>
      </c>
      <c r="K46" s="57">
        <v>-0.31558358742092291</v>
      </c>
      <c r="L46" s="57">
        <v>-0.26166750349260748</v>
      </c>
      <c r="M46" s="57">
        <v>-0.29137259740569005</v>
      </c>
      <c r="N46" s="57">
        <v>-0.28276879042114689</v>
      </c>
      <c r="O46" s="57">
        <v>-0.23408722657840506</v>
      </c>
      <c r="P46" s="57">
        <v>-0.29798947858826164</v>
      </c>
      <c r="Q46" s="57">
        <v>-0.28720534063060033</v>
      </c>
      <c r="R46" s="57">
        <v>-0.24449038566371753</v>
      </c>
      <c r="S46" s="57">
        <v>-0.2640296649775985</v>
      </c>
      <c r="T46" s="57">
        <v>-0.25364695033445339</v>
      </c>
      <c r="U46" s="57">
        <v>-0.23328423485636976</v>
      </c>
      <c r="V46" s="57">
        <v>-0.29767905281362006</v>
      </c>
      <c r="W46" s="57">
        <v>-0.28761253458512537</v>
      </c>
      <c r="X46" s="57">
        <v>-0.23854775286641272</v>
      </c>
      <c r="Y46" s="57">
        <v>-0.28081002867316307</v>
      </c>
      <c r="Z46" s="57">
        <v>-0.26861336644601247</v>
      </c>
      <c r="AA46" s="57">
        <v>-0.22679800806317207</v>
      </c>
      <c r="AB46" s="57">
        <v>-0.29749055362208771</v>
      </c>
      <c r="AC46" s="57">
        <v>-0.28745379842383512</v>
      </c>
      <c r="AD46" s="57">
        <v>-0.2294156238333333</v>
      </c>
      <c r="AE46" s="57">
        <v>-0.27912724377396947</v>
      </c>
      <c r="AF46" s="57">
        <v>-0.25196022477805347</v>
      </c>
      <c r="AG46" s="57">
        <v>-0.22605008305085125</v>
      </c>
      <c r="AH46" s="57">
        <v>-0.32384756650761654</v>
      </c>
      <c r="AI46" s="57">
        <v>-0.30665595190671402</v>
      </c>
      <c r="AJ46" s="57">
        <v>-0.24184700010259857</v>
      </c>
      <c r="AK46" s="57">
        <v>-0.27392110813261644</v>
      </c>
      <c r="AL46" s="57">
        <v>-0.25175799863476056</v>
      </c>
      <c r="AM46" s="57">
        <v>-0.22375082625716844</v>
      </c>
      <c r="AN46" s="57">
        <v>-0.32654277424619177</v>
      </c>
      <c r="AO46" s="57">
        <v>-0.31165651727008614</v>
      </c>
      <c r="AP46" s="57">
        <v>-0.24138025502486554</v>
      </c>
      <c r="AQ46" s="57">
        <v>-0.27168904893260898</v>
      </c>
      <c r="AR46" s="57">
        <v>-0.25447000886491922</v>
      </c>
      <c r="AS46" s="57">
        <v>-0.22668018565389786</v>
      </c>
      <c r="AT46" s="57">
        <v>-0.32314325595945353</v>
      </c>
      <c r="AU46" s="57">
        <v>-0.30624321550443173</v>
      </c>
      <c r="AV46" s="57">
        <v>-0.24001353420586907</v>
      </c>
      <c r="AW46" s="57">
        <v>-0.28521384390098581</v>
      </c>
      <c r="AX46" s="57">
        <v>-0.26453788856541216</v>
      </c>
      <c r="AY46" s="57">
        <v>-0.22987554548387093</v>
      </c>
      <c r="AZ46" s="57">
        <v>-0.29734791993637982</v>
      </c>
      <c r="BA46" s="57">
        <v>-0.28732769975492817</v>
      </c>
      <c r="BB46" s="57">
        <v>-0.23995133117041079</v>
      </c>
      <c r="BC46" s="57">
        <v>-0.25788855973767927</v>
      </c>
      <c r="BD46" s="57">
        <v>-0.23985253110259863</v>
      </c>
      <c r="BE46" s="57">
        <v>-0.2181971443472222</v>
      </c>
      <c r="BF46" s="57">
        <v>-0.30652343566532259</v>
      </c>
      <c r="BG46" s="57">
        <v>-0.29561363157997306</v>
      </c>
      <c r="BH46" s="57">
        <v>-0.24226051645658481</v>
      </c>
      <c r="BI46" s="57">
        <v>-0.28081333567652328</v>
      </c>
      <c r="BJ46" s="57">
        <v>-0.26896548649641577</v>
      </c>
      <c r="BK46" s="57">
        <v>-0.22858040432083204</v>
      </c>
      <c r="BL46" s="57">
        <v>-0.33079598632728496</v>
      </c>
      <c r="BM46" s="57">
        <v>-0.31644244171331581</v>
      </c>
      <c r="BN46" s="57">
        <v>-0.2609632781312724</v>
      </c>
      <c r="BO46" s="57">
        <v>-0.2660535510340501</v>
      </c>
      <c r="BP46" s="57">
        <v>-0.25486914457151488</v>
      </c>
      <c r="BQ46" s="57">
        <v>-0.22881499631406804</v>
      </c>
      <c r="BR46" s="57">
        <v>-0.33831223277195333</v>
      </c>
      <c r="BS46" s="57">
        <v>-0.32703002143876259</v>
      </c>
      <c r="BT46" s="57">
        <v>-0.26764251810976691</v>
      </c>
      <c r="BU46" s="57">
        <v>-0.2946465307323029</v>
      </c>
      <c r="BV46" s="57">
        <v>-0.28329558797146864</v>
      </c>
      <c r="BW46" s="57">
        <v>-0.23788407240596432</v>
      </c>
    </row>
    <row r="47" spans="1:75" x14ac:dyDescent="0.3">
      <c r="A47" s="8" t="s">
        <v>102</v>
      </c>
      <c r="B47" s="8" t="s">
        <v>9</v>
      </c>
      <c r="C47" s="8" t="s">
        <v>117</v>
      </c>
      <c r="D47" s="57">
        <v>-0.31222572198454307</v>
      </c>
      <c r="E47" s="57">
        <v>-0.29925076595490097</v>
      </c>
      <c r="F47" s="57">
        <v>-0.24670983654771506</v>
      </c>
      <c r="G47" s="57">
        <v>-0.27892876758534946</v>
      </c>
      <c r="H47" s="57">
        <v>-0.26452433516196239</v>
      </c>
      <c r="I47" s="57">
        <v>-0.22190436572087813</v>
      </c>
      <c r="J47" s="57">
        <v>-0.30261828692473119</v>
      </c>
      <c r="K47" s="57">
        <v>-0.29230303565255372</v>
      </c>
      <c r="L47" s="57">
        <v>-0.24231611169556455</v>
      </c>
      <c r="M47" s="57">
        <v>-0.27447204484341398</v>
      </c>
      <c r="N47" s="57">
        <v>-0.26448373825268817</v>
      </c>
      <c r="O47" s="57">
        <v>-0.215993033547043</v>
      </c>
      <c r="P47" s="57">
        <v>-0.27515222795295696</v>
      </c>
      <c r="Q47" s="57">
        <v>-0.26446592437836025</v>
      </c>
      <c r="R47" s="57">
        <v>-0.22517584805065768</v>
      </c>
      <c r="S47" s="57">
        <v>-0.24719277498655914</v>
      </c>
      <c r="T47" s="57">
        <v>-0.23578031100067201</v>
      </c>
      <c r="U47" s="57">
        <v>-0.21520981516624904</v>
      </c>
      <c r="V47" s="57">
        <v>-0.28072128768817201</v>
      </c>
      <c r="W47" s="57">
        <v>-0.27074609355107526</v>
      </c>
      <c r="X47" s="57">
        <v>-0.22045395411984758</v>
      </c>
      <c r="Y47" s="57">
        <v>-0.26400530040389786</v>
      </c>
      <c r="Z47" s="57">
        <v>-0.25162728386760747</v>
      </c>
      <c r="AA47" s="57">
        <v>-0.2087668112379033</v>
      </c>
      <c r="AB47" s="57">
        <v>-0.28053449857325269</v>
      </c>
      <c r="AC47" s="57">
        <v>-0.27058879745430103</v>
      </c>
      <c r="AD47" s="57">
        <v>-0.21133788950000004</v>
      </c>
      <c r="AE47" s="57">
        <v>-0.26127620546438179</v>
      </c>
      <c r="AF47" s="57">
        <v>-0.23305602655913973</v>
      </c>
      <c r="AG47" s="57">
        <v>-0.20727648823051076</v>
      </c>
      <c r="AH47" s="57">
        <v>-0.30096012390456989</v>
      </c>
      <c r="AI47" s="57">
        <v>-0.2831533896583141</v>
      </c>
      <c r="AJ47" s="57">
        <v>-0.2218133648615592</v>
      </c>
      <c r="AK47" s="57">
        <v>-0.25130220727956998</v>
      </c>
      <c r="AL47" s="57">
        <v>-0.22851478409514206</v>
      </c>
      <c r="AM47" s="57">
        <v>-0.20380760295430109</v>
      </c>
      <c r="AN47" s="57">
        <v>-0.30363088054771503</v>
      </c>
      <c r="AO47" s="57">
        <v>-0.28860854883477877</v>
      </c>
      <c r="AP47" s="57">
        <v>-0.22205198661491929</v>
      </c>
      <c r="AQ47" s="57">
        <v>-0.24828714100401139</v>
      </c>
      <c r="AR47" s="57">
        <v>-0.22979811411895154</v>
      </c>
      <c r="AS47" s="57">
        <v>-0.20668866179233872</v>
      </c>
      <c r="AT47" s="57">
        <v>-0.29633723037567195</v>
      </c>
      <c r="AU47" s="57">
        <v>-0.28021405165230939</v>
      </c>
      <c r="AV47" s="57">
        <v>-0.21928991252352159</v>
      </c>
      <c r="AW47" s="57">
        <v>-0.2644008407405915</v>
      </c>
      <c r="AX47" s="57">
        <v>-0.24488320673924732</v>
      </c>
      <c r="AY47" s="57">
        <v>-0.21038235129032254</v>
      </c>
      <c r="AZ47" s="57">
        <v>-0.274516489561828</v>
      </c>
      <c r="BA47" s="57">
        <v>-0.26458717345295701</v>
      </c>
      <c r="BB47" s="57">
        <v>-0.22064884624510353</v>
      </c>
      <c r="BC47" s="57">
        <v>-0.2411073822426075</v>
      </c>
      <c r="BD47" s="57">
        <v>-0.22168235386155916</v>
      </c>
      <c r="BE47" s="57">
        <v>-0.20016253620833344</v>
      </c>
      <c r="BF47" s="57">
        <v>-0.28777319739919355</v>
      </c>
      <c r="BG47" s="57">
        <v>-0.27696236774798388</v>
      </c>
      <c r="BH47" s="57">
        <v>-0.22344241887218103</v>
      </c>
      <c r="BI47" s="57">
        <v>-0.26400857740591399</v>
      </c>
      <c r="BJ47" s="57">
        <v>-0.25175452389784947</v>
      </c>
      <c r="BK47" s="57">
        <v>-0.21052989719072937</v>
      </c>
      <c r="BL47" s="57">
        <v>-0.307100695796371</v>
      </c>
      <c r="BM47" s="57">
        <v>-0.29228753542798969</v>
      </c>
      <c r="BN47" s="57">
        <v>-0.24091326778835243</v>
      </c>
      <c r="BO47" s="57">
        <v>-0.24919830022043013</v>
      </c>
      <c r="BP47" s="57">
        <v>-0.2374832275429089</v>
      </c>
      <c r="BQ47" s="57">
        <v>-0.21074219949802986</v>
      </c>
      <c r="BR47" s="57">
        <v>-0.31417406606317194</v>
      </c>
      <c r="BS47" s="57">
        <v>-0.30160653126325759</v>
      </c>
      <c r="BT47" s="57">
        <v>-0.24755202606586024</v>
      </c>
      <c r="BU47" s="57">
        <v>-0.27771627683938166</v>
      </c>
      <c r="BV47" s="57">
        <v>-0.26509328238288121</v>
      </c>
      <c r="BW47" s="57">
        <v>-0.21979184608847654</v>
      </c>
    </row>
    <row r="48" spans="1:75" x14ac:dyDescent="0.3">
      <c r="A48" s="8" t="s">
        <v>102</v>
      </c>
      <c r="B48" s="8" t="s">
        <v>9</v>
      </c>
      <c r="C48" s="8" t="s">
        <v>118</v>
      </c>
      <c r="D48" s="57">
        <v>-0.34569487700772855</v>
      </c>
      <c r="E48" s="57">
        <v>-0.32864834502254953</v>
      </c>
      <c r="F48" s="57">
        <v>-0.27962903972614245</v>
      </c>
      <c r="G48" s="57">
        <v>-0.32321635820732525</v>
      </c>
      <c r="H48" s="57">
        <v>-0.30274497841901887</v>
      </c>
      <c r="I48" s="57">
        <v>-0.25706469313956115</v>
      </c>
      <c r="J48" s="57">
        <v>-0.33625820053763444</v>
      </c>
      <c r="K48" s="57">
        <v>-0.3230522081737231</v>
      </c>
      <c r="L48" s="57">
        <v>-0.27626282215221765</v>
      </c>
      <c r="M48" s="57">
        <v>-0.31802727957829302</v>
      </c>
      <c r="N48" s="57">
        <v>-0.30266165087365593</v>
      </c>
      <c r="O48" s="57">
        <v>-0.2513049512264785</v>
      </c>
      <c r="P48" s="57">
        <v>-0.30818173002352151</v>
      </c>
      <c r="Q48" s="57">
        <v>-0.29573938781081988</v>
      </c>
      <c r="R48" s="57">
        <v>-0.25882430642127308</v>
      </c>
      <c r="S48" s="57">
        <v>-0.29016829250672044</v>
      </c>
      <c r="T48" s="57">
        <v>-0.27400943849966397</v>
      </c>
      <c r="U48" s="57">
        <v>-0.25012869086347772</v>
      </c>
      <c r="V48" s="57">
        <v>-0.32530343615591389</v>
      </c>
      <c r="W48" s="57">
        <v>-0.31368905722446233</v>
      </c>
      <c r="X48" s="57">
        <v>-0.25563404494007624</v>
      </c>
      <c r="Y48" s="57">
        <v>-0.30584057579805107</v>
      </c>
      <c r="Z48" s="57">
        <v>-0.29068262806619621</v>
      </c>
      <c r="AA48" s="57">
        <v>-0.24295756638104848</v>
      </c>
      <c r="AB48" s="57">
        <v>-0.32508595271337365</v>
      </c>
      <c r="AC48" s="57">
        <v>-0.31350591327284943</v>
      </c>
      <c r="AD48" s="57">
        <v>-0.24643353125000003</v>
      </c>
      <c r="AE48" s="57">
        <v>-0.29995130326780922</v>
      </c>
      <c r="AF48" s="57">
        <v>-0.2672956605665841</v>
      </c>
      <c r="AG48" s="57">
        <v>-0.23949081788474461</v>
      </c>
      <c r="AH48" s="57">
        <v>-0.33432755804771502</v>
      </c>
      <c r="AI48" s="57">
        <v>-0.3128673345994144</v>
      </c>
      <c r="AJ48" s="57">
        <v>-0.25356388156922038</v>
      </c>
      <c r="AK48" s="57">
        <v>-0.28041252836021507</v>
      </c>
      <c r="AL48" s="57">
        <v>-0.25430240938100035</v>
      </c>
      <c r="AM48" s="57">
        <v>-0.23416049452284951</v>
      </c>
      <c r="AN48" s="57">
        <v>-0.33743718972614245</v>
      </c>
      <c r="AO48" s="57">
        <v>-0.31989315385533729</v>
      </c>
      <c r="AP48" s="57">
        <v>-0.25607496469254026</v>
      </c>
      <c r="AQ48" s="57">
        <v>-0.27631502216466702</v>
      </c>
      <c r="AR48" s="57">
        <v>-0.25305477694052442</v>
      </c>
      <c r="AS48" s="57">
        <v>-0.23745949110383061</v>
      </c>
      <c r="AT48" s="57">
        <v>-0.31891895881216398</v>
      </c>
      <c r="AU48" s="57">
        <v>-0.30281298298503412</v>
      </c>
      <c r="AV48" s="57">
        <v>-0.24882075373823928</v>
      </c>
      <c r="AW48" s="57">
        <v>-0.29719265162970443</v>
      </c>
      <c r="AX48" s="57">
        <v>-0.27828992463037638</v>
      </c>
      <c r="AY48" s="57">
        <v>-0.24135754435483872</v>
      </c>
      <c r="AZ48" s="57">
        <v>-0.30744152321908608</v>
      </c>
      <c r="BA48" s="57">
        <v>-0.29588056127352147</v>
      </c>
      <c r="BB48" s="57">
        <v>-0.25416989316316246</v>
      </c>
      <c r="BC48" s="57">
        <v>-0.28308291087869625</v>
      </c>
      <c r="BD48" s="57">
        <v>-0.25843041906922049</v>
      </c>
      <c r="BE48" s="57">
        <v>-0.2346631598958332</v>
      </c>
      <c r="BF48" s="57">
        <v>-0.32914038130040318</v>
      </c>
      <c r="BG48" s="57">
        <v>-0.31655305012600804</v>
      </c>
      <c r="BH48" s="57">
        <v>-0.25713161130727241</v>
      </c>
      <c r="BI48" s="57">
        <v>-0.30584439129704299</v>
      </c>
      <c r="BJ48" s="57">
        <v>-0.29026449805107518</v>
      </c>
      <c r="BK48" s="57">
        <v>-0.24472326014799811</v>
      </c>
      <c r="BL48" s="57">
        <v>-0.3395746221018146</v>
      </c>
      <c r="BM48" s="57">
        <v>-0.32123848428600538</v>
      </c>
      <c r="BN48" s="57">
        <v>-0.27330566051678268</v>
      </c>
      <c r="BO48" s="57">
        <v>-0.29250337788978492</v>
      </c>
      <c r="BP48" s="57">
        <v>-0.27724848022854548</v>
      </c>
      <c r="BQ48" s="57">
        <v>-0.24575077866194395</v>
      </c>
      <c r="BR48" s="57">
        <v>-0.34685321896841415</v>
      </c>
      <c r="BS48" s="57">
        <v>-0.32867579636837124</v>
      </c>
      <c r="BT48" s="57">
        <v>-0.28060962296706993</v>
      </c>
      <c r="BU48" s="57">
        <v>-0.32180462358030909</v>
      </c>
      <c r="BV48" s="57">
        <v>-0.30359493680855937</v>
      </c>
      <c r="BW48" s="57">
        <v>-0.25495729487412916</v>
      </c>
    </row>
    <row r="49" spans="1:75" x14ac:dyDescent="0.3">
      <c r="A49" s="8" t="s">
        <v>102</v>
      </c>
      <c r="B49" s="8" t="s">
        <v>10</v>
      </c>
      <c r="C49" s="8" t="s">
        <v>108</v>
      </c>
      <c r="D49" s="57">
        <v>0</v>
      </c>
      <c r="E49" s="57">
        <v>0</v>
      </c>
      <c r="F49" s="57">
        <v>0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>
        <v>0</v>
      </c>
      <c r="Q49" s="57">
        <v>0</v>
      </c>
      <c r="R49" s="57">
        <v>0</v>
      </c>
      <c r="S49" s="57">
        <v>0</v>
      </c>
      <c r="T49" s="57">
        <v>0</v>
      </c>
      <c r="U49" s="57">
        <v>0</v>
      </c>
      <c r="V49" s="57">
        <v>0</v>
      </c>
      <c r="W49" s="57">
        <v>0</v>
      </c>
      <c r="X49" s="57">
        <v>0</v>
      </c>
      <c r="Y49" s="57">
        <v>0</v>
      </c>
      <c r="Z49" s="57">
        <v>0</v>
      </c>
      <c r="AA49" s="57">
        <v>0</v>
      </c>
      <c r="AB49" s="57">
        <v>0</v>
      </c>
      <c r="AC49" s="57">
        <v>0</v>
      </c>
      <c r="AD49" s="57">
        <v>0</v>
      </c>
      <c r="AE49" s="57">
        <v>0</v>
      </c>
      <c r="AF49" s="57">
        <v>0</v>
      </c>
      <c r="AG49" s="57">
        <v>0</v>
      </c>
      <c r="AH49" s="57">
        <v>0</v>
      </c>
      <c r="AI49" s="57">
        <v>0</v>
      </c>
      <c r="AJ49" s="57">
        <v>0</v>
      </c>
      <c r="AK49" s="57">
        <v>0</v>
      </c>
      <c r="AL49" s="57">
        <v>0</v>
      </c>
      <c r="AM49" s="57">
        <v>0</v>
      </c>
      <c r="AN49" s="57">
        <v>0</v>
      </c>
      <c r="AO49" s="57">
        <v>0</v>
      </c>
      <c r="AP49" s="57">
        <v>0</v>
      </c>
      <c r="AQ49" s="57">
        <v>0</v>
      </c>
      <c r="AR49" s="57">
        <v>0</v>
      </c>
      <c r="AS49" s="57">
        <v>0</v>
      </c>
      <c r="AT49" s="57">
        <v>0</v>
      </c>
      <c r="AU49" s="57">
        <v>0</v>
      </c>
      <c r="AV49" s="57">
        <v>0</v>
      </c>
      <c r="AW49" s="57">
        <v>0</v>
      </c>
      <c r="AX49" s="57">
        <v>0</v>
      </c>
      <c r="AY49" s="57">
        <v>0</v>
      </c>
      <c r="AZ49" s="57">
        <v>0</v>
      </c>
      <c r="BA49" s="57">
        <v>0</v>
      </c>
      <c r="BB49" s="57">
        <v>0</v>
      </c>
      <c r="BC49" s="57">
        <v>0</v>
      </c>
      <c r="BD49" s="57">
        <v>0</v>
      </c>
      <c r="BE49" s="57">
        <v>0</v>
      </c>
      <c r="BF49" s="57">
        <v>0</v>
      </c>
      <c r="BG49" s="57">
        <v>0</v>
      </c>
      <c r="BH49" s="57">
        <v>0</v>
      </c>
      <c r="BI49" s="57">
        <v>0</v>
      </c>
      <c r="BJ49" s="57">
        <v>0</v>
      </c>
      <c r="BK49" s="57">
        <v>0</v>
      </c>
      <c r="BL49" s="57">
        <v>0</v>
      </c>
      <c r="BM49" s="57">
        <v>0</v>
      </c>
      <c r="BN49" s="57">
        <v>0</v>
      </c>
      <c r="BO49" s="57">
        <v>0</v>
      </c>
      <c r="BP49" s="57">
        <v>0</v>
      </c>
      <c r="BQ49" s="57">
        <v>0</v>
      </c>
      <c r="BR49" s="57">
        <v>0</v>
      </c>
      <c r="BS49" s="57">
        <v>0</v>
      </c>
      <c r="BT49" s="57">
        <v>0</v>
      </c>
      <c r="BU49" s="57">
        <v>0</v>
      </c>
      <c r="BV49" s="57">
        <v>0</v>
      </c>
      <c r="BW49" s="57">
        <v>0</v>
      </c>
    </row>
    <row r="50" spans="1:75" x14ac:dyDescent="0.3">
      <c r="A50" s="8" t="s">
        <v>102</v>
      </c>
      <c r="B50" s="8" t="s">
        <v>10</v>
      </c>
      <c r="C50" s="8" t="s">
        <v>109</v>
      </c>
      <c r="D50" s="57">
        <v>2.6277236679211498E-2</v>
      </c>
      <c r="E50" s="57">
        <v>4.7795529605735186E-3</v>
      </c>
      <c r="F50" s="57">
        <v>-3.2898972406810029E-2</v>
      </c>
      <c r="G50" s="57">
        <v>3.7239394718638096E-2</v>
      </c>
      <c r="H50" s="57">
        <v>-3.1551474211468419E-3</v>
      </c>
      <c r="I50" s="57">
        <v>-2.5879409019115947E-2</v>
      </c>
      <c r="J50" s="57">
        <v>2.5663146695340436E-2</v>
      </c>
      <c r="K50" s="57">
        <v>-9.5951705436089752E-4</v>
      </c>
      <c r="L50" s="57">
        <v>-3.9289230865591447E-2</v>
      </c>
      <c r="M50" s="57">
        <v>5.3409941385304686E-2</v>
      </c>
      <c r="N50" s="57">
        <v>1.4719463584229455E-2</v>
      </c>
      <c r="O50" s="57">
        <v>-2.6441818706093172E-2</v>
      </c>
      <c r="P50" s="57">
        <v>4.7465851695340094E-2</v>
      </c>
      <c r="Q50" s="57">
        <v>1.7362957437276308E-3</v>
      </c>
      <c r="R50" s="57">
        <v>-2.914472991397855E-2</v>
      </c>
      <c r="S50" s="57">
        <v>4.1045157025089644E-2</v>
      </c>
      <c r="T50" s="57">
        <v>-5.0590793727586509E-4</v>
      </c>
      <c r="U50" s="57">
        <v>-3.2770256415770173E-2</v>
      </c>
      <c r="V50" s="57">
        <v>7.4460695197132581E-2</v>
      </c>
      <c r="W50" s="57">
        <v>1.7671717842293849E-2</v>
      </c>
      <c r="X50" s="57">
        <v>-2.8567418492812746E-2</v>
      </c>
      <c r="Y50" s="57">
        <v>3.9663190428315426E-2</v>
      </c>
      <c r="Z50" s="57">
        <v>-2.0260542464157691E-2</v>
      </c>
      <c r="AA50" s="57">
        <v>-2.7360958035823554E-2</v>
      </c>
      <c r="AB50" s="57">
        <v>4.119527029211497E-2</v>
      </c>
      <c r="AC50" s="57">
        <v>-1.0639428888888605E-3</v>
      </c>
      <c r="AD50" s="57">
        <v>-1.9160117005270941E-2</v>
      </c>
      <c r="AE50" s="57">
        <v>8.5455737078855964E-3</v>
      </c>
      <c r="AF50" s="57">
        <v>-2.8811210609318912E-2</v>
      </c>
      <c r="AG50" s="57">
        <v>-1.9483329784840821E-2</v>
      </c>
      <c r="AH50" s="57">
        <v>3.6205033238279408E-2</v>
      </c>
      <c r="AI50" s="57">
        <v>4.2697908340284521E-3</v>
      </c>
      <c r="AJ50" s="57">
        <v>-1.9674721279569891E-2</v>
      </c>
      <c r="AK50" s="57">
        <v>-5.7980025000718208E-3</v>
      </c>
      <c r="AL50" s="57">
        <v>-3.9490539922243939E-2</v>
      </c>
      <c r="AM50" s="57">
        <v>-2.7183612609318977E-2</v>
      </c>
      <c r="AN50" s="57">
        <v>1.5590694943052324E-2</v>
      </c>
      <c r="AO50" s="57">
        <v>-1.7059842815412247E-2</v>
      </c>
      <c r="AP50" s="57">
        <v>-1.2670648715053768E-2</v>
      </c>
      <c r="AQ50" s="57">
        <v>3.8029103170250926E-2</v>
      </c>
      <c r="AR50" s="57">
        <v>2.7661939517921105E-2</v>
      </c>
      <c r="AS50" s="57">
        <v>-5.6572168458779427E-6</v>
      </c>
      <c r="AT50" s="57">
        <v>7.58800608261649E-2</v>
      </c>
      <c r="AU50" s="57">
        <v>4.6279202374552068E-2</v>
      </c>
      <c r="AV50" s="57">
        <v>1.0604060371573071E-2</v>
      </c>
      <c r="AW50" s="57">
        <v>2.3132653548785471E-2</v>
      </c>
      <c r="AX50" s="57">
        <v>-9.6647845663082061E-3</v>
      </c>
      <c r="AY50" s="57">
        <v>-4.5763948562118642E-2</v>
      </c>
      <c r="AZ50" s="57">
        <v>3.3524052351254469E-2</v>
      </c>
      <c r="BA50" s="57">
        <v>2.1197802544802645E-3</v>
      </c>
      <c r="BB50" s="57">
        <v>1.3933660492505729E-2</v>
      </c>
      <c r="BC50" s="57">
        <v>-8.5500067329748516E-3</v>
      </c>
      <c r="BD50" s="57">
        <v>-3.9498085781362026E-2</v>
      </c>
      <c r="BE50" s="57">
        <v>-4.0536905763766624E-2</v>
      </c>
      <c r="BF50" s="57">
        <v>2.2042584354838805E-2</v>
      </c>
      <c r="BG50" s="57">
        <v>-1.214972377956988E-2</v>
      </c>
      <c r="BH50" s="57">
        <v>-4.3456440349605038E-2</v>
      </c>
      <c r="BI50" s="57">
        <v>-2.4862574157706013E-2</v>
      </c>
      <c r="BJ50" s="57">
        <v>-5.5362179856630826E-2</v>
      </c>
      <c r="BK50" s="57">
        <v>-4.6247503177562009E-2</v>
      </c>
      <c r="BL50" s="57">
        <v>8.1471683431899797E-2</v>
      </c>
      <c r="BM50" s="57">
        <v>1.9637588179552839E-2</v>
      </c>
      <c r="BN50" s="57">
        <v>-2.8834007706445459E-2</v>
      </c>
      <c r="BO50" s="57">
        <v>4.7388198121863789E-2</v>
      </c>
      <c r="BP50" s="57">
        <v>1.4888489105734698E-2</v>
      </c>
      <c r="BQ50" s="57">
        <v>-2.9447924405017645E-2</v>
      </c>
      <c r="BR50" s="57">
        <v>3.1475408992831758E-2</v>
      </c>
      <c r="BS50" s="57">
        <v>2.0080701313620053E-2</v>
      </c>
      <c r="BT50" s="57">
        <v>-5.5581929078852753E-2</v>
      </c>
      <c r="BU50" s="57">
        <v>2.858261412724036E-2</v>
      </c>
      <c r="BV50" s="57">
        <v>-9.9934260394263208E-4</v>
      </c>
      <c r="BW50" s="57">
        <v>-9.5400097001791972E-2</v>
      </c>
    </row>
    <row r="51" spans="1:75" x14ac:dyDescent="0.3">
      <c r="A51" s="8" t="s">
        <v>102</v>
      </c>
      <c r="B51" s="8" t="s">
        <v>10</v>
      </c>
      <c r="C51" s="8" t="s">
        <v>110</v>
      </c>
      <c r="D51" s="57">
        <v>4.2312930501792372E-3</v>
      </c>
      <c r="E51" s="57">
        <v>-1.5364393491039331E-2</v>
      </c>
      <c r="F51" s="57">
        <v>-0.1023828732939068</v>
      </c>
      <c r="G51" s="57">
        <v>-6.2338874587812843E-3</v>
      </c>
      <c r="H51" s="57">
        <v>-5.6750702017920922E-2</v>
      </c>
      <c r="I51" s="57">
        <v>-0.10576853229868582</v>
      </c>
      <c r="J51" s="57">
        <v>2.2632304114695304E-2</v>
      </c>
      <c r="K51" s="57">
        <v>-3.0098725661887784E-2</v>
      </c>
      <c r="L51" s="57">
        <v>-0.11755382046236561</v>
      </c>
      <c r="M51" s="57">
        <v>3.8916659207885361E-2</v>
      </c>
      <c r="N51" s="57">
        <v>-3.2520958996415654E-2</v>
      </c>
      <c r="O51" s="57">
        <v>-0.10651609015770608</v>
      </c>
      <c r="P51" s="57">
        <v>2.2021334114695201E-2</v>
      </c>
      <c r="Q51" s="57">
        <v>-3.2628508691756181E-2</v>
      </c>
      <c r="R51" s="57">
        <v>-0.107782507655914</v>
      </c>
      <c r="S51" s="57">
        <v>1.6086474767025169E-2</v>
      </c>
      <c r="T51" s="57">
        <v>-6.0632896082437035E-2</v>
      </c>
      <c r="U51" s="57">
        <v>-0.10903447899641555</v>
      </c>
      <c r="V51" s="57">
        <v>3.8234927455196931E-2</v>
      </c>
      <c r="W51" s="57">
        <v>-1.5440377964157755E-2</v>
      </c>
      <c r="X51" s="57">
        <v>-0.10822469920510797</v>
      </c>
      <c r="Y51" s="57">
        <v>-3.4788470620071676E-2</v>
      </c>
      <c r="Z51" s="57">
        <v>-9.7107608189964126E-2</v>
      </c>
      <c r="AA51" s="57">
        <v>-0.11596739237715101</v>
      </c>
      <c r="AB51" s="57">
        <v>2.753211150179229E-2</v>
      </c>
      <c r="AC51" s="57">
        <v>-4.1179052888888804E-2</v>
      </c>
      <c r="AD51" s="57">
        <v>-9.9534611236769988E-2</v>
      </c>
      <c r="AE51" s="57">
        <v>-4.8974007501791927E-2</v>
      </c>
      <c r="AF51" s="57">
        <v>-0.11289545577060915</v>
      </c>
      <c r="AG51" s="57">
        <v>-0.10836357135504955</v>
      </c>
      <c r="AH51" s="57">
        <v>2.5761669815252193E-2</v>
      </c>
      <c r="AI51" s="57">
        <v>-2.3735656273987167E-2</v>
      </c>
      <c r="AJ51" s="57">
        <v>-9.8781771118279571E-2</v>
      </c>
      <c r="AK51" s="57">
        <v>-6.6598744471486115E-2</v>
      </c>
      <c r="AL51" s="57">
        <v>-0.11654476396574341</v>
      </c>
      <c r="AM51" s="57">
        <v>-0.1165469877706093</v>
      </c>
      <c r="AN51" s="57">
        <v>-7.7723546713180519E-3</v>
      </c>
      <c r="AO51" s="57">
        <v>-5.2350786928315463E-2</v>
      </c>
      <c r="AP51" s="57">
        <v>-8.647173186021502E-2</v>
      </c>
      <c r="AQ51" s="57">
        <v>1.051767034767034E-2</v>
      </c>
      <c r="AR51" s="57">
        <v>-1.9481719594982117E-2</v>
      </c>
      <c r="AS51" s="57">
        <v>-7.5126515200716837E-2</v>
      </c>
      <c r="AT51" s="57">
        <v>8.0405208971326192E-2</v>
      </c>
      <c r="AU51" s="57">
        <v>2.5750551164874742E-2</v>
      </c>
      <c r="AV51" s="57">
        <v>-5.7138798232322763E-2</v>
      </c>
      <c r="AW51" s="57">
        <v>4.2461572491437886E-2</v>
      </c>
      <c r="AX51" s="57">
        <v>-1.8707003598566259E-2</v>
      </c>
      <c r="AY51" s="57">
        <v>-8.3816915633756414E-2</v>
      </c>
      <c r="AZ51" s="57">
        <v>2.606401073835125E-2</v>
      </c>
      <c r="BA51" s="57">
        <v>-3.1920447648745555E-2</v>
      </c>
      <c r="BB51" s="57">
        <v>-4.2701059514825605E-2</v>
      </c>
      <c r="BC51" s="57">
        <v>2.7591673476713095E-4</v>
      </c>
      <c r="BD51" s="57">
        <v>-5.6206050458781368E-2</v>
      </c>
      <c r="BE51" s="57">
        <v>-6.9690260206581825E-2</v>
      </c>
      <c r="BF51" s="57">
        <v>1.0113067419355026E-2</v>
      </c>
      <c r="BG51" s="57">
        <v>-5.3019186118279535E-2</v>
      </c>
      <c r="BH51" s="57">
        <v>-0.11580306366390714</v>
      </c>
      <c r="BI51" s="57">
        <v>-8.3670449964157553E-2</v>
      </c>
      <c r="BJ51" s="57">
        <v>-0.14520409275985663</v>
      </c>
      <c r="BK51" s="57">
        <v>-0.12875377697573503</v>
      </c>
      <c r="BL51" s="57">
        <v>5.8624912060931969E-2</v>
      </c>
      <c r="BM51" s="57">
        <v>-7.1043940877278926E-4</v>
      </c>
      <c r="BN51" s="57">
        <v>-0.10806716818014206</v>
      </c>
      <c r="BO51" s="57">
        <v>2.7798187154121912E-2</v>
      </c>
      <c r="BP51" s="57">
        <v>-3.12038579103943E-2</v>
      </c>
      <c r="BQ51" s="57">
        <v>-0.10751993295340488</v>
      </c>
      <c r="BR51" s="57">
        <v>2.3718804637992908E-2</v>
      </c>
      <c r="BS51" s="57">
        <v>8.204925587813593E-3</v>
      </c>
      <c r="BT51" s="57">
        <v>-0.11371899698207871</v>
      </c>
      <c r="BU51" s="57">
        <v>-1.0180239824372661E-2</v>
      </c>
      <c r="BV51" s="57">
        <v>-5.2770250749103881E-2</v>
      </c>
      <c r="BW51" s="57">
        <v>-0.14442667434050172</v>
      </c>
    </row>
    <row r="52" spans="1:75" x14ac:dyDescent="0.3">
      <c r="A52" s="8" t="s">
        <v>102</v>
      </c>
      <c r="B52" s="8" t="s">
        <v>10</v>
      </c>
      <c r="C52" s="8" t="s">
        <v>111</v>
      </c>
      <c r="D52" s="57">
        <v>-0.10809394227688179</v>
      </c>
      <c r="E52" s="57">
        <v>-0.10639522234408602</v>
      </c>
      <c r="F52" s="57">
        <v>-0.14855734316397851</v>
      </c>
      <c r="G52" s="57">
        <v>-0.16739185643279569</v>
      </c>
      <c r="H52" s="57">
        <v>-0.16139638806182791</v>
      </c>
      <c r="I52" s="57">
        <v>-0.15509713303046599</v>
      </c>
      <c r="J52" s="57">
        <v>-0.10963330520430112</v>
      </c>
      <c r="K52" s="57">
        <v>-0.11577714163351246</v>
      </c>
      <c r="L52" s="57">
        <v>-0.15653333289516128</v>
      </c>
      <c r="M52" s="57">
        <v>-0.14471147643279569</v>
      </c>
      <c r="N52" s="57">
        <v>-0.15217004053763442</v>
      </c>
      <c r="O52" s="57">
        <v>-0.15609581484408599</v>
      </c>
      <c r="P52" s="57">
        <v>-0.10221821270430109</v>
      </c>
      <c r="Q52" s="57">
        <v>-0.10694405248655912</v>
      </c>
      <c r="R52" s="57">
        <v>-0.1491684606129032</v>
      </c>
      <c r="S52" s="57">
        <v>-0.14709510005376342</v>
      </c>
      <c r="T52" s="57">
        <v>-0.15510511438440855</v>
      </c>
      <c r="U52" s="57">
        <v>-0.15493106053763436</v>
      </c>
      <c r="V52" s="57">
        <v>-0.15306917827956992</v>
      </c>
      <c r="W52" s="57">
        <v>-0.1592630683763441</v>
      </c>
      <c r="X52" s="57">
        <v>-0.15666727399950736</v>
      </c>
      <c r="Y52" s="57">
        <v>-0.15399670773924728</v>
      </c>
      <c r="Z52" s="57">
        <v>-0.15891331775537632</v>
      </c>
      <c r="AA52" s="57">
        <v>-0.14986577194305578</v>
      </c>
      <c r="AB52" s="57">
        <v>-0.15844802301881711</v>
      </c>
      <c r="AC52" s="57">
        <v>-0.16870870566666665</v>
      </c>
      <c r="AD52" s="57">
        <v>-0.15090210707273877</v>
      </c>
      <c r="AE52" s="57">
        <v>-0.15405412298118279</v>
      </c>
      <c r="AF52" s="57">
        <v>-0.16056167440860211</v>
      </c>
      <c r="AG52" s="57">
        <v>-0.1441007825808033</v>
      </c>
      <c r="AH52" s="57">
        <v>-0.13261662245285905</v>
      </c>
      <c r="AI52" s="57">
        <v>-0.14075030810343758</v>
      </c>
      <c r="AJ52" s="57">
        <v>-0.14264001775806456</v>
      </c>
      <c r="AK52" s="57">
        <v>-0.17032682594210632</v>
      </c>
      <c r="AL52" s="57">
        <v>-0.17320736583999669</v>
      </c>
      <c r="AM52" s="57">
        <v>-0.15188933140860217</v>
      </c>
      <c r="AN52" s="57">
        <v>-0.12183591886645799</v>
      </c>
      <c r="AO52" s="57">
        <v>-0.1204388240026882</v>
      </c>
      <c r="AP52" s="57">
        <v>-0.14253419321774191</v>
      </c>
      <c r="AQ52" s="57">
        <v>-0.14767652040053761</v>
      </c>
      <c r="AR52" s="57">
        <v>-0.14252152750268818</v>
      </c>
      <c r="AS52" s="57">
        <v>-0.14084323014247313</v>
      </c>
      <c r="AT52" s="57">
        <v>-0.14037979494892472</v>
      </c>
      <c r="AU52" s="57">
        <v>-0.14608610598118277</v>
      </c>
      <c r="AV52" s="57">
        <v>-0.13764730776515144</v>
      </c>
      <c r="AW52" s="57">
        <v>-0.12939780910453999</v>
      </c>
      <c r="AX52" s="57">
        <v>-0.13531726121505377</v>
      </c>
      <c r="AY52" s="57">
        <v>-0.13919001130009762</v>
      </c>
      <c r="AZ52" s="57">
        <v>-0.10081616175268819</v>
      </c>
      <c r="BA52" s="57">
        <v>-0.10687012618817207</v>
      </c>
      <c r="BB52" s="57">
        <v>-0.12694268529887584</v>
      </c>
      <c r="BC52" s="57">
        <v>-0.14625314296505376</v>
      </c>
      <c r="BD52" s="57">
        <v>-0.15089880068279571</v>
      </c>
      <c r="BE52" s="57">
        <v>-0.13829680478543502</v>
      </c>
      <c r="BF52" s="57">
        <v>-0.15085291040322579</v>
      </c>
      <c r="BG52" s="57">
        <v>-0.15744433900806451</v>
      </c>
      <c r="BH52" s="57">
        <v>-0.15286313123693973</v>
      </c>
      <c r="BI52" s="57">
        <v>-0.17425189037634406</v>
      </c>
      <c r="BJ52" s="57">
        <v>-0.17669255602150538</v>
      </c>
      <c r="BK52" s="57">
        <v>-0.15589843796274619</v>
      </c>
      <c r="BL52" s="57">
        <v>-9.9258067889784959E-2</v>
      </c>
      <c r="BM52" s="57">
        <v>-0.10576243744598053</v>
      </c>
      <c r="BN52" s="57">
        <v>-0.15082530938772507</v>
      </c>
      <c r="BO52" s="57">
        <v>-0.14587231911827958</v>
      </c>
      <c r="BP52" s="57">
        <v>-0.15012742769086021</v>
      </c>
      <c r="BQ52" s="57">
        <v>-0.1549249304892473</v>
      </c>
      <c r="BR52" s="57">
        <v>-0.10973452219892477</v>
      </c>
      <c r="BS52" s="57">
        <v>-0.11281060342204303</v>
      </c>
      <c r="BT52" s="57">
        <v>-0.15179484218817202</v>
      </c>
      <c r="BU52" s="57">
        <v>-0.167407829094086</v>
      </c>
      <c r="BV52" s="57">
        <v>-0.16098080238440857</v>
      </c>
      <c r="BW52" s="57">
        <v>-0.16783120917473118</v>
      </c>
    </row>
    <row r="53" spans="1:75" x14ac:dyDescent="0.3">
      <c r="A53" s="8" t="s">
        <v>102</v>
      </c>
      <c r="B53" s="8" t="s">
        <v>10</v>
      </c>
      <c r="C53" s="8" t="s">
        <v>112</v>
      </c>
      <c r="D53" s="57">
        <v>-0.42021323227688179</v>
      </c>
      <c r="E53" s="57">
        <v>-0.38800746234408606</v>
      </c>
      <c r="F53" s="57">
        <v>-0.3597877331639785</v>
      </c>
      <c r="G53" s="57">
        <v>-0.42879096643279574</v>
      </c>
      <c r="H53" s="57">
        <v>-0.38692231806182797</v>
      </c>
      <c r="I53" s="57">
        <v>-0.34028871303046598</v>
      </c>
      <c r="J53" s="57">
        <v>-0.40329282520430115</v>
      </c>
      <c r="K53" s="57">
        <v>-0.38563197163351243</v>
      </c>
      <c r="L53" s="57">
        <v>-0.36055232289516126</v>
      </c>
      <c r="M53" s="57">
        <v>-0.39649538643279575</v>
      </c>
      <c r="N53" s="57">
        <v>-0.37756164053763441</v>
      </c>
      <c r="O53" s="57">
        <v>-0.34304075484408597</v>
      </c>
      <c r="P53" s="57">
        <v>-0.3870402327043011</v>
      </c>
      <c r="Q53" s="57">
        <v>-0.36871080248655913</v>
      </c>
      <c r="R53" s="57">
        <v>-0.34874042061290322</v>
      </c>
      <c r="S53" s="57">
        <v>-0.39044450005376347</v>
      </c>
      <c r="T53" s="57">
        <v>-0.37011088438440859</v>
      </c>
      <c r="U53" s="57">
        <v>-0.3367714605376344</v>
      </c>
      <c r="V53" s="57">
        <v>-0.41833557827956991</v>
      </c>
      <c r="W53" s="57">
        <v>-0.40300838837634406</v>
      </c>
      <c r="X53" s="57">
        <v>-0.34206388399950738</v>
      </c>
      <c r="Y53" s="57">
        <v>-0.38319903773924735</v>
      </c>
      <c r="Z53" s="57">
        <v>-0.36044366775537634</v>
      </c>
      <c r="AA53" s="57">
        <v>-0.32207683194305586</v>
      </c>
      <c r="AB53" s="57">
        <v>-0.42331143301881707</v>
      </c>
      <c r="AC53" s="57">
        <v>-0.41211466566666671</v>
      </c>
      <c r="AD53" s="57">
        <v>-0.33489178707273876</v>
      </c>
      <c r="AE53" s="57">
        <v>-0.37385335298118283</v>
      </c>
      <c r="AF53" s="57">
        <v>-0.35625927440860211</v>
      </c>
      <c r="AG53" s="57">
        <v>-0.31274149258080336</v>
      </c>
      <c r="AH53" s="57">
        <v>-0.42269872245285911</v>
      </c>
      <c r="AI53" s="57">
        <v>-0.40435525810343764</v>
      </c>
      <c r="AJ53" s="57">
        <v>-0.33894563775806458</v>
      </c>
      <c r="AK53" s="57">
        <v>-0.40369338594210635</v>
      </c>
      <c r="AL53" s="57">
        <v>-0.38419737583999669</v>
      </c>
      <c r="AM53" s="57">
        <v>-0.32951601140860221</v>
      </c>
      <c r="AN53" s="57">
        <v>-0.41768006886645798</v>
      </c>
      <c r="AO53" s="57">
        <v>-0.39043505400268824</v>
      </c>
      <c r="AP53" s="57">
        <v>-0.34683598321774189</v>
      </c>
      <c r="AQ53" s="57">
        <v>-0.38896855040053763</v>
      </c>
      <c r="AR53" s="57">
        <v>-0.36148649750268819</v>
      </c>
      <c r="AS53" s="57">
        <v>-0.32461374014247318</v>
      </c>
      <c r="AT53" s="57">
        <v>-0.40749146494892474</v>
      </c>
      <c r="AU53" s="57">
        <v>-0.39300585598118276</v>
      </c>
      <c r="AV53" s="57">
        <v>-0.32616885776515148</v>
      </c>
      <c r="AW53" s="57">
        <v>-0.35831026910454</v>
      </c>
      <c r="AX53" s="57">
        <v>-0.34099770121505374</v>
      </c>
      <c r="AY53" s="57">
        <v>-0.31226361130009761</v>
      </c>
      <c r="AZ53" s="57">
        <v>-0.38426660175268812</v>
      </c>
      <c r="BA53" s="57">
        <v>-0.36889846618817207</v>
      </c>
      <c r="BB53" s="57">
        <v>-0.32471179529887584</v>
      </c>
      <c r="BC53" s="57">
        <v>-0.3764735529650538</v>
      </c>
      <c r="BD53" s="57">
        <v>-0.35659338068279567</v>
      </c>
      <c r="BE53" s="57">
        <v>-0.31421254478543503</v>
      </c>
      <c r="BF53" s="57">
        <v>-0.42566381040322587</v>
      </c>
      <c r="BG53" s="57">
        <v>-0.40893130900806451</v>
      </c>
      <c r="BH53" s="57">
        <v>-0.33987877123693971</v>
      </c>
      <c r="BI53" s="57">
        <v>-0.40346129037634404</v>
      </c>
      <c r="BJ53" s="57">
        <v>-0.3777633560215054</v>
      </c>
      <c r="BK53" s="57">
        <v>-0.3286468179627462</v>
      </c>
      <c r="BL53" s="57">
        <v>-0.40012191788978502</v>
      </c>
      <c r="BM53" s="57">
        <v>-0.37758979744598054</v>
      </c>
      <c r="BN53" s="57">
        <v>-0.35504932938772504</v>
      </c>
      <c r="BO53" s="57">
        <v>-0.39354855911827957</v>
      </c>
      <c r="BP53" s="57">
        <v>-0.37043569769086021</v>
      </c>
      <c r="BQ53" s="57">
        <v>-0.33776927048924726</v>
      </c>
      <c r="BR53" s="57">
        <v>-0.42461818219892478</v>
      </c>
      <c r="BS53" s="57">
        <v>-0.39598531342204307</v>
      </c>
      <c r="BT53" s="57">
        <v>-0.36484222218817208</v>
      </c>
      <c r="BU53" s="57">
        <v>-0.42619103909408601</v>
      </c>
      <c r="BV53" s="57">
        <v>-0.38797729238440859</v>
      </c>
      <c r="BW53" s="57">
        <v>-0.35301571917473124</v>
      </c>
    </row>
    <row r="54" spans="1:75" x14ac:dyDescent="0.3">
      <c r="A54" s="8" t="s">
        <v>102</v>
      </c>
      <c r="B54" s="8" t="s">
        <v>10</v>
      </c>
      <c r="C54" s="8" t="s">
        <v>115</v>
      </c>
      <c r="D54" s="57">
        <v>-0.10628349181541215</v>
      </c>
      <c r="E54" s="57">
        <v>-0.1015205717706093</v>
      </c>
      <c r="F54" s="57">
        <v>-0.11363069122401434</v>
      </c>
      <c r="G54" s="57">
        <v>-9.573450904480281E-2</v>
      </c>
      <c r="H54" s="57">
        <v>-9.6902447958781349E-2</v>
      </c>
      <c r="I54" s="57">
        <v>-0.10761681797968936</v>
      </c>
      <c r="J54" s="57">
        <v>-9.6570289863799327E-2</v>
      </c>
      <c r="K54" s="57">
        <v>-0.10198447891099167</v>
      </c>
      <c r="L54" s="57">
        <v>-0.11243416473655914</v>
      </c>
      <c r="M54" s="57">
        <v>-7.7469162378136183E-2</v>
      </c>
      <c r="N54" s="57">
        <v>-8.7578106308243711E-2</v>
      </c>
      <c r="O54" s="57">
        <v>-0.10693044343727598</v>
      </c>
      <c r="P54" s="57">
        <v>-8.6919084863799262E-2</v>
      </c>
      <c r="Q54" s="57">
        <v>-9.6942965008960574E-2</v>
      </c>
      <c r="R54" s="57">
        <v>-0.10433323959139783</v>
      </c>
      <c r="S54" s="57">
        <v>-8.0699799964157687E-2</v>
      </c>
      <c r="T54" s="57">
        <v>-9.1556150410394249E-2</v>
      </c>
      <c r="U54" s="57">
        <v>-0.11062382630824372</v>
      </c>
      <c r="V54" s="57">
        <v>-7.9745081146953389E-2</v>
      </c>
      <c r="W54" s="57">
        <v>-9.2975781082437314E-2</v>
      </c>
      <c r="X54" s="57">
        <v>-0.11049679087641909</v>
      </c>
      <c r="Y54" s="57">
        <v>-8.4182768173835118E-2</v>
      </c>
      <c r="Z54" s="57">
        <v>-9.6717588163082416E-2</v>
      </c>
      <c r="AA54" s="57">
        <v>-0.1048927255807202</v>
      </c>
      <c r="AB54" s="57">
        <v>-8.9592264654121748E-2</v>
      </c>
      <c r="AC54" s="57">
        <v>-0.10256800955555555</v>
      </c>
      <c r="AD54" s="57">
        <v>-0.10093716469660552</v>
      </c>
      <c r="AE54" s="57">
        <v>-8.95176913458781E-2</v>
      </c>
      <c r="AF54" s="57">
        <v>-9.8951683727598536E-2</v>
      </c>
      <c r="AG54" s="57">
        <v>-9.8690221024562486E-2</v>
      </c>
      <c r="AH54" s="57">
        <v>-9.6429306309068583E-2</v>
      </c>
      <c r="AI54" s="57">
        <v>-0.10183821302195069</v>
      </c>
      <c r="AJ54" s="57">
        <v>-9.6104014827956954E-2</v>
      </c>
      <c r="AK54" s="57">
        <v>-0.10369805064957036</v>
      </c>
      <c r="AL54" s="57">
        <v>-0.11026585453091126</v>
      </c>
      <c r="AM54" s="57">
        <v>-0.1006114857275985</v>
      </c>
      <c r="AN54" s="57">
        <v>-0.10642225408902801</v>
      </c>
      <c r="AO54" s="57">
        <v>-0.10980169066487458</v>
      </c>
      <c r="AP54" s="57">
        <v>-9.1605324521505355E-2</v>
      </c>
      <c r="AQ54" s="57">
        <v>-8.1487826399641569E-2</v>
      </c>
      <c r="AR54" s="57">
        <v>-7.8437008331541255E-2</v>
      </c>
      <c r="AS54" s="57">
        <v>-8.8912793238351204E-2</v>
      </c>
      <c r="AT54" s="57">
        <v>-7.1598230034050178E-2</v>
      </c>
      <c r="AU54" s="57">
        <v>-7.9332262679211452E-2</v>
      </c>
      <c r="AV54" s="57">
        <v>-8.5425528156565761E-2</v>
      </c>
      <c r="AW54" s="57">
        <v>-7.183211837475105E-2</v>
      </c>
      <c r="AX54" s="57">
        <v>-8.0076812523297472E-2</v>
      </c>
      <c r="AY54" s="57">
        <v>-9.6127459133268242E-2</v>
      </c>
      <c r="AZ54" s="57">
        <v>-8.863754549820789E-2</v>
      </c>
      <c r="BA54" s="57">
        <v>-9.6842769207885288E-2</v>
      </c>
      <c r="BB54" s="57">
        <v>-9.1622459497719119E-2</v>
      </c>
      <c r="BC54" s="57">
        <v>-8.8763384689964128E-2</v>
      </c>
      <c r="BD54" s="57">
        <v>-9.9681039544802855E-2</v>
      </c>
      <c r="BE54" s="57">
        <v>-0.10114248650667967</v>
      </c>
      <c r="BF54" s="57">
        <v>-9.9096593064516111E-2</v>
      </c>
      <c r="BG54" s="57">
        <v>-0.10803026732795697</v>
      </c>
      <c r="BH54" s="57">
        <v>-0.115725109204872</v>
      </c>
      <c r="BI54" s="57">
        <v>-0.10955527308243725</v>
      </c>
      <c r="BJ54" s="57">
        <v>-0.11475536265232975</v>
      </c>
      <c r="BK54" s="57">
        <v>-0.11312269138766769</v>
      </c>
      <c r="BL54" s="57">
        <v>-7.9725754740143318E-2</v>
      </c>
      <c r="BM54" s="57">
        <v>-9.1981788369346298E-2</v>
      </c>
      <c r="BN54" s="57">
        <v>-0.10057035374151657</v>
      </c>
      <c r="BO54" s="57">
        <v>-7.9042507254480282E-2</v>
      </c>
      <c r="BP54" s="57">
        <v>-9.1844608206093178E-2</v>
      </c>
      <c r="BQ54" s="57">
        <v>-0.11005423300716846</v>
      </c>
      <c r="BR54" s="57">
        <v>-0.10361013186738345</v>
      </c>
      <c r="BS54" s="57">
        <v>-9.6350811051971297E-2</v>
      </c>
      <c r="BT54" s="57">
        <v>-0.11043407854121864</v>
      </c>
      <c r="BU54" s="57">
        <v>-9.7218660603942603E-2</v>
      </c>
      <c r="BV54" s="57">
        <v>-9.6339185077060935E-2</v>
      </c>
      <c r="BW54" s="57">
        <v>-0.11566480721684587</v>
      </c>
    </row>
    <row r="55" spans="1:75" x14ac:dyDescent="0.3">
      <c r="A55" s="8" t="s">
        <v>102</v>
      </c>
      <c r="B55" s="8" t="s">
        <v>10</v>
      </c>
      <c r="C55" s="8" t="s">
        <v>116</v>
      </c>
      <c r="D55" s="57">
        <v>-0.3373976088846326</v>
      </c>
      <c r="E55" s="57">
        <v>-0.30759914135663075</v>
      </c>
      <c r="F55" s="57">
        <v>-0.26539794351500895</v>
      </c>
      <c r="G55" s="57">
        <v>-0.29493808165300178</v>
      </c>
      <c r="H55" s="57">
        <v>-0.26505178047423844</v>
      </c>
      <c r="I55" s="57">
        <v>-0.23950611423730608</v>
      </c>
      <c r="J55" s="57">
        <v>-0.31394519816487471</v>
      </c>
      <c r="K55" s="57">
        <v>-0.29957491481936982</v>
      </c>
      <c r="L55" s="57">
        <v>-0.25955062446034943</v>
      </c>
      <c r="M55" s="57">
        <v>-0.2679749199863351</v>
      </c>
      <c r="N55" s="57">
        <v>-0.25562987644265228</v>
      </c>
      <c r="O55" s="57">
        <v>-0.24053780614829751</v>
      </c>
      <c r="P55" s="57">
        <v>-0.29724378503987453</v>
      </c>
      <c r="Q55" s="57">
        <v>-0.28720534063060033</v>
      </c>
      <c r="R55" s="57">
        <v>-0.24784366074462355</v>
      </c>
      <c r="S55" s="57">
        <v>-0.2640296649775985</v>
      </c>
      <c r="T55" s="57">
        <v>-0.25077188850649629</v>
      </c>
      <c r="U55" s="57">
        <v>-0.23923653144265217</v>
      </c>
      <c r="V55" s="57">
        <v>-0.2824306157168458</v>
      </c>
      <c r="W55" s="57">
        <v>-0.27662032017652327</v>
      </c>
      <c r="X55" s="57">
        <v>-0.24236095884488235</v>
      </c>
      <c r="Y55" s="57">
        <v>-0.2562025206086469</v>
      </c>
      <c r="Z55" s="57">
        <v>-0.2444687401019264</v>
      </c>
      <c r="AA55" s="57">
        <v>-0.22555792553507059</v>
      </c>
      <c r="AB55" s="57">
        <v>-0.29127076390882595</v>
      </c>
      <c r="AC55" s="57">
        <v>-0.28590695197222221</v>
      </c>
      <c r="AD55" s="57">
        <v>-0.2321947100530255</v>
      </c>
      <c r="AE55" s="57">
        <v>-0.25288751259117376</v>
      </c>
      <c r="AF55" s="57">
        <v>-0.24174046232974905</v>
      </c>
      <c r="AG55" s="57">
        <v>-0.21643725575799858</v>
      </c>
      <c r="AH55" s="57">
        <v>-0.31428315873063711</v>
      </c>
      <c r="AI55" s="57">
        <v>-0.29797344978417367</v>
      </c>
      <c r="AJ55" s="57">
        <v>-0.23713982626747312</v>
      </c>
      <c r="AK55" s="57">
        <v>-0.27872013494345071</v>
      </c>
      <c r="AL55" s="57">
        <v>-0.26603444672727405</v>
      </c>
      <c r="AM55" s="57">
        <v>-0.22674831657974917</v>
      </c>
      <c r="AN55" s="57">
        <v>-0.32597548630564238</v>
      </c>
      <c r="AO55" s="57">
        <v>-0.30703696716554668</v>
      </c>
      <c r="AP55" s="57">
        <v>-0.2399825793259408</v>
      </c>
      <c r="AQ55" s="57">
        <v>-0.26306732699977592</v>
      </c>
      <c r="AR55" s="57">
        <v>-0.2410418397072133</v>
      </c>
      <c r="AS55" s="57">
        <v>-0.22028199927396952</v>
      </c>
      <c r="AT55" s="57">
        <v>-0.27514450327128143</v>
      </c>
      <c r="AU55" s="57">
        <v>-0.26569970167450724</v>
      </c>
      <c r="AV55" s="57">
        <v>-0.22080894759785352</v>
      </c>
      <c r="AW55" s="57">
        <v>-0.24177238498421938</v>
      </c>
      <c r="AX55" s="57">
        <v>-0.23025296182706079</v>
      </c>
      <c r="AY55" s="57">
        <v>-0.21722692195829263</v>
      </c>
      <c r="AZ55" s="57">
        <v>-0.29734791993637982</v>
      </c>
      <c r="BA55" s="57">
        <v>-0.28732769975492817</v>
      </c>
      <c r="BB55" s="57">
        <v>-0.23219896386789263</v>
      </c>
      <c r="BC55" s="57">
        <v>-0.2597853339312276</v>
      </c>
      <c r="BD55" s="57">
        <v>-0.24926560271550174</v>
      </c>
      <c r="BE55" s="57">
        <v>-0.22373093124849294</v>
      </c>
      <c r="BF55" s="57">
        <v>-0.30652343566532259</v>
      </c>
      <c r="BG55" s="57">
        <v>-0.29561363157997306</v>
      </c>
      <c r="BH55" s="57">
        <v>-0.24758745450968214</v>
      </c>
      <c r="BI55" s="57">
        <v>-0.28081333567652328</v>
      </c>
      <c r="BJ55" s="57">
        <v>-0.26208368165770612</v>
      </c>
      <c r="BK55" s="57">
        <v>-0.23390734237392946</v>
      </c>
      <c r="BL55" s="57">
        <v>-0.3040918192125896</v>
      </c>
      <c r="BM55" s="57">
        <v>-0.29121889373084142</v>
      </c>
      <c r="BN55" s="57">
        <v>-0.24878152808844789</v>
      </c>
      <c r="BO55" s="57">
        <v>-0.2660535510340501</v>
      </c>
      <c r="BP55" s="57">
        <v>-0.25470179962880818</v>
      </c>
      <c r="BQ55" s="57">
        <v>-0.23959046462948028</v>
      </c>
      <c r="BR55" s="57">
        <v>-0.33768156341711464</v>
      </c>
      <c r="BS55" s="57">
        <v>-0.30547293040748208</v>
      </c>
      <c r="BT55" s="57">
        <v>-0.26468493208826172</v>
      </c>
      <c r="BU55" s="57">
        <v>-0.29401586137746416</v>
      </c>
      <c r="BV55" s="57">
        <v>-0.26573963717316307</v>
      </c>
      <c r="BW55" s="57">
        <v>-0.24825110801052871</v>
      </c>
    </row>
    <row r="56" spans="1:75" x14ac:dyDescent="0.3">
      <c r="A56" s="8" t="s">
        <v>102</v>
      </c>
      <c r="B56" s="8" t="s">
        <v>10</v>
      </c>
      <c r="C56" s="8" t="s">
        <v>117</v>
      </c>
      <c r="D56" s="57">
        <v>-0.31311980693077962</v>
      </c>
      <c r="E56" s="57">
        <v>-0.2840635744139785</v>
      </c>
      <c r="F56" s="57">
        <v>-0.24587303170900543</v>
      </c>
      <c r="G56" s="57">
        <v>-0.27836954339180103</v>
      </c>
      <c r="H56" s="57">
        <v>-0.24827937548454307</v>
      </c>
      <c r="I56" s="57">
        <v>-0.22160855174238364</v>
      </c>
      <c r="J56" s="57">
        <v>-0.29105636369892479</v>
      </c>
      <c r="K56" s="57">
        <v>-0.27709911209162191</v>
      </c>
      <c r="L56" s="57">
        <v>-0.2410459842762093</v>
      </c>
      <c r="M56" s="57">
        <v>-0.25110223839180112</v>
      </c>
      <c r="N56" s="57">
        <v>-0.23886918986559144</v>
      </c>
      <c r="O56" s="57">
        <v>-0.22278370128897831</v>
      </c>
      <c r="P56" s="57">
        <v>-0.2747048118239247</v>
      </c>
      <c r="Q56" s="57">
        <v>-0.2644659243783602</v>
      </c>
      <c r="R56" s="57">
        <v>-0.22947615484677406</v>
      </c>
      <c r="S56" s="57">
        <v>-0.24719277498655914</v>
      </c>
      <c r="T56" s="57">
        <v>-0.23405527390389788</v>
      </c>
      <c r="U56" s="57">
        <v>-0.22106953486559136</v>
      </c>
      <c r="V56" s="57">
        <v>-0.2659735054301075</v>
      </c>
      <c r="W56" s="57">
        <v>-0.259766972905914</v>
      </c>
      <c r="X56" s="57">
        <v>-0.22432948415719117</v>
      </c>
      <c r="Y56" s="57">
        <v>-0.23990959556518821</v>
      </c>
      <c r="Z56" s="57">
        <v>-0.2278093080611559</v>
      </c>
      <c r="AA56" s="57">
        <v>-0.2075950721713041</v>
      </c>
      <c r="AB56" s="57">
        <v>-0.27437257674529558</v>
      </c>
      <c r="AC56" s="57">
        <v>-0.26904379358333336</v>
      </c>
      <c r="AD56" s="57">
        <v>-0.21456278029063855</v>
      </c>
      <c r="AE56" s="57">
        <v>-0.23620116675470434</v>
      </c>
      <c r="AF56" s="57">
        <v>-0.22510578139784948</v>
      </c>
      <c r="AG56" s="57">
        <v>-0.1985691589136224</v>
      </c>
      <c r="AH56" s="57">
        <v>-0.29375786034501616</v>
      </c>
      <c r="AI56" s="57">
        <v>-0.27809887429232244</v>
      </c>
      <c r="AJ56" s="57">
        <v>-0.21898906056048398</v>
      </c>
      <c r="AK56" s="57">
        <v>-0.26204920447270436</v>
      </c>
      <c r="AL56" s="57">
        <v>-0.24931445485818263</v>
      </c>
      <c r="AM56" s="57">
        <v>-0.20933857714784945</v>
      </c>
      <c r="AN56" s="57">
        <v>-0.30329050778338551</v>
      </c>
      <c r="AO56" s="57">
        <v>-0.28424359149932793</v>
      </c>
      <c r="AP56" s="57">
        <v>-0.22215686919556449</v>
      </c>
      <c r="AQ56" s="57">
        <v>-0.24623916739986559</v>
      </c>
      <c r="AR56" s="57">
        <v>-0.22432222062432802</v>
      </c>
      <c r="AS56" s="57">
        <v>-0.2028497499643816</v>
      </c>
      <c r="AT56" s="57">
        <v>-0.25820677876276876</v>
      </c>
      <c r="AU56" s="57">
        <v>-0.24884766100470432</v>
      </c>
      <c r="AV56" s="57">
        <v>-0.2033379605587122</v>
      </c>
      <c r="AW56" s="57">
        <v>-0.22425877605719832</v>
      </c>
      <c r="AX56" s="57">
        <v>-0.2128387146962365</v>
      </c>
      <c r="AY56" s="57">
        <v>-0.1990606971749756</v>
      </c>
      <c r="AZ56" s="57">
        <v>-0.274516489561828</v>
      </c>
      <c r="BA56" s="57">
        <v>-0.26458717345295701</v>
      </c>
      <c r="BB56" s="57">
        <v>-0.21290571344800829</v>
      </c>
      <c r="BC56" s="57">
        <v>-0.24224544675873655</v>
      </c>
      <c r="BD56" s="57">
        <v>-0.23144888482930112</v>
      </c>
      <c r="BE56" s="57">
        <v>-0.20493328107636852</v>
      </c>
      <c r="BF56" s="57">
        <v>-0.28777319739919355</v>
      </c>
      <c r="BG56" s="57">
        <v>-0.27696236774798388</v>
      </c>
      <c r="BH56" s="57">
        <v>-0.22862960471288896</v>
      </c>
      <c r="BI56" s="57">
        <v>-0.26400857740591399</v>
      </c>
      <c r="BJ56" s="57">
        <v>-0.24540496099462358</v>
      </c>
      <c r="BK56" s="57">
        <v>-0.21571708303143727</v>
      </c>
      <c r="BL56" s="57">
        <v>-0.28174699552755378</v>
      </c>
      <c r="BM56" s="57">
        <v>-0.26871371063850485</v>
      </c>
      <c r="BN56" s="57">
        <v>-0.23088953765306872</v>
      </c>
      <c r="BO56" s="57">
        <v>-0.24919830022043007</v>
      </c>
      <c r="BP56" s="57">
        <v>-0.23738282057728488</v>
      </c>
      <c r="BQ56" s="57">
        <v>-0.22146547237768802</v>
      </c>
      <c r="BR56" s="57">
        <v>-0.3137956644502688</v>
      </c>
      <c r="BS56" s="57">
        <v>-0.28307355664448919</v>
      </c>
      <c r="BT56" s="57">
        <v>-0.24577747445295706</v>
      </c>
      <c r="BU56" s="57">
        <v>-0.2773378752264784</v>
      </c>
      <c r="BV56" s="57">
        <v>-0.24896099190389784</v>
      </c>
      <c r="BW56" s="57">
        <v>-0.23082225520631713</v>
      </c>
    </row>
    <row r="57" spans="1:75" x14ac:dyDescent="0.3">
      <c r="A57" s="8" t="s">
        <v>102</v>
      </c>
      <c r="B57" s="8" t="s">
        <v>10</v>
      </c>
      <c r="C57" s="8" t="s">
        <v>118</v>
      </c>
      <c r="D57" s="57">
        <v>-0.34524783453461022</v>
      </c>
      <c r="E57" s="57">
        <v>-0.31524674079301074</v>
      </c>
      <c r="F57" s="57">
        <v>-0.28004744214549737</v>
      </c>
      <c r="G57" s="57">
        <v>-0.32349597030409949</v>
      </c>
      <c r="H57" s="57">
        <v>-0.28987225825772844</v>
      </c>
      <c r="I57" s="57">
        <v>-0.25721260012880853</v>
      </c>
      <c r="J57" s="57">
        <v>-0.3247273021505378</v>
      </c>
      <c r="K57" s="57">
        <v>-0.30965896995418907</v>
      </c>
      <c r="L57" s="57">
        <v>-0.27689788586189512</v>
      </c>
      <c r="M57" s="57">
        <v>-0.29472018280409945</v>
      </c>
      <c r="N57" s="57">
        <v>-0.28047692506720434</v>
      </c>
      <c r="O57" s="57">
        <v>-0.25886081735551075</v>
      </c>
      <c r="P57" s="57">
        <v>-0.30840543808803766</v>
      </c>
      <c r="Q57" s="57">
        <v>-0.29573938781081982</v>
      </c>
      <c r="R57" s="57">
        <v>-0.26525543457661277</v>
      </c>
      <c r="S57" s="57">
        <v>-0.29016829250672044</v>
      </c>
      <c r="T57" s="57">
        <v>-0.27487195704805117</v>
      </c>
      <c r="U57" s="57">
        <v>-0.2557801125672044</v>
      </c>
      <c r="V57" s="57">
        <v>-0.31168212728494621</v>
      </c>
      <c r="W57" s="57">
        <v>-0.30273939754704304</v>
      </c>
      <c r="X57" s="57">
        <v>-0.25964980410988603</v>
      </c>
      <c r="Y57" s="57">
        <v>-0.28289642821740585</v>
      </c>
      <c r="Z57" s="57">
        <v>-0.267599615969422</v>
      </c>
      <c r="AA57" s="57">
        <v>-0.24193960010282967</v>
      </c>
      <c r="AB57" s="57">
        <v>-0.31905423362735208</v>
      </c>
      <c r="AC57" s="57">
        <v>-0.31196505520833334</v>
      </c>
      <c r="AD57" s="57">
        <v>-0.25066148232526886</v>
      </c>
      <c r="AE57" s="57">
        <v>-0.27749682262264791</v>
      </c>
      <c r="AF57" s="57">
        <v>-0.26445182930107525</v>
      </c>
      <c r="AG57" s="57">
        <v>-0.23282085901377678</v>
      </c>
      <c r="AH57" s="57">
        <v>-0.33244011897736919</v>
      </c>
      <c r="AI57" s="57">
        <v>-0.31597578943565702</v>
      </c>
      <c r="AJ57" s="57">
        <v>-0.25497603371975819</v>
      </c>
      <c r="AK57" s="57">
        <v>-0.30454245891352499</v>
      </c>
      <c r="AL57" s="57">
        <v>-0.28977933115272692</v>
      </c>
      <c r="AM57" s="57">
        <v>-0.24539180742607541</v>
      </c>
      <c r="AN57" s="57">
        <v>-0.33760737610830721</v>
      </c>
      <c r="AO57" s="57">
        <v>-0.31610103025033609</v>
      </c>
      <c r="AP57" s="57">
        <v>-0.2595606034022177</v>
      </c>
      <c r="AQ57" s="57">
        <v>-0.28905798230006718</v>
      </c>
      <c r="AR57" s="57">
        <v>-0.26547150368783606</v>
      </c>
      <c r="AS57" s="57">
        <v>-0.23937894701780907</v>
      </c>
      <c r="AT57" s="57">
        <v>-0.30299218461861555</v>
      </c>
      <c r="AU57" s="57">
        <v>-0.29209511949764788</v>
      </c>
      <c r="AV57" s="57">
        <v>-0.24018722972064399</v>
      </c>
      <c r="AW57" s="57">
        <v>-0.26447422397140086</v>
      </c>
      <c r="AX57" s="57">
        <v>-0.2512864106518819</v>
      </c>
      <c r="AY57" s="57">
        <v>-0.23302157141251215</v>
      </c>
      <c r="AZ57" s="57">
        <v>-0.30744152321908608</v>
      </c>
      <c r="BA57" s="57">
        <v>-0.29588056127352153</v>
      </c>
      <c r="BB57" s="57">
        <v>-0.24644753800326857</v>
      </c>
      <c r="BC57" s="57">
        <v>-0.28251387862063171</v>
      </c>
      <c r="BD57" s="57">
        <v>-0.26899223358534946</v>
      </c>
      <c r="BE57" s="57">
        <v>-0.2377170601890885</v>
      </c>
      <c r="BF57" s="57">
        <v>-0.32914038130040318</v>
      </c>
      <c r="BG57" s="57">
        <v>-0.31655305012600798</v>
      </c>
      <c r="BH57" s="57">
        <v>-0.26200435467010419</v>
      </c>
      <c r="BI57" s="57">
        <v>-0.30584439129704299</v>
      </c>
      <c r="BJ57" s="57">
        <v>-0.28511247950268814</v>
      </c>
      <c r="BK57" s="57">
        <v>-0.24959600351083003</v>
      </c>
      <c r="BL57" s="57">
        <v>-0.31725947223622314</v>
      </c>
      <c r="BM57" s="57">
        <v>-0.30137653668074754</v>
      </c>
      <c r="BN57" s="57">
        <v>-0.26813747517346559</v>
      </c>
      <c r="BO57" s="57">
        <v>-0.29250337788978503</v>
      </c>
      <c r="BP57" s="57">
        <v>-0.27729868371135752</v>
      </c>
      <c r="BQ57" s="57">
        <v>-0.25635661181115604</v>
      </c>
      <c r="BR57" s="57">
        <v>-0.34704241977486566</v>
      </c>
      <c r="BS57" s="57">
        <v>-0.31694708367775548</v>
      </c>
      <c r="BT57" s="57">
        <v>-0.28149689877352146</v>
      </c>
      <c r="BU57" s="57">
        <v>-0.32199382438676077</v>
      </c>
      <c r="BV57" s="57">
        <v>-0.29066588204805105</v>
      </c>
      <c r="BW57" s="57">
        <v>-0.26748029439684151</v>
      </c>
    </row>
    <row r="58" spans="1:75" x14ac:dyDescent="0.3">
      <c r="A58" s="8" t="s">
        <v>103</v>
      </c>
      <c r="B58" s="8" t="s">
        <v>8</v>
      </c>
      <c r="C58" s="8" t="s">
        <v>108</v>
      </c>
      <c r="D58" s="57">
        <v>0</v>
      </c>
      <c r="E58" s="57">
        <v>0</v>
      </c>
      <c r="F58" s="57">
        <v>0</v>
      </c>
      <c r="G58" s="57">
        <v>0</v>
      </c>
      <c r="H58" s="57">
        <v>0</v>
      </c>
      <c r="I58" s="57">
        <v>0</v>
      </c>
      <c r="J58" s="57">
        <v>0</v>
      </c>
      <c r="K58" s="57">
        <v>0</v>
      </c>
      <c r="L58" s="57">
        <v>0</v>
      </c>
      <c r="M58" s="57">
        <v>0</v>
      </c>
      <c r="N58" s="57">
        <v>0</v>
      </c>
      <c r="O58" s="57">
        <v>0</v>
      </c>
      <c r="P58" s="57">
        <v>0</v>
      </c>
      <c r="Q58" s="57">
        <v>0</v>
      </c>
      <c r="R58" s="57">
        <v>0</v>
      </c>
      <c r="S58" s="57">
        <v>0</v>
      </c>
      <c r="T58" s="57">
        <v>0</v>
      </c>
      <c r="U58" s="57">
        <v>0</v>
      </c>
      <c r="V58" s="57">
        <v>0</v>
      </c>
      <c r="W58" s="57">
        <v>0</v>
      </c>
      <c r="X58" s="57">
        <v>0</v>
      </c>
      <c r="Y58" s="57">
        <v>0</v>
      </c>
      <c r="Z58" s="57">
        <v>0</v>
      </c>
      <c r="AA58" s="57">
        <v>0</v>
      </c>
      <c r="AB58" s="57">
        <v>0</v>
      </c>
      <c r="AC58" s="57">
        <v>0</v>
      </c>
      <c r="AD58" s="57">
        <v>0</v>
      </c>
      <c r="AE58" s="57">
        <v>0</v>
      </c>
      <c r="AF58" s="57">
        <v>0</v>
      </c>
      <c r="AG58" s="57">
        <v>0</v>
      </c>
      <c r="AH58" s="57">
        <v>0</v>
      </c>
      <c r="AI58" s="57">
        <v>0</v>
      </c>
      <c r="AJ58" s="57">
        <v>0</v>
      </c>
      <c r="AK58" s="57">
        <v>0</v>
      </c>
      <c r="AL58" s="57">
        <v>0</v>
      </c>
      <c r="AM58" s="57">
        <v>0</v>
      </c>
      <c r="AN58" s="57">
        <v>0</v>
      </c>
      <c r="AO58" s="57">
        <v>0</v>
      </c>
      <c r="AP58" s="57">
        <v>0</v>
      </c>
      <c r="AQ58" s="57">
        <v>0</v>
      </c>
      <c r="AR58" s="57">
        <v>0</v>
      </c>
      <c r="AS58" s="57">
        <v>0</v>
      </c>
      <c r="AT58" s="57">
        <v>0</v>
      </c>
      <c r="AU58" s="57">
        <v>0</v>
      </c>
      <c r="AV58" s="57">
        <v>0</v>
      </c>
      <c r="AW58" s="57">
        <v>0</v>
      </c>
      <c r="AX58" s="57">
        <v>0</v>
      </c>
      <c r="AY58" s="57">
        <v>0</v>
      </c>
      <c r="AZ58" s="57">
        <v>0</v>
      </c>
      <c r="BA58" s="57">
        <v>0</v>
      </c>
      <c r="BB58" s="57">
        <v>0</v>
      </c>
      <c r="BC58" s="57">
        <v>0</v>
      </c>
      <c r="BD58" s="57">
        <v>0</v>
      </c>
      <c r="BE58" s="57">
        <v>0</v>
      </c>
      <c r="BF58" s="57">
        <v>0</v>
      </c>
      <c r="BG58" s="57">
        <v>0</v>
      </c>
      <c r="BH58" s="57">
        <v>0</v>
      </c>
      <c r="BI58" s="57">
        <v>0</v>
      </c>
      <c r="BJ58" s="57">
        <v>0</v>
      </c>
      <c r="BK58" s="57">
        <v>0</v>
      </c>
      <c r="BL58" s="57">
        <v>0</v>
      </c>
      <c r="BM58" s="57">
        <v>0</v>
      </c>
      <c r="BN58" s="57">
        <v>0</v>
      </c>
      <c r="BO58" s="57">
        <v>0</v>
      </c>
      <c r="BP58" s="57">
        <v>0</v>
      </c>
      <c r="BQ58" s="57">
        <v>0</v>
      </c>
      <c r="BR58" s="57">
        <v>0</v>
      </c>
      <c r="BS58" s="57">
        <v>0</v>
      </c>
      <c r="BT58" s="57">
        <v>0</v>
      </c>
      <c r="BU58" s="57">
        <v>0</v>
      </c>
      <c r="BV58" s="57">
        <v>0</v>
      </c>
      <c r="BW58" s="57">
        <v>0</v>
      </c>
    </row>
    <row r="59" spans="1:75" x14ac:dyDescent="0.3">
      <c r="A59" s="8" t="s">
        <v>103</v>
      </c>
      <c r="B59" s="8" t="s">
        <v>8</v>
      </c>
      <c r="C59" s="8" t="s">
        <v>109</v>
      </c>
      <c r="D59" s="57">
        <v>4.6701489261057529E-2</v>
      </c>
      <c r="E59" s="57">
        <v>-1.8199384040286756E-2</v>
      </c>
      <c r="F59" s="57">
        <v>-2.2470382503637892E-2</v>
      </c>
      <c r="G59" s="57">
        <v>4.588985819987481E-2</v>
      </c>
      <c r="H59" s="57">
        <v>4.9036491333153869E-3</v>
      </c>
      <c r="I59" s="57">
        <v>-2.0572652065101581E-2</v>
      </c>
      <c r="J59" s="57">
        <v>7.6164503959857844E-3</v>
      </c>
      <c r="K59" s="57">
        <v>-2.1800910985860244E-2</v>
      </c>
      <c r="L59" s="57">
        <v>-2.5169627131236563E-2</v>
      </c>
      <c r="M59" s="57">
        <v>1.1922192913853158E-2</v>
      </c>
      <c r="N59" s="57">
        <v>4.8964903347670308E-3</v>
      </c>
      <c r="O59" s="57">
        <v>-2.2547127101039566E-2</v>
      </c>
      <c r="P59" s="57">
        <v>4.4105694698240966E-2</v>
      </c>
      <c r="Q59" s="57">
        <v>6.7576172674730737E-3</v>
      </c>
      <c r="R59" s="57">
        <v>-2.4745075740591576E-2</v>
      </c>
      <c r="S59" s="57">
        <v>4.7824233081287512E-2</v>
      </c>
      <c r="T59" s="57">
        <v>1.472215056041218E-2</v>
      </c>
      <c r="U59" s="57">
        <v>-1.642456826295717E-2</v>
      </c>
      <c r="V59" s="57">
        <v>4.3222391840860255E-2</v>
      </c>
      <c r="W59" s="57">
        <v>9.2159402677726206E-3</v>
      </c>
      <c r="X59" s="57">
        <v>-2.7190996789193601E-2</v>
      </c>
      <c r="Y59" s="57">
        <v>7.8961966695161988E-3</v>
      </c>
      <c r="Z59" s="57">
        <v>-2.7933635473284747E-2</v>
      </c>
      <c r="AA59" s="57">
        <v>-2.7331665241612662E-2</v>
      </c>
      <c r="AB59" s="57">
        <v>-4.9095992775573416E-2</v>
      </c>
      <c r="AC59" s="57">
        <v>-6.6631735166523279E-2</v>
      </c>
      <c r="AD59" s="57">
        <v>-6.0415500267670147E-2</v>
      </c>
      <c r="AE59" s="57">
        <v>-2.0604997795179159E-2</v>
      </c>
      <c r="AF59" s="57">
        <v>-3.9183060824041861E-2</v>
      </c>
      <c r="AG59" s="57">
        <v>-4.1706940802275987E-2</v>
      </c>
      <c r="AH59" s="57">
        <v>2.7552915498745459E-2</v>
      </c>
      <c r="AI59" s="57">
        <v>8.2388356955047078E-4</v>
      </c>
      <c r="AJ59" s="57">
        <v>8.3632285685664373E-3</v>
      </c>
      <c r="AK59" s="57">
        <v>2.9831655352831579E-2</v>
      </c>
      <c r="AL59" s="57">
        <v>3.4529645538046563E-2</v>
      </c>
      <c r="AM59" s="57">
        <v>1.9463895728314775E-3</v>
      </c>
      <c r="AN59" s="57">
        <v>5.6029929131630803E-2</v>
      </c>
      <c r="AO59" s="57">
        <v>2.3372123654657948E-2</v>
      </c>
      <c r="AP59" s="57">
        <v>3.2876043903172031E-2</v>
      </c>
      <c r="AQ59" s="57">
        <v>-5.3323829896971327E-2</v>
      </c>
      <c r="AR59" s="57">
        <v>-3.5506709902670228E-2</v>
      </c>
      <c r="AS59" s="57">
        <v>-3.256687545209673E-2</v>
      </c>
      <c r="AT59" s="57">
        <v>3.0315447473135932E-2</v>
      </c>
      <c r="AU59" s="57">
        <v>5.4660223962444913E-3</v>
      </c>
      <c r="AV59" s="57">
        <v>-1.2437963233602146E-2</v>
      </c>
      <c r="AW59" s="57">
        <v>-1.8265438687849606E-2</v>
      </c>
      <c r="AX59" s="57">
        <v>-4.2992557783199929E-2</v>
      </c>
      <c r="AY59" s="57">
        <v>-2.7332533525448066E-2</v>
      </c>
      <c r="AZ59" s="57">
        <v>-3.784785967003574E-2</v>
      </c>
      <c r="BA59" s="57">
        <v>-6.9566174487777799E-2</v>
      </c>
      <c r="BB59" s="57">
        <v>-6.0518472336130724E-2</v>
      </c>
      <c r="BC59" s="57">
        <v>-0.11666211454223996</v>
      </c>
      <c r="BD59" s="57">
        <v>-0.12803884455792947</v>
      </c>
      <c r="BE59" s="57">
        <v>-9.2875340686507019E-2</v>
      </c>
      <c r="BF59" s="57">
        <v>4.6016764320250932E-2</v>
      </c>
      <c r="BG59" s="57">
        <v>1.1482533104498278E-2</v>
      </c>
      <c r="BH59" s="57">
        <v>-2.2320656677864006E-2</v>
      </c>
      <c r="BI59" s="57">
        <v>-2.1502420687813523E-2</v>
      </c>
      <c r="BJ59" s="57">
        <v>-5.9090123088888807E-2</v>
      </c>
      <c r="BK59" s="57">
        <v>-3.7724428184279797E-2</v>
      </c>
      <c r="BL59" s="57">
        <v>8.5996157859319858E-3</v>
      </c>
      <c r="BM59" s="57">
        <v>-4.2379284994574409E-3</v>
      </c>
      <c r="BN59" s="57">
        <v>-3.284426038627232E-2</v>
      </c>
      <c r="BO59" s="57">
        <v>5.1019070927455293E-2</v>
      </c>
      <c r="BP59" s="57">
        <v>2.2268406448445754E-2</v>
      </c>
      <c r="BQ59" s="57">
        <v>-1.1244288523620131E-2</v>
      </c>
      <c r="BR59" s="57">
        <v>1.909613896089617E-2</v>
      </c>
      <c r="BS59" s="57">
        <v>-1.2317120205837962E-2</v>
      </c>
      <c r="BT59" s="57">
        <v>-1.9780083194014201E-2</v>
      </c>
      <c r="BU59" s="57">
        <v>2.2285602705788683E-2</v>
      </c>
      <c r="BV59" s="57">
        <v>7.6428935147350666E-3</v>
      </c>
      <c r="BW59" s="57">
        <v>-2.9208849558672756E-2</v>
      </c>
    </row>
    <row r="60" spans="1:75" x14ac:dyDescent="0.3">
      <c r="A60" s="8" t="s">
        <v>103</v>
      </c>
      <c r="B60" s="8" t="s">
        <v>8</v>
      </c>
      <c r="C60" s="8" t="s">
        <v>110</v>
      </c>
      <c r="D60" s="57">
        <v>2.5943946840896154E-2</v>
      </c>
      <c r="E60" s="57">
        <v>-4.4631842214480327E-2</v>
      </c>
      <c r="F60" s="57">
        <v>-8.2160758851218499E-2</v>
      </c>
      <c r="G60" s="57">
        <v>-2.2904148638349942E-3</v>
      </c>
      <c r="H60" s="57">
        <v>-4.1244293590071701E-2</v>
      </c>
      <c r="I60" s="57">
        <v>-9.5628400555961751E-2</v>
      </c>
      <c r="J60" s="57">
        <v>1.6282835727622679E-4</v>
      </c>
      <c r="K60" s="57">
        <v>-5.6982852233440878E-2</v>
      </c>
      <c r="L60" s="57">
        <v>-9.0015976494946234E-2</v>
      </c>
      <c r="M60" s="57">
        <v>-1.5751512407920939E-2</v>
      </c>
      <c r="N60" s="57">
        <v>-4.1232226794265241E-2</v>
      </c>
      <c r="O60" s="57">
        <v>-9.7055042557491228E-2</v>
      </c>
      <c r="P60" s="57">
        <v>4.2832638206643292E-2</v>
      </c>
      <c r="Q60" s="57">
        <v>-1.8108906180107617E-2</v>
      </c>
      <c r="R60" s="57">
        <v>-9.1971354466961724E-2</v>
      </c>
      <c r="S60" s="57">
        <v>2.0585794265496338E-2</v>
      </c>
      <c r="T60" s="57">
        <v>-3.0923479401684592E-2</v>
      </c>
      <c r="U60" s="57">
        <v>-9.2392308276424098E-2</v>
      </c>
      <c r="V60" s="57">
        <v>2.5634294163440874E-2</v>
      </c>
      <c r="W60" s="57">
        <v>-2.6547730160337984E-2</v>
      </c>
      <c r="X60" s="57">
        <v>-0.1054898915867742</v>
      </c>
      <c r="Y60" s="57">
        <v>-4.8365271311935437E-2</v>
      </c>
      <c r="Z60" s="57">
        <v>-0.10745027068123403</v>
      </c>
      <c r="AA60" s="57">
        <v>-0.11401713294645148</v>
      </c>
      <c r="AB60" s="57">
        <v>-3.7691309798960487E-2</v>
      </c>
      <c r="AC60" s="57">
        <v>-6.9955479879426519E-2</v>
      </c>
      <c r="AD60" s="57">
        <v>-8.8084614777347608E-2</v>
      </c>
      <c r="AE60" s="57">
        <v>-2.1982269204050098E-2</v>
      </c>
      <c r="AF60" s="57">
        <v>-5.4823180198731704E-2</v>
      </c>
      <c r="AG60" s="57">
        <v>-7.5260137672437277E-2</v>
      </c>
      <c r="AH60" s="57">
        <v>2.221739236164863E-2</v>
      </c>
      <c r="AI60" s="57">
        <v>-3.2508766524178959E-2</v>
      </c>
      <c r="AJ60" s="57">
        <v>-5.0928287252401186E-2</v>
      </c>
      <c r="AK60" s="57">
        <v>-4.6179956020071002E-3</v>
      </c>
      <c r="AL60" s="57">
        <v>-1.2476724211146963E-2</v>
      </c>
      <c r="AM60" s="57">
        <v>-7.0420507082007255E-2</v>
      </c>
      <c r="AN60" s="57">
        <v>6.761858240985659E-2</v>
      </c>
      <c r="AO60" s="57">
        <v>4.5942489195407166E-3</v>
      </c>
      <c r="AP60" s="57">
        <v>-1.0819009557311805E-2</v>
      </c>
      <c r="AQ60" s="57">
        <v>-5.9387098144551981E-2</v>
      </c>
      <c r="AR60" s="57">
        <v>-4.0211892187347678E-2</v>
      </c>
      <c r="AS60" s="57">
        <v>-5.3611152338387022E-2</v>
      </c>
      <c r="AT60" s="57">
        <v>1.9295923615877772E-2</v>
      </c>
      <c r="AU60" s="57">
        <v>-2.9616989558226149E-2</v>
      </c>
      <c r="AV60" s="57">
        <v>-8.5923452584408588E-2</v>
      </c>
      <c r="AW60" s="57">
        <v>-7.3274587731397958E-2</v>
      </c>
      <c r="AX60" s="57">
        <v>-0.12362571001267053</v>
      </c>
      <c r="AY60" s="57">
        <v>-0.11629596823512546</v>
      </c>
      <c r="AZ60" s="57">
        <v>-8.0205726668098887E-3</v>
      </c>
      <c r="BA60" s="57">
        <v>-6.6584875637777818E-2</v>
      </c>
      <c r="BB60" s="57">
        <v>-8.5065275068462093E-2</v>
      </c>
      <c r="BC60" s="57">
        <v>-0.15354223506562698</v>
      </c>
      <c r="BD60" s="57">
        <v>-0.17513663859996634</v>
      </c>
      <c r="BE60" s="57">
        <v>-0.14480859535996743</v>
      </c>
      <c r="BF60" s="57">
        <v>4.7200281247670325E-2</v>
      </c>
      <c r="BG60" s="57">
        <v>-1.6563294825340386E-2</v>
      </c>
      <c r="BH60" s="57">
        <v>-9.3124434058594829E-2</v>
      </c>
      <c r="BI60" s="57">
        <v>-7.7466304284587645E-2</v>
      </c>
      <c r="BJ60" s="57">
        <v>-0.14884632608888879</v>
      </c>
      <c r="BK60" s="57">
        <v>-0.12434322803759129</v>
      </c>
      <c r="BL60" s="57">
        <v>5.4633499270610938E-3</v>
      </c>
      <c r="BM60" s="57">
        <v>-3.1837186788057123E-2</v>
      </c>
      <c r="BN60" s="57">
        <v>-0.10131495827175616</v>
      </c>
      <c r="BO60" s="57">
        <v>3.4502185656487661E-2</v>
      </c>
      <c r="BP60" s="57">
        <v>-1.7030362726444249E-2</v>
      </c>
      <c r="BQ60" s="57">
        <v>-8.4620846447813675E-2</v>
      </c>
      <c r="BR60" s="57">
        <v>2.8537197530251079E-2</v>
      </c>
      <c r="BS60" s="57">
        <v>-3.5503560648536991E-2</v>
      </c>
      <c r="BT60" s="57">
        <v>-7.7193423582723783E-2</v>
      </c>
      <c r="BU60" s="57">
        <v>3.3833588598211062E-3</v>
      </c>
      <c r="BV60" s="57">
        <v>-3.6112489592045827E-2</v>
      </c>
      <c r="BW60" s="57">
        <v>-0.10738638328169774</v>
      </c>
    </row>
    <row r="61" spans="1:75" x14ac:dyDescent="0.3">
      <c r="A61" s="8" t="s">
        <v>103</v>
      </c>
      <c r="B61" s="8" t="s">
        <v>8</v>
      </c>
      <c r="C61" s="8" t="s">
        <v>111</v>
      </c>
      <c r="D61" s="57">
        <v>-0.11374788073190861</v>
      </c>
      <c r="E61" s="57">
        <v>-0.11949584028795703</v>
      </c>
      <c r="F61" s="57">
        <v>-0.1446131789397043</v>
      </c>
      <c r="G61" s="57">
        <v>-0.16737589542723116</v>
      </c>
      <c r="H61" s="57">
        <v>-0.15858935914674735</v>
      </c>
      <c r="I61" s="57">
        <v>-0.15339051888406813</v>
      </c>
      <c r="J61" s="57">
        <v>-0.12026191967139784</v>
      </c>
      <c r="K61" s="57">
        <v>-0.12406842301637097</v>
      </c>
      <c r="L61" s="57">
        <v>-0.15087625803056451</v>
      </c>
      <c r="M61" s="57">
        <v>-0.16716070001432792</v>
      </c>
      <c r="N61" s="57">
        <v>-0.15854016976021507</v>
      </c>
      <c r="O61" s="57">
        <v>-0.1552331402613441</v>
      </c>
      <c r="P61" s="57">
        <v>-0.14770055850423616</v>
      </c>
      <c r="Q61" s="57">
        <v>-0.15379947279637099</v>
      </c>
      <c r="R61" s="57">
        <v>-0.15404549685156171</v>
      </c>
      <c r="S61" s="57">
        <v>-0.14688913072719317</v>
      </c>
      <c r="T61" s="57">
        <v>-0.14898448576481188</v>
      </c>
      <c r="U61" s="57">
        <v>-0.14967685664220692</v>
      </c>
      <c r="V61" s="57">
        <v>-0.13953046911612904</v>
      </c>
      <c r="W61" s="57">
        <v>-0.15369176425788017</v>
      </c>
      <c r="X61" s="57">
        <v>-0.14858576341137095</v>
      </c>
      <c r="Y61" s="57">
        <v>-0.1405599169671774</v>
      </c>
      <c r="Z61" s="57">
        <v>-0.15274281720597149</v>
      </c>
      <c r="AA61" s="57">
        <v>-0.14203651554725802</v>
      </c>
      <c r="AB61" s="57">
        <v>-0.10729216688341393</v>
      </c>
      <c r="AC61" s="57">
        <v>-0.10675788667602151</v>
      </c>
      <c r="AD61" s="57">
        <v>-0.12964675261784944</v>
      </c>
      <c r="AE61" s="57">
        <v>-0.14857704612497313</v>
      </c>
      <c r="AF61" s="57">
        <v>-0.14757410905177831</v>
      </c>
      <c r="AG61" s="57">
        <v>-0.13627598253690859</v>
      </c>
      <c r="AH61" s="57">
        <v>-8.7610419522311855E-2</v>
      </c>
      <c r="AI61" s="57">
        <v>-9.4419288807090759E-2</v>
      </c>
      <c r="AJ61" s="57">
        <v>-0.1217378744947849</v>
      </c>
      <c r="AK61" s="57">
        <v>-0.14925678493892472</v>
      </c>
      <c r="AL61" s="57">
        <v>-0.13641720780545696</v>
      </c>
      <c r="AM61" s="57">
        <v>-0.13826337766892474</v>
      </c>
      <c r="AN61" s="57">
        <v>-9.6477587140994608E-2</v>
      </c>
      <c r="AO61" s="57">
        <v>-0.10097759309994865</v>
      </c>
      <c r="AP61" s="57">
        <v>-0.12125328477572582</v>
      </c>
      <c r="AQ61" s="57">
        <v>-0.10659057864970431</v>
      </c>
      <c r="AR61" s="57">
        <v>-8.7880299715349497E-2</v>
      </c>
      <c r="AS61" s="57">
        <v>-0.1249682405944355</v>
      </c>
      <c r="AT61" s="57">
        <v>-0.15669615292422057</v>
      </c>
      <c r="AU61" s="57">
        <v>-0.15506495456641484</v>
      </c>
      <c r="AV61" s="57">
        <v>-0.14225203385120966</v>
      </c>
      <c r="AW61" s="57">
        <v>-0.17180407405532266</v>
      </c>
      <c r="AX61" s="57">
        <v>-0.17347736484724807</v>
      </c>
      <c r="AY61" s="57">
        <v>-0.15086606913118278</v>
      </c>
      <c r="AZ61" s="57">
        <v>-0.11862363648849462</v>
      </c>
      <c r="BA61" s="57">
        <v>-0.12473814056833335</v>
      </c>
      <c r="BB61" s="57">
        <v>-0.11713753332410307</v>
      </c>
      <c r="BC61" s="57">
        <v>-0.13381706923341397</v>
      </c>
      <c r="BD61" s="57">
        <v>-0.12908069030732178</v>
      </c>
      <c r="BE61" s="57">
        <v>-0.12337513468079662</v>
      </c>
      <c r="BF61" s="57">
        <v>-0.1605881126255376</v>
      </c>
      <c r="BG61" s="57">
        <v>-0.16724545551642475</v>
      </c>
      <c r="BH61" s="57">
        <v>-0.15397358369156816</v>
      </c>
      <c r="BI61" s="57">
        <v>-0.17360413616182796</v>
      </c>
      <c r="BJ61" s="57">
        <v>-0.17954654136666653</v>
      </c>
      <c r="BK61" s="57">
        <v>-0.15511311737710579</v>
      </c>
      <c r="BL61" s="57">
        <v>-0.11310195539663977</v>
      </c>
      <c r="BM61" s="57">
        <v>-0.10777962382801319</v>
      </c>
      <c r="BN61" s="57">
        <v>-0.14661300519155909</v>
      </c>
      <c r="BO61" s="57">
        <v>-0.14517237693311824</v>
      </c>
      <c r="BP61" s="57">
        <v>-0.14761014802244865</v>
      </c>
      <c r="BQ61" s="57">
        <v>-0.14749668306295702</v>
      </c>
      <c r="BR61" s="57">
        <v>-0.10369209130263442</v>
      </c>
      <c r="BS61" s="57">
        <v>-0.11722032393225718</v>
      </c>
      <c r="BT61" s="57">
        <v>-0.14409455598639781</v>
      </c>
      <c r="BU61" s="57">
        <v>-0.16516289175061821</v>
      </c>
      <c r="BV61" s="57">
        <v>-0.1579131064856644</v>
      </c>
      <c r="BW61" s="57">
        <v>-0.15781448698559197</v>
      </c>
    </row>
    <row r="62" spans="1:75" x14ac:dyDescent="0.3">
      <c r="A62" s="8" t="s">
        <v>103</v>
      </c>
      <c r="B62" s="8" t="s">
        <v>8</v>
      </c>
      <c r="C62" s="8" t="s">
        <v>112</v>
      </c>
      <c r="D62" s="57">
        <v>-0.42898836363190862</v>
      </c>
      <c r="E62" s="57">
        <v>-0.40392420268795698</v>
      </c>
      <c r="F62" s="57">
        <v>-0.35795587283970426</v>
      </c>
      <c r="G62" s="57">
        <v>-0.43138899652723123</v>
      </c>
      <c r="H62" s="57">
        <v>-0.3863705484467474</v>
      </c>
      <c r="I62" s="57">
        <v>-0.34043401468406814</v>
      </c>
      <c r="J62" s="57">
        <v>-0.41685803487139794</v>
      </c>
      <c r="K62" s="57">
        <v>-0.39662180131637093</v>
      </c>
      <c r="L62" s="57">
        <v>-0.35693543793056448</v>
      </c>
      <c r="M62" s="57">
        <v>-0.42146244911432801</v>
      </c>
      <c r="N62" s="57">
        <v>-0.38618568576021506</v>
      </c>
      <c r="O62" s="57">
        <v>-0.34404752966134411</v>
      </c>
      <c r="P62" s="57">
        <v>-0.43537079870423617</v>
      </c>
      <c r="Q62" s="57">
        <v>-0.41818389029637099</v>
      </c>
      <c r="R62" s="57">
        <v>-0.35561317645156171</v>
      </c>
      <c r="S62" s="57">
        <v>-0.3926720247271932</v>
      </c>
      <c r="T62" s="57">
        <v>-0.36614031346481191</v>
      </c>
      <c r="U62" s="57">
        <v>-0.33333566064220693</v>
      </c>
      <c r="V62" s="57">
        <v>-0.40744953311612908</v>
      </c>
      <c r="W62" s="57">
        <v>-0.39987453745788015</v>
      </c>
      <c r="X62" s="57">
        <v>-0.33583633951137093</v>
      </c>
      <c r="Y62" s="57">
        <v>-0.37205427026717741</v>
      </c>
      <c r="Z62" s="57">
        <v>-0.35628847070597147</v>
      </c>
      <c r="AA62" s="57">
        <v>-0.31596968614725801</v>
      </c>
      <c r="AB62" s="57">
        <v>-0.37480421098341393</v>
      </c>
      <c r="AC62" s="57">
        <v>-0.35259790627602156</v>
      </c>
      <c r="AD62" s="57">
        <v>-0.31547632941784948</v>
      </c>
      <c r="AE62" s="57">
        <v>-0.37057426842497315</v>
      </c>
      <c r="AF62" s="57">
        <v>-0.34522868505177834</v>
      </c>
      <c r="AG62" s="57">
        <v>-0.30660309963690863</v>
      </c>
      <c r="AH62" s="57">
        <v>-0.38059334052231186</v>
      </c>
      <c r="AI62" s="57">
        <v>-0.36066028830709079</v>
      </c>
      <c r="AJ62" s="57">
        <v>-0.32000655069478495</v>
      </c>
      <c r="AK62" s="57">
        <v>-0.38495701053892467</v>
      </c>
      <c r="AL62" s="57">
        <v>-0.34951711790545698</v>
      </c>
      <c r="AM62" s="57">
        <v>-0.31766632446892473</v>
      </c>
      <c r="AN62" s="57">
        <v>-0.39528017864099457</v>
      </c>
      <c r="AO62" s="57">
        <v>-0.37367378539994867</v>
      </c>
      <c r="AP62" s="57">
        <v>-0.32759809267572582</v>
      </c>
      <c r="AQ62" s="57">
        <v>-0.35029552894970428</v>
      </c>
      <c r="AR62" s="57">
        <v>-0.30903491941534955</v>
      </c>
      <c r="AS62" s="57">
        <v>-0.31057645569443554</v>
      </c>
      <c r="AT62" s="57">
        <v>-0.42647893962422062</v>
      </c>
      <c r="AU62" s="57">
        <v>-0.40445390206641491</v>
      </c>
      <c r="AV62" s="57">
        <v>-0.33265879935120962</v>
      </c>
      <c r="AW62" s="57">
        <v>-0.40300565865532273</v>
      </c>
      <c r="AX62" s="57">
        <v>-0.38121460924724809</v>
      </c>
      <c r="AY62" s="57">
        <v>-0.32567040513118278</v>
      </c>
      <c r="AZ62" s="57">
        <v>-0.40490858088849463</v>
      </c>
      <c r="BA62" s="57">
        <v>-0.38938676396833333</v>
      </c>
      <c r="BB62" s="57">
        <v>-0.31688433442410313</v>
      </c>
      <c r="BC62" s="57">
        <v>-0.36633968333341405</v>
      </c>
      <c r="BD62" s="57">
        <v>-0.33683221610732178</v>
      </c>
      <c r="BE62" s="57">
        <v>-0.30105003208079667</v>
      </c>
      <c r="BF62" s="57">
        <v>-0.43814712162553765</v>
      </c>
      <c r="BG62" s="57">
        <v>-0.42124729521642479</v>
      </c>
      <c r="BH62" s="57">
        <v>-0.34285938009156819</v>
      </c>
      <c r="BI62" s="57">
        <v>-0.40510563016182799</v>
      </c>
      <c r="BJ62" s="57">
        <v>-0.3826280493666665</v>
      </c>
      <c r="BK62" s="57">
        <v>-0.32958898117710578</v>
      </c>
      <c r="BL62" s="57">
        <v>-0.41697444389663979</v>
      </c>
      <c r="BM62" s="57">
        <v>-0.38232525742801315</v>
      </c>
      <c r="BN62" s="57">
        <v>-0.35287926539155906</v>
      </c>
      <c r="BO62" s="57">
        <v>-0.39532537933311829</v>
      </c>
      <c r="BP62" s="57">
        <v>-0.3701215007224487</v>
      </c>
      <c r="BQ62" s="57">
        <v>-0.33216946646295703</v>
      </c>
      <c r="BR62" s="57">
        <v>-0.42172458790263451</v>
      </c>
      <c r="BS62" s="57">
        <v>-0.40322678103225723</v>
      </c>
      <c r="BT62" s="57">
        <v>-0.35927240978639791</v>
      </c>
      <c r="BU62" s="57">
        <v>-0.42653393385061827</v>
      </c>
      <c r="BV62" s="57">
        <v>-0.38717956138566439</v>
      </c>
      <c r="BW62" s="57">
        <v>-0.34485084208559202</v>
      </c>
    </row>
    <row r="63" spans="1:75" x14ac:dyDescent="0.3">
      <c r="A63" s="8" t="s">
        <v>103</v>
      </c>
      <c r="B63" s="8" t="s">
        <v>8</v>
      </c>
      <c r="C63" s="8" t="s">
        <v>115</v>
      </c>
      <c r="D63" s="57">
        <v>-0.10073066071206092</v>
      </c>
      <c r="E63" s="57">
        <v>-0.11450561367469532</v>
      </c>
      <c r="F63" s="57">
        <v>-0.11505310324019709</v>
      </c>
      <c r="G63" s="57">
        <v>-9.4251440515179183E-2</v>
      </c>
      <c r="H63" s="57">
        <v>-9.7485080968835069E-2</v>
      </c>
      <c r="I63" s="57">
        <v>-0.10769632314395459</v>
      </c>
      <c r="J63" s="57">
        <v>-0.10704189248573472</v>
      </c>
      <c r="K63" s="57">
        <v>-0.11322686838908604</v>
      </c>
      <c r="L63" s="57">
        <v>-0.11503972517962366</v>
      </c>
      <c r="M63" s="57">
        <v>-9.9944248123781318E-2</v>
      </c>
      <c r="N63" s="57">
        <v>-9.7595401493189932E-2</v>
      </c>
      <c r="O63" s="57">
        <v>-0.10938930302577066</v>
      </c>
      <c r="P63" s="57">
        <v>-9.3849966597175899E-2</v>
      </c>
      <c r="Q63" s="57">
        <v>-0.10309020813575263</v>
      </c>
      <c r="R63" s="57">
        <v>-0.11400850623876466</v>
      </c>
      <c r="S63" s="57">
        <v>-7.9446544848537873E-2</v>
      </c>
      <c r="T63" s="57">
        <v>-9.440796509012539E-2</v>
      </c>
      <c r="U63" s="57">
        <v>-0.10426636024500123</v>
      </c>
      <c r="V63" s="57">
        <v>-8.7255079255913956E-2</v>
      </c>
      <c r="W63" s="57">
        <v>-9.650329542807988E-2</v>
      </c>
      <c r="X63" s="57">
        <v>-0.10987214119241935</v>
      </c>
      <c r="Y63" s="57">
        <v>-9.183090108854837E-2</v>
      </c>
      <c r="Z63" s="57">
        <v>-9.9679653196018958E-2</v>
      </c>
      <c r="AA63" s="57">
        <v>-0.10467923443516126</v>
      </c>
      <c r="AB63" s="57">
        <v>-0.11143821154439064</v>
      </c>
      <c r="AC63" s="57">
        <v>-0.12172006434931895</v>
      </c>
      <c r="AD63" s="57">
        <v>-0.11075250198810034</v>
      </c>
      <c r="AE63" s="57">
        <v>-9.1913080316684562E-2</v>
      </c>
      <c r="AF63" s="57">
        <v>-0.10538409632445542</v>
      </c>
      <c r="AG63" s="57">
        <v>-9.9639563775394249E-2</v>
      </c>
      <c r="AH63" s="57">
        <v>-9.1994241651792097E-2</v>
      </c>
      <c r="AI63" s="57">
        <v>-9.6674868972143585E-2</v>
      </c>
      <c r="AJ63" s="57">
        <v>-9.3365030603476701E-2</v>
      </c>
      <c r="AK63" s="57">
        <v>-8.3629633507383491E-2</v>
      </c>
      <c r="AL63" s="57">
        <v>-7.5103817596361977E-2</v>
      </c>
      <c r="AM63" s="57">
        <v>-9.3128445287383496E-2</v>
      </c>
      <c r="AN63" s="57">
        <v>-8.2757270572670252E-2</v>
      </c>
      <c r="AO63" s="57">
        <v>-8.9844314431852368E-2</v>
      </c>
      <c r="AP63" s="57">
        <v>-8.5032566016182809E-2</v>
      </c>
      <c r="AQ63" s="57">
        <v>-0.10597950063353047</v>
      </c>
      <c r="AR63" s="57">
        <v>-0.10285906512310031</v>
      </c>
      <c r="AS63" s="57">
        <v>-9.8446002403709654E-2</v>
      </c>
      <c r="AT63" s="57">
        <v>-9.4910261650519814E-2</v>
      </c>
      <c r="AU63" s="57">
        <v>-9.9328658331127945E-2</v>
      </c>
      <c r="AV63" s="57">
        <v>-9.9733444765860227E-2</v>
      </c>
      <c r="AW63" s="57">
        <v>-0.10688471542978503</v>
      </c>
      <c r="AX63" s="57">
        <v>-0.11085469134390574</v>
      </c>
      <c r="AY63" s="57">
        <v>-0.10290642857921146</v>
      </c>
      <c r="AZ63" s="57">
        <v>-0.1140261788743369</v>
      </c>
      <c r="BA63" s="57">
        <v>-0.12231345482111108</v>
      </c>
      <c r="BB63" s="57">
        <v>-0.11364837282635551</v>
      </c>
      <c r="BC63" s="57">
        <v>-0.13461855531105729</v>
      </c>
      <c r="BD63" s="57">
        <v>-0.14652662823521356</v>
      </c>
      <c r="BE63" s="57">
        <v>-0.12210248832189313</v>
      </c>
      <c r="BF63" s="57">
        <v>-9.1036110249641561E-2</v>
      </c>
      <c r="BG63" s="57">
        <v>-0.1000591212557168</v>
      </c>
      <c r="BH63" s="57">
        <v>-0.10855489806048846</v>
      </c>
      <c r="BI63" s="57">
        <v>-0.10867734122544796</v>
      </c>
      <c r="BJ63" s="57">
        <v>-0.11744860975555549</v>
      </c>
      <c r="BK63" s="57">
        <v>-0.11110622013679669</v>
      </c>
      <c r="BL63" s="57">
        <v>-0.10765727440224011</v>
      </c>
      <c r="BM63" s="57">
        <v>-0.10463569824799115</v>
      </c>
      <c r="BN63" s="57">
        <v>-0.11776356213896054</v>
      </c>
      <c r="BO63" s="57">
        <v>-7.8093842577921152E-2</v>
      </c>
      <c r="BP63" s="57">
        <v>-9.226389025170087E-2</v>
      </c>
      <c r="BQ63" s="57">
        <v>-0.10196157315802865</v>
      </c>
      <c r="BR63" s="57">
        <v>-0.10583908393157704</v>
      </c>
      <c r="BS63" s="57">
        <v>-0.1120496050822392</v>
      </c>
      <c r="BT63" s="57">
        <v>-0.11435018907573473</v>
      </c>
      <c r="BU63" s="57">
        <v>-9.7236524299587831E-2</v>
      </c>
      <c r="BV63" s="57">
        <v>-9.7087192876223721E-2</v>
      </c>
      <c r="BW63" s="57">
        <v>-0.11217422072797271</v>
      </c>
    </row>
    <row r="64" spans="1:75" x14ac:dyDescent="0.3">
      <c r="A64" s="8" t="s">
        <v>103</v>
      </c>
      <c r="B64" s="8" t="s">
        <v>8</v>
      </c>
      <c r="C64" s="8" t="s">
        <v>116</v>
      </c>
      <c r="D64" s="57">
        <v>-0.33613421871003807</v>
      </c>
      <c r="E64" s="57">
        <v>-0.32295499338668471</v>
      </c>
      <c r="F64" s="57">
        <v>-0.26778065164012299</v>
      </c>
      <c r="G64" s="57">
        <v>-0.29585962895698703</v>
      </c>
      <c r="H64" s="57">
        <v>-0.26701071661052189</v>
      </c>
      <c r="I64" s="57">
        <v>-0.24086537399497163</v>
      </c>
      <c r="J64" s="57">
        <v>-0.32689450712358414</v>
      </c>
      <c r="K64" s="57">
        <v>-0.31262985344817867</v>
      </c>
      <c r="L64" s="57">
        <v>-0.26262180545226466</v>
      </c>
      <c r="M64" s="57">
        <v>-0.29255032051236329</v>
      </c>
      <c r="N64" s="57">
        <v>-0.2669837265332437</v>
      </c>
      <c r="O64" s="57">
        <v>-0.24406076118110664</v>
      </c>
      <c r="P64" s="57">
        <v>-0.31233768469323481</v>
      </c>
      <c r="Q64" s="57">
        <v>-0.3016464324598454</v>
      </c>
      <c r="R64" s="57">
        <v>-0.25846704421068423</v>
      </c>
      <c r="S64" s="57">
        <v>-0.26496720843033628</v>
      </c>
      <c r="T64" s="57">
        <v>-0.25407467062632849</v>
      </c>
      <c r="U64" s="57">
        <v>-0.23456422090458209</v>
      </c>
      <c r="V64" s="57">
        <v>-0.28900017693494634</v>
      </c>
      <c r="W64" s="57">
        <v>-0.28082002621254981</v>
      </c>
      <c r="X64" s="57">
        <v>-0.24216716598026208</v>
      </c>
      <c r="Y64" s="57">
        <v>-0.26260339158534274</v>
      </c>
      <c r="Z64" s="57">
        <v>-0.24774513822251193</v>
      </c>
      <c r="AA64" s="57">
        <v>-0.22564126203197582</v>
      </c>
      <c r="AB64" s="57">
        <v>-0.30437994170024402</v>
      </c>
      <c r="AC64" s="57">
        <v>-0.29492775407832439</v>
      </c>
      <c r="AD64" s="57">
        <v>-0.23888707162256276</v>
      </c>
      <c r="AE64" s="57">
        <v>-0.25593892525292788</v>
      </c>
      <c r="AF64" s="57">
        <v>-0.24689535103355381</v>
      </c>
      <c r="AG64" s="57">
        <v>-0.21747983159462142</v>
      </c>
      <c r="AH64" s="57">
        <v>-0.30618668088237</v>
      </c>
      <c r="AI64" s="57">
        <v>-0.28883793867238572</v>
      </c>
      <c r="AJ64" s="57">
        <v>-0.23331692229717291</v>
      </c>
      <c r="AK64" s="57">
        <v>-0.26045175190211478</v>
      </c>
      <c r="AL64" s="57">
        <v>-0.23239146528272631</v>
      </c>
      <c r="AM64" s="57">
        <v>-0.21982829068461462</v>
      </c>
      <c r="AN64" s="57">
        <v>-0.3045289123829189</v>
      </c>
      <c r="AO64" s="57">
        <v>-0.28941040979706684</v>
      </c>
      <c r="AP64" s="57">
        <v>-0.23291097757511425</v>
      </c>
      <c r="AQ64" s="57">
        <v>-0.27973887080095644</v>
      </c>
      <c r="AR64" s="57">
        <v>-0.25543432534693761</v>
      </c>
      <c r="AS64" s="57">
        <v>-0.22753977503731859</v>
      </c>
      <c r="AT64" s="57">
        <v>-0.29963947422657483</v>
      </c>
      <c r="AU64" s="57">
        <v>-0.28610700889142093</v>
      </c>
      <c r="AV64" s="57">
        <v>-0.23523688715366267</v>
      </c>
      <c r="AW64" s="57">
        <v>-0.27984108635361571</v>
      </c>
      <c r="AX64" s="57">
        <v>-0.26385707518940704</v>
      </c>
      <c r="AY64" s="57">
        <v>-0.22618685546200706</v>
      </c>
      <c r="AZ64" s="57">
        <v>-0.32396821533646042</v>
      </c>
      <c r="BA64" s="57">
        <v>-0.31384779295319437</v>
      </c>
      <c r="BB64" s="57">
        <v>-0.25110300210601766</v>
      </c>
      <c r="BC64" s="57">
        <v>-0.29882080275441081</v>
      </c>
      <c r="BD64" s="57">
        <v>-0.28753065553602986</v>
      </c>
      <c r="BE64" s="57">
        <v>-0.24077883524572866</v>
      </c>
      <c r="BF64" s="57">
        <v>-0.30342893955602596</v>
      </c>
      <c r="BG64" s="57">
        <v>-0.29241003742982297</v>
      </c>
      <c r="BH64" s="57">
        <v>-0.24322225932515035</v>
      </c>
      <c r="BI64" s="57">
        <v>-0.28188546616590493</v>
      </c>
      <c r="BJ64" s="57">
        <v>-0.26648141689722216</v>
      </c>
      <c r="BK64" s="57">
        <v>-0.23351922661284305</v>
      </c>
      <c r="BL64" s="57">
        <v>-0.33242455622640005</v>
      </c>
      <c r="BM64" s="57">
        <v>-0.30454899516499445</v>
      </c>
      <c r="BN64" s="57">
        <v>-0.26447063890685019</v>
      </c>
      <c r="BO64" s="57">
        <v>-0.26721206045120061</v>
      </c>
      <c r="BP64" s="57">
        <v>-0.25652174510231301</v>
      </c>
      <c r="BQ64" s="57">
        <v>-0.23312552291376792</v>
      </c>
      <c r="BR64" s="57">
        <v>-0.34130133576723559</v>
      </c>
      <c r="BS64" s="57">
        <v>-0.32184489491474189</v>
      </c>
      <c r="BT64" s="57">
        <v>-0.26863905050233411</v>
      </c>
      <c r="BU64" s="57">
        <v>-0.2958569931722424</v>
      </c>
      <c r="BV64" s="57">
        <v>-0.26781233151263983</v>
      </c>
      <c r="BW64" s="57">
        <v>-0.24532921457161566</v>
      </c>
    </row>
    <row r="65" spans="1:75" x14ac:dyDescent="0.3">
      <c r="A65" s="8" t="s">
        <v>103</v>
      </c>
      <c r="B65" s="8" t="s">
        <v>8</v>
      </c>
      <c r="C65" s="8" t="s">
        <v>117</v>
      </c>
      <c r="D65" s="57">
        <v>-0.31293250524202293</v>
      </c>
      <c r="E65" s="57">
        <v>-0.29939075372801072</v>
      </c>
      <c r="F65" s="57">
        <v>-0.2476889064400738</v>
      </c>
      <c r="G65" s="57">
        <v>-0.27940045871819225</v>
      </c>
      <c r="H65" s="57">
        <v>-0.24986712743831316</v>
      </c>
      <c r="I65" s="57">
        <v>-0.22276274362898293</v>
      </c>
      <c r="J65" s="57">
        <v>-0.3039794224821506</v>
      </c>
      <c r="K65" s="57">
        <v>-0.2898203892209073</v>
      </c>
      <c r="L65" s="57">
        <v>-0.24326175616735887</v>
      </c>
      <c r="M65" s="57">
        <v>-0.27563908357141803</v>
      </c>
      <c r="N65" s="57">
        <v>-0.24982612455994616</v>
      </c>
      <c r="O65" s="57">
        <v>-0.22594779648466409</v>
      </c>
      <c r="P65" s="57">
        <v>-0.29361316902394097</v>
      </c>
      <c r="Q65" s="57">
        <v>-0.28294043867590718</v>
      </c>
      <c r="R65" s="57">
        <v>-0.23959120499196393</v>
      </c>
      <c r="S65" s="57">
        <v>-0.2482002828182017</v>
      </c>
      <c r="T65" s="57">
        <v>-0.23643009658379718</v>
      </c>
      <c r="U65" s="57">
        <v>-0.21648157334430262</v>
      </c>
      <c r="V65" s="57">
        <v>-0.27040030072096771</v>
      </c>
      <c r="W65" s="57">
        <v>-0.26302197633553004</v>
      </c>
      <c r="X65" s="57">
        <v>-0.22336351997215725</v>
      </c>
      <c r="Y65" s="57">
        <v>-0.24416923098320562</v>
      </c>
      <c r="Z65" s="57">
        <v>-0.23014365957350705</v>
      </c>
      <c r="AA65" s="57">
        <v>-0.20689223056318548</v>
      </c>
      <c r="AB65" s="57">
        <v>-0.28014373660414643</v>
      </c>
      <c r="AC65" s="57">
        <v>-0.26991953603099444</v>
      </c>
      <c r="AD65" s="57">
        <v>-0.21812178844553765</v>
      </c>
      <c r="AE65" s="57">
        <v>-0.23843393294375673</v>
      </c>
      <c r="AF65" s="57">
        <v>-0.22829071550628588</v>
      </c>
      <c r="AG65" s="57">
        <v>-0.19871022894077287</v>
      </c>
      <c r="AH65" s="57">
        <v>-0.28156282836942198</v>
      </c>
      <c r="AI65" s="57">
        <v>-0.26480893780588033</v>
      </c>
      <c r="AJ65" s="57">
        <v>-0.21332179702630374</v>
      </c>
      <c r="AK65" s="57">
        <v>-0.24364732096526878</v>
      </c>
      <c r="AL65" s="57">
        <v>-0.21547851987363567</v>
      </c>
      <c r="AM65" s="57">
        <v>-0.20177888468276883</v>
      </c>
      <c r="AN65" s="57">
        <v>-0.28163233558975131</v>
      </c>
      <c r="AO65" s="57">
        <v>-0.26662807777387643</v>
      </c>
      <c r="AP65" s="57">
        <v>-0.21358526648106854</v>
      </c>
      <c r="AQ65" s="57">
        <v>-0.25631847931257395</v>
      </c>
      <c r="AR65" s="57">
        <v>-0.23077709709616243</v>
      </c>
      <c r="AS65" s="57">
        <v>-0.20754045292639109</v>
      </c>
      <c r="AT65" s="57">
        <v>-0.28196402354394495</v>
      </c>
      <c r="AU65" s="57">
        <v>-0.26811793926494965</v>
      </c>
      <c r="AV65" s="57">
        <v>-0.21676864941219756</v>
      </c>
      <c r="AW65" s="57">
        <v>-0.26303014243616946</v>
      </c>
      <c r="AX65" s="57">
        <v>-0.24715166761974133</v>
      </c>
      <c r="AY65" s="57">
        <v>-0.20848561471720389</v>
      </c>
      <c r="AZ65" s="57">
        <v>-0.30033817617787628</v>
      </c>
      <c r="BA65" s="57">
        <v>-0.29030956690791654</v>
      </c>
      <c r="BB65" s="57">
        <v>-0.22859839242579241</v>
      </c>
      <c r="BC65" s="57">
        <v>-0.27541890251664647</v>
      </c>
      <c r="BD65" s="57">
        <v>-0.2628181828032406</v>
      </c>
      <c r="BE65" s="57">
        <v>-0.21836788706161903</v>
      </c>
      <c r="BF65" s="57">
        <v>-0.28641901109361562</v>
      </c>
      <c r="BG65" s="57">
        <v>-0.27550007314589375</v>
      </c>
      <c r="BH65" s="57">
        <v>-0.2250657593682584</v>
      </c>
      <c r="BI65" s="57">
        <v>-0.26507098145954294</v>
      </c>
      <c r="BJ65" s="57">
        <v>-0.24979004565833321</v>
      </c>
      <c r="BK65" s="57">
        <v>-0.21542740399687396</v>
      </c>
      <c r="BL65" s="57">
        <v>-0.30862798877584013</v>
      </c>
      <c r="BM65" s="57">
        <v>-0.28094130724299665</v>
      </c>
      <c r="BN65" s="57">
        <v>-0.24440892235211012</v>
      </c>
      <c r="BO65" s="57">
        <v>-0.2503462995667205</v>
      </c>
      <c r="BP65" s="57">
        <v>-0.23887763726938782</v>
      </c>
      <c r="BQ65" s="57">
        <v>-0.21504085128426068</v>
      </c>
      <c r="BR65" s="57">
        <v>-0.31654331512434142</v>
      </c>
      <c r="BS65" s="57">
        <v>-0.29827616026974374</v>
      </c>
      <c r="BT65" s="57">
        <v>-0.24853951785340048</v>
      </c>
      <c r="BU65" s="57">
        <v>-0.27891575788734546</v>
      </c>
      <c r="BV65" s="57">
        <v>-0.2506196878035839</v>
      </c>
      <c r="BW65" s="57">
        <v>-0.22722129326737753</v>
      </c>
    </row>
    <row r="66" spans="1:75" x14ac:dyDescent="0.3">
      <c r="A66" s="8" t="s">
        <v>103</v>
      </c>
      <c r="B66" s="8" t="s">
        <v>8</v>
      </c>
      <c r="C66" s="8" t="s">
        <v>118</v>
      </c>
      <c r="D66" s="57">
        <v>-0.34774926275898865</v>
      </c>
      <c r="E66" s="57">
        <v>-0.33075078841599459</v>
      </c>
      <c r="F66" s="57">
        <v>-0.28076899635996316</v>
      </c>
      <c r="G66" s="57">
        <v>-0.32499702006090397</v>
      </c>
      <c r="H66" s="57">
        <v>-0.29081815374084358</v>
      </c>
      <c r="I66" s="57">
        <v>-0.25806412494550862</v>
      </c>
      <c r="J66" s="57">
        <v>-0.33784300619892477</v>
      </c>
      <c r="K66" s="57">
        <v>-0.32186081284954643</v>
      </c>
      <c r="L66" s="57">
        <v>-0.27736386069632057</v>
      </c>
      <c r="M66" s="57">
        <v>-0.31938609323429101</v>
      </c>
      <c r="N66" s="57">
        <v>-0.29073399292002688</v>
      </c>
      <c r="O66" s="57">
        <v>-0.26137771643766788</v>
      </c>
      <c r="P66" s="57">
        <v>-0.33614045792802955</v>
      </c>
      <c r="Q66" s="57">
        <v>-0.32351347416204645</v>
      </c>
      <c r="R66" s="57">
        <v>-0.2743977964298433</v>
      </c>
      <c r="S66" s="57">
        <v>-0.29154180539089919</v>
      </c>
      <c r="T66" s="57">
        <v>-0.27534316164810169</v>
      </c>
      <c r="U66" s="57">
        <v>-0.25153779953367394</v>
      </c>
      <c r="V66" s="57">
        <v>-0.31151507043951615</v>
      </c>
      <c r="W66" s="57">
        <v>-0.30407774467223508</v>
      </c>
      <c r="X66" s="57">
        <v>-0.25710536583392135</v>
      </c>
      <c r="Y66" s="57">
        <v>-0.28253474276839713</v>
      </c>
      <c r="Z66" s="57">
        <v>-0.2679871029132464</v>
      </c>
      <c r="AA66" s="57">
        <v>-0.23961546723840724</v>
      </c>
      <c r="AB66" s="57">
        <v>-0.30854187891792667</v>
      </c>
      <c r="AC66" s="57">
        <v>-0.29472304710450259</v>
      </c>
      <c r="AD66" s="57">
        <v>-0.24732815073723116</v>
      </c>
      <c r="AE66" s="57">
        <v>-0.27807603358812172</v>
      </c>
      <c r="AF66" s="57">
        <v>-0.2633721063699338</v>
      </c>
      <c r="AG66" s="57">
        <v>-0.23107809014961353</v>
      </c>
      <c r="AH66" s="57">
        <v>-0.31127198201528899</v>
      </c>
      <c r="AI66" s="57">
        <v>-0.29356434295624356</v>
      </c>
      <c r="AJ66" s="57">
        <v>-0.24532722312684813</v>
      </c>
      <c r="AK66" s="57">
        <v>-0.28604022783736555</v>
      </c>
      <c r="AL66" s="57">
        <v>-0.25569009928318209</v>
      </c>
      <c r="AM66" s="57">
        <v>-0.2365451166186156</v>
      </c>
      <c r="AN66" s="57">
        <v>-0.31572668850512431</v>
      </c>
      <c r="AO66" s="57">
        <v>-0.29874179006169815</v>
      </c>
      <c r="AP66" s="57">
        <v>-0.24778911433946571</v>
      </c>
      <c r="AQ66" s="57">
        <v>-0.28451159420371314</v>
      </c>
      <c r="AR66" s="57">
        <v>-0.25425444379191875</v>
      </c>
      <c r="AS66" s="57">
        <v>-0.23845125375680448</v>
      </c>
      <c r="AT66" s="57">
        <v>-0.32531849836802773</v>
      </c>
      <c r="AU66" s="57">
        <v>-0.30901872810538938</v>
      </c>
      <c r="AV66" s="57">
        <v>-0.25153569439390117</v>
      </c>
      <c r="AW66" s="57">
        <v>-0.3050227973019155</v>
      </c>
      <c r="AX66" s="57">
        <v>-0.28737055010799339</v>
      </c>
      <c r="AY66" s="57">
        <v>-0.24364105184139781</v>
      </c>
      <c r="AZ66" s="57">
        <v>-0.3317092975910621</v>
      </c>
      <c r="BA66" s="57">
        <v>-0.32003272602604182</v>
      </c>
      <c r="BB66" s="57">
        <v>-0.25508417502528558</v>
      </c>
      <c r="BC66" s="57">
        <v>-0.30269513676167675</v>
      </c>
      <c r="BD66" s="57">
        <v>-0.28502239279446501</v>
      </c>
      <c r="BE66" s="57">
        <v>-0.24317253056737229</v>
      </c>
      <c r="BF66" s="57">
        <v>-0.3319374442531921</v>
      </c>
      <c r="BG66" s="57">
        <v>-0.31922423976705316</v>
      </c>
      <c r="BH66" s="57">
        <v>-0.26040384558525137</v>
      </c>
      <c r="BI66" s="57">
        <v>-0.30708137607022856</v>
      </c>
      <c r="BJ66" s="57">
        <v>-0.2896414467708332</v>
      </c>
      <c r="BK66" s="57">
        <v>-0.24967587715094355</v>
      </c>
      <c r="BL66" s="57">
        <v>-0.34113192531207992</v>
      </c>
      <c r="BM66" s="57">
        <v>-0.31135649229850165</v>
      </c>
      <c r="BN66" s="57">
        <v>-0.27695002526394491</v>
      </c>
      <c r="BO66" s="57">
        <v>-0.29384002349663979</v>
      </c>
      <c r="BP66" s="57">
        <v>-0.27825079630530608</v>
      </c>
      <c r="BQ66" s="57">
        <v>-0.25017943583786978</v>
      </c>
      <c r="BR66" s="57">
        <v>-0.34809769695782949</v>
      </c>
      <c r="BS66" s="57">
        <v>-0.32976134649849781</v>
      </c>
      <c r="BT66" s="57">
        <v>-0.28175938543329976</v>
      </c>
      <c r="BU66" s="57">
        <v>-0.32320121067632729</v>
      </c>
      <c r="BV66" s="57">
        <v>-0.29158764987820801</v>
      </c>
      <c r="BW66" s="57">
        <v>-0.26251015791284193</v>
      </c>
    </row>
    <row r="67" spans="1:75" x14ac:dyDescent="0.3">
      <c r="A67" s="8" t="s">
        <v>103</v>
      </c>
      <c r="B67" s="8" t="s">
        <v>9</v>
      </c>
      <c r="C67" s="8" t="s">
        <v>108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v>0</v>
      </c>
      <c r="Q67" s="57">
        <v>0</v>
      </c>
      <c r="R67" s="57">
        <v>0</v>
      </c>
      <c r="S67" s="57">
        <v>0</v>
      </c>
      <c r="T67" s="57">
        <v>0</v>
      </c>
      <c r="U67" s="57">
        <v>0</v>
      </c>
      <c r="V67" s="57">
        <v>0</v>
      </c>
      <c r="W67" s="57">
        <v>0</v>
      </c>
      <c r="X67" s="57">
        <v>0</v>
      </c>
      <c r="Y67" s="57">
        <v>0</v>
      </c>
      <c r="Z67" s="57">
        <v>0</v>
      </c>
      <c r="AA67" s="57">
        <v>0</v>
      </c>
      <c r="AB67" s="57">
        <v>0</v>
      </c>
      <c r="AC67" s="57">
        <v>0</v>
      </c>
      <c r="AD67" s="57">
        <v>0</v>
      </c>
      <c r="AE67" s="57">
        <v>0</v>
      </c>
      <c r="AF67" s="57">
        <v>0</v>
      </c>
      <c r="AG67" s="57">
        <v>0</v>
      </c>
      <c r="AH67" s="57">
        <v>0</v>
      </c>
      <c r="AI67" s="57">
        <v>0</v>
      </c>
      <c r="AJ67" s="57">
        <v>0</v>
      </c>
      <c r="AK67" s="57">
        <v>0</v>
      </c>
      <c r="AL67" s="57">
        <v>0</v>
      </c>
      <c r="AM67" s="57">
        <v>0</v>
      </c>
      <c r="AN67" s="57">
        <v>0</v>
      </c>
      <c r="AO67" s="57">
        <v>0</v>
      </c>
      <c r="AP67" s="57">
        <v>0</v>
      </c>
      <c r="AQ67" s="57">
        <v>0</v>
      </c>
      <c r="AR67" s="57">
        <v>0</v>
      </c>
      <c r="AS67" s="57">
        <v>0</v>
      </c>
      <c r="AT67" s="57">
        <v>0</v>
      </c>
      <c r="AU67" s="57">
        <v>0</v>
      </c>
      <c r="AV67" s="57">
        <v>0</v>
      </c>
      <c r="AW67" s="57">
        <v>0</v>
      </c>
      <c r="AX67" s="57">
        <v>0</v>
      </c>
      <c r="AY67" s="57">
        <v>0</v>
      </c>
      <c r="AZ67" s="57">
        <v>0</v>
      </c>
      <c r="BA67" s="57">
        <v>0</v>
      </c>
      <c r="BB67" s="57">
        <v>0</v>
      </c>
      <c r="BC67" s="57">
        <v>0</v>
      </c>
      <c r="BD67" s="57">
        <v>0</v>
      </c>
      <c r="BE67" s="57">
        <v>0</v>
      </c>
      <c r="BF67" s="57">
        <v>0</v>
      </c>
      <c r="BG67" s="57">
        <v>0</v>
      </c>
      <c r="BH67" s="57">
        <v>0</v>
      </c>
      <c r="BI67" s="57">
        <v>0</v>
      </c>
      <c r="BJ67" s="57">
        <v>0</v>
      </c>
      <c r="BK67" s="57">
        <v>0</v>
      </c>
      <c r="BL67" s="57">
        <v>0</v>
      </c>
      <c r="BM67" s="57">
        <v>0</v>
      </c>
      <c r="BN67" s="57">
        <v>0</v>
      </c>
      <c r="BO67" s="57">
        <v>0</v>
      </c>
      <c r="BP67" s="57">
        <v>0</v>
      </c>
      <c r="BQ67" s="57">
        <v>0</v>
      </c>
      <c r="BR67" s="57">
        <v>0</v>
      </c>
      <c r="BS67" s="57">
        <v>0</v>
      </c>
      <c r="BT67" s="57">
        <v>0</v>
      </c>
      <c r="BU67" s="57">
        <v>0</v>
      </c>
      <c r="BV67" s="57">
        <v>0</v>
      </c>
      <c r="BW67" s="57">
        <v>0</v>
      </c>
    </row>
    <row r="68" spans="1:75" x14ac:dyDescent="0.3">
      <c r="A68" s="8" t="s">
        <v>103</v>
      </c>
      <c r="B68" s="8" t="s">
        <v>9</v>
      </c>
      <c r="C68" s="8" t="s">
        <v>109</v>
      </c>
      <c r="D68" s="57">
        <v>3.7453979453566918E-2</v>
      </c>
      <c r="E68" s="57">
        <v>-1.8199384040286735E-2</v>
      </c>
      <c r="F68" s="57">
        <v>-1.7464144415270257E-2</v>
      </c>
      <c r="G68" s="57">
        <v>3.6642348392383887E-2</v>
      </c>
      <c r="H68" s="57">
        <v>-1.0665073447329783E-2</v>
      </c>
      <c r="I68" s="57">
        <v>-3.2810122947777819E-2</v>
      </c>
      <c r="J68" s="57">
        <v>2.1062286525018115E-2</v>
      </c>
      <c r="K68" s="57">
        <v>-2.5148548062562719E-2</v>
      </c>
      <c r="L68" s="57">
        <v>-2.5169627131236605E-2</v>
      </c>
      <c r="M68" s="57">
        <v>1.1922192913853158E-2</v>
      </c>
      <c r="N68" s="57">
        <v>-1.0614956740034759E-2</v>
      </c>
      <c r="O68" s="57">
        <v>-4.9775787139427563E-3</v>
      </c>
      <c r="P68" s="57">
        <v>1.6844045286129084E-2</v>
      </c>
      <c r="Q68" s="57">
        <v>-1.9187866376423595E-2</v>
      </c>
      <c r="R68" s="57">
        <v>-2.7721650330841102E-2</v>
      </c>
      <c r="S68" s="57">
        <v>4.4612599419713322E-2</v>
      </c>
      <c r="T68" s="57">
        <v>1.8483594062035209E-2</v>
      </c>
      <c r="U68" s="57">
        <v>-4.496282638152934E-3</v>
      </c>
      <c r="V68" s="57">
        <v>-5.0372762311111187E-2</v>
      </c>
      <c r="W68" s="57">
        <v>-7.8610103337706086E-2</v>
      </c>
      <c r="X68" s="57">
        <v>-7.6176404565940048E-2</v>
      </c>
      <c r="Y68" s="57">
        <v>-3.2732180534784897E-2</v>
      </c>
      <c r="Z68" s="57">
        <v>-4.9451435351164898E-2</v>
      </c>
      <c r="AA68" s="57">
        <v>-6.2470298368494534E-2</v>
      </c>
      <c r="AB68" s="57">
        <v>-6.4799909873781328E-2</v>
      </c>
      <c r="AC68" s="57">
        <v>-7.79746227192116E-2</v>
      </c>
      <c r="AD68" s="57">
        <v>-5.829210800960527E-2</v>
      </c>
      <c r="AE68" s="57">
        <v>-3.6308914893386966E-2</v>
      </c>
      <c r="AF68" s="57">
        <v>-4.5309854140832606E-2</v>
      </c>
      <c r="AG68" s="57">
        <v>-5.9778476286146874E-2</v>
      </c>
      <c r="AH68" s="57">
        <v>2.3195965023297678E-3</v>
      </c>
      <c r="AI68" s="57">
        <v>-1.5819814132885305E-2</v>
      </c>
      <c r="AJ68" s="57">
        <v>-1.9092606244336955E-2</v>
      </c>
      <c r="AK68" s="57">
        <v>-0.11200381418121867</v>
      </c>
      <c r="AL68" s="57">
        <v>-0.12170165195299276</v>
      </c>
      <c r="AM68" s="57">
        <v>-9.236404153827954E-2</v>
      </c>
      <c r="AN68" s="57">
        <v>5.6029929131630789E-2</v>
      </c>
      <c r="AO68" s="57">
        <v>2.5135036605895961E-2</v>
      </c>
      <c r="AP68" s="57">
        <v>3.2876043903172031E-2</v>
      </c>
      <c r="AQ68" s="57">
        <v>-5.7582424696491635E-3</v>
      </c>
      <c r="AR68" s="57">
        <v>-3.820984137363808E-2</v>
      </c>
      <c r="AS68" s="57">
        <v>-3.256687545209673E-2</v>
      </c>
      <c r="AT68" s="57">
        <v>3.0315447473135932E-2</v>
      </c>
      <c r="AU68" s="57">
        <v>6.9768573477008286E-3</v>
      </c>
      <c r="AV68" s="57">
        <v>-1.8463742273028765E-2</v>
      </c>
      <c r="AW68" s="57">
        <v>-1.8265438687849606E-2</v>
      </c>
      <c r="AX68" s="57">
        <v>-4.1481722831743555E-2</v>
      </c>
      <c r="AY68" s="57">
        <v>-3.335831256487462E-2</v>
      </c>
      <c r="AZ68" s="57">
        <v>-7.4994725732616258E-3</v>
      </c>
      <c r="BA68" s="57">
        <v>-2.4663625253458655E-2</v>
      </c>
      <c r="BB68" s="57">
        <v>5.0585839726344029E-3</v>
      </c>
      <c r="BC68" s="57">
        <v>-5.0353870814641419E-2</v>
      </c>
      <c r="BD68" s="57">
        <v>-6.3252374472867384E-2</v>
      </c>
      <c r="BE68" s="57">
        <v>-4.9006810956953362E-2</v>
      </c>
      <c r="BF68" s="57">
        <v>4.7157940234229298E-2</v>
      </c>
      <c r="BG68" s="57">
        <v>1.1482533104498278E-2</v>
      </c>
      <c r="BH68" s="57">
        <v>-1.4966713097108324E-2</v>
      </c>
      <c r="BI68" s="57">
        <v>-2.0361244773835142E-2</v>
      </c>
      <c r="BJ68" s="57">
        <v>-6.1430717153405028E-2</v>
      </c>
      <c r="BK68" s="57">
        <v>-3.274931030548392E-2</v>
      </c>
      <c r="BL68" s="57">
        <v>8.5996157859319286E-3</v>
      </c>
      <c r="BM68" s="57">
        <v>-2.557363119770607E-2</v>
      </c>
      <c r="BN68" s="57">
        <v>-2.8149744294476847E-2</v>
      </c>
      <c r="BO68" s="57">
        <v>5.101907092745523E-2</v>
      </c>
      <c r="BP68" s="57">
        <v>1.5004734713637974E-2</v>
      </c>
      <c r="BQ68" s="57">
        <v>-4.0960223185629021E-3</v>
      </c>
      <c r="BR68" s="57">
        <v>2.4937981434014444E-2</v>
      </c>
      <c r="BS68" s="57">
        <v>-6.3739798237813124E-3</v>
      </c>
      <c r="BT68" s="57">
        <v>-8.3682431940140817E-3</v>
      </c>
      <c r="BU68" s="57">
        <v>2.2285602705788558E-2</v>
      </c>
      <c r="BV68" s="57">
        <v>-1.0586703442168487E-2</v>
      </c>
      <c r="BW68" s="57">
        <v>-2.8383132007652346E-2</v>
      </c>
    </row>
    <row r="69" spans="1:75" x14ac:dyDescent="0.3">
      <c r="A69" s="8" t="s">
        <v>103</v>
      </c>
      <c r="B69" s="8" t="s">
        <v>9</v>
      </c>
      <c r="C69" s="8" t="s">
        <v>110</v>
      </c>
      <c r="D69" s="57">
        <v>3.1954828215765202E-2</v>
      </c>
      <c r="E69" s="57">
        <v>-4.4631842214480265E-2</v>
      </c>
      <c r="F69" s="57">
        <v>-7.5347827806839143E-2</v>
      </c>
      <c r="G69" s="57">
        <v>3.7204665110338042E-3</v>
      </c>
      <c r="H69" s="57">
        <v>-5.5307983912652334E-2</v>
      </c>
      <c r="I69" s="57">
        <v>-0.11228223199777779</v>
      </c>
      <c r="J69" s="57">
        <v>-8.576965126594796E-3</v>
      </c>
      <c r="K69" s="57">
        <v>-6.0006872406917537E-2</v>
      </c>
      <c r="L69" s="57">
        <v>-9.0015976494946304E-2</v>
      </c>
      <c r="M69" s="57">
        <v>-1.5751512407920939E-2</v>
      </c>
      <c r="N69" s="57">
        <v>-5.5244178448302088E-2</v>
      </c>
      <c r="O69" s="57">
        <v>-7.314484900910409E-2</v>
      </c>
      <c r="P69" s="57">
        <v>6.3677418845162117E-3</v>
      </c>
      <c r="Q69" s="57">
        <v>-4.9463203736511849E-2</v>
      </c>
      <c r="R69" s="57">
        <v>-9.6685730497862693E-2</v>
      </c>
      <c r="S69" s="57">
        <v>2.2673356145519852E-2</v>
      </c>
      <c r="T69" s="57">
        <v>-2.3482362909343364E-2</v>
      </c>
      <c r="U69" s="57">
        <v>-7.6159243447109989E-2</v>
      </c>
      <c r="V69" s="57">
        <v>-3.9139162311111177E-2</v>
      </c>
      <c r="W69" s="57">
        <v>-8.0822717844157704E-2</v>
      </c>
      <c r="X69" s="57">
        <v>-0.1127919826142281</v>
      </c>
      <c r="Y69" s="57">
        <v>-3.2728666129139709E-2</v>
      </c>
      <c r="Z69" s="57">
        <v>-6.3158950121326191E-2</v>
      </c>
      <c r="AA69" s="57">
        <v>-0.10195226065397835</v>
      </c>
      <c r="AB69" s="57">
        <v>-5.3786047623676191E-2</v>
      </c>
      <c r="AC69" s="57">
        <v>-8.0201847690179351E-2</v>
      </c>
      <c r="AD69" s="57">
        <v>-8.946481974508895E-2</v>
      </c>
      <c r="AE69" s="57">
        <v>-3.807700702876566E-2</v>
      </c>
      <c r="AF69" s="57">
        <v>-6.0713528850509985E-2</v>
      </c>
      <c r="AG69" s="57">
        <v>-9.9853479607920986E-2</v>
      </c>
      <c r="AH69" s="57">
        <v>-9.6172169573476296E-3</v>
      </c>
      <c r="AI69" s="57">
        <v>-5.0717651619636442E-2</v>
      </c>
      <c r="AJ69" s="57">
        <v>-9.1388688904014345E-2</v>
      </c>
      <c r="AK69" s="57">
        <v>-0.14494120707154126</v>
      </c>
      <c r="AL69" s="57">
        <v>-0.1701426760800665</v>
      </c>
      <c r="AM69" s="57">
        <v>-0.14350301819311828</v>
      </c>
      <c r="AN69" s="57">
        <v>6.7618582409856576E-2</v>
      </c>
      <c r="AO69" s="57">
        <v>6.9933766002508021E-3</v>
      </c>
      <c r="AP69" s="57">
        <v>-1.0819009557311805E-2</v>
      </c>
      <c r="AQ69" s="57">
        <v>1.7559037490656189E-2</v>
      </c>
      <c r="AR69" s="57">
        <v>-4.2653711271218725E-2</v>
      </c>
      <c r="AS69" s="57">
        <v>-5.3611152338387022E-2</v>
      </c>
      <c r="AT69" s="57">
        <v>1.9295923615877772E-2</v>
      </c>
      <c r="AU69" s="57">
        <v>-2.7560911888323211E-2</v>
      </c>
      <c r="AV69" s="57">
        <v>-9.1366718075448147E-2</v>
      </c>
      <c r="AW69" s="57">
        <v>-7.3274587731397958E-2</v>
      </c>
      <c r="AX69" s="57">
        <v>-0.12156963234276756</v>
      </c>
      <c r="AY69" s="57">
        <v>-0.12173923372616491</v>
      </c>
      <c r="AZ69" s="57">
        <v>-2.7747024279713206E-2</v>
      </c>
      <c r="BA69" s="57">
        <v>-5.7519397804668193E-2</v>
      </c>
      <c r="BB69" s="57">
        <v>-5.337146563946233E-2</v>
      </c>
      <c r="BC69" s="57">
        <v>-5.4975926821899362E-2</v>
      </c>
      <c r="BD69" s="57">
        <v>-7.7944993764802836E-2</v>
      </c>
      <c r="BE69" s="57">
        <v>-7.9964810381146861E-2</v>
      </c>
      <c r="BF69" s="57">
        <v>4.9457824903584087E-2</v>
      </c>
      <c r="BG69" s="57">
        <v>-1.6563294825340386E-2</v>
      </c>
      <c r="BH69" s="57">
        <v>-8.6688123020987634E-2</v>
      </c>
      <c r="BI69" s="57">
        <v>-7.5208760628673862E-2</v>
      </c>
      <c r="BJ69" s="57">
        <v>-0.15096065434695338</v>
      </c>
      <c r="BK69" s="57">
        <v>-0.12114423316193551</v>
      </c>
      <c r="BL69" s="57">
        <v>5.4633499270609941E-3</v>
      </c>
      <c r="BM69" s="57">
        <v>-5.8918308604157685E-2</v>
      </c>
      <c r="BN69" s="57">
        <v>-9.4926246057998709E-2</v>
      </c>
      <c r="BO69" s="57">
        <v>3.4502185656487522E-2</v>
      </c>
      <c r="BP69" s="57">
        <v>-3.1399800288781372E-2</v>
      </c>
      <c r="BQ69" s="57">
        <v>-7.4892854314342797E-2</v>
      </c>
      <c r="BR69" s="57">
        <v>3.7221017422724163E-2</v>
      </c>
      <c r="BS69" s="57">
        <v>-2.1543189758458783E-2</v>
      </c>
      <c r="BT69" s="57">
        <v>-6.166318358272363E-2</v>
      </c>
      <c r="BU69" s="57">
        <v>3.3833588598208841E-3</v>
      </c>
      <c r="BV69" s="57">
        <v>-5.5440083572007165E-2</v>
      </c>
      <c r="BW69" s="57">
        <v>-0.10626267389394257</v>
      </c>
    </row>
    <row r="70" spans="1:75" x14ac:dyDescent="0.3">
      <c r="A70" s="8" t="s">
        <v>103</v>
      </c>
      <c r="B70" s="8" t="s">
        <v>9</v>
      </c>
      <c r="C70" s="8" t="s">
        <v>111</v>
      </c>
      <c r="D70" s="57">
        <v>-0.11236075426078496</v>
      </c>
      <c r="E70" s="57">
        <v>-0.119495840287957</v>
      </c>
      <c r="F70" s="57">
        <v>-0.14204674843295934</v>
      </c>
      <c r="G70" s="57">
        <v>-0.16598876895610759</v>
      </c>
      <c r="H70" s="57">
        <v>-0.16721821075965049</v>
      </c>
      <c r="I70" s="57">
        <v>-0.15966401567833333</v>
      </c>
      <c r="J70" s="57">
        <v>-0.12227879509075268</v>
      </c>
      <c r="K70" s="57">
        <v>-0.12592382659486556</v>
      </c>
      <c r="L70" s="57">
        <v>-0.15087625803056451</v>
      </c>
      <c r="M70" s="57">
        <v>-0.16716070001432792</v>
      </c>
      <c r="N70" s="57">
        <v>-0.16713727683926743</v>
      </c>
      <c r="O70" s="57">
        <v>-0.14622617251940864</v>
      </c>
      <c r="P70" s="57">
        <v>-0.11134587273241932</v>
      </c>
      <c r="Q70" s="57">
        <v>-0.11978711715554119</v>
      </c>
      <c r="R70" s="57">
        <v>-0.15007837376982039</v>
      </c>
      <c r="S70" s="57">
        <v>-0.14640738567795697</v>
      </c>
      <c r="T70" s="57">
        <v>-0.14726730503581001</v>
      </c>
      <c r="U70" s="57">
        <v>-0.14356186259272369</v>
      </c>
      <c r="V70" s="57">
        <v>-0.10813755953333341</v>
      </c>
      <c r="W70" s="57">
        <v>-0.11353110200634411</v>
      </c>
      <c r="X70" s="57">
        <v>-0.13979992372135019</v>
      </c>
      <c r="Y70" s="57">
        <v>-0.15095270038653227</v>
      </c>
      <c r="Z70" s="57">
        <v>-0.14752839151357527</v>
      </c>
      <c r="AA70" s="57">
        <v>-0.14031647701822578</v>
      </c>
      <c r="AB70" s="57">
        <v>-0.11582241068911771</v>
      </c>
      <c r="AC70" s="57">
        <v>-0.11304459986311843</v>
      </c>
      <c r="AD70" s="57">
        <v>-0.12996526145655904</v>
      </c>
      <c r="AE70" s="57">
        <v>-0.1571072899306766</v>
      </c>
      <c r="AF70" s="57">
        <v>-0.15093749128502895</v>
      </c>
      <c r="AG70" s="57">
        <v>-0.14554029221432793</v>
      </c>
      <c r="AH70" s="57">
        <v>-0.12128302167284948</v>
      </c>
      <c r="AI70" s="57">
        <v>-0.11828023948846007</v>
      </c>
      <c r="AJ70" s="57">
        <v>-0.11018438195284945</v>
      </c>
      <c r="AK70" s="57">
        <v>-0.13291906450881724</v>
      </c>
      <c r="AL70" s="57">
        <v>-0.12766385603894395</v>
      </c>
      <c r="AM70" s="57">
        <v>-0.11878989100225806</v>
      </c>
      <c r="AN70" s="57">
        <v>-9.647758714099465E-2</v>
      </c>
      <c r="AO70" s="57">
        <v>-0.10007384192013447</v>
      </c>
      <c r="AP70" s="57">
        <v>-0.12125328477572582</v>
      </c>
      <c r="AQ70" s="57">
        <v>-8.3316671708245485E-2</v>
      </c>
      <c r="AR70" s="57">
        <v>-8.9378490734704358E-2</v>
      </c>
      <c r="AS70" s="57">
        <v>-0.1249682405944355</v>
      </c>
      <c r="AT70" s="57">
        <v>-0.15669615292422057</v>
      </c>
      <c r="AU70" s="57">
        <v>-0.15429043029457015</v>
      </c>
      <c r="AV70" s="57">
        <v>-0.14559177819529573</v>
      </c>
      <c r="AW70" s="57">
        <v>-0.17180407405532266</v>
      </c>
      <c r="AX70" s="57">
        <v>-0.17270284057540339</v>
      </c>
      <c r="AY70" s="57">
        <v>-0.15420581347526885</v>
      </c>
      <c r="AZ70" s="57">
        <v>-0.12317589455301076</v>
      </c>
      <c r="BA70" s="57">
        <v>-0.12264610722223111</v>
      </c>
      <c r="BB70" s="57">
        <v>-0.13241984818314517</v>
      </c>
      <c r="BC70" s="57">
        <v>-0.16876330579255375</v>
      </c>
      <c r="BD70" s="57">
        <v>-0.1648703588745698</v>
      </c>
      <c r="BE70" s="57">
        <v>-0.14346378241295696</v>
      </c>
      <c r="BF70" s="57">
        <v>-0.16006714101263445</v>
      </c>
      <c r="BG70" s="57">
        <v>-0.16724545551642475</v>
      </c>
      <c r="BH70" s="57">
        <v>-0.15138055186443369</v>
      </c>
      <c r="BI70" s="57">
        <v>-0.17308316454892472</v>
      </c>
      <c r="BJ70" s="57">
        <v>-0.18084379865698924</v>
      </c>
      <c r="BK70" s="57">
        <v>-0.15373958225467743</v>
      </c>
      <c r="BL70" s="57">
        <v>-0.11310195539663977</v>
      </c>
      <c r="BM70" s="57">
        <v>-0.11889496901634404</v>
      </c>
      <c r="BN70" s="57">
        <v>-0.144206377879849</v>
      </c>
      <c r="BO70" s="57">
        <v>-0.1451723769331183</v>
      </c>
      <c r="BP70" s="57">
        <v>-0.15092617207529571</v>
      </c>
      <c r="BQ70" s="57">
        <v>-0.14383214930823612</v>
      </c>
      <c r="BR70" s="57">
        <v>-0.10677090017360222</v>
      </c>
      <c r="BS70" s="57">
        <v>-0.11470745013368301</v>
      </c>
      <c r="BT70" s="57">
        <v>-0.13824431598639797</v>
      </c>
      <c r="BU70" s="57">
        <v>-0.16516289175061827</v>
      </c>
      <c r="BV70" s="57">
        <v>-0.16775670509642474</v>
      </c>
      <c r="BW70" s="57">
        <v>-0.15739118576110214</v>
      </c>
    </row>
    <row r="71" spans="1:75" x14ac:dyDescent="0.3">
      <c r="A71" s="8" t="s">
        <v>103</v>
      </c>
      <c r="B71" s="8" t="s">
        <v>9</v>
      </c>
      <c r="C71" s="8" t="s">
        <v>112</v>
      </c>
      <c r="D71" s="57">
        <v>-0.42760123716078496</v>
      </c>
      <c r="E71" s="57">
        <v>-0.40392420268795698</v>
      </c>
      <c r="F71" s="57">
        <v>-0.35538944233295927</v>
      </c>
      <c r="G71" s="57">
        <v>-0.43000187005610763</v>
      </c>
      <c r="H71" s="57">
        <v>-0.39499940005965051</v>
      </c>
      <c r="I71" s="57">
        <v>-0.34670751147833334</v>
      </c>
      <c r="J71" s="57">
        <v>-0.41887491029075274</v>
      </c>
      <c r="K71" s="57">
        <v>-0.3984772048948656</v>
      </c>
      <c r="L71" s="57">
        <v>-0.35693543793056448</v>
      </c>
      <c r="M71" s="57">
        <v>-0.42146244911432801</v>
      </c>
      <c r="N71" s="57">
        <v>-0.39478279283926743</v>
      </c>
      <c r="O71" s="57">
        <v>-0.33504056191940862</v>
      </c>
      <c r="P71" s="57">
        <v>-0.39901611293241929</v>
      </c>
      <c r="Q71" s="57">
        <v>-0.38417153465554121</v>
      </c>
      <c r="R71" s="57">
        <v>-0.35164605336982035</v>
      </c>
      <c r="S71" s="57">
        <v>-0.39219027967795694</v>
      </c>
      <c r="T71" s="57">
        <v>-0.36442313273581001</v>
      </c>
      <c r="U71" s="57">
        <v>-0.3272206665927237</v>
      </c>
      <c r="V71" s="57">
        <v>-0.37605662353333347</v>
      </c>
      <c r="W71" s="57">
        <v>-0.35971387520634412</v>
      </c>
      <c r="X71" s="57">
        <v>-0.32705049982135015</v>
      </c>
      <c r="Y71" s="57">
        <v>-0.38244705368653231</v>
      </c>
      <c r="Z71" s="57">
        <v>-0.35107404501357531</v>
      </c>
      <c r="AA71" s="57">
        <v>-0.31424964761822582</v>
      </c>
      <c r="AB71" s="57">
        <v>-0.38333445478911771</v>
      </c>
      <c r="AC71" s="57">
        <v>-0.35888461946311845</v>
      </c>
      <c r="AD71" s="57">
        <v>-0.31579483825655907</v>
      </c>
      <c r="AE71" s="57">
        <v>-0.37910451223067659</v>
      </c>
      <c r="AF71" s="57">
        <v>-0.34859206728502901</v>
      </c>
      <c r="AG71" s="57">
        <v>-0.31586740931432794</v>
      </c>
      <c r="AH71" s="57">
        <v>-0.41426594267284944</v>
      </c>
      <c r="AI71" s="57">
        <v>-0.38452123898846002</v>
      </c>
      <c r="AJ71" s="57">
        <v>-0.30845305815284946</v>
      </c>
      <c r="AK71" s="57">
        <v>-0.36861929010881728</v>
      </c>
      <c r="AL71" s="57">
        <v>-0.34076376613894399</v>
      </c>
      <c r="AM71" s="57">
        <v>-0.29819283780225803</v>
      </c>
      <c r="AN71" s="57">
        <v>-0.39528017864099463</v>
      </c>
      <c r="AO71" s="57">
        <v>-0.37277003422013449</v>
      </c>
      <c r="AP71" s="57">
        <v>-0.32759809267572582</v>
      </c>
      <c r="AQ71" s="57">
        <v>-0.32702162200824553</v>
      </c>
      <c r="AR71" s="57">
        <v>-0.31053311043470438</v>
      </c>
      <c r="AS71" s="57">
        <v>-0.31057645569443554</v>
      </c>
      <c r="AT71" s="57">
        <v>-0.42647893962422062</v>
      </c>
      <c r="AU71" s="57">
        <v>-0.40367937779457019</v>
      </c>
      <c r="AV71" s="57">
        <v>-0.33599854369529569</v>
      </c>
      <c r="AW71" s="57">
        <v>-0.40300565865532273</v>
      </c>
      <c r="AX71" s="57">
        <v>-0.38044008497540333</v>
      </c>
      <c r="AY71" s="57">
        <v>-0.32901014947526885</v>
      </c>
      <c r="AZ71" s="57">
        <v>-0.40946083895301078</v>
      </c>
      <c r="BA71" s="57">
        <v>-0.38729473062223108</v>
      </c>
      <c r="BB71" s="57">
        <v>-0.33216664928314521</v>
      </c>
      <c r="BC71" s="57">
        <v>-0.40128591989255386</v>
      </c>
      <c r="BD71" s="57">
        <v>-0.3726218846745698</v>
      </c>
      <c r="BE71" s="57">
        <v>-0.32113867981295696</v>
      </c>
      <c r="BF71" s="57">
        <v>-0.4376261500126345</v>
      </c>
      <c r="BG71" s="57">
        <v>-0.42124729521642479</v>
      </c>
      <c r="BH71" s="57">
        <v>-0.34026634826443369</v>
      </c>
      <c r="BI71" s="57">
        <v>-0.40458465854892472</v>
      </c>
      <c r="BJ71" s="57">
        <v>-0.38392530665698921</v>
      </c>
      <c r="BK71" s="57">
        <v>-0.32821544605467745</v>
      </c>
      <c r="BL71" s="57">
        <v>-0.41697444389663979</v>
      </c>
      <c r="BM71" s="57">
        <v>-0.39344060261634406</v>
      </c>
      <c r="BN71" s="57">
        <v>-0.35047263807984896</v>
      </c>
      <c r="BO71" s="57">
        <v>-0.39532537933311829</v>
      </c>
      <c r="BP71" s="57">
        <v>-0.37343752477529568</v>
      </c>
      <c r="BQ71" s="57">
        <v>-0.32850493270823616</v>
      </c>
      <c r="BR71" s="57">
        <v>-0.42480339677360224</v>
      </c>
      <c r="BS71" s="57">
        <v>-0.40071390723368305</v>
      </c>
      <c r="BT71" s="57">
        <v>-0.35342216978639801</v>
      </c>
      <c r="BU71" s="57">
        <v>-0.42653393385061833</v>
      </c>
      <c r="BV71" s="57">
        <v>-0.39702315999642473</v>
      </c>
      <c r="BW71" s="57">
        <v>-0.34442754086110217</v>
      </c>
    </row>
    <row r="72" spans="1:75" x14ac:dyDescent="0.3">
      <c r="A72" s="8" t="s">
        <v>103</v>
      </c>
      <c r="B72" s="8" t="s">
        <v>9</v>
      </c>
      <c r="C72" s="8" t="s">
        <v>115</v>
      </c>
      <c r="D72" s="57">
        <v>-0.10165541169281003</v>
      </c>
      <c r="E72" s="57">
        <v>-0.11450561367469533</v>
      </c>
      <c r="F72" s="57">
        <v>-0.11245578909317844</v>
      </c>
      <c r="G72" s="57">
        <v>-9.5176191495928236E-2</v>
      </c>
      <c r="H72" s="57">
        <v>-0.11506051322689964</v>
      </c>
      <c r="I72" s="57">
        <v>-0.11404531328111113</v>
      </c>
      <c r="J72" s="57">
        <v>-0.10569730887283149</v>
      </c>
      <c r="K72" s="57">
        <v>-0.11700599467008958</v>
      </c>
      <c r="L72" s="57">
        <v>-0.11503972517962364</v>
      </c>
      <c r="M72" s="57">
        <v>-9.9944248123781318E-2</v>
      </c>
      <c r="N72" s="57">
        <v>-0.11510617579567833</v>
      </c>
      <c r="O72" s="57">
        <v>-0.10027394818706097</v>
      </c>
      <c r="P72" s="57">
        <v>-9.8884555778387076E-2</v>
      </c>
      <c r="Q72" s="57">
        <v>-0.12182393989630588</v>
      </c>
      <c r="R72" s="57">
        <v>-0.11466801224147892</v>
      </c>
      <c r="S72" s="57">
        <v>-7.9767708214695338E-2</v>
      </c>
      <c r="T72" s="57">
        <v>-9.5552752242793304E-2</v>
      </c>
      <c r="U72" s="57">
        <v>-9.8077780226210123E-2</v>
      </c>
      <c r="V72" s="57">
        <v>-0.11225428764444452</v>
      </c>
      <c r="W72" s="57">
        <v>-0.13498408026243724</v>
      </c>
      <c r="X72" s="57">
        <v>-0.1203553046348893</v>
      </c>
      <c r="Y72" s="57">
        <v>-0.10045437880897848</v>
      </c>
      <c r="Z72" s="57">
        <v>-0.11486294699094984</v>
      </c>
      <c r="AA72" s="57">
        <v>-0.11043729878784944</v>
      </c>
      <c r="AB72" s="57">
        <v>-0.12662103434058816</v>
      </c>
      <c r="AC72" s="57">
        <v>-0.13452497822458792</v>
      </c>
      <c r="AD72" s="57">
        <v>-0.1105401627622937</v>
      </c>
      <c r="AE72" s="57">
        <v>-0.107095903112882</v>
      </c>
      <c r="AF72" s="57">
        <v>-0.11182614919459606</v>
      </c>
      <c r="AG72" s="57">
        <v>-0.10901535732378136</v>
      </c>
      <c r="AH72" s="57">
        <v>-0.10842584021810035</v>
      </c>
      <c r="AI72" s="57">
        <v>-0.11123165015055043</v>
      </c>
      <c r="AJ72" s="57">
        <v>-0.10348144296476704</v>
      </c>
      <c r="AK72" s="57">
        <v>-0.13340144712745514</v>
      </c>
      <c r="AL72" s="57">
        <v>-0.13534224258356112</v>
      </c>
      <c r="AM72" s="57">
        <v>-0.12166276973182794</v>
      </c>
      <c r="AN72" s="57">
        <v>-8.2757270572670238E-2</v>
      </c>
      <c r="AO72" s="57">
        <v>-8.892968778657713E-2</v>
      </c>
      <c r="AP72" s="57">
        <v>-8.5032566016182809E-2</v>
      </c>
      <c r="AQ72" s="57">
        <v>-9.758797748338964E-2</v>
      </c>
      <c r="AR72" s="57">
        <v>-0.1059106131101972</v>
      </c>
      <c r="AS72" s="57">
        <v>-9.8446002403709654E-2</v>
      </c>
      <c r="AT72" s="57">
        <v>-9.4910261650519814E-2</v>
      </c>
      <c r="AU72" s="57">
        <v>-9.8544813670933748E-2</v>
      </c>
      <c r="AV72" s="57">
        <v>-0.10653590853646959</v>
      </c>
      <c r="AW72" s="57">
        <v>-0.10688471542978503</v>
      </c>
      <c r="AX72" s="57">
        <v>-0.11007084668371153</v>
      </c>
      <c r="AY72" s="57">
        <v>-0.1097088923498208</v>
      </c>
      <c r="AZ72" s="57">
        <v>-0.11099134016465947</v>
      </c>
      <c r="BA72" s="57">
        <v>-0.12370814371851258</v>
      </c>
      <c r="BB72" s="57">
        <v>-9.6973654011236574E-2</v>
      </c>
      <c r="BC72" s="57">
        <v>-0.11132106427163076</v>
      </c>
      <c r="BD72" s="57">
        <v>-0.12494705781695338</v>
      </c>
      <c r="BE72" s="57">
        <v>-0.10620096559136198</v>
      </c>
      <c r="BF72" s="57">
        <v>-9.1383424658243659E-2</v>
      </c>
      <c r="BG72" s="57">
        <v>-0.1000591212557168</v>
      </c>
      <c r="BH72" s="57">
        <v>-0.10548342573193591</v>
      </c>
      <c r="BI72" s="57">
        <v>-0.10902465563405012</v>
      </c>
      <c r="BJ72" s="57">
        <v>-0.12009089156200717</v>
      </c>
      <c r="BK72" s="57">
        <v>-0.10926891956354841</v>
      </c>
      <c r="BL72" s="57">
        <v>-0.10765727440224011</v>
      </c>
      <c r="BM72" s="57">
        <v>-0.11831084212243728</v>
      </c>
      <c r="BN72" s="57">
        <v>-0.115327974209781</v>
      </c>
      <c r="BO72" s="57">
        <v>-7.8093842577921124E-2</v>
      </c>
      <c r="BP72" s="57">
        <v>-9.0053207549802838E-2</v>
      </c>
      <c r="BQ72" s="57">
        <v>-9.8252941524189633E-2</v>
      </c>
      <c r="BR72" s="57">
        <v>-0.10378654468426517</v>
      </c>
      <c r="BS72" s="57">
        <v>-0.11679610537754463</v>
      </c>
      <c r="BT72" s="57">
        <v>-0.10842954907573467</v>
      </c>
      <c r="BU72" s="57">
        <v>-9.723652429958779E-2</v>
      </c>
      <c r="BV72" s="57">
        <v>-0.1138527938023835</v>
      </c>
      <c r="BW72" s="57">
        <v>-0.11174582562593191</v>
      </c>
    </row>
    <row r="73" spans="1:75" x14ac:dyDescent="0.3">
      <c r="A73" s="8" t="s">
        <v>103</v>
      </c>
      <c r="B73" s="8" t="s">
        <v>9</v>
      </c>
      <c r="C73" s="8" t="s">
        <v>116</v>
      </c>
      <c r="D73" s="57">
        <v>-0.33671218807300624</v>
      </c>
      <c r="E73" s="57">
        <v>-0.3229549933866846</v>
      </c>
      <c r="F73" s="57">
        <v>-0.26518797003914546</v>
      </c>
      <c r="G73" s="57">
        <v>-0.29643759831995514</v>
      </c>
      <c r="H73" s="57">
        <v>-0.28324416177181239</v>
      </c>
      <c r="I73" s="57">
        <v>-0.2472030401306945</v>
      </c>
      <c r="J73" s="57">
        <v>-0.32605414236551961</v>
      </c>
      <c r="K73" s="57">
        <v>-0.31612042132380602</v>
      </c>
      <c r="L73" s="57">
        <v>-0.26262180545226471</v>
      </c>
      <c r="M73" s="57">
        <v>-0.29255032051236329</v>
      </c>
      <c r="N73" s="57">
        <v>-0.28315745075221671</v>
      </c>
      <c r="O73" s="57">
        <v>-0.23496166440691302</v>
      </c>
      <c r="P73" s="57">
        <v>-0.31116388263149181</v>
      </c>
      <c r="Q73" s="57">
        <v>-0.31246825111019128</v>
      </c>
      <c r="R73" s="57">
        <v>-0.25843255585073011</v>
      </c>
      <c r="S73" s="57">
        <v>-0.26516793553418455</v>
      </c>
      <c r="T73" s="57">
        <v>-0.25479016259674575</v>
      </c>
      <c r="U73" s="57">
        <v>-0.22838667878118715</v>
      </c>
      <c r="V73" s="57">
        <v>-0.30554056762777787</v>
      </c>
      <c r="W73" s="57">
        <v>-0.30750459398402313</v>
      </c>
      <c r="X73" s="57">
        <v>-0.2497599789528584</v>
      </c>
      <c r="Y73" s="57">
        <v>-0.27149226516061153</v>
      </c>
      <c r="Z73" s="57">
        <v>-0.25986877409434372</v>
      </c>
      <c r="AA73" s="57">
        <v>-0.2302776109524059</v>
      </c>
      <c r="AB73" s="57">
        <v>-0.31856487764786751</v>
      </c>
      <c r="AC73" s="57">
        <v>-0.3067549378503675</v>
      </c>
      <c r="AD73" s="57">
        <v>-0.23875435960643357</v>
      </c>
      <c r="AE73" s="57">
        <v>-0.27012386120055115</v>
      </c>
      <c r="AF73" s="57">
        <v>-0.25287560330816095</v>
      </c>
      <c r="AG73" s="57">
        <v>-0.22683890256236339</v>
      </c>
      <c r="AH73" s="57">
        <v>-0.3252044299863126</v>
      </c>
      <c r="AI73" s="57">
        <v>-0.30479034527623683</v>
      </c>
      <c r="AJ73" s="57">
        <v>-0.24018284892297934</v>
      </c>
      <c r="AK73" s="57">
        <v>-0.30030713541465937</v>
      </c>
      <c r="AL73" s="57">
        <v>-0.28228112375686853</v>
      </c>
      <c r="AM73" s="57">
        <v>-0.24116144346239246</v>
      </c>
      <c r="AN73" s="57">
        <v>-0.30452891238291885</v>
      </c>
      <c r="AO73" s="57">
        <v>-0.2884974144716107</v>
      </c>
      <c r="AP73" s="57">
        <v>-0.23291097757511425</v>
      </c>
      <c r="AQ73" s="57">
        <v>-0.26911499008211798</v>
      </c>
      <c r="AR73" s="57">
        <v>-0.25825286978887324</v>
      </c>
      <c r="AS73" s="57">
        <v>-0.22753977503731859</v>
      </c>
      <c r="AT73" s="57">
        <v>-0.29963947422657483</v>
      </c>
      <c r="AU73" s="57">
        <v>-0.28532456228947911</v>
      </c>
      <c r="AV73" s="57">
        <v>-0.2415199430102935</v>
      </c>
      <c r="AW73" s="57">
        <v>-0.27984108635361571</v>
      </c>
      <c r="AX73" s="57">
        <v>-0.26307462858746528</v>
      </c>
      <c r="AY73" s="57">
        <v>-0.23246991131863801</v>
      </c>
      <c r="AZ73" s="57">
        <v>-0.3220714411429122</v>
      </c>
      <c r="BA73" s="57">
        <v>-0.31471947351407031</v>
      </c>
      <c r="BB73" s="57">
        <v>-0.23922183834202287</v>
      </c>
      <c r="BC73" s="57">
        <v>-0.28425987085476917</v>
      </c>
      <c r="BD73" s="57">
        <v>-0.27455647096559582</v>
      </c>
      <c r="BE73" s="57">
        <v>-0.23027583808460125</v>
      </c>
      <c r="BF73" s="57">
        <v>-0.30364601106140227</v>
      </c>
      <c r="BG73" s="57">
        <v>-0.29241003742982297</v>
      </c>
      <c r="BH73" s="57">
        <v>-0.24022255307181056</v>
      </c>
      <c r="BI73" s="57">
        <v>-0.28210253767128129</v>
      </c>
      <c r="BJ73" s="57">
        <v>-0.26892194502625444</v>
      </c>
      <c r="BK73" s="57">
        <v>-0.23175149085721772</v>
      </c>
      <c r="BL73" s="57">
        <v>-0.33242455622640005</v>
      </c>
      <c r="BM73" s="57">
        <v>-0.31784016923652325</v>
      </c>
      <c r="BN73" s="57">
        <v>-0.26203939507029117</v>
      </c>
      <c r="BO73" s="57">
        <v>-0.26721206045120072</v>
      </c>
      <c r="BP73" s="57">
        <v>-0.25514006841362669</v>
      </c>
      <c r="BQ73" s="57">
        <v>-0.22942350596179661</v>
      </c>
      <c r="BR73" s="57">
        <v>-0.34001849873766576</v>
      </c>
      <c r="BS73" s="57">
        <v>-0.32550248909596541</v>
      </c>
      <c r="BT73" s="57">
        <v>-0.26272897050233418</v>
      </c>
      <c r="BU73" s="57">
        <v>-0.29585699317224234</v>
      </c>
      <c r="BV73" s="57">
        <v>-0.28353963209148958</v>
      </c>
      <c r="BW73" s="57">
        <v>-0.24490158355120745</v>
      </c>
    </row>
    <row r="74" spans="1:75" x14ac:dyDescent="0.3">
      <c r="A74" s="8" t="s">
        <v>103</v>
      </c>
      <c r="B74" s="8" t="s">
        <v>9</v>
      </c>
      <c r="C74" s="8" t="s">
        <v>117</v>
      </c>
      <c r="D74" s="57">
        <v>-0.31327928685980383</v>
      </c>
      <c r="E74" s="57">
        <v>-0.29939075372801072</v>
      </c>
      <c r="F74" s="57">
        <v>-0.24509931320312359</v>
      </c>
      <c r="G74" s="57">
        <v>-0.27974724033597315</v>
      </c>
      <c r="H74" s="57">
        <v>-0.26520591453508707</v>
      </c>
      <c r="I74" s="57">
        <v>-0.22909286043041666</v>
      </c>
      <c r="J74" s="57">
        <v>-0.3034752036273119</v>
      </c>
      <c r="K74" s="57">
        <v>-0.29311858482628356</v>
      </c>
      <c r="L74" s="57">
        <v>-0.24326175616735887</v>
      </c>
      <c r="M74" s="57">
        <v>-0.27563908357141803</v>
      </c>
      <c r="N74" s="57">
        <v>-0.26510848205657556</v>
      </c>
      <c r="O74" s="57">
        <v>-0.21685953842014788</v>
      </c>
      <c r="P74" s="57">
        <v>-0.28830043946689515</v>
      </c>
      <c r="Q74" s="57">
        <v>-0.28848764858611464</v>
      </c>
      <c r="R74" s="57">
        <v>-0.23909405372356432</v>
      </c>
      <c r="S74" s="57">
        <v>-0.24832071908051079</v>
      </c>
      <c r="T74" s="57">
        <v>-0.23685939176604751</v>
      </c>
      <c r="U74" s="57">
        <v>-0.21031138981783848</v>
      </c>
      <c r="V74" s="57">
        <v>-0.28130147961666674</v>
      </c>
      <c r="W74" s="57">
        <v>-0.28184239939841405</v>
      </c>
      <c r="X74" s="57">
        <v>-0.22902943263150452</v>
      </c>
      <c r="Y74" s="57">
        <v>-0.25323503512836698</v>
      </c>
      <c r="Z74" s="57">
        <v>-0.24022752349660614</v>
      </c>
      <c r="AA74" s="57">
        <v>-0.21078076919544356</v>
      </c>
      <c r="AB74" s="57">
        <v>-0.29366341465272056</v>
      </c>
      <c r="AC74" s="57">
        <v>-0.28109489973422053</v>
      </c>
      <c r="AD74" s="57">
        <v>-0.21804216123585998</v>
      </c>
      <c r="AE74" s="57">
        <v>-0.25195361099233066</v>
      </c>
      <c r="AF74" s="57">
        <v>-0.2339631007172043</v>
      </c>
      <c r="AG74" s="57">
        <v>-0.20805815152141802</v>
      </c>
      <c r="AH74" s="57">
        <v>-0.30230467783178755</v>
      </c>
      <c r="AI74" s="57">
        <v>-0.28169176136002783</v>
      </c>
      <c r="AJ74" s="57">
        <v>-0.21802073316178766</v>
      </c>
      <c r="AK74" s="57">
        <v>-0.27689175107279557</v>
      </c>
      <c r="AL74" s="57">
        <v>-0.25846900067240686</v>
      </c>
      <c r="AM74" s="57">
        <v>-0.21831125634943546</v>
      </c>
      <c r="AN74" s="57">
        <v>-0.28163233558975126</v>
      </c>
      <c r="AO74" s="57">
        <v>-0.2657161699949665</v>
      </c>
      <c r="AP74" s="57">
        <v>-0.21358526648106854</v>
      </c>
      <c r="AQ74" s="57">
        <v>-0.2442063602146036</v>
      </c>
      <c r="AR74" s="57">
        <v>-0.23344030584132405</v>
      </c>
      <c r="AS74" s="57">
        <v>-0.20754045292639109</v>
      </c>
      <c r="AT74" s="57">
        <v>-0.28196402354394495</v>
      </c>
      <c r="AU74" s="57">
        <v>-0.26733642470184282</v>
      </c>
      <c r="AV74" s="57">
        <v>-0.22270543332617607</v>
      </c>
      <c r="AW74" s="57">
        <v>-0.26303014243616946</v>
      </c>
      <c r="AX74" s="57">
        <v>-0.24637015305663451</v>
      </c>
      <c r="AY74" s="57">
        <v>-0.21442239863118276</v>
      </c>
      <c r="AZ74" s="57">
        <v>-0.29920011166174737</v>
      </c>
      <c r="BA74" s="57">
        <v>-0.29083257524444223</v>
      </c>
      <c r="BB74" s="57">
        <v>-0.21991293202921372</v>
      </c>
      <c r="BC74" s="57">
        <v>-0.26668234337686153</v>
      </c>
      <c r="BD74" s="57">
        <v>-0.25558092213135747</v>
      </c>
      <c r="BE74" s="57">
        <v>-0.2114639069467607</v>
      </c>
      <c r="BF74" s="57">
        <v>-0.28654925399684134</v>
      </c>
      <c r="BG74" s="57">
        <v>-0.27550007314589375</v>
      </c>
      <c r="BH74" s="57">
        <v>-0.2221138971650603</v>
      </c>
      <c r="BI74" s="57">
        <v>-0.26520122436276877</v>
      </c>
      <c r="BJ74" s="57">
        <v>-0.25209607133575268</v>
      </c>
      <c r="BK74" s="57">
        <v>-0.21370604478633068</v>
      </c>
      <c r="BL74" s="57">
        <v>-0.30862798877584013</v>
      </c>
      <c r="BM74" s="57">
        <v>-0.29397650144591397</v>
      </c>
      <c r="BN74" s="57">
        <v>-0.24198057457729794</v>
      </c>
      <c r="BO74" s="57">
        <v>-0.25034629956672044</v>
      </c>
      <c r="BP74" s="57">
        <v>-0.23804863125617609</v>
      </c>
      <c r="BQ74" s="57">
        <v>-0.21134324412020125</v>
      </c>
      <c r="BR74" s="57">
        <v>-0.3157736129065995</v>
      </c>
      <c r="BS74" s="57">
        <v>-0.30120781704157928</v>
      </c>
      <c r="BT74" s="57">
        <v>-0.24263647785340059</v>
      </c>
      <c r="BU74" s="57">
        <v>-0.27891575788734541</v>
      </c>
      <c r="BV74" s="57">
        <v>-0.26565478815089383</v>
      </c>
      <c r="BW74" s="57">
        <v>-0.2267941716347246</v>
      </c>
    </row>
    <row r="75" spans="1:75" x14ac:dyDescent="0.3">
      <c r="A75" s="8" t="s">
        <v>103</v>
      </c>
      <c r="B75" s="8" t="s">
        <v>9</v>
      </c>
      <c r="C75" s="8" t="s">
        <v>118</v>
      </c>
      <c r="D75" s="57">
        <v>-0.34757587195009815</v>
      </c>
      <c r="E75" s="57">
        <v>-0.33075078841599465</v>
      </c>
      <c r="F75" s="57">
        <v>-0.27818635194207447</v>
      </c>
      <c r="G75" s="57">
        <v>-0.32482362925201347</v>
      </c>
      <c r="H75" s="57">
        <v>-0.30414396019245615</v>
      </c>
      <c r="I75" s="57">
        <v>-0.26437725574479171</v>
      </c>
      <c r="J75" s="57">
        <v>-0.3380951156263442</v>
      </c>
      <c r="K75" s="57">
        <v>-0.32472617084685795</v>
      </c>
      <c r="L75" s="57">
        <v>-0.27736386069632057</v>
      </c>
      <c r="M75" s="57">
        <v>-0.31938609323429101</v>
      </c>
      <c r="N75" s="57">
        <v>-0.30401077529138321</v>
      </c>
      <c r="O75" s="57">
        <v>-0.25231384546992608</v>
      </c>
      <c r="P75" s="57">
        <v>-0.32151514150655236</v>
      </c>
      <c r="Q75" s="57">
        <v>-0.31719281440694264</v>
      </c>
      <c r="R75" s="57">
        <v>-0.27285965361744113</v>
      </c>
      <c r="S75" s="57">
        <v>-0.29148158725974466</v>
      </c>
      <c r="T75" s="57">
        <v>-0.27512851405697625</v>
      </c>
      <c r="U75" s="57">
        <v>-0.24538417285030406</v>
      </c>
      <c r="V75" s="57">
        <v>-0.30972802279166683</v>
      </c>
      <c r="W75" s="57">
        <v>-0.30520384214079305</v>
      </c>
      <c r="X75" s="57">
        <v>-0.25843575278845832</v>
      </c>
      <c r="Y75" s="57">
        <v>-0.29199864069581655</v>
      </c>
      <c r="Z75" s="57">
        <v>-0.27348147995169697</v>
      </c>
      <c r="AA75" s="57">
        <v>-0.24182143272227827</v>
      </c>
      <c r="AB75" s="57">
        <v>-0.32056472669363983</v>
      </c>
      <c r="AC75" s="57">
        <v>-0.30443181565289001</v>
      </c>
      <c r="AD75" s="57">
        <v>-0.24736796434206976</v>
      </c>
      <c r="AE75" s="57">
        <v>-0.29009888136383455</v>
      </c>
      <c r="AF75" s="57">
        <v>-0.26835179068755183</v>
      </c>
      <c r="AG75" s="57">
        <v>-0.24040092885929107</v>
      </c>
      <c r="AH75" s="57">
        <v>-0.33589305728410629</v>
      </c>
      <c r="AI75" s="57">
        <v>-0.31254060464855754</v>
      </c>
      <c r="AJ75" s="57">
        <v>-0.24515043065910622</v>
      </c>
      <c r="AK75" s="57">
        <v>-0.30441001278360236</v>
      </c>
      <c r="AL75" s="57">
        <v>-0.28315743031236795</v>
      </c>
      <c r="AM75" s="57">
        <v>-0.2422757307852822</v>
      </c>
      <c r="AN75" s="57">
        <v>-0.31572668850512448</v>
      </c>
      <c r="AO75" s="57">
        <v>-0.2978323292625169</v>
      </c>
      <c r="AP75" s="57">
        <v>-0.24778911433946571</v>
      </c>
      <c r="AQ75" s="57">
        <v>-0.26905093875269614</v>
      </c>
      <c r="AR75" s="57">
        <v>-0.25656814721933818</v>
      </c>
      <c r="AS75" s="57">
        <v>-0.23845125375680448</v>
      </c>
      <c r="AT75" s="57">
        <v>-0.32531849836802773</v>
      </c>
      <c r="AU75" s="57">
        <v>-0.3082393106296612</v>
      </c>
      <c r="AV75" s="57">
        <v>-0.25669336643691198</v>
      </c>
      <c r="AW75" s="57">
        <v>-0.3050227973019155</v>
      </c>
      <c r="AX75" s="57">
        <v>-0.28659113263226516</v>
      </c>
      <c r="AY75" s="57">
        <v>-0.24879872388440863</v>
      </c>
      <c r="AZ75" s="57">
        <v>-0.33227832984912642</v>
      </c>
      <c r="BA75" s="57">
        <v>-0.3197712218577789</v>
      </c>
      <c r="BB75" s="57">
        <v>-0.25358904720539316</v>
      </c>
      <c r="BC75" s="57">
        <v>-0.30706341633156931</v>
      </c>
      <c r="BD75" s="57">
        <v>-0.29069321089432121</v>
      </c>
      <c r="BE75" s="57">
        <v>-0.24436633880661962</v>
      </c>
      <c r="BF75" s="57">
        <v>-0.3318723228015793</v>
      </c>
      <c r="BG75" s="57">
        <v>-0.31922423976705316</v>
      </c>
      <c r="BH75" s="57">
        <v>-0.25755963249487246</v>
      </c>
      <c r="BI75" s="57">
        <v>-0.30701625461861565</v>
      </c>
      <c r="BJ75" s="57">
        <v>-0.29164484193212359</v>
      </c>
      <c r="BK75" s="57">
        <v>-0.24805886516683476</v>
      </c>
      <c r="BL75" s="57">
        <v>-0.34113192531207992</v>
      </c>
      <c r="BM75" s="57">
        <v>-0.32381573179704304</v>
      </c>
      <c r="BN75" s="57">
        <v>-0.2745281936280633</v>
      </c>
      <c r="BO75" s="57">
        <v>-0.2938400234966399</v>
      </c>
      <c r="BP75" s="57">
        <v>-0.27866529931191192</v>
      </c>
      <c r="BQ75" s="57">
        <v>-0.24649175069661175</v>
      </c>
      <c r="BR75" s="57">
        <v>-0.34848254806670037</v>
      </c>
      <c r="BS75" s="57">
        <v>-0.33105964409921035</v>
      </c>
      <c r="BT75" s="57">
        <v>-0.27587218543329961</v>
      </c>
      <c r="BU75" s="57">
        <v>-0.32320121067632746</v>
      </c>
      <c r="BV75" s="57">
        <v>-0.30506529970455309</v>
      </c>
      <c r="BW75" s="57">
        <v>-0.26208418240263776</v>
      </c>
    </row>
    <row r="76" spans="1:75" x14ac:dyDescent="0.3">
      <c r="A76" s="8" t="s">
        <v>103</v>
      </c>
      <c r="B76" s="8" t="s">
        <v>10</v>
      </c>
      <c r="C76" s="8" t="s">
        <v>108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v>0</v>
      </c>
      <c r="Q76" s="57">
        <v>0</v>
      </c>
      <c r="R76" s="57">
        <v>0</v>
      </c>
      <c r="S76" s="57">
        <v>0</v>
      </c>
      <c r="T76" s="57">
        <v>0</v>
      </c>
      <c r="U76" s="57">
        <v>0</v>
      </c>
      <c r="V76" s="57">
        <v>0</v>
      </c>
      <c r="W76" s="57">
        <v>0</v>
      </c>
      <c r="X76" s="57">
        <v>0</v>
      </c>
      <c r="Y76" s="57">
        <v>0</v>
      </c>
      <c r="Z76" s="57">
        <v>0</v>
      </c>
      <c r="AA76" s="57">
        <v>0</v>
      </c>
      <c r="AB76" s="57">
        <v>0</v>
      </c>
      <c r="AC76" s="57">
        <v>0</v>
      </c>
      <c r="AD76" s="57">
        <v>0</v>
      </c>
      <c r="AE76" s="57">
        <v>0</v>
      </c>
      <c r="AF76" s="57">
        <v>0</v>
      </c>
      <c r="AG76" s="57">
        <v>0</v>
      </c>
      <c r="AH76" s="57">
        <v>0</v>
      </c>
      <c r="AI76" s="57">
        <v>0</v>
      </c>
      <c r="AJ76" s="57">
        <v>0</v>
      </c>
      <c r="AK76" s="57">
        <v>0</v>
      </c>
      <c r="AL76" s="57">
        <v>0</v>
      </c>
      <c r="AM76" s="57">
        <v>0</v>
      </c>
      <c r="AN76" s="57">
        <v>0</v>
      </c>
      <c r="AO76" s="57">
        <v>0</v>
      </c>
      <c r="AP76" s="57">
        <v>0</v>
      </c>
      <c r="AQ76" s="57">
        <v>0</v>
      </c>
      <c r="AR76" s="57">
        <v>0</v>
      </c>
      <c r="AS76" s="57">
        <v>0</v>
      </c>
      <c r="AT76" s="57">
        <v>0</v>
      </c>
      <c r="AU76" s="57">
        <v>0</v>
      </c>
      <c r="AV76" s="57">
        <v>0</v>
      </c>
      <c r="AW76" s="57">
        <v>0</v>
      </c>
      <c r="AX76" s="57">
        <v>0</v>
      </c>
      <c r="AY76" s="57">
        <v>0</v>
      </c>
      <c r="AZ76" s="57">
        <v>0</v>
      </c>
      <c r="BA76" s="57">
        <v>0</v>
      </c>
      <c r="BB76" s="57">
        <v>0</v>
      </c>
      <c r="BC76" s="57">
        <v>0</v>
      </c>
      <c r="BD76" s="57">
        <v>0</v>
      </c>
      <c r="BE76" s="57">
        <v>0</v>
      </c>
      <c r="BF76" s="57">
        <v>0</v>
      </c>
      <c r="BG76" s="57">
        <v>0</v>
      </c>
      <c r="BH76" s="57">
        <v>0</v>
      </c>
      <c r="BI76" s="57">
        <v>0</v>
      </c>
      <c r="BJ76" s="57">
        <v>0</v>
      </c>
      <c r="BK76" s="57">
        <v>0</v>
      </c>
      <c r="BL76" s="57">
        <v>0</v>
      </c>
      <c r="BM76" s="57">
        <v>0</v>
      </c>
      <c r="BN76" s="57">
        <v>0</v>
      </c>
      <c r="BO76" s="57">
        <v>0</v>
      </c>
      <c r="BP76" s="57">
        <v>0</v>
      </c>
      <c r="BQ76" s="57">
        <v>0</v>
      </c>
      <c r="BR76" s="57">
        <v>0</v>
      </c>
      <c r="BS76" s="57">
        <v>0</v>
      </c>
      <c r="BT76" s="57">
        <v>0</v>
      </c>
      <c r="BU76" s="57">
        <v>0</v>
      </c>
      <c r="BV76" s="57">
        <v>0</v>
      </c>
      <c r="BW76" s="57">
        <v>0</v>
      </c>
    </row>
    <row r="77" spans="1:75" x14ac:dyDescent="0.3">
      <c r="A77" s="8" t="s">
        <v>103</v>
      </c>
      <c r="B77" s="8" t="s">
        <v>10</v>
      </c>
      <c r="C77" s="8" t="s">
        <v>109</v>
      </c>
      <c r="D77" s="57">
        <v>1.5003115497616484E-2</v>
      </c>
      <c r="E77" s="57">
        <v>-1.6039456705445237E-2</v>
      </c>
      <c r="F77" s="57">
        <v>-3.2787516740197115E-2</v>
      </c>
      <c r="G77" s="57">
        <v>2.6158796264390782E-2</v>
      </c>
      <c r="H77" s="57">
        <v>1.5100728385307734E-4</v>
      </c>
      <c r="I77" s="57">
        <v>-2.5781692724599774E-2</v>
      </c>
      <c r="J77" s="57">
        <v>7.6164503959857948E-3</v>
      </c>
      <c r="K77" s="57">
        <v>-2.1800910985860244E-2</v>
      </c>
      <c r="L77" s="57">
        <v>-3.9181580292526892E-2</v>
      </c>
      <c r="M77" s="57">
        <v>1.192219291385313E-2</v>
      </c>
      <c r="N77" s="57">
        <v>-4.7886439426494942E-5</v>
      </c>
      <c r="O77" s="57">
        <v>-3.7796363230071586E-2</v>
      </c>
      <c r="P77" s="57">
        <v>4.0894061036666658E-2</v>
      </c>
      <c r="Q77" s="57">
        <v>1.8724929095430141E-2</v>
      </c>
      <c r="R77" s="57">
        <v>-3.003964947118282E-2</v>
      </c>
      <c r="S77" s="57">
        <v>4.4612599419713343E-2</v>
      </c>
      <c r="T77" s="57">
        <v>2.6460238077239818E-3</v>
      </c>
      <c r="U77" s="57">
        <v>-2.6752624069533867E-2</v>
      </c>
      <c r="V77" s="57">
        <v>2.3906633991397936E-2</v>
      </c>
      <c r="W77" s="57">
        <v>1.7176875152729434E-2</v>
      </c>
      <c r="X77" s="57">
        <v>-3.4596504555876997E-2</v>
      </c>
      <c r="Y77" s="57">
        <v>-2.1512888778512491E-2</v>
      </c>
      <c r="Z77" s="57">
        <v>-3.5377692548297451E-2</v>
      </c>
      <c r="AA77" s="57">
        <v>-5.0023692275679661E-2</v>
      </c>
      <c r="AB77" s="57">
        <v>-2.0189631407831591E-2</v>
      </c>
      <c r="AC77" s="57">
        <v>-5.1960286679068025E-2</v>
      </c>
      <c r="AD77" s="57">
        <v>-7.8894831599569962E-2</v>
      </c>
      <c r="AE77" s="57">
        <v>-2.0604997795179169E-2</v>
      </c>
      <c r="AF77" s="57">
        <v>-2.143050393405015E-2</v>
      </c>
      <c r="AG77" s="57">
        <v>-7.1404113283996332E-2</v>
      </c>
      <c r="AH77" s="57">
        <v>2.3195965023297656E-3</v>
      </c>
      <c r="AI77" s="57">
        <v>-1.0097476261917523E-2</v>
      </c>
      <c r="AJ77" s="57">
        <v>6.9882690438735609E-5</v>
      </c>
      <c r="AK77" s="57">
        <v>-4.5695570453620091E-2</v>
      </c>
      <c r="AL77" s="57">
        <v>-4.6473179455501841E-2</v>
      </c>
      <c r="AM77" s="57">
        <v>-5.9939903857984103E-2</v>
      </c>
      <c r="AN77" s="57">
        <v>6.276868707433593E-2</v>
      </c>
      <c r="AO77" s="57">
        <v>2.5135036605895961E-2</v>
      </c>
      <c r="AP77" s="57">
        <v>2.8180847034354896E-2</v>
      </c>
      <c r="AQ77" s="57">
        <v>6.782899219627142E-2</v>
      </c>
      <c r="AR77" s="57">
        <v>2.3602230310949719E-2</v>
      </c>
      <c r="AS77" s="57">
        <v>1.1043160390197157E-2</v>
      </c>
      <c r="AT77" s="57">
        <v>3.0315447473135981E-2</v>
      </c>
      <c r="AU77" s="57">
        <v>3.955187444788134E-3</v>
      </c>
      <c r="AV77" s="57">
        <v>-1.243796323360212E-2</v>
      </c>
      <c r="AW77" s="57">
        <v>-1.8265438687849606E-2</v>
      </c>
      <c r="AX77" s="57">
        <v>-4.4503392734656283E-2</v>
      </c>
      <c r="AY77" s="57">
        <v>-2.7332533525448066E-2</v>
      </c>
      <c r="AZ77" s="57">
        <v>3.9257010150752891E-2</v>
      </c>
      <c r="BA77" s="57">
        <v>7.1449366233333296E-3</v>
      </c>
      <c r="BB77" s="57">
        <v>-6.8358312191544521E-3</v>
      </c>
      <c r="BC77" s="57">
        <v>-1.9611725008189741E-2</v>
      </c>
      <c r="BD77" s="57">
        <v>-5.6319290352437233E-2</v>
      </c>
      <c r="BE77" s="57">
        <v>-3.1214491684226148E-2</v>
      </c>
      <c r="BF77" s="57">
        <v>4.6016764320250932E-2</v>
      </c>
      <c r="BG77" s="57">
        <v>1.1482533104498274E-2</v>
      </c>
      <c r="BH77" s="57">
        <v>-2.6982247781260942E-2</v>
      </c>
      <c r="BI77" s="57">
        <v>-2.1502420687813516E-2</v>
      </c>
      <c r="BJ77" s="57">
        <v>-5.9090123088888807E-2</v>
      </c>
      <c r="BK77" s="57">
        <v>-5.128313610201387E-2</v>
      </c>
      <c r="BL77" s="57">
        <v>9.1428150947222481E-2</v>
      </c>
      <c r="BM77" s="57">
        <v>2.0469825027383516E-2</v>
      </c>
      <c r="BN77" s="57">
        <v>-2.6579463253655945E-2</v>
      </c>
      <c r="BO77" s="57">
        <v>5.1019070927455237E-2</v>
      </c>
      <c r="BP77" s="57">
        <v>1.4228428445296957E-2</v>
      </c>
      <c r="BQ77" s="57">
        <v>-2.518837454512543E-2</v>
      </c>
      <c r="BR77" s="57">
        <v>3.9798888530788508E-2</v>
      </c>
      <c r="BS77" s="57">
        <v>1.8867167910985638E-2</v>
      </c>
      <c r="BT77" s="57">
        <v>-4.853156620476666E-2</v>
      </c>
      <c r="BU77" s="57">
        <v>3.7146509802562858E-2</v>
      </c>
      <c r="BV77" s="57">
        <v>2.3283701492293135E-3</v>
      </c>
      <c r="BW77" s="57">
        <v>-8.9271798244211137E-2</v>
      </c>
    </row>
    <row r="78" spans="1:75" x14ac:dyDescent="0.3">
      <c r="A78" s="8" t="s">
        <v>103</v>
      </c>
      <c r="B78" s="8" t="s">
        <v>10</v>
      </c>
      <c r="C78" s="8" t="s">
        <v>110</v>
      </c>
      <c r="D78" s="57">
        <v>2.0979889787132625E-2</v>
      </c>
      <c r="E78" s="57">
        <v>-4.1692422288101293E-2</v>
      </c>
      <c r="F78" s="57">
        <v>-0.10257074179745515</v>
      </c>
      <c r="G78" s="57">
        <v>1.0534775394229562E-2</v>
      </c>
      <c r="H78" s="57">
        <v>-5.0646258987921085E-2</v>
      </c>
      <c r="I78" s="57">
        <v>-0.10593324186062125</v>
      </c>
      <c r="J78" s="57">
        <v>1.6282835727624012E-4</v>
      </c>
      <c r="K78" s="57">
        <v>-5.6982852233440878E-2</v>
      </c>
      <c r="L78" s="57">
        <v>-0.11773527514010751</v>
      </c>
      <c r="M78" s="57">
        <v>-1.575151240792097E-2</v>
      </c>
      <c r="N78" s="57">
        <v>-5.1013493891039353E-2</v>
      </c>
      <c r="O78" s="57">
        <v>-0.11658503907362</v>
      </c>
      <c r="P78" s="57">
        <v>4.4920200086666653E-2</v>
      </c>
      <c r="Q78" s="57">
        <v>-3.1965886827951817E-4</v>
      </c>
      <c r="R78" s="57">
        <v>-0.10138010176473118</v>
      </c>
      <c r="S78" s="57">
        <v>2.2673356145519866E-2</v>
      </c>
      <c r="T78" s="57">
        <v>-5.4813208412437316E-2</v>
      </c>
      <c r="U78" s="57">
        <v>-0.10629123081146943</v>
      </c>
      <c r="V78" s="57">
        <v>9.2477767655915616E-3</v>
      </c>
      <c r="W78" s="57">
        <v>-1.5381043229783363E-2</v>
      </c>
      <c r="X78" s="57">
        <v>-0.11025162426816805</v>
      </c>
      <c r="Y78" s="57">
        <v>-7.7485632437383406E-2</v>
      </c>
      <c r="Z78" s="57">
        <v>-0.11624600957652319</v>
      </c>
      <c r="AA78" s="57">
        <v>-0.13191556683071273</v>
      </c>
      <c r="AB78" s="57">
        <v>2.6490684720070906E-3</v>
      </c>
      <c r="AC78" s="57">
        <v>-5.6011875262938937E-2</v>
      </c>
      <c r="AD78" s="57">
        <v>-0.12871546023827962</v>
      </c>
      <c r="AE78" s="57">
        <v>-2.1982269204050109E-2</v>
      </c>
      <c r="AF78" s="57">
        <v>-4.0431081869534008E-2</v>
      </c>
      <c r="AG78" s="57">
        <v>-0.12273127679931892</v>
      </c>
      <c r="AH78" s="57">
        <v>-9.6172169573476574E-3</v>
      </c>
      <c r="AI78" s="57">
        <v>-4.5548493564336864E-2</v>
      </c>
      <c r="AJ78" s="57">
        <v>-6.9526324272175449E-2</v>
      </c>
      <c r="AK78" s="57">
        <v>-4.6374898827813663E-2</v>
      </c>
      <c r="AL78" s="57">
        <v>-6.3518459785340542E-2</v>
      </c>
      <c r="AM78" s="57">
        <v>-0.1019273919125338</v>
      </c>
      <c r="AN78" s="57">
        <v>7.6789279523741566E-2</v>
      </c>
      <c r="AO78" s="57">
        <v>6.9933766002508021E-3</v>
      </c>
      <c r="AP78" s="57">
        <v>-1.7208648232580531E-2</v>
      </c>
      <c r="AQ78" s="57">
        <v>5.2789339571483511E-2</v>
      </c>
      <c r="AR78" s="57">
        <v>-2.344809119953414E-2</v>
      </c>
      <c r="AS78" s="57">
        <v>-5.3624342302544738E-2</v>
      </c>
      <c r="AT78" s="57">
        <v>1.9295923615877827E-2</v>
      </c>
      <c r="AU78" s="57">
        <v>-3.1673067228129119E-2</v>
      </c>
      <c r="AV78" s="57">
        <v>-8.5923452584408533E-2</v>
      </c>
      <c r="AW78" s="57">
        <v>-7.3274587731397958E-2</v>
      </c>
      <c r="AX78" s="57">
        <v>-0.12568178768257351</v>
      </c>
      <c r="AY78" s="57">
        <v>-0.11629596823512546</v>
      </c>
      <c r="AZ78" s="57">
        <v>4.0914595283010904E-2</v>
      </c>
      <c r="BA78" s="57">
        <v>-1.7393764526666675E-2</v>
      </c>
      <c r="BB78" s="57">
        <v>-7.2310965388435955E-2</v>
      </c>
      <c r="BC78" s="57">
        <v>-7.4958321596093086E-2</v>
      </c>
      <c r="BD78" s="57">
        <v>-0.14175174048308234</v>
      </c>
      <c r="BE78" s="57">
        <v>-0.12019478747205603</v>
      </c>
      <c r="BF78" s="57">
        <v>4.7200281247670325E-2</v>
      </c>
      <c r="BG78" s="57">
        <v>-1.6563294825340344E-2</v>
      </c>
      <c r="BH78" s="57">
        <v>-9.612183159076719E-2</v>
      </c>
      <c r="BI78" s="57">
        <v>-7.7466304284587631E-2</v>
      </c>
      <c r="BJ78" s="57">
        <v>-0.14884632608888879</v>
      </c>
      <c r="BK78" s="57">
        <v>-0.13306146109377803</v>
      </c>
      <c r="BL78" s="57">
        <v>6.3163750572222344E-2</v>
      </c>
      <c r="BM78" s="57">
        <v>1.9608473628674101E-3</v>
      </c>
      <c r="BN78" s="57">
        <v>-0.1040019030746237</v>
      </c>
      <c r="BO78" s="57">
        <v>3.4502185656487543E-2</v>
      </c>
      <c r="BP78" s="57">
        <v>-3.2935536602238615E-2</v>
      </c>
      <c r="BQ78" s="57">
        <v>-0.10359719053383508</v>
      </c>
      <c r="BR78" s="57">
        <v>2.7561427809820752E-2</v>
      </c>
      <c r="BS78" s="57">
        <v>7.8950718472759664E-3</v>
      </c>
      <c r="BT78" s="57">
        <v>-0.11050495962573459</v>
      </c>
      <c r="BU78" s="57">
        <v>-6.276230753082368E-3</v>
      </c>
      <c r="BV78" s="57">
        <v>-4.6626003206415884E-2</v>
      </c>
      <c r="BW78" s="57">
        <v>-0.14163297684017903</v>
      </c>
    </row>
    <row r="79" spans="1:75" x14ac:dyDescent="0.3">
      <c r="A79" s="8" t="s">
        <v>103</v>
      </c>
      <c r="B79" s="8" t="s">
        <v>10</v>
      </c>
      <c r="C79" s="8" t="s">
        <v>111</v>
      </c>
      <c r="D79" s="57">
        <v>-0.10448112466739248</v>
      </c>
      <c r="E79" s="57">
        <v>-0.11838856106818318</v>
      </c>
      <c r="F79" s="57">
        <v>-0.14932317500422038</v>
      </c>
      <c r="G79" s="57">
        <v>-0.16441623613690859</v>
      </c>
      <c r="H79" s="57">
        <v>-0.16075904346932798</v>
      </c>
      <c r="I79" s="57">
        <v>-0.15576855918514337</v>
      </c>
      <c r="J79" s="57">
        <v>-0.12026191967139784</v>
      </c>
      <c r="K79" s="57">
        <v>-0.12406842301637097</v>
      </c>
      <c r="L79" s="57">
        <v>-0.15727301925637097</v>
      </c>
      <c r="M79" s="57">
        <v>-0.16716070001432792</v>
      </c>
      <c r="N79" s="57">
        <v>-0.16079738524408599</v>
      </c>
      <c r="O79" s="57">
        <v>-0.16264775484198918</v>
      </c>
      <c r="P79" s="57">
        <v>-0.14721881345499999</v>
      </c>
      <c r="Q79" s="57">
        <v>-0.16010656957056452</v>
      </c>
      <c r="R79" s="57">
        <v>-0.15655943038032261</v>
      </c>
      <c r="S79" s="57">
        <v>-0.14640738567795697</v>
      </c>
      <c r="T79" s="57">
        <v>-0.15449750015190861</v>
      </c>
      <c r="U79" s="57">
        <v>-0.15491995737956984</v>
      </c>
      <c r="V79" s="57">
        <v>-0.15910766543870966</v>
      </c>
      <c r="W79" s="57">
        <v>-0.15236499520464641</v>
      </c>
      <c r="X79" s="57">
        <v>-0.1506302828106616</v>
      </c>
      <c r="Y79" s="57">
        <v>-0.1736061541499731</v>
      </c>
      <c r="Z79" s="57">
        <v>-0.16760809523400536</v>
      </c>
      <c r="AA79" s="57">
        <v>-0.15801620091644114</v>
      </c>
      <c r="AB79" s="57">
        <v>-0.10076815312857525</v>
      </c>
      <c r="AC79" s="57">
        <v>-0.10689274714913979</v>
      </c>
      <c r="AD79" s="57">
        <v>-0.14771148187806454</v>
      </c>
      <c r="AE79" s="57">
        <v>-0.14857704612497311</v>
      </c>
      <c r="AF79" s="57">
        <v>-0.13758539996989247</v>
      </c>
      <c r="AG79" s="57">
        <v>-0.15085862510465051</v>
      </c>
      <c r="AH79" s="57">
        <v>-0.12128302167284948</v>
      </c>
      <c r="AI79" s="57">
        <v>-0.11510867521196229</v>
      </c>
      <c r="AJ79" s="57">
        <v>-0.13352836396088669</v>
      </c>
      <c r="AK79" s="57">
        <v>-0.16786530106795697</v>
      </c>
      <c r="AL79" s="57">
        <v>-0.15766612047642475</v>
      </c>
      <c r="AM79" s="57">
        <v>-0.14912312032212319</v>
      </c>
      <c r="AN79" s="57">
        <v>-9.3022986369626331E-2</v>
      </c>
      <c r="AO79" s="57">
        <v>-0.10007384192013447</v>
      </c>
      <c r="AP79" s="57">
        <v>-0.12366026108540321</v>
      </c>
      <c r="AQ79" s="57">
        <v>-0.13353118620091667</v>
      </c>
      <c r="AR79" s="57">
        <v>-0.14562950148739254</v>
      </c>
      <c r="AS79" s="57">
        <v>-0.13650974597077956</v>
      </c>
      <c r="AT79" s="57">
        <v>-0.15669615292422057</v>
      </c>
      <c r="AU79" s="57">
        <v>-0.15583947883825949</v>
      </c>
      <c r="AV79" s="57">
        <v>-0.14225203385120966</v>
      </c>
      <c r="AW79" s="57">
        <v>-0.17180407405532266</v>
      </c>
      <c r="AX79" s="57">
        <v>-0.17425188911909276</v>
      </c>
      <c r="AY79" s="57">
        <v>-0.15086606913118278</v>
      </c>
      <c r="AZ79" s="57">
        <v>-0.14766936696161287</v>
      </c>
      <c r="BA79" s="57">
        <v>-0.15372480723499998</v>
      </c>
      <c r="BB79" s="57">
        <v>-0.14369997605528592</v>
      </c>
      <c r="BC79" s="57">
        <v>-0.17337462766352149</v>
      </c>
      <c r="BD79" s="57">
        <v>-0.18031596473263437</v>
      </c>
      <c r="BE79" s="57">
        <v>-0.15414230859477518</v>
      </c>
      <c r="BF79" s="57">
        <v>-0.1605881126255376</v>
      </c>
      <c r="BG79" s="57">
        <v>-0.1672454555164247</v>
      </c>
      <c r="BH79" s="57">
        <v>-0.15526056005331526</v>
      </c>
      <c r="BI79" s="57">
        <v>-0.17360413616182793</v>
      </c>
      <c r="BJ79" s="57">
        <v>-0.17954654136666653</v>
      </c>
      <c r="BK79" s="57">
        <v>-0.15885641793670233</v>
      </c>
      <c r="BL79" s="57">
        <v>-9.9239697170833308E-2</v>
      </c>
      <c r="BM79" s="57">
        <v>-0.10333269287010755</v>
      </c>
      <c r="BN79" s="57">
        <v>-0.15058568476145159</v>
      </c>
      <c r="BO79" s="57">
        <v>-0.1451723769331183</v>
      </c>
      <c r="BP79" s="57">
        <v>-0.1512805727630166</v>
      </c>
      <c r="BQ79" s="57">
        <v>-0.15464507015973117</v>
      </c>
      <c r="BR79" s="57">
        <v>-0.1090000362381183</v>
      </c>
      <c r="BS79" s="57">
        <v>-0.10918294399389783</v>
      </c>
      <c r="BT79" s="57">
        <v>-0.15178183353478492</v>
      </c>
      <c r="BU79" s="57">
        <v>-0.1673920278151344</v>
      </c>
      <c r="BV79" s="57">
        <v>-0.1603393019351344</v>
      </c>
      <c r="BW79" s="57">
        <v>-0.16781990182561826</v>
      </c>
    </row>
    <row r="80" spans="1:75" x14ac:dyDescent="0.3">
      <c r="A80" s="8" t="s">
        <v>103</v>
      </c>
      <c r="B80" s="8" t="s">
        <v>10</v>
      </c>
      <c r="C80" s="8" t="s">
        <v>112</v>
      </c>
      <c r="D80" s="57">
        <v>-0.41972160756739246</v>
      </c>
      <c r="E80" s="57">
        <v>-0.40281692346818321</v>
      </c>
      <c r="F80" s="57">
        <v>-0.36266586890422037</v>
      </c>
      <c r="G80" s="57">
        <v>-0.42842933723690863</v>
      </c>
      <c r="H80" s="57">
        <v>-0.38854023276932803</v>
      </c>
      <c r="I80" s="57">
        <v>-0.34281205498514339</v>
      </c>
      <c r="J80" s="57">
        <v>-0.41685803487139794</v>
      </c>
      <c r="K80" s="57">
        <v>-0.39662180131637093</v>
      </c>
      <c r="L80" s="57">
        <v>-0.36333219915637094</v>
      </c>
      <c r="M80" s="57">
        <v>-0.42146244911432801</v>
      </c>
      <c r="N80" s="57">
        <v>-0.38844290124408598</v>
      </c>
      <c r="O80" s="57">
        <v>-0.35146214424198918</v>
      </c>
      <c r="P80" s="57">
        <v>-0.43488905365499997</v>
      </c>
      <c r="Q80" s="57">
        <v>-0.42449098707056454</v>
      </c>
      <c r="R80" s="57">
        <v>-0.35812710998032266</v>
      </c>
      <c r="S80" s="57">
        <v>-0.39219027967795694</v>
      </c>
      <c r="T80" s="57">
        <v>-0.37165332785190863</v>
      </c>
      <c r="U80" s="57">
        <v>-0.33857876137956988</v>
      </c>
      <c r="V80" s="57">
        <v>-0.42702672943870967</v>
      </c>
      <c r="W80" s="57">
        <v>-0.3985477684046464</v>
      </c>
      <c r="X80" s="57">
        <v>-0.33788085891066161</v>
      </c>
      <c r="Y80" s="57">
        <v>-0.40510050744997311</v>
      </c>
      <c r="Z80" s="57">
        <v>-0.37115374873400536</v>
      </c>
      <c r="AA80" s="57">
        <v>-0.33194937151644116</v>
      </c>
      <c r="AB80" s="57">
        <v>-0.36828019722857525</v>
      </c>
      <c r="AC80" s="57">
        <v>-0.35273276674913984</v>
      </c>
      <c r="AD80" s="57">
        <v>-0.33354105867806455</v>
      </c>
      <c r="AE80" s="57">
        <v>-0.3705742684249731</v>
      </c>
      <c r="AF80" s="57">
        <v>-0.33523997596989252</v>
      </c>
      <c r="AG80" s="57">
        <v>-0.32118574220465052</v>
      </c>
      <c r="AH80" s="57">
        <v>-0.41426594267284944</v>
      </c>
      <c r="AI80" s="57">
        <v>-0.38134967471196229</v>
      </c>
      <c r="AJ80" s="57">
        <v>-0.33179704016088668</v>
      </c>
      <c r="AK80" s="57">
        <v>-0.40356552666795698</v>
      </c>
      <c r="AL80" s="57">
        <v>-0.37076603057642477</v>
      </c>
      <c r="AM80" s="57">
        <v>-0.32852606712212318</v>
      </c>
      <c r="AN80" s="57">
        <v>-0.39182557786962635</v>
      </c>
      <c r="AO80" s="57">
        <v>-0.37277003422013449</v>
      </c>
      <c r="AP80" s="57">
        <v>-0.33000506898540322</v>
      </c>
      <c r="AQ80" s="57">
        <v>-0.37723613650091664</v>
      </c>
      <c r="AR80" s="57">
        <v>-0.36678412118739256</v>
      </c>
      <c r="AS80" s="57">
        <v>-0.32211796107077956</v>
      </c>
      <c r="AT80" s="57">
        <v>-0.42647893962422062</v>
      </c>
      <c r="AU80" s="57">
        <v>-0.40522842633825945</v>
      </c>
      <c r="AV80" s="57">
        <v>-0.33265879935120962</v>
      </c>
      <c r="AW80" s="57">
        <v>-0.40300565865532273</v>
      </c>
      <c r="AX80" s="57">
        <v>-0.38198913351909281</v>
      </c>
      <c r="AY80" s="57">
        <v>-0.32567040513118278</v>
      </c>
      <c r="AZ80" s="57">
        <v>-0.43395431136161289</v>
      </c>
      <c r="BA80" s="57">
        <v>-0.41837343063499999</v>
      </c>
      <c r="BB80" s="57">
        <v>-0.34344677715528599</v>
      </c>
      <c r="BC80" s="57">
        <v>-0.40589724176352154</v>
      </c>
      <c r="BD80" s="57">
        <v>-0.3880674905326344</v>
      </c>
      <c r="BE80" s="57">
        <v>-0.33181720599477521</v>
      </c>
      <c r="BF80" s="57">
        <v>-0.43814712162553765</v>
      </c>
      <c r="BG80" s="57">
        <v>-0.42124729521642473</v>
      </c>
      <c r="BH80" s="57">
        <v>-0.34414635645331526</v>
      </c>
      <c r="BI80" s="57">
        <v>-0.40510563016182799</v>
      </c>
      <c r="BJ80" s="57">
        <v>-0.3826280493666665</v>
      </c>
      <c r="BK80" s="57">
        <v>-0.33333228173670232</v>
      </c>
      <c r="BL80" s="57">
        <v>-0.40311218567083335</v>
      </c>
      <c r="BM80" s="57">
        <v>-0.37787832647010761</v>
      </c>
      <c r="BN80" s="57">
        <v>-0.35685194496145162</v>
      </c>
      <c r="BO80" s="57">
        <v>-0.39532537933311829</v>
      </c>
      <c r="BP80" s="57">
        <v>-0.37379192546301659</v>
      </c>
      <c r="BQ80" s="57">
        <v>-0.33931785355973121</v>
      </c>
      <c r="BR80" s="57">
        <v>-0.42703253283811832</v>
      </c>
      <c r="BS80" s="57">
        <v>-0.39518940109389783</v>
      </c>
      <c r="BT80" s="57">
        <v>-0.36695968733478496</v>
      </c>
      <c r="BU80" s="57">
        <v>-0.42876306991513446</v>
      </c>
      <c r="BV80" s="57">
        <v>-0.38960575683513438</v>
      </c>
      <c r="BW80" s="57">
        <v>-0.35485625692561829</v>
      </c>
    </row>
    <row r="81" spans="1:75" x14ac:dyDescent="0.3">
      <c r="A81" s="8" t="s">
        <v>103</v>
      </c>
      <c r="B81" s="8" t="s">
        <v>10</v>
      </c>
      <c r="C81" s="8" t="s">
        <v>115</v>
      </c>
      <c r="D81" s="57">
        <v>-0.10690849808840502</v>
      </c>
      <c r="E81" s="57">
        <v>-0.11338500979523716</v>
      </c>
      <c r="F81" s="57">
        <v>-0.11191310586385303</v>
      </c>
      <c r="G81" s="57">
        <v>-9.6224546708727571E-2</v>
      </c>
      <c r="H81" s="57">
        <v>-9.6038624753781318E-2</v>
      </c>
      <c r="I81" s="57">
        <v>-0.10611096294323775</v>
      </c>
      <c r="J81" s="57">
        <v>-0.10704189248573472</v>
      </c>
      <c r="K81" s="57">
        <v>-0.11322686838908604</v>
      </c>
      <c r="L81" s="57">
        <v>-0.11077521769575269</v>
      </c>
      <c r="M81" s="57">
        <v>-9.9944248123781304E-2</v>
      </c>
      <c r="N81" s="57">
        <v>-9.6090591170609307E-2</v>
      </c>
      <c r="O81" s="57">
        <v>-0.11704622663867385</v>
      </c>
      <c r="P81" s="57">
        <v>-9.417112996333335E-2</v>
      </c>
      <c r="Q81" s="57">
        <v>-9.8885476952956949E-2</v>
      </c>
      <c r="R81" s="57">
        <v>-0.11381751521311824</v>
      </c>
      <c r="S81" s="57">
        <v>-7.9767708214695338E-2</v>
      </c>
      <c r="T81" s="57">
        <v>-9.0732622165394253E-2</v>
      </c>
      <c r="U81" s="57">
        <v>-0.10959214041362005</v>
      </c>
      <c r="V81" s="57">
        <v>-9.7531615040860206E-2</v>
      </c>
      <c r="W81" s="57">
        <v>-9.281669660392014E-2</v>
      </c>
      <c r="X81" s="57">
        <v>-0.11260697964175791</v>
      </c>
      <c r="Y81" s="57">
        <v>-0.10868007630001789</v>
      </c>
      <c r="Z81" s="57">
        <v>-0.10532146784399637</v>
      </c>
      <c r="AA81" s="57">
        <v>-0.1152929802379048</v>
      </c>
      <c r="AB81" s="57">
        <v>-9.7777206047616499E-2</v>
      </c>
      <c r="AC81" s="57">
        <v>-0.10607815736724012</v>
      </c>
      <c r="AD81" s="57">
        <v>-0.10627899714795704</v>
      </c>
      <c r="AE81" s="57">
        <v>-9.1913080316684576E-2</v>
      </c>
      <c r="AF81" s="57">
        <v>-8.3150928020071652E-2</v>
      </c>
      <c r="AG81" s="57">
        <v>-0.1056381140635662</v>
      </c>
      <c r="AH81" s="57">
        <v>-0.10842584021810035</v>
      </c>
      <c r="AI81" s="57">
        <v>-0.10477173919202507</v>
      </c>
      <c r="AJ81" s="57">
        <v>-8.7918788292742286E-2</v>
      </c>
      <c r="AK81" s="57">
        <v>-0.11010395608802864</v>
      </c>
      <c r="AL81" s="57">
        <v>-0.10197476181571687</v>
      </c>
      <c r="AM81" s="57">
        <v>-0.10144061685191784</v>
      </c>
      <c r="AN81" s="57">
        <v>-7.9261098191538232E-2</v>
      </c>
      <c r="AO81" s="57">
        <v>-8.892968778657713E-2</v>
      </c>
      <c r="AP81" s="57">
        <v>-8.7468507143064506E-2</v>
      </c>
      <c r="AQ81" s="57">
        <v>-6.6938166037344676E-2</v>
      </c>
      <c r="AR81" s="57">
        <v>-8.1369939275071745E-2</v>
      </c>
      <c r="AS81" s="57">
        <v>-9.0751665486146937E-2</v>
      </c>
      <c r="AT81" s="57">
        <v>-9.4910261650519814E-2</v>
      </c>
      <c r="AU81" s="57">
        <v>-0.10011250299132214</v>
      </c>
      <c r="AV81" s="57">
        <v>-9.9733444765860227E-2</v>
      </c>
      <c r="AW81" s="57">
        <v>-0.10688471542978503</v>
      </c>
      <c r="AX81" s="57">
        <v>-0.11163853600409993</v>
      </c>
      <c r="AY81" s="57">
        <v>-0.10290642857921146</v>
      </c>
      <c r="AZ81" s="57">
        <v>-9.4662358558924728E-2</v>
      </c>
      <c r="BA81" s="57">
        <v>-0.10298901037666666</v>
      </c>
      <c r="BB81" s="57">
        <v>-9.9474623126779058E-2</v>
      </c>
      <c r="BC81" s="57">
        <v>-0.10824684969098565</v>
      </c>
      <c r="BD81" s="57">
        <v>-0.11777419924491035</v>
      </c>
      <c r="BE81" s="57">
        <v>-0.10512558450045288</v>
      </c>
      <c r="BF81" s="57">
        <v>-9.1036110249641561E-2</v>
      </c>
      <c r="BG81" s="57">
        <v>-0.10005912125571684</v>
      </c>
      <c r="BH81" s="57">
        <v>-0.11027641385472201</v>
      </c>
      <c r="BI81" s="57">
        <v>-0.10867734122544799</v>
      </c>
      <c r="BJ81" s="57">
        <v>-0.11744860975555549</v>
      </c>
      <c r="BK81" s="57">
        <v>-0.11611342246579724</v>
      </c>
      <c r="BL81" s="57">
        <v>-7.8018779886111084E-2</v>
      </c>
      <c r="BM81" s="57">
        <v>-9.2048318886594968E-2</v>
      </c>
      <c r="BN81" s="57">
        <v>-9.9563109092365598E-2</v>
      </c>
      <c r="BO81" s="57">
        <v>-7.8093842577921124E-2</v>
      </c>
      <c r="BP81" s="57">
        <v>-8.9816940424655586E-2</v>
      </c>
      <c r="BQ81" s="57">
        <v>-0.10919598176017917</v>
      </c>
      <c r="BR81" s="57">
        <v>-0.10230045397458778</v>
      </c>
      <c r="BS81" s="57">
        <v>-9.7151109470734756E-2</v>
      </c>
      <c r="BT81" s="57">
        <v>-0.10922533737681003</v>
      </c>
      <c r="BU81" s="57">
        <v>-9.5750433589910366E-2</v>
      </c>
      <c r="BV81" s="57">
        <v>-9.5469729243243734E-2</v>
      </c>
      <c r="BW81" s="57">
        <v>-0.11461414824958779</v>
      </c>
    </row>
    <row r="82" spans="1:75" x14ac:dyDescent="0.3">
      <c r="A82" s="8" t="s">
        <v>103</v>
      </c>
      <c r="B82" s="8" t="s">
        <v>10</v>
      </c>
      <c r="C82" s="8" t="s">
        <v>116</v>
      </c>
      <c r="D82" s="57">
        <v>-0.33999536707025307</v>
      </c>
      <c r="E82" s="57">
        <v>-0.3218363882061791</v>
      </c>
      <c r="F82" s="57">
        <v>-0.26581815327990815</v>
      </c>
      <c r="G82" s="57">
        <v>-0.2970928203279547</v>
      </c>
      <c r="H82" s="57">
        <v>-0.26610668147611322</v>
      </c>
      <c r="I82" s="57">
        <v>-0.23987452386952351</v>
      </c>
      <c r="J82" s="57">
        <v>-0.3268945071235842</v>
      </c>
      <c r="K82" s="57">
        <v>-0.31262985344817867</v>
      </c>
      <c r="L82" s="57">
        <v>-0.25995648827484535</v>
      </c>
      <c r="M82" s="57">
        <v>-0.29255032051236324</v>
      </c>
      <c r="N82" s="57">
        <v>-0.26604322008163084</v>
      </c>
      <c r="O82" s="57">
        <v>-0.25168133843917118</v>
      </c>
      <c r="P82" s="57">
        <v>-0.3125384117970833</v>
      </c>
      <c r="Q82" s="57">
        <v>-0.29901847547059796</v>
      </c>
      <c r="R82" s="57">
        <v>-0.25868179186819895</v>
      </c>
      <c r="S82" s="57">
        <v>-0.2651679355341845</v>
      </c>
      <c r="T82" s="57">
        <v>-0.25177758129837141</v>
      </c>
      <c r="U82" s="57">
        <v>-0.23987759915851248</v>
      </c>
      <c r="V82" s="57">
        <v>-0.30067181180053759</v>
      </c>
      <c r="W82" s="57">
        <v>-0.27748740185402898</v>
      </c>
      <c r="X82" s="57">
        <v>-0.24479845657209362</v>
      </c>
      <c r="Y82" s="57">
        <v>-0.28188212609251106</v>
      </c>
      <c r="Z82" s="57">
        <v>-0.25477047237749778</v>
      </c>
      <c r="AA82" s="57">
        <v>-0.23705989876968531</v>
      </c>
      <c r="AB82" s="57">
        <v>-0.29178948496476032</v>
      </c>
      <c r="AC82" s="57">
        <v>-0.28165236221452511</v>
      </c>
      <c r="AD82" s="57">
        <v>-0.23779430189747316</v>
      </c>
      <c r="AE82" s="57">
        <v>-0.25593892525292783</v>
      </c>
      <c r="AF82" s="57">
        <v>-0.22649885161254479</v>
      </c>
      <c r="AG82" s="57">
        <v>-0.22476599572472886</v>
      </c>
      <c r="AH82" s="57">
        <v>-0.32520442998631255</v>
      </c>
      <c r="AI82" s="57">
        <v>-0.29882368632001566</v>
      </c>
      <c r="AJ82" s="57">
        <v>-0.23045618975296395</v>
      </c>
      <c r="AK82" s="57">
        <v>-0.28574620351501789</v>
      </c>
      <c r="AL82" s="57">
        <v>-0.2584191047698231</v>
      </c>
      <c r="AM82" s="57">
        <v>-0.22852259791244861</v>
      </c>
      <c r="AN82" s="57">
        <v>-0.30103897574325161</v>
      </c>
      <c r="AO82" s="57">
        <v>-0.2884974144716107</v>
      </c>
      <c r="AP82" s="57">
        <v>-0.23534257397941527</v>
      </c>
      <c r="AQ82" s="57">
        <v>-0.25059482752688039</v>
      </c>
      <c r="AR82" s="57">
        <v>-0.24583094864191987</v>
      </c>
      <c r="AS82" s="57">
        <v>-0.22273081446384191</v>
      </c>
      <c r="AT82" s="57">
        <v>-0.29963947422657483</v>
      </c>
      <c r="AU82" s="57">
        <v>-0.2868894554933627</v>
      </c>
      <c r="AV82" s="57">
        <v>-0.23523688715366267</v>
      </c>
      <c r="AW82" s="57">
        <v>-0.27984108635361571</v>
      </c>
      <c r="AX82" s="57">
        <v>-0.26463952179134881</v>
      </c>
      <c r="AY82" s="57">
        <v>-0.22618685546200706</v>
      </c>
      <c r="AZ82" s="57">
        <v>-0.31186582763932802</v>
      </c>
      <c r="BA82" s="57">
        <v>-0.30177001517541668</v>
      </c>
      <c r="BB82" s="57">
        <v>-0.2430396812710551</v>
      </c>
      <c r="BC82" s="57">
        <v>-0.28233848674186607</v>
      </c>
      <c r="BD82" s="57">
        <v>-0.27077638205806892</v>
      </c>
      <c r="BE82" s="57">
        <v>-0.23096354308460115</v>
      </c>
      <c r="BF82" s="57">
        <v>-0.30342893955602596</v>
      </c>
      <c r="BG82" s="57">
        <v>-0.29241003742982297</v>
      </c>
      <c r="BH82" s="57">
        <v>-0.24487859420451094</v>
      </c>
      <c r="BI82" s="57">
        <v>-0.28188546616590493</v>
      </c>
      <c r="BJ82" s="57">
        <v>-0.26648141689722216</v>
      </c>
      <c r="BK82" s="57">
        <v>-0.23833684367643304</v>
      </c>
      <c r="BL82" s="57">
        <v>-0.30515249715381942</v>
      </c>
      <c r="BM82" s="57">
        <v>-0.29318268306412182</v>
      </c>
      <c r="BN82" s="57">
        <v>-0.24959615575272842</v>
      </c>
      <c r="BO82" s="57">
        <v>-0.26721206045120061</v>
      </c>
      <c r="BP82" s="57">
        <v>-0.25499240146040969</v>
      </c>
      <c r="BQ82" s="57">
        <v>-0.24034702829011195</v>
      </c>
      <c r="BR82" s="57">
        <v>-0.33908969204411732</v>
      </c>
      <c r="BS82" s="57">
        <v>-0.30797556665420911</v>
      </c>
      <c r="BT82" s="57">
        <v>-0.26543601819050627</v>
      </c>
      <c r="BU82" s="57">
        <v>-0.29492818647869395</v>
      </c>
      <c r="BV82" s="57">
        <v>-0.2668014167420274</v>
      </c>
      <c r="BW82" s="57">
        <v>-0.24890396519099231</v>
      </c>
    </row>
    <row r="83" spans="1:75" x14ac:dyDescent="0.3">
      <c r="A83" s="8" t="s">
        <v>103</v>
      </c>
      <c r="B83" s="8" t="s">
        <v>10</v>
      </c>
      <c r="C83" s="8" t="s">
        <v>117</v>
      </c>
      <c r="D83" s="57">
        <v>-0.3152491942581519</v>
      </c>
      <c r="E83" s="57">
        <v>-0.29827348101347362</v>
      </c>
      <c r="F83" s="57">
        <v>-0.24651140742394478</v>
      </c>
      <c r="G83" s="57">
        <v>-0.28014037354077298</v>
      </c>
      <c r="H83" s="57">
        <v>-0.24932470635766793</v>
      </c>
      <c r="I83" s="57">
        <v>-0.22216823355371404</v>
      </c>
      <c r="J83" s="57">
        <v>-0.30397942248215054</v>
      </c>
      <c r="K83" s="57">
        <v>-0.2898203892209073</v>
      </c>
      <c r="L83" s="57">
        <v>-0.24166256586090706</v>
      </c>
      <c r="M83" s="57">
        <v>-0.27563908357141803</v>
      </c>
      <c r="N83" s="57">
        <v>-0.24926182068897848</v>
      </c>
      <c r="O83" s="57">
        <v>-0.23354414283950264</v>
      </c>
      <c r="P83" s="57">
        <v>-0.29373360528624998</v>
      </c>
      <c r="Q83" s="57">
        <v>-0.28136366448235883</v>
      </c>
      <c r="R83" s="57">
        <v>-0.24007644510491946</v>
      </c>
      <c r="S83" s="57">
        <v>-0.24832071908051087</v>
      </c>
      <c r="T83" s="57">
        <v>-0.23505184298702286</v>
      </c>
      <c r="U83" s="57">
        <v>-0.22178668365510745</v>
      </c>
      <c r="V83" s="57">
        <v>-0.28300200164032263</v>
      </c>
      <c r="W83" s="57">
        <v>-0.25992533495410175</v>
      </c>
      <c r="X83" s="57">
        <v>-0.22592577865898381</v>
      </c>
      <c r="Y83" s="57">
        <v>-0.26506767168750661</v>
      </c>
      <c r="Z83" s="57">
        <v>-0.23809134006649862</v>
      </c>
      <c r="AA83" s="57">
        <v>-0.21884746125753887</v>
      </c>
      <c r="AB83" s="57">
        <v>-0.26826697904285618</v>
      </c>
      <c r="AC83" s="57">
        <v>-0.25822182091271512</v>
      </c>
      <c r="AD83" s="57">
        <v>-0.21928284213048393</v>
      </c>
      <c r="AE83" s="57">
        <v>-0.2384339329437567</v>
      </c>
      <c r="AF83" s="57">
        <v>-0.20911866200752682</v>
      </c>
      <c r="AG83" s="57">
        <v>-0.20685480229883732</v>
      </c>
      <c r="AH83" s="57">
        <v>-0.30230467783178755</v>
      </c>
      <c r="AI83" s="57">
        <v>-0.27605393707200937</v>
      </c>
      <c r="AJ83" s="57">
        <v>-0.21218473765977838</v>
      </c>
      <c r="AK83" s="57">
        <v>-0.26815519193301074</v>
      </c>
      <c r="AL83" s="57">
        <v>-0.24094395620589382</v>
      </c>
      <c r="AM83" s="57">
        <v>-0.2107279490194692</v>
      </c>
      <c r="AN83" s="57">
        <v>-0.27814655611106015</v>
      </c>
      <c r="AO83" s="57">
        <v>-0.2657161699949665</v>
      </c>
      <c r="AP83" s="57">
        <v>-0.21601396640364909</v>
      </c>
      <c r="AQ83" s="57">
        <v>-0.23377263025323772</v>
      </c>
      <c r="AR83" s="57">
        <v>-0.22909755315315197</v>
      </c>
      <c r="AS83" s="57">
        <v>-0.20465507658230511</v>
      </c>
      <c r="AT83" s="57">
        <v>-0.28196402354394495</v>
      </c>
      <c r="AU83" s="57">
        <v>-0.26889945382805647</v>
      </c>
      <c r="AV83" s="57">
        <v>-0.21676864941219756</v>
      </c>
      <c r="AW83" s="57">
        <v>-0.26303014243616946</v>
      </c>
      <c r="AX83" s="57">
        <v>-0.24793318218284816</v>
      </c>
      <c r="AY83" s="57">
        <v>-0.20848561471720389</v>
      </c>
      <c r="AZ83" s="57">
        <v>-0.29307674355959679</v>
      </c>
      <c r="BA83" s="57">
        <v>-0.28306290024125003</v>
      </c>
      <c r="BB83" s="57">
        <v>-0.22460869083390575</v>
      </c>
      <c r="BC83" s="57">
        <v>-0.26552951290911969</v>
      </c>
      <c r="BD83" s="57">
        <v>-0.25406267966684137</v>
      </c>
      <c r="BE83" s="57">
        <v>-0.21332700267403334</v>
      </c>
      <c r="BF83" s="57">
        <v>-0.28641901109361562</v>
      </c>
      <c r="BG83" s="57">
        <v>-0.27550007314589381</v>
      </c>
      <c r="BH83" s="57">
        <v>-0.22667864030437032</v>
      </c>
      <c r="BI83" s="57">
        <v>-0.26507098145954294</v>
      </c>
      <c r="BJ83" s="57">
        <v>-0.24979004565833321</v>
      </c>
      <c r="BK83" s="57">
        <v>-0.22011863088352346</v>
      </c>
      <c r="BL83" s="57">
        <v>-0.28293355333229159</v>
      </c>
      <c r="BM83" s="57">
        <v>-0.2703890399824731</v>
      </c>
      <c r="BN83" s="57">
        <v>-0.23175175245963708</v>
      </c>
      <c r="BO83" s="57">
        <v>-0.2503462995667205</v>
      </c>
      <c r="BP83" s="57">
        <v>-0.23796003108424588</v>
      </c>
      <c r="BQ83" s="57">
        <v>-0.22225375451006713</v>
      </c>
      <c r="BR83" s="57">
        <v>-0.31521632889047041</v>
      </c>
      <c r="BS83" s="57">
        <v>-0.28509294357652554</v>
      </c>
      <c r="BT83" s="57">
        <v>-0.2466176984663038</v>
      </c>
      <c r="BU83" s="57">
        <v>-0.27835847387121643</v>
      </c>
      <c r="BV83" s="57">
        <v>-0.25001313894121652</v>
      </c>
      <c r="BW83" s="57">
        <v>-0.23155259261859548</v>
      </c>
    </row>
    <row r="84" spans="1:75" x14ac:dyDescent="0.3">
      <c r="A84" s="8" t="s">
        <v>103</v>
      </c>
      <c r="B84" s="8" t="s">
        <v>10</v>
      </c>
      <c r="C84" s="8" t="s">
        <v>118</v>
      </c>
      <c r="D84" s="57">
        <v>-0.3465909182509242</v>
      </c>
      <c r="E84" s="57">
        <v>-0.32963651374988656</v>
      </c>
      <c r="F84" s="57">
        <v>-0.28135774586802748</v>
      </c>
      <c r="G84" s="57">
        <v>-0.32462706264961366</v>
      </c>
      <c r="H84" s="57">
        <v>-0.29108936428116627</v>
      </c>
      <c r="I84" s="57">
        <v>-0.25836137998314285</v>
      </c>
      <c r="J84" s="57">
        <v>-0.33784300619892493</v>
      </c>
      <c r="K84" s="57">
        <v>-0.32186081284954643</v>
      </c>
      <c r="L84" s="57">
        <v>-0.27816345584954638</v>
      </c>
      <c r="M84" s="57">
        <v>-0.31938609323429107</v>
      </c>
      <c r="N84" s="57">
        <v>-0.29101614485551075</v>
      </c>
      <c r="O84" s="57">
        <v>-0.26891954326024853</v>
      </c>
      <c r="P84" s="57">
        <v>-0.33608023979687496</v>
      </c>
      <c r="Q84" s="57">
        <v>-0.32430186125882066</v>
      </c>
      <c r="R84" s="57">
        <v>-0.27549164456754038</v>
      </c>
      <c r="S84" s="57">
        <v>-0.29148158725974466</v>
      </c>
      <c r="T84" s="57">
        <v>-0.27603228844648858</v>
      </c>
      <c r="U84" s="57">
        <v>-0.25682430697244618</v>
      </c>
      <c r="V84" s="57">
        <v>-0.32620941997983877</v>
      </c>
      <c r="W84" s="57">
        <v>-0.30151206498926519</v>
      </c>
      <c r="X84" s="57">
        <v>-0.25951230273448705</v>
      </c>
      <c r="Y84" s="57">
        <v>-0.30707752241624686</v>
      </c>
      <c r="Z84" s="57">
        <v>-0.27801006266675066</v>
      </c>
      <c r="AA84" s="57">
        <v>-0.25277803433520957</v>
      </c>
      <c r="AB84" s="57">
        <v>-0.29827094449857172</v>
      </c>
      <c r="AC84" s="57">
        <v>-0.2865751046636425</v>
      </c>
      <c r="AD84" s="57">
        <v>-0.25356030709475813</v>
      </c>
      <c r="AE84" s="57">
        <v>-0.27807603358812166</v>
      </c>
      <c r="AF84" s="57">
        <v>-0.24695505619623662</v>
      </c>
      <c r="AG84" s="57">
        <v>-0.24115408427058127</v>
      </c>
      <c r="AH84" s="57">
        <v>-0.33589305728410634</v>
      </c>
      <c r="AI84" s="57">
        <v>-0.30764265836399524</v>
      </c>
      <c r="AJ84" s="57">
        <v>-0.2480684284101109</v>
      </c>
      <c r="AK84" s="57">
        <v>-0.30877829235349458</v>
      </c>
      <c r="AL84" s="57">
        <v>-0.27989057851705312</v>
      </c>
      <c r="AM84" s="57">
        <v>-0.24606738445026541</v>
      </c>
      <c r="AN84" s="57">
        <v>-0.31225026263863004</v>
      </c>
      <c r="AO84" s="57">
        <v>-0.2978323292625169</v>
      </c>
      <c r="AP84" s="57">
        <v>-0.25021129717817542</v>
      </c>
      <c r="AQ84" s="57">
        <v>-0.27681168212754143</v>
      </c>
      <c r="AR84" s="57">
        <v>-0.27040352356342418</v>
      </c>
      <c r="AS84" s="57">
        <v>-0.2398939419288475</v>
      </c>
      <c r="AT84" s="57">
        <v>-0.32531849836802773</v>
      </c>
      <c r="AU84" s="57">
        <v>-0.3097981455811174</v>
      </c>
      <c r="AV84" s="57">
        <v>-0.25153569439390117</v>
      </c>
      <c r="AW84" s="57">
        <v>-0.3050227973019155</v>
      </c>
      <c r="AX84" s="57">
        <v>-0.28814996758372152</v>
      </c>
      <c r="AY84" s="57">
        <v>-0.24364105184139781</v>
      </c>
      <c r="AZ84" s="57">
        <v>-0.33534001390020163</v>
      </c>
      <c r="BA84" s="57">
        <v>-0.32365605935937491</v>
      </c>
      <c r="BB84" s="57">
        <v>-0.26026011673031979</v>
      </c>
      <c r="BC84" s="57">
        <v>-0.30763983156544022</v>
      </c>
      <c r="BD84" s="57">
        <v>-0.29426412292657927</v>
      </c>
      <c r="BE84" s="57">
        <v>-0.248874063670256</v>
      </c>
      <c r="BF84" s="57">
        <v>-0.3319374442531921</v>
      </c>
      <c r="BG84" s="57">
        <v>-0.319224239767053</v>
      </c>
      <c r="BH84" s="57">
        <v>-0.26191895514905394</v>
      </c>
      <c r="BI84" s="57">
        <v>-0.30708137607022867</v>
      </c>
      <c r="BJ84" s="57">
        <v>-0.2896414467708332</v>
      </c>
      <c r="BK84" s="57">
        <v>-0.25408272613947713</v>
      </c>
      <c r="BL84" s="57">
        <v>-0.31898714303385428</v>
      </c>
      <c r="BM84" s="57">
        <v>-0.30263582592876348</v>
      </c>
      <c r="BN84" s="57">
        <v>-0.26928181021018138</v>
      </c>
      <c r="BO84" s="57">
        <v>-0.29384002349663985</v>
      </c>
      <c r="BP84" s="57">
        <v>-0.27870959939787704</v>
      </c>
      <c r="BQ84" s="57">
        <v>-0.25737298422496652</v>
      </c>
      <c r="BR84" s="57">
        <v>-0.34876119007476486</v>
      </c>
      <c r="BS84" s="57">
        <v>-0.31812188083173726</v>
      </c>
      <c r="BT84" s="57">
        <v>-0.28272029512684815</v>
      </c>
      <c r="BU84" s="57">
        <v>-0.32347985268439183</v>
      </c>
      <c r="BV84" s="57">
        <v>-0.29189092430939167</v>
      </c>
      <c r="BW84" s="57">
        <v>-0.26854369191070243</v>
      </c>
    </row>
    <row r="85" spans="1:75" x14ac:dyDescent="0.3">
      <c r="A85" s="8" t="s">
        <v>104</v>
      </c>
      <c r="B85" s="8" t="s">
        <v>8</v>
      </c>
      <c r="C85" s="8" t="s">
        <v>108</v>
      </c>
      <c r="D85" s="57">
        <v>0</v>
      </c>
      <c r="E85" s="57">
        <v>0</v>
      </c>
      <c r="F85" s="57">
        <v>0</v>
      </c>
      <c r="G85" s="57">
        <v>0</v>
      </c>
      <c r="H85" s="57">
        <v>0</v>
      </c>
      <c r="I85" s="57">
        <v>0</v>
      </c>
      <c r="J85" s="57">
        <v>0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>
        <v>0</v>
      </c>
      <c r="Q85" s="57">
        <v>0</v>
      </c>
      <c r="R85" s="57">
        <v>0</v>
      </c>
      <c r="S85" s="57">
        <v>0</v>
      </c>
      <c r="T85" s="57">
        <v>0</v>
      </c>
      <c r="U85" s="57">
        <v>0</v>
      </c>
      <c r="V85" s="57">
        <v>0</v>
      </c>
      <c r="W85" s="57">
        <v>0</v>
      </c>
      <c r="X85" s="57">
        <v>0</v>
      </c>
      <c r="Y85" s="57">
        <v>0</v>
      </c>
      <c r="Z85" s="57">
        <v>0</v>
      </c>
      <c r="AA85" s="57">
        <v>0</v>
      </c>
      <c r="AB85" s="57">
        <v>0</v>
      </c>
      <c r="AC85" s="57">
        <v>0</v>
      </c>
      <c r="AD85" s="57">
        <v>0</v>
      </c>
      <c r="AE85" s="57">
        <v>0</v>
      </c>
      <c r="AF85" s="57">
        <v>0</v>
      </c>
      <c r="AG85" s="57">
        <v>0</v>
      </c>
      <c r="AH85" s="57">
        <v>0</v>
      </c>
      <c r="AI85" s="57">
        <v>0</v>
      </c>
      <c r="AJ85" s="57">
        <v>0</v>
      </c>
      <c r="AK85" s="57">
        <v>0</v>
      </c>
      <c r="AL85" s="57">
        <v>0</v>
      </c>
      <c r="AM85" s="57">
        <v>0</v>
      </c>
      <c r="AN85" s="57">
        <v>0</v>
      </c>
      <c r="AO85" s="57">
        <v>0</v>
      </c>
      <c r="AP85" s="57">
        <v>0</v>
      </c>
      <c r="AQ85" s="57">
        <v>0</v>
      </c>
      <c r="AR85" s="57">
        <v>0</v>
      </c>
      <c r="AS85" s="57">
        <v>0</v>
      </c>
      <c r="AT85" s="57">
        <v>0</v>
      </c>
      <c r="AU85" s="57">
        <v>0</v>
      </c>
      <c r="AV85" s="57">
        <v>0</v>
      </c>
      <c r="AW85" s="57">
        <v>0</v>
      </c>
      <c r="AX85" s="57">
        <v>0</v>
      </c>
      <c r="AY85" s="57">
        <v>0</v>
      </c>
      <c r="AZ85" s="57">
        <v>0</v>
      </c>
      <c r="BA85" s="57">
        <v>0</v>
      </c>
      <c r="BB85" s="57">
        <v>0</v>
      </c>
      <c r="BC85" s="57">
        <v>0</v>
      </c>
      <c r="BD85" s="57">
        <v>0</v>
      </c>
      <c r="BE85" s="57">
        <v>0</v>
      </c>
      <c r="BF85" s="57">
        <v>0</v>
      </c>
      <c r="BG85" s="57">
        <v>0</v>
      </c>
      <c r="BH85" s="57">
        <v>0</v>
      </c>
      <c r="BI85" s="57">
        <v>0</v>
      </c>
      <c r="BJ85" s="57">
        <v>0</v>
      </c>
      <c r="BK85" s="57">
        <v>0</v>
      </c>
      <c r="BL85" s="57">
        <v>0</v>
      </c>
      <c r="BM85" s="57">
        <v>0</v>
      </c>
      <c r="BN85" s="57">
        <v>0</v>
      </c>
      <c r="BO85" s="57">
        <v>0</v>
      </c>
      <c r="BP85" s="57">
        <v>0</v>
      </c>
      <c r="BQ85" s="57">
        <v>0</v>
      </c>
      <c r="BR85" s="57">
        <v>0</v>
      </c>
      <c r="BS85" s="57">
        <v>0</v>
      </c>
      <c r="BT85" s="57">
        <v>0</v>
      </c>
      <c r="BU85" s="57">
        <v>0</v>
      </c>
      <c r="BV85" s="57">
        <v>0</v>
      </c>
      <c r="BW85" s="57">
        <v>0</v>
      </c>
    </row>
    <row r="86" spans="1:75" x14ac:dyDescent="0.3">
      <c r="A86" s="8" t="s">
        <v>104</v>
      </c>
      <c r="B86" s="8" t="s">
        <v>8</v>
      </c>
      <c r="C86" s="8" t="s">
        <v>109</v>
      </c>
      <c r="D86" s="57">
        <v>0.12356662029560346</v>
      </c>
      <c r="E86" s="57">
        <v>4.2945309998306681E-2</v>
      </c>
      <c r="F86" s="57">
        <v>1.2284546732257488E-2</v>
      </c>
      <c r="G86" s="57">
        <v>-2.1448628676191166E-2</v>
      </c>
      <c r="H86" s="57">
        <v>-5.4972703045817417E-2</v>
      </c>
      <c r="I86" s="57">
        <v>-5.7003358189097859E-2</v>
      </c>
      <c r="J86" s="57">
        <v>-2.6561307814164828E-3</v>
      </c>
      <c r="K86" s="57">
        <v>-2.5053816295916981E-2</v>
      </c>
      <c r="L86" s="57">
        <v>-3.0127058083552521E-2</v>
      </c>
      <c r="M86" s="57">
        <v>1.5650194054461143E-2</v>
      </c>
      <c r="N86" s="57">
        <v>3.1444604245832808E-3</v>
      </c>
      <c r="O86" s="57">
        <v>-1.9779154558428349E-2</v>
      </c>
      <c r="P86" s="57">
        <v>1.967055183218043E-2</v>
      </c>
      <c r="Q86" s="57">
        <v>-1.1557095807522349E-2</v>
      </c>
      <c r="R86" s="57">
        <v>-2.3763007033513278E-2</v>
      </c>
      <c r="S86" s="57">
        <v>4.8215716238283225E-2</v>
      </c>
      <c r="T86" s="57">
        <v>1.483673278286218E-2</v>
      </c>
      <c r="U86" s="57">
        <v>-1.8946333991755025E-2</v>
      </c>
      <c r="V86" s="57">
        <v>3.8577993623068262E-2</v>
      </c>
      <c r="W86" s="57">
        <v>3.6289527385368996E-3</v>
      </c>
      <c r="X86" s="57">
        <v>-1.6021304937812664E-2</v>
      </c>
      <c r="Y86" s="57">
        <v>-1.5353714338698934E-2</v>
      </c>
      <c r="Z86" s="57">
        <v>-5.9501066520375512E-2</v>
      </c>
      <c r="AA86" s="57">
        <v>-3.4967932014803305E-2</v>
      </c>
      <c r="AB86" s="57">
        <v>1.5264301812140238E-2</v>
      </c>
      <c r="AC86" s="57">
        <v>-7.1336759309320588E-3</v>
      </c>
      <c r="AD86" s="57">
        <v>4.701062659530993E-3</v>
      </c>
      <c r="AE86" s="57">
        <v>-6.2529411787467862E-2</v>
      </c>
      <c r="AF86" s="57">
        <v>-5.0392594327677905E-2</v>
      </c>
      <c r="AG86" s="57">
        <v>-5.7281522611732368E-2</v>
      </c>
      <c r="AH86" s="57">
        <v>6.6146541160985476E-3</v>
      </c>
      <c r="AI86" s="57">
        <v>-1.9400186062466459E-2</v>
      </c>
      <c r="AJ86" s="57">
        <v>1.1764710334633941E-3</v>
      </c>
      <c r="AK86" s="57">
        <v>3.3286962730732644E-2</v>
      </c>
      <c r="AL86" s="57">
        <v>3.0218574787282137E-2</v>
      </c>
      <c r="AM86" s="57">
        <v>4.5763926800294523E-3</v>
      </c>
      <c r="AN86" s="57">
        <v>-4.714056738343215E-3</v>
      </c>
      <c r="AO86" s="57">
        <v>-2.1118542490410602E-2</v>
      </c>
      <c r="AP86" s="57">
        <v>5.1560678344474966E-3</v>
      </c>
      <c r="AQ86" s="57">
        <v>-3.979900871512176E-5</v>
      </c>
      <c r="AR86" s="57">
        <v>1.9291382187923145E-2</v>
      </c>
      <c r="AS86" s="57">
        <v>-4.3074042783023229E-3</v>
      </c>
      <c r="AT86" s="57">
        <v>3.2814216662390726E-2</v>
      </c>
      <c r="AU86" s="57">
        <v>9.5525716405249449E-3</v>
      </c>
      <c r="AV86" s="57">
        <v>-2.1475965645579829E-2</v>
      </c>
      <c r="AW86" s="57">
        <v>-1.6332260439057687E-2</v>
      </c>
      <c r="AX86" s="57">
        <v>-3.8413896742691481E-2</v>
      </c>
      <c r="AY86" s="57">
        <v>-3.6599263719197146E-2</v>
      </c>
      <c r="AZ86" s="57">
        <v>2.8744181276991701E-2</v>
      </c>
      <c r="BA86" s="57">
        <v>-1.0086255509042687E-2</v>
      </c>
      <c r="BB86" s="57">
        <v>2.2409985121581842E-2</v>
      </c>
      <c r="BC86" s="57">
        <v>-1.7663077306730971E-3</v>
      </c>
      <c r="BD86" s="57">
        <v>-3.8443252431588859E-2</v>
      </c>
      <c r="BE86" s="57">
        <v>-3.1246186768054404E-2</v>
      </c>
      <c r="BF86" s="57">
        <v>2.8956306157001777E-2</v>
      </c>
      <c r="BG86" s="57">
        <v>-4.5524589403087006E-5</v>
      </c>
      <c r="BH86" s="57">
        <v>-1.416950889018447E-2</v>
      </c>
      <c r="BI86" s="57">
        <v>2.7070173026455174E-2</v>
      </c>
      <c r="BJ86" s="57">
        <v>4.7754882714766238E-3</v>
      </c>
      <c r="BK86" s="57">
        <v>-1.2744028068036898E-2</v>
      </c>
      <c r="BL86" s="57">
        <v>1.4019139763146034E-2</v>
      </c>
      <c r="BM86" s="57">
        <v>-2.2840768121631459E-2</v>
      </c>
      <c r="BN86" s="57">
        <v>-2.9820447706981047E-2</v>
      </c>
      <c r="BO86" s="57">
        <v>5.4686252461102494E-2</v>
      </c>
      <c r="BP86" s="57">
        <v>1.8702336803664846E-2</v>
      </c>
      <c r="BQ86" s="57">
        <v>-8.5370309070642043E-3</v>
      </c>
      <c r="BR86" s="57">
        <v>8.9226517554806081E-2</v>
      </c>
      <c r="BS86" s="57">
        <v>6.4458658708520236E-3</v>
      </c>
      <c r="BT86" s="57">
        <v>-8.6474208574956624E-3</v>
      </c>
      <c r="BU86" s="57">
        <v>4.5796044434638555E-2</v>
      </c>
      <c r="BV86" s="57">
        <v>4.3118189611590606E-3</v>
      </c>
      <c r="BW86" s="57">
        <v>-2.6466942561903403E-2</v>
      </c>
    </row>
    <row r="87" spans="1:75" x14ac:dyDescent="0.3">
      <c r="A87" s="8" t="s">
        <v>104</v>
      </c>
      <c r="B87" s="8" t="s">
        <v>8</v>
      </c>
      <c r="C87" s="8" t="s">
        <v>110</v>
      </c>
      <c r="D87" s="57">
        <v>9.5413220817047034E-2</v>
      </c>
      <c r="E87" s="57">
        <v>3.3928102242027483E-2</v>
      </c>
      <c r="F87" s="57">
        <v>-3.2342708862669947E-2</v>
      </c>
      <c r="G87" s="57">
        <v>3.2447153526854228E-4</v>
      </c>
      <c r="H87" s="57">
        <v>-5.9086224554502902E-2</v>
      </c>
      <c r="I87" s="57">
        <v>-8.4513699863791411E-2</v>
      </c>
      <c r="J87" s="57">
        <v>-1.3542365317932573E-2</v>
      </c>
      <c r="K87" s="57">
        <v>-5.8548913306115398E-2</v>
      </c>
      <c r="L87" s="57">
        <v>-9.6297949650576767E-2</v>
      </c>
      <c r="M87" s="57">
        <v>-8.8681773527888048E-3</v>
      </c>
      <c r="N87" s="57">
        <v>-4.3125861025881257E-2</v>
      </c>
      <c r="O87" s="57">
        <v>-9.194429239525044E-2</v>
      </c>
      <c r="P87" s="57">
        <v>1.2261737009454656E-2</v>
      </c>
      <c r="Q87" s="57">
        <v>-4.6974554699256189E-2</v>
      </c>
      <c r="R87" s="57">
        <v>-8.986384139926111E-2</v>
      </c>
      <c r="S87" s="57">
        <v>2.9326106337799418E-2</v>
      </c>
      <c r="T87" s="57">
        <v>-3.1116617994984587E-2</v>
      </c>
      <c r="U87" s="57">
        <v>-9.4516995098761006E-2</v>
      </c>
      <c r="V87" s="57">
        <v>2.6561607226939336E-2</v>
      </c>
      <c r="W87" s="57">
        <v>-3.1064048178785691E-2</v>
      </c>
      <c r="X87" s="57">
        <v>-8.7954421586345879E-2</v>
      </c>
      <c r="Y87" s="57">
        <v>-7.3017229258029642E-2</v>
      </c>
      <c r="Z87" s="57">
        <v>-0.1476265325253352</v>
      </c>
      <c r="AA87" s="57">
        <v>-0.12331184608701296</v>
      </c>
      <c r="AB87" s="57">
        <v>-2.4022693737386766E-3</v>
      </c>
      <c r="AC87" s="57">
        <v>-4.7245197560947534E-2</v>
      </c>
      <c r="AD87" s="57">
        <v>-6.1777122724275352E-2</v>
      </c>
      <c r="AE87" s="57">
        <v>-7.7456694620104904E-2</v>
      </c>
      <c r="AF87" s="57">
        <v>-6.6223803848968185E-2</v>
      </c>
      <c r="AG87" s="57">
        <v>-9.5243135321562949E-2</v>
      </c>
      <c r="AH87" s="57">
        <v>-1.6868758652724414E-3</v>
      </c>
      <c r="AI87" s="57">
        <v>-5.4315604672803997E-2</v>
      </c>
      <c r="AJ87" s="57">
        <v>-5.8295476074746305E-2</v>
      </c>
      <c r="AK87" s="57">
        <v>1.7618410727971989E-3</v>
      </c>
      <c r="AL87" s="57">
        <v>-1.6662146254942525E-2</v>
      </c>
      <c r="AM87" s="57">
        <v>-6.5564501973615644E-2</v>
      </c>
      <c r="AN87" s="57">
        <v>-1.5425652411206137E-2</v>
      </c>
      <c r="AO87" s="57">
        <v>-5.5013767483208985E-2</v>
      </c>
      <c r="AP87" s="57">
        <v>-4.8076232062576676E-2</v>
      </c>
      <c r="AQ87" s="57">
        <v>-3.7837985889094039E-2</v>
      </c>
      <c r="AR87" s="57">
        <v>-2.7644315213978927E-2</v>
      </c>
      <c r="AS87" s="57">
        <v>-7.3193717481842654E-2</v>
      </c>
      <c r="AT87" s="57">
        <v>2.0151493979463114E-2</v>
      </c>
      <c r="AU87" s="57">
        <v>-2.2327436465650705E-2</v>
      </c>
      <c r="AV87" s="57">
        <v>-9.4110835722152439E-2</v>
      </c>
      <c r="AW87" s="57">
        <v>-7.3463317463364153E-2</v>
      </c>
      <c r="AX87" s="57">
        <v>-0.11591613535458689</v>
      </c>
      <c r="AY87" s="57">
        <v>-0.12490567151145521</v>
      </c>
      <c r="AZ87" s="57">
        <v>2.423450741476604E-2</v>
      </c>
      <c r="BA87" s="57">
        <v>-4.4782981595703993E-2</v>
      </c>
      <c r="BB87" s="57">
        <v>-2.8336488271093398E-2</v>
      </c>
      <c r="BC87" s="57">
        <v>1.2801254411673846E-2</v>
      </c>
      <c r="BD87" s="57">
        <v>-5.4918601257088868E-2</v>
      </c>
      <c r="BE87" s="57">
        <v>-5.4530018503205449E-2</v>
      </c>
      <c r="BF87" s="57">
        <v>1.7630180834340509E-2</v>
      </c>
      <c r="BG87" s="57">
        <v>-3.5143322453378874E-2</v>
      </c>
      <c r="BH87" s="57">
        <v>-8.5924498778405231E-2</v>
      </c>
      <c r="BI87" s="57">
        <v>-9.7167623095125721E-3</v>
      </c>
      <c r="BJ87" s="57">
        <v>-4.8272285971426659E-2</v>
      </c>
      <c r="BK87" s="57">
        <v>-9.2677480798214293E-2</v>
      </c>
      <c r="BL87" s="57">
        <v>1.512264910375089E-2</v>
      </c>
      <c r="BM87" s="57">
        <v>-5.2976211161662144E-2</v>
      </c>
      <c r="BN87" s="57">
        <v>-9.573182805519076E-2</v>
      </c>
      <c r="BO87" s="57">
        <v>4.1273224143876686E-2</v>
      </c>
      <c r="BP87" s="57">
        <v>-2.4515144343777124E-2</v>
      </c>
      <c r="BQ87" s="57">
        <v>-7.9622199571789995E-2</v>
      </c>
      <c r="BR87" s="57">
        <v>3.7204638322757735E-2</v>
      </c>
      <c r="BS87" s="57">
        <v>-2.7363843448409281E-2</v>
      </c>
      <c r="BT87" s="57">
        <v>-5.9509579811382732E-2</v>
      </c>
      <c r="BU87" s="57">
        <v>-2.3331815910792031E-3</v>
      </c>
      <c r="BV87" s="57">
        <v>-4.2294992767397357E-2</v>
      </c>
      <c r="BW87" s="57">
        <v>-0.10232376021992032</v>
      </c>
    </row>
    <row r="88" spans="1:75" x14ac:dyDescent="0.3">
      <c r="A88" s="8" t="s">
        <v>104</v>
      </c>
      <c r="B88" s="8" t="s">
        <v>8</v>
      </c>
      <c r="C88" s="8" t="s">
        <v>111</v>
      </c>
      <c r="D88" s="57">
        <v>-9.6763966960517978E-2</v>
      </c>
      <c r="E88" s="57">
        <v>-0.10030869187268597</v>
      </c>
      <c r="F88" s="57">
        <v>-0.13609133128824114</v>
      </c>
      <c r="G88" s="57">
        <v>-0.10101085656279384</v>
      </c>
      <c r="H88" s="57">
        <v>-0.10249798844864486</v>
      </c>
      <c r="I88" s="57">
        <v>-0.13904564606574032</v>
      </c>
      <c r="J88" s="57">
        <v>-0.11171827290090748</v>
      </c>
      <c r="K88" s="57">
        <v>-0.11889416550572081</v>
      </c>
      <c r="L88" s="57">
        <v>-0.14608919600871964</v>
      </c>
      <c r="M88" s="57">
        <v>-0.16644203389619164</v>
      </c>
      <c r="N88" s="57">
        <v>-0.16040313979700321</v>
      </c>
      <c r="O88" s="57">
        <v>-0.15469954383599979</v>
      </c>
      <c r="P88" s="57">
        <v>-0.11124582737372193</v>
      </c>
      <c r="Q88" s="57">
        <v>-0.11622610982218402</v>
      </c>
      <c r="R88" s="57">
        <v>-0.14899418730743924</v>
      </c>
      <c r="S88" s="57">
        <v>-0.14571279415839244</v>
      </c>
      <c r="T88" s="57">
        <v>-0.14977180072998683</v>
      </c>
      <c r="U88" s="57">
        <v>-0.15183085035259308</v>
      </c>
      <c r="V88" s="57">
        <v>-0.16297007608686015</v>
      </c>
      <c r="W88" s="57">
        <v>-0.16875943094245052</v>
      </c>
      <c r="X88" s="57">
        <v>-0.1520324534256107</v>
      </c>
      <c r="Y88" s="57">
        <v>-0.17336677119061261</v>
      </c>
      <c r="Z88" s="57">
        <v>-0.18092933222935617</v>
      </c>
      <c r="AA88" s="57">
        <v>-0.15543808286221453</v>
      </c>
      <c r="AB88" s="57">
        <v>-0.15215959508996854</v>
      </c>
      <c r="AC88" s="57">
        <v>-0.16345252936363314</v>
      </c>
      <c r="AD88" s="57">
        <v>-0.13244146888690975</v>
      </c>
      <c r="AE88" s="57">
        <v>-0.17111044798407227</v>
      </c>
      <c r="AF88" s="57">
        <v>-0.15446998908952522</v>
      </c>
      <c r="AG88" s="57">
        <v>-0.14505894150206261</v>
      </c>
      <c r="AH88" s="57">
        <v>-0.1204550411368898</v>
      </c>
      <c r="AI88" s="57">
        <v>-0.12130777279068956</v>
      </c>
      <c r="AJ88" s="57">
        <v>-0.13464660076661453</v>
      </c>
      <c r="AK88" s="57">
        <v>-0.14859068741196987</v>
      </c>
      <c r="AL88" s="57">
        <v>-0.139641517669087</v>
      </c>
      <c r="AM88" s="57">
        <v>-0.13775637832733437</v>
      </c>
      <c r="AN88" s="57">
        <v>-0.10828210623821104</v>
      </c>
      <c r="AO88" s="57">
        <v>-0.11676958291998092</v>
      </c>
      <c r="AP88" s="57">
        <v>-0.1281367015457196</v>
      </c>
      <c r="AQ88" s="57">
        <v>-0.16946667524768516</v>
      </c>
      <c r="AR88" s="57">
        <v>-0.14888524649140306</v>
      </c>
      <c r="AS88" s="57">
        <v>-0.14524951998962715</v>
      </c>
      <c r="AT88" s="57">
        <v>-0.15815162367944119</v>
      </c>
      <c r="AU88" s="57">
        <v>-0.15375237371919467</v>
      </c>
      <c r="AV88" s="57">
        <v>-0.14802884608477557</v>
      </c>
      <c r="AW88" s="57">
        <v>-0.17336857671002634</v>
      </c>
      <c r="AX88" s="57">
        <v>-0.17210425898934117</v>
      </c>
      <c r="AY88" s="57">
        <v>-0.15668697440572044</v>
      </c>
      <c r="AZ88" s="57">
        <v>-0.11107361963993891</v>
      </c>
      <c r="BA88" s="57">
        <v>-0.11559721994975861</v>
      </c>
      <c r="BB88" s="57">
        <v>-0.12446137256135988</v>
      </c>
      <c r="BC88" s="57">
        <v>-0.14494541411929643</v>
      </c>
      <c r="BD88" s="57">
        <v>-0.15201581900361666</v>
      </c>
      <c r="BE88" s="57">
        <v>-0.13519201968185685</v>
      </c>
      <c r="BF88" s="57">
        <v>-0.1016967098808253</v>
      </c>
      <c r="BG88" s="57">
        <v>-0.10573730884384704</v>
      </c>
      <c r="BH88" s="57">
        <v>-0.13806981248376238</v>
      </c>
      <c r="BI88" s="57">
        <v>-0.14978913021161824</v>
      </c>
      <c r="BJ88" s="57">
        <v>-0.14886878089302152</v>
      </c>
      <c r="BK88" s="57">
        <v>-0.14430210237829941</v>
      </c>
      <c r="BL88" s="57">
        <v>-0.11275169096350936</v>
      </c>
      <c r="BM88" s="57">
        <v>-0.11880583550761435</v>
      </c>
      <c r="BN88" s="57">
        <v>-0.14603008913594787</v>
      </c>
      <c r="BO88" s="57">
        <v>-0.14446543532610537</v>
      </c>
      <c r="BP88" s="57">
        <v>-0.15009846750038125</v>
      </c>
      <c r="BQ88" s="57">
        <v>-0.14697479096885538</v>
      </c>
      <c r="BR88" s="57">
        <v>-0.1201335347963059</v>
      </c>
      <c r="BS88" s="57">
        <v>-0.12397045274095025</v>
      </c>
      <c r="BT88" s="57">
        <v>-0.14769118662153063</v>
      </c>
      <c r="BU88" s="57">
        <v>-0.16737606852339329</v>
      </c>
      <c r="BV88" s="57">
        <v>-0.16039757810885119</v>
      </c>
      <c r="BW88" s="57">
        <v>-0.15728591535072983</v>
      </c>
    </row>
    <row r="89" spans="1:75" x14ac:dyDescent="0.3">
      <c r="A89" s="8" t="s">
        <v>104</v>
      </c>
      <c r="B89" s="8" t="s">
        <v>8</v>
      </c>
      <c r="C89" s="8" t="s">
        <v>112</v>
      </c>
      <c r="D89" s="57">
        <v>-0.41515685468951796</v>
      </c>
      <c r="E89" s="57">
        <v>-0.38758133789668597</v>
      </c>
      <c r="F89" s="57">
        <v>-0.35156745212724111</v>
      </c>
      <c r="G89" s="57">
        <v>-0.36766408867379385</v>
      </c>
      <c r="H89" s="57">
        <v>-0.33255698964164487</v>
      </c>
      <c r="I89" s="57">
        <v>-0.32795957682374033</v>
      </c>
      <c r="J89" s="57">
        <v>-0.41128034925290752</v>
      </c>
      <c r="K89" s="57">
        <v>-0.39417307758872078</v>
      </c>
      <c r="L89" s="57">
        <v>-0.35420896770771959</v>
      </c>
      <c r="M89" s="57">
        <v>-0.42328680048719169</v>
      </c>
      <c r="N89" s="57">
        <v>-0.39032511095700317</v>
      </c>
      <c r="O89" s="57">
        <v>-0.34540207712999976</v>
      </c>
      <c r="P89" s="57">
        <v>-0.40179276997572189</v>
      </c>
      <c r="Q89" s="57">
        <v>-0.38325437149718394</v>
      </c>
      <c r="R89" s="57">
        <v>-0.35257754370343919</v>
      </c>
      <c r="S89" s="57">
        <v>-0.39395351709839249</v>
      </c>
      <c r="T89" s="57">
        <v>-0.36909918670698683</v>
      </c>
      <c r="U89" s="57">
        <v>-0.33732624239259312</v>
      </c>
      <c r="V89" s="57">
        <v>-0.43356833072686018</v>
      </c>
      <c r="W89" s="57">
        <v>-0.41740403187445047</v>
      </c>
      <c r="X89" s="57">
        <v>-0.34115553528661069</v>
      </c>
      <c r="Y89" s="57">
        <v>-0.40717606802361256</v>
      </c>
      <c r="Z89" s="57">
        <v>-0.3865104422643561</v>
      </c>
      <c r="AA89" s="57">
        <v>-0.33111058516821457</v>
      </c>
      <c r="AB89" s="57">
        <v>-0.42234675963096852</v>
      </c>
      <c r="AC89" s="57">
        <v>-0.41175094915963312</v>
      </c>
      <c r="AD89" s="57">
        <v>-0.32012934145490973</v>
      </c>
      <c r="AE89" s="57">
        <v>-0.39532764250707225</v>
      </c>
      <c r="AF89" s="57">
        <v>-0.35410111084952528</v>
      </c>
      <c r="AG89" s="57">
        <v>-0.31708932977306264</v>
      </c>
      <c r="AH89" s="57">
        <v>-0.41636779134688973</v>
      </c>
      <c r="AI89" s="57">
        <v>-0.39021118228568957</v>
      </c>
      <c r="AJ89" s="57">
        <v>-0.33489796372861452</v>
      </c>
      <c r="AK89" s="57">
        <v>-0.38664791526796988</v>
      </c>
      <c r="AL89" s="57">
        <v>-0.35487242687008697</v>
      </c>
      <c r="AM89" s="57">
        <v>-0.31895335459533436</v>
      </c>
      <c r="AN89" s="57">
        <v>-0.41007272365321101</v>
      </c>
      <c r="AO89" s="57">
        <v>-0.39219273714298092</v>
      </c>
      <c r="AP89" s="57">
        <v>-0.33654495752471958</v>
      </c>
      <c r="AQ89" s="57">
        <v>-0.41560867505068516</v>
      </c>
      <c r="AR89" s="57">
        <v>-0.37225141238840309</v>
      </c>
      <c r="AS89" s="57">
        <v>-0.33271381724062721</v>
      </c>
      <c r="AT89" s="57">
        <v>-0.43063223824644109</v>
      </c>
      <c r="AU89" s="57">
        <v>-0.40563521069419473</v>
      </c>
      <c r="AV89" s="57">
        <v>-0.34033967923977554</v>
      </c>
      <c r="AW89" s="57">
        <v>-0.40688217715602637</v>
      </c>
      <c r="AX89" s="57">
        <v>-0.38191887583334116</v>
      </c>
      <c r="AY89" s="57">
        <v>-0.33323935376572045</v>
      </c>
      <c r="AZ89" s="57">
        <v>-0.40022141348393886</v>
      </c>
      <c r="BA89" s="57">
        <v>-0.38289232958375863</v>
      </c>
      <c r="BB89" s="57">
        <v>-0.32620564167235988</v>
      </c>
      <c r="BC89" s="57">
        <v>-0.37979325436029648</v>
      </c>
      <c r="BD89" s="57">
        <v>-0.36184486006161665</v>
      </c>
      <c r="BE89" s="57">
        <v>-0.31464366605585686</v>
      </c>
      <c r="BF89" s="57">
        <v>-0.38203130897082527</v>
      </c>
      <c r="BG89" s="57">
        <v>-0.36227916694084705</v>
      </c>
      <c r="BH89" s="57">
        <v>-0.32884446684776236</v>
      </c>
      <c r="BI89" s="57">
        <v>-0.38360563915161822</v>
      </c>
      <c r="BJ89" s="57">
        <v>-0.35398110397302152</v>
      </c>
      <c r="BK89" s="57">
        <v>-0.32052272481629934</v>
      </c>
      <c r="BL89" s="57">
        <v>-0.41966290434850945</v>
      </c>
      <c r="BM89" s="57">
        <v>-0.3960969254436143</v>
      </c>
      <c r="BN89" s="57">
        <v>-0.35435901193794789</v>
      </c>
      <c r="BO89" s="57">
        <v>-0.39711996775010533</v>
      </c>
      <c r="BP89" s="57">
        <v>-0.37483493372738125</v>
      </c>
      <c r="BQ89" s="57">
        <v>-0.33349430220285536</v>
      </c>
      <c r="BR89" s="57">
        <v>-0.4413463563623059</v>
      </c>
      <c r="BS89" s="57">
        <v>-0.41283697441195022</v>
      </c>
      <c r="BT89" s="57">
        <v>-0.36502081895953065</v>
      </c>
      <c r="BU89" s="57">
        <v>-0.43136082104439333</v>
      </c>
      <c r="BV89" s="57">
        <v>-0.39195669755785112</v>
      </c>
      <c r="BW89" s="57">
        <v>-0.34619263400172984</v>
      </c>
    </row>
    <row r="90" spans="1:75" x14ac:dyDescent="0.3">
      <c r="A90" s="8" t="s">
        <v>104</v>
      </c>
      <c r="B90" s="8" t="s">
        <v>8</v>
      </c>
      <c r="C90" s="8" t="s">
        <v>115</v>
      </c>
      <c r="D90" s="57">
        <v>-7.1371895704988003E-2</v>
      </c>
      <c r="E90" s="57">
        <v>-8.6791741023542701E-2</v>
      </c>
      <c r="F90" s="57">
        <v>-9.9163233899839248E-2</v>
      </c>
      <c r="G90" s="57">
        <v>-9.8106153466137436E-2</v>
      </c>
      <c r="H90" s="57">
        <v>-0.11802572130490341</v>
      </c>
      <c r="I90" s="57">
        <v>-0.11237208504683978</v>
      </c>
      <c r="J90" s="57">
        <v>-0.11104282205539498</v>
      </c>
      <c r="K90" s="57">
        <v>-0.11717145147298574</v>
      </c>
      <c r="L90" s="57">
        <v>-0.11705361883285353</v>
      </c>
      <c r="M90" s="57">
        <v>-9.8970206017205548E-2</v>
      </c>
      <c r="N90" s="57">
        <v>-9.7857794121463976E-2</v>
      </c>
      <c r="O90" s="57">
        <v>-0.10866609460799889</v>
      </c>
      <c r="P90" s="57">
        <v>-9.8504204060185202E-2</v>
      </c>
      <c r="Q90" s="57">
        <v>-0.10582623918521052</v>
      </c>
      <c r="R90" s="57">
        <v>-0.11337521470051615</v>
      </c>
      <c r="S90" s="57">
        <v>-7.8826295547738331E-2</v>
      </c>
      <c r="T90" s="57">
        <v>-9.2642198002675424E-2</v>
      </c>
      <c r="U90" s="57">
        <v>-0.10626808563574699</v>
      </c>
      <c r="V90" s="57">
        <v>-9.3425708528759879E-2</v>
      </c>
      <c r="W90" s="57">
        <v>-0.10211108360103298</v>
      </c>
      <c r="X90" s="57">
        <v>-0.1061201502477683</v>
      </c>
      <c r="Y90" s="57">
        <v>-0.10751684006359156</v>
      </c>
      <c r="Z90" s="57">
        <v>-0.11860552516042921</v>
      </c>
      <c r="AA90" s="57">
        <v>-0.11087175955319035</v>
      </c>
      <c r="AB90" s="57">
        <v>-0.10086760448802098</v>
      </c>
      <c r="AC90" s="57">
        <v>-0.10584683577891121</v>
      </c>
      <c r="AD90" s="57">
        <v>-9.3491143932726964E-2</v>
      </c>
      <c r="AE90" s="57">
        <v>-0.11450225685461843</v>
      </c>
      <c r="AF90" s="57">
        <v>-0.11520938824595751</v>
      </c>
      <c r="AG90" s="57">
        <v>-0.10836295998662487</v>
      </c>
      <c r="AH90" s="57">
        <v>-0.10730363912207345</v>
      </c>
      <c r="AI90" s="57">
        <v>-0.11326720344201639</v>
      </c>
      <c r="AJ90" s="57">
        <v>-9.9178249224923645E-2</v>
      </c>
      <c r="AK90" s="57">
        <v>-8.2726840093353404E-2</v>
      </c>
      <c r="AL90" s="57">
        <v>-7.8364706184418306E-2</v>
      </c>
      <c r="AM90" s="57">
        <v>-9.2441285152443736E-2</v>
      </c>
      <c r="AN90" s="57">
        <v>-0.11206014779452599</v>
      </c>
      <c r="AO90" s="57">
        <v>-0.11262024961067943</v>
      </c>
      <c r="AP90" s="57">
        <v>-9.8857100314853577E-2</v>
      </c>
      <c r="AQ90" s="57">
        <v>-0.10306964518554319</v>
      </c>
      <c r="AR90" s="57">
        <v>-8.4569878858874056E-2</v>
      </c>
      <c r="AS90" s="57">
        <v>-9.9416531101581884E-2</v>
      </c>
      <c r="AT90" s="57">
        <v>-9.5562375889705911E-2</v>
      </c>
      <c r="AU90" s="57">
        <v>-9.8087701184574161E-2</v>
      </c>
      <c r="AV90" s="57">
        <v>-0.10881756755014967</v>
      </c>
      <c r="AW90" s="57">
        <v>-0.10768460574798244</v>
      </c>
      <c r="AX90" s="57">
        <v>-0.10926351182549754</v>
      </c>
      <c r="AY90" s="57">
        <v>-0.11205031274285306</v>
      </c>
      <c r="AZ90" s="57">
        <v>-9.4095609472040737E-2</v>
      </c>
      <c r="BA90" s="57">
        <v>-0.10516389141216094</v>
      </c>
      <c r="BB90" s="57">
        <v>-8.872561086285112E-2</v>
      </c>
      <c r="BC90" s="57">
        <v>-8.6990958068468988E-2</v>
      </c>
      <c r="BD90" s="57">
        <v>-9.6573811488255529E-2</v>
      </c>
      <c r="BE90" s="57">
        <v>-9.7657279859853008E-2</v>
      </c>
      <c r="BF90" s="57">
        <v>-8.983099393278314E-2</v>
      </c>
      <c r="BG90" s="57">
        <v>-0.10073311328676864</v>
      </c>
      <c r="BH90" s="57">
        <v>-0.1035621008312234</v>
      </c>
      <c r="BI90" s="57">
        <v>-8.4351146178921144E-2</v>
      </c>
      <c r="BJ90" s="57">
        <v>-0.101367104311319</v>
      </c>
      <c r="BK90" s="57">
        <v>-9.9548592558466986E-2</v>
      </c>
      <c r="BL90" s="57">
        <v>-0.10615436980432706</v>
      </c>
      <c r="BM90" s="57">
        <v>-0.1182881260095905</v>
      </c>
      <c r="BN90" s="57">
        <v>-0.11697350849870143</v>
      </c>
      <c r="BO90" s="57">
        <v>-7.7135691254596406E-2</v>
      </c>
      <c r="BP90" s="57">
        <v>-8.9333517155745834E-2</v>
      </c>
      <c r="BQ90" s="57">
        <v>-0.1012542281727631</v>
      </c>
      <c r="BR90" s="57">
        <v>-9.306079305046272E-2</v>
      </c>
      <c r="BS90" s="57">
        <v>-0.10898644769403316</v>
      </c>
      <c r="BT90" s="57">
        <v>-0.11072284758297954</v>
      </c>
      <c r="BU90" s="57">
        <v>-9.4267524305737802E-2</v>
      </c>
      <c r="BV90" s="57">
        <v>-9.5306268572765682E-2</v>
      </c>
      <c r="BW90" s="57">
        <v>-0.11145782264588079</v>
      </c>
    </row>
    <row r="91" spans="1:75" x14ac:dyDescent="0.3">
      <c r="A91" s="8" t="s">
        <v>104</v>
      </c>
      <c r="B91" s="8" t="s">
        <v>8</v>
      </c>
      <c r="C91" s="8" t="s">
        <v>116</v>
      </c>
      <c r="D91" s="57">
        <v>-0.31126619113826742</v>
      </c>
      <c r="E91" s="57">
        <v>-0.29889713782811411</v>
      </c>
      <c r="F91" s="57">
        <v>-0.25477892092354948</v>
      </c>
      <c r="G91" s="57">
        <v>-0.29138777433768581</v>
      </c>
      <c r="H91" s="57">
        <v>-0.27796015523061468</v>
      </c>
      <c r="I91" s="57">
        <v>-0.24425118990457484</v>
      </c>
      <c r="J91" s="57">
        <v>-0.33149244634782177</v>
      </c>
      <c r="K91" s="57">
        <v>-0.31748437796154588</v>
      </c>
      <c r="L91" s="57">
        <v>-0.26533762175768338</v>
      </c>
      <c r="M91" s="57">
        <v>-0.29373982085010336</v>
      </c>
      <c r="N91" s="57">
        <v>-0.26938867187079479</v>
      </c>
      <c r="O91" s="57">
        <v>-0.24494394338789899</v>
      </c>
      <c r="P91" s="57">
        <v>-0.31322967816031566</v>
      </c>
      <c r="Q91" s="57">
        <v>-0.3005455527520064</v>
      </c>
      <c r="R91" s="57">
        <v>-0.25885557986535457</v>
      </c>
      <c r="S91" s="57">
        <v>-0.26631758879633655</v>
      </c>
      <c r="T91" s="57">
        <v>-0.2545066681211221</v>
      </c>
      <c r="U91" s="57">
        <v>-0.23812364940527389</v>
      </c>
      <c r="V91" s="57">
        <v>-0.30000019075447498</v>
      </c>
      <c r="W91" s="57">
        <v>-0.28990418076684565</v>
      </c>
      <c r="X91" s="57">
        <v>-0.24105985699399454</v>
      </c>
      <c r="Y91" s="57">
        <v>-0.28279209922879467</v>
      </c>
      <c r="Z91" s="57">
        <v>-0.26976116675001827</v>
      </c>
      <c r="AA91" s="57">
        <v>-0.23436872783384402</v>
      </c>
      <c r="AB91" s="57">
        <v>-0.30436067630186309</v>
      </c>
      <c r="AC91" s="57">
        <v>-0.29199422636041944</v>
      </c>
      <c r="AD91" s="57">
        <v>-0.22618712903625443</v>
      </c>
      <c r="AE91" s="57">
        <v>-0.28037499808968652</v>
      </c>
      <c r="AF91" s="57">
        <v>-0.25793305870049255</v>
      </c>
      <c r="AG91" s="57">
        <v>-0.22763561026899054</v>
      </c>
      <c r="AH91" s="57">
        <v>-0.32657486209979586</v>
      </c>
      <c r="AI91" s="57">
        <v>-0.30919970963656745</v>
      </c>
      <c r="AJ91" s="57">
        <v>-0.24185142671727727</v>
      </c>
      <c r="AK91" s="57">
        <v>-0.2615542433279458</v>
      </c>
      <c r="AL91" s="57">
        <v>-0.23742777345366856</v>
      </c>
      <c r="AM91" s="57">
        <v>-0.2206674507240772</v>
      </c>
      <c r="AN91" s="57">
        <v>-0.33370417182932871</v>
      </c>
      <c r="AO91" s="57">
        <v>-0.31341771420772446</v>
      </c>
      <c r="AP91" s="57">
        <v>-0.24741879728193333</v>
      </c>
      <c r="AQ91" s="57">
        <v>-0.28873358524451437</v>
      </c>
      <c r="AR91" s="57">
        <v>-0.25088747978910331</v>
      </c>
      <c r="AS91" s="57">
        <v>-0.23295807070883864</v>
      </c>
      <c r="AT91" s="57">
        <v>-0.30266670523201605</v>
      </c>
      <c r="AU91" s="57">
        <v>-0.2869394872510172</v>
      </c>
      <c r="AV91" s="57">
        <v>-0.24541616989559348</v>
      </c>
      <c r="AW91" s="57">
        <v>-0.28268785319358897</v>
      </c>
      <c r="AX91" s="57">
        <v>-0.26403469654827405</v>
      </c>
      <c r="AY91" s="57">
        <v>-0.23629315760028313</v>
      </c>
      <c r="AZ91" s="57">
        <v>-0.30828725299542542</v>
      </c>
      <c r="BA91" s="57">
        <v>-0.30011123231550046</v>
      </c>
      <c r="BB91" s="57">
        <v>-0.23268654287467741</v>
      </c>
      <c r="BC91" s="57">
        <v>-0.26194982153464308</v>
      </c>
      <c r="BD91" s="57">
        <v>-0.25024723978545971</v>
      </c>
      <c r="BE91" s="57">
        <v>-0.22325779530285358</v>
      </c>
      <c r="BF91" s="57">
        <v>-0.29589048056448941</v>
      </c>
      <c r="BG91" s="57">
        <v>-0.28587943831568036</v>
      </c>
      <c r="BH91" s="57">
        <v>-0.23817136158330421</v>
      </c>
      <c r="BI91" s="57">
        <v>-0.25957064054082574</v>
      </c>
      <c r="BJ91" s="57">
        <v>-0.24990765437257431</v>
      </c>
      <c r="BK91" s="57">
        <v>-0.2235317106403418</v>
      </c>
      <c r="BL91" s="57">
        <v>-0.33363405344995439</v>
      </c>
      <c r="BM91" s="57">
        <v>-0.32010190759509394</v>
      </c>
      <c r="BN91" s="57">
        <v>-0.26543545250738831</v>
      </c>
      <c r="BO91" s="57">
        <v>-0.26838215496252271</v>
      </c>
      <c r="BP91" s="57">
        <v>-0.25626373505429118</v>
      </c>
      <c r="BQ91" s="57">
        <v>-0.23398933269487696</v>
      </c>
      <c r="BR91" s="57">
        <v>-0.33556384804963924</v>
      </c>
      <c r="BS91" s="57">
        <v>-0.32264392727612062</v>
      </c>
      <c r="BT91" s="57">
        <v>-0.26789357689266213</v>
      </c>
      <c r="BU91" s="57">
        <v>-0.29584963483093613</v>
      </c>
      <c r="BV91" s="57">
        <v>-0.26858722911412847</v>
      </c>
      <c r="BW91" s="57">
        <v>-0.24620407999565821</v>
      </c>
    </row>
    <row r="92" spans="1:75" x14ac:dyDescent="0.3">
      <c r="A92" s="8" t="s">
        <v>104</v>
      </c>
      <c r="B92" s="8" t="s">
        <v>8</v>
      </c>
      <c r="C92" s="8" t="s">
        <v>117</v>
      </c>
      <c r="D92" s="57">
        <v>-0.28925692843912049</v>
      </c>
      <c r="E92" s="57">
        <v>-0.27614493796982853</v>
      </c>
      <c r="F92" s="57">
        <v>-0.23539350036468973</v>
      </c>
      <c r="G92" s="57">
        <v>-0.26786891276005159</v>
      </c>
      <c r="H92" s="57">
        <v>-0.25312082478508885</v>
      </c>
      <c r="I92" s="57">
        <v>-0.22421977556706493</v>
      </c>
      <c r="J92" s="57">
        <v>-0.30728053319877308</v>
      </c>
      <c r="K92" s="57">
        <v>-0.2937240934779195</v>
      </c>
      <c r="L92" s="57">
        <v>-0.24526803987957002</v>
      </c>
      <c r="M92" s="57">
        <v>-0.27681779268670215</v>
      </c>
      <c r="N92" s="57">
        <v>-0.25235860685034878</v>
      </c>
      <c r="O92" s="57">
        <v>-0.22682296640649907</v>
      </c>
      <c r="P92" s="57">
        <v>-0.29035316988306931</v>
      </c>
      <c r="Q92" s="57">
        <v>-0.27777085036320392</v>
      </c>
      <c r="R92" s="57">
        <v>-0.23950914346324695</v>
      </c>
      <c r="S92" s="57">
        <v>-0.24945994261540186</v>
      </c>
      <c r="T92" s="57">
        <v>-0.23708638002275326</v>
      </c>
      <c r="U92" s="57">
        <v>-0.22002999170495852</v>
      </c>
      <c r="V92" s="57">
        <v>-0.28308893815828495</v>
      </c>
      <c r="W92" s="57">
        <v>-0.27301694977338736</v>
      </c>
      <c r="X92" s="57">
        <v>-0.22294932899947886</v>
      </c>
      <c r="Y92" s="57">
        <v>-0.26603695952959677</v>
      </c>
      <c r="Z92" s="57">
        <v>-0.25305667445641095</v>
      </c>
      <c r="AA92" s="57">
        <v>-0.2163157529889464</v>
      </c>
      <c r="AB92" s="57">
        <v>-0.28563005872575786</v>
      </c>
      <c r="AC92" s="57">
        <v>-0.27420767543609165</v>
      </c>
      <c r="AD92" s="57">
        <v>-0.20740090620927265</v>
      </c>
      <c r="AE92" s="57">
        <v>-0.26283271442373191</v>
      </c>
      <c r="AF92" s="57">
        <v>-0.23900724561684947</v>
      </c>
      <c r="AG92" s="57">
        <v>-0.20884763144523433</v>
      </c>
      <c r="AH92" s="57">
        <v>-0.30366267729827751</v>
      </c>
      <c r="AI92" s="57">
        <v>-0.28616228929293464</v>
      </c>
      <c r="AJ92" s="57">
        <v>-0.22253752811484639</v>
      </c>
      <c r="AK92" s="57">
        <v>-0.24473981051900756</v>
      </c>
      <c r="AL92" s="57">
        <v>-0.22048072732783552</v>
      </c>
      <c r="AM92" s="57">
        <v>-0.20261043180916641</v>
      </c>
      <c r="AN92" s="57">
        <v>-0.30901507313919724</v>
      </c>
      <c r="AO92" s="57">
        <v>-0.28989803104975487</v>
      </c>
      <c r="AP92" s="57">
        <v>-0.22736949660532005</v>
      </c>
      <c r="AQ92" s="57">
        <v>-0.27185697396782865</v>
      </c>
      <c r="AR92" s="57">
        <v>-0.23412807132525626</v>
      </c>
      <c r="AS92" s="57">
        <v>-0.21486330820834318</v>
      </c>
      <c r="AT92" s="57">
        <v>-0.28503304980288974</v>
      </c>
      <c r="AU92" s="57">
        <v>-0.26890762826197928</v>
      </c>
      <c r="AV92" s="57">
        <v>-0.22659000013255606</v>
      </c>
      <c r="AW92" s="57">
        <v>-0.26592034171199341</v>
      </c>
      <c r="AX92" s="57">
        <v>-0.24732141959545839</v>
      </c>
      <c r="AY92" s="57">
        <v>-0.21823464691856992</v>
      </c>
      <c r="AZ92" s="57">
        <v>-0.28585437124301527</v>
      </c>
      <c r="BA92" s="57">
        <v>-0.2773360636030604</v>
      </c>
      <c r="BB92" s="57">
        <v>-0.21337805805722831</v>
      </c>
      <c r="BC92" s="57">
        <v>-0.2443902979934259</v>
      </c>
      <c r="BD92" s="57">
        <v>-0.2327938828075958</v>
      </c>
      <c r="BE92" s="57">
        <v>-0.20444767433685393</v>
      </c>
      <c r="BF92" s="57">
        <v>-0.27307227217229363</v>
      </c>
      <c r="BG92" s="57">
        <v>-0.26271497418428824</v>
      </c>
      <c r="BH92" s="57">
        <v>-0.21889678054335809</v>
      </c>
      <c r="BI92" s="57">
        <v>-0.24277420310209538</v>
      </c>
      <c r="BJ92" s="57">
        <v>-0.23172764598674456</v>
      </c>
      <c r="BK92" s="57">
        <v>-0.20548962415892505</v>
      </c>
      <c r="BL92" s="57">
        <v>-0.30990933966037265</v>
      </c>
      <c r="BM92" s="57">
        <v>-0.29619237726009651</v>
      </c>
      <c r="BN92" s="57">
        <v>-0.24536498310251301</v>
      </c>
      <c r="BO92" s="57">
        <v>-0.25150577890647369</v>
      </c>
      <c r="BP92" s="57">
        <v>-0.23912970914265463</v>
      </c>
      <c r="BQ92" s="57">
        <v>-0.21589682452828618</v>
      </c>
      <c r="BR92" s="57">
        <v>-0.3136823676304234</v>
      </c>
      <c r="BS92" s="57">
        <v>-0.30001566318551237</v>
      </c>
      <c r="BT92" s="57">
        <v>-0.24848570176311724</v>
      </c>
      <c r="BU92" s="57">
        <v>-0.27938927850240164</v>
      </c>
      <c r="BV92" s="57">
        <v>-0.25178837264703696</v>
      </c>
      <c r="BW92" s="57">
        <v>-0.22808822185684316</v>
      </c>
    </row>
    <row r="93" spans="1:75" x14ac:dyDescent="0.3">
      <c r="A93" s="8" t="s">
        <v>104</v>
      </c>
      <c r="B93" s="8" t="s">
        <v>8</v>
      </c>
      <c r="C93" s="8" t="s">
        <v>118</v>
      </c>
      <c r="D93" s="57">
        <v>-0.32702690631423975</v>
      </c>
      <c r="E93" s="57">
        <v>-0.30957585794788572</v>
      </c>
      <c r="F93" s="57">
        <v>-0.27024568589345521</v>
      </c>
      <c r="G93" s="57">
        <v>-0.29780746553417431</v>
      </c>
      <c r="H93" s="57">
        <v>-0.27695167424205547</v>
      </c>
      <c r="I93" s="57">
        <v>-0.25534171594406757</v>
      </c>
      <c r="J93" s="57">
        <v>-0.33848047801501346</v>
      </c>
      <c r="K93" s="57">
        <v>-0.32385878871115997</v>
      </c>
      <c r="L93" s="57">
        <v>-0.27795031822801497</v>
      </c>
      <c r="M93" s="57">
        <v>-0.32075849502684894</v>
      </c>
      <c r="N93" s="57">
        <v>-0.29374855808234512</v>
      </c>
      <c r="O93" s="57">
        <v>-0.26239669962354933</v>
      </c>
      <c r="P93" s="57">
        <v>-0.32378504991086515</v>
      </c>
      <c r="Q93" s="57">
        <v>-0.30941590670339791</v>
      </c>
      <c r="R93" s="57">
        <v>-0.27342966353530462</v>
      </c>
      <c r="S93" s="57">
        <v>-0.29280801496029907</v>
      </c>
      <c r="T93" s="57">
        <v>-0.27669022202802335</v>
      </c>
      <c r="U93" s="57">
        <v>-0.2552188669112489</v>
      </c>
      <c r="V93" s="57">
        <v>-0.32823275592885748</v>
      </c>
      <c r="W93" s="57">
        <v>-0.31633307440370628</v>
      </c>
      <c r="X93" s="57">
        <v>-0.25841119088561859</v>
      </c>
      <c r="Y93" s="57">
        <v>-0.30837869207780161</v>
      </c>
      <c r="Z93" s="57">
        <v>-0.29309280479879452</v>
      </c>
      <c r="AA93" s="57">
        <v>-0.25075420264272685</v>
      </c>
      <c r="AB93" s="57">
        <v>-0.32664506899732104</v>
      </c>
      <c r="AC93" s="57">
        <v>-0.31547065755315418</v>
      </c>
      <c r="AD93" s="57">
        <v>-0.24121943678296379</v>
      </c>
      <c r="AE93" s="57">
        <v>-0.30258119284873397</v>
      </c>
      <c r="AF93" s="57">
        <v>-0.27353540518665226</v>
      </c>
      <c r="AG93" s="57">
        <v>-0.24132014094358276</v>
      </c>
      <c r="AH93" s="57">
        <v>-0.33747421151286117</v>
      </c>
      <c r="AI93" s="57">
        <v>-0.31737695719076114</v>
      </c>
      <c r="AJ93" s="57">
        <v>-0.25624565879897676</v>
      </c>
      <c r="AK93" s="57">
        <v>-0.28731224194369626</v>
      </c>
      <c r="AL93" s="57">
        <v>-0.26079823719051098</v>
      </c>
      <c r="AM93" s="57">
        <v>-0.23751330864501688</v>
      </c>
      <c r="AN93" s="57">
        <v>-0.33933236829340141</v>
      </c>
      <c r="AO93" s="57">
        <v>-0.3205864428777227</v>
      </c>
      <c r="AP93" s="57">
        <v>-0.26012213488114</v>
      </c>
      <c r="AQ93" s="57">
        <v>-0.3149824842926856</v>
      </c>
      <c r="AR93" s="57">
        <v>-0.27556507364420035</v>
      </c>
      <c r="AS93" s="57">
        <v>-0.25021846091802835</v>
      </c>
      <c r="AT93" s="57">
        <v>-0.32871280633595512</v>
      </c>
      <c r="AU93" s="57">
        <v>-0.30992590299164396</v>
      </c>
      <c r="AV93" s="57">
        <v>-0.26071490386472207</v>
      </c>
      <c r="AW93" s="57">
        <v>-0.30820889234520332</v>
      </c>
      <c r="AX93" s="57">
        <v>-0.28770065646682325</v>
      </c>
      <c r="AY93" s="57">
        <v>-0.25273605897271506</v>
      </c>
      <c r="AZ93" s="57">
        <v>-0.32016448391529234</v>
      </c>
      <c r="BA93" s="57">
        <v>-0.30900294339726986</v>
      </c>
      <c r="BB93" s="57">
        <v>-0.24722633314176778</v>
      </c>
      <c r="BC93" s="57">
        <v>-0.28501118490348704</v>
      </c>
      <c r="BD93" s="57">
        <v>-0.27150917598380203</v>
      </c>
      <c r="BE93" s="57">
        <v>-0.23750647185255477</v>
      </c>
      <c r="BF93" s="57">
        <v>-0.30575998321185333</v>
      </c>
      <c r="BG93" s="57">
        <v>-0.29258423201125588</v>
      </c>
      <c r="BH93" s="57">
        <v>-0.25188108643467955</v>
      </c>
      <c r="BI93" s="57">
        <v>-0.28502363391695223</v>
      </c>
      <c r="BJ93" s="57">
        <v>-0.26840368338262777</v>
      </c>
      <c r="BK93" s="57">
        <v>-0.23999955435613735</v>
      </c>
      <c r="BL93" s="57">
        <v>-0.34283540906681387</v>
      </c>
      <c r="BM93" s="57">
        <v>-0.32616374171515183</v>
      </c>
      <c r="BN93" s="57">
        <v>-0.27806319175314348</v>
      </c>
      <c r="BO93" s="57">
        <v>-0.29519003555956314</v>
      </c>
      <c r="BP93" s="57">
        <v>-0.27984127651807261</v>
      </c>
      <c r="BQ93" s="57">
        <v>-0.25117606783065693</v>
      </c>
      <c r="BR93" s="57">
        <v>-0.35198156424998822</v>
      </c>
      <c r="BS93" s="57">
        <v>-0.33386205655344392</v>
      </c>
      <c r="BT93" s="57">
        <v>-0.28344623692204135</v>
      </c>
      <c r="BU93" s="57">
        <v>-0.32498074126499921</v>
      </c>
      <c r="BV93" s="57">
        <v>-0.29383887012028126</v>
      </c>
      <c r="BW93" s="57">
        <v>-0.26351954550030898</v>
      </c>
    </row>
    <row r="94" spans="1:75" x14ac:dyDescent="0.3">
      <c r="A94" s="8" t="s">
        <v>104</v>
      </c>
      <c r="B94" s="8" t="s">
        <v>9</v>
      </c>
      <c r="C94" s="8" t="s">
        <v>108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v>0</v>
      </c>
      <c r="Q94" s="57">
        <v>0</v>
      </c>
      <c r="R94" s="57">
        <v>0</v>
      </c>
      <c r="S94" s="57">
        <v>0</v>
      </c>
      <c r="T94" s="57">
        <v>0</v>
      </c>
      <c r="U94" s="57">
        <v>0</v>
      </c>
      <c r="V94" s="57">
        <v>0</v>
      </c>
      <c r="W94" s="57">
        <v>0</v>
      </c>
      <c r="X94" s="57">
        <v>0</v>
      </c>
      <c r="Y94" s="57">
        <v>0</v>
      </c>
      <c r="Z94" s="57">
        <v>0</v>
      </c>
      <c r="AA94" s="57">
        <v>0</v>
      </c>
      <c r="AB94" s="57">
        <v>0</v>
      </c>
      <c r="AC94" s="57">
        <v>0</v>
      </c>
      <c r="AD94" s="57">
        <v>0</v>
      </c>
      <c r="AE94" s="57">
        <v>0</v>
      </c>
      <c r="AF94" s="57">
        <v>0</v>
      </c>
      <c r="AG94" s="57">
        <v>0</v>
      </c>
      <c r="AH94" s="57">
        <v>0</v>
      </c>
      <c r="AI94" s="57">
        <v>0</v>
      </c>
      <c r="AJ94" s="57">
        <v>0</v>
      </c>
      <c r="AK94" s="57">
        <v>0</v>
      </c>
      <c r="AL94" s="57">
        <v>0</v>
      </c>
      <c r="AM94" s="57">
        <v>0</v>
      </c>
      <c r="AN94" s="57">
        <v>0</v>
      </c>
      <c r="AO94" s="57">
        <v>0</v>
      </c>
      <c r="AP94" s="57">
        <v>0</v>
      </c>
      <c r="AQ94" s="57">
        <v>0</v>
      </c>
      <c r="AR94" s="57">
        <v>0</v>
      </c>
      <c r="AS94" s="57">
        <v>0</v>
      </c>
      <c r="AT94" s="57">
        <v>0</v>
      </c>
      <c r="AU94" s="57">
        <v>0</v>
      </c>
      <c r="AV94" s="57">
        <v>0</v>
      </c>
      <c r="AW94" s="57">
        <v>0</v>
      </c>
      <c r="AX94" s="57">
        <v>0</v>
      </c>
      <c r="AY94" s="57">
        <v>0</v>
      </c>
      <c r="AZ94" s="57">
        <v>0</v>
      </c>
      <c r="BA94" s="57">
        <v>0</v>
      </c>
      <c r="BB94" s="57">
        <v>0</v>
      </c>
      <c r="BC94" s="57">
        <v>0</v>
      </c>
      <c r="BD94" s="57">
        <v>0</v>
      </c>
      <c r="BE94" s="57">
        <v>0</v>
      </c>
      <c r="BF94" s="57">
        <v>0</v>
      </c>
      <c r="BG94" s="57">
        <v>0</v>
      </c>
      <c r="BH94" s="57">
        <v>0</v>
      </c>
      <c r="BI94" s="57">
        <v>0</v>
      </c>
      <c r="BJ94" s="57">
        <v>0</v>
      </c>
      <c r="BK94" s="57">
        <v>0</v>
      </c>
      <c r="BL94" s="57">
        <v>0</v>
      </c>
      <c r="BM94" s="57">
        <v>0</v>
      </c>
      <c r="BN94" s="57">
        <v>0</v>
      </c>
      <c r="BO94" s="57">
        <v>0</v>
      </c>
      <c r="BP94" s="57">
        <v>0</v>
      </c>
      <c r="BQ94" s="57">
        <v>0</v>
      </c>
      <c r="BR94" s="57">
        <v>0</v>
      </c>
      <c r="BS94" s="57">
        <v>0</v>
      </c>
      <c r="BT94" s="57">
        <v>0</v>
      </c>
      <c r="BU94" s="57">
        <v>0</v>
      </c>
      <c r="BV94" s="57">
        <v>0</v>
      </c>
      <c r="BW94" s="57">
        <v>0</v>
      </c>
    </row>
    <row r="95" spans="1:75" x14ac:dyDescent="0.3">
      <c r="A95" s="8" t="s">
        <v>104</v>
      </c>
      <c r="B95" s="8" t="s">
        <v>9</v>
      </c>
      <c r="C95" s="8" t="s">
        <v>109</v>
      </c>
      <c r="D95" s="57">
        <v>2.5454557821768319E-2</v>
      </c>
      <c r="E95" s="57">
        <v>-1.4029734153091089E-2</v>
      </c>
      <c r="F95" s="57">
        <v>3.6417036778775801E-3</v>
      </c>
      <c r="G95" s="57">
        <v>-2.1448628676191166E-2</v>
      </c>
      <c r="H95" s="57">
        <v>-5.4972703045817417E-2</v>
      </c>
      <c r="I95" s="57">
        <v>-5.7003358189097825E-2</v>
      </c>
      <c r="J95" s="57">
        <v>-2.6561307814164828E-3</v>
      </c>
      <c r="K95" s="57">
        <v>-2.7031631392650697E-2</v>
      </c>
      <c r="L95" s="57">
        <v>-1.8923288097577859E-2</v>
      </c>
      <c r="M95" s="57">
        <v>1.5650194054461143E-2</v>
      </c>
      <c r="N95" s="57">
        <v>-1.0552115141813615E-2</v>
      </c>
      <c r="O95" s="57">
        <v>-2.321667489503576E-2</v>
      </c>
      <c r="P95" s="57">
        <v>3.5411976606374164E-2</v>
      </c>
      <c r="Q95" s="57">
        <v>-2.337635027406915E-2</v>
      </c>
      <c r="R95" s="57">
        <v>-2.4997621897238902E-2</v>
      </c>
      <c r="S95" s="57">
        <v>6.3957141012476751E-2</v>
      </c>
      <c r="T95" s="57">
        <v>1.5170749499956952E-2</v>
      </c>
      <c r="U95" s="57">
        <v>-1.4402155813872744E-3</v>
      </c>
      <c r="V95" s="57">
        <v>-4.3587388940229281E-2</v>
      </c>
      <c r="W95" s="57">
        <v>-7.0297212772516798E-2</v>
      </c>
      <c r="X95" s="57">
        <v>-5.5904779603840271E-2</v>
      </c>
      <c r="Y95" s="57">
        <v>-2.8682679315043105E-2</v>
      </c>
      <c r="Z95" s="57">
        <v>-4.0348033374927421E-2</v>
      </c>
      <c r="AA95" s="57">
        <v>-6.2361349903349968E-2</v>
      </c>
      <c r="AB95" s="57">
        <v>-5.2096098345315166E-2</v>
      </c>
      <c r="AC95" s="57">
        <v>-6.9655377347837236E-2</v>
      </c>
      <c r="AD95" s="57">
        <v>-4.7589684200812901E-2</v>
      </c>
      <c r="AE95" s="57">
        <v>-5.3178700833812202E-2</v>
      </c>
      <c r="AF95" s="57">
        <v>-4.8196779486365589E-2</v>
      </c>
      <c r="AG95" s="57">
        <v>-5.7281522611732409E-2</v>
      </c>
      <c r="AH95" s="57">
        <v>6.6146541160985476E-3</v>
      </c>
      <c r="AI95" s="57">
        <v>-2.0119203098586926E-2</v>
      </c>
      <c r="AJ95" s="57">
        <v>5.4140600763236367E-3</v>
      </c>
      <c r="AK95" s="57">
        <v>-5.4636349549123997E-2</v>
      </c>
      <c r="AL95" s="57">
        <v>-3.3650444165784388E-2</v>
      </c>
      <c r="AM95" s="57">
        <v>-3.9033643162264542E-2</v>
      </c>
      <c r="AN95" s="57">
        <v>1.8928633003663983E-3</v>
      </c>
      <c r="AO95" s="57">
        <v>-1.2089425857619922E-2</v>
      </c>
      <c r="AP95" s="57">
        <v>5.1560678344474802E-3</v>
      </c>
      <c r="AQ95" s="57">
        <v>4.5139039700962169E-2</v>
      </c>
      <c r="AR95" s="57">
        <v>2.8531040644699562E-2</v>
      </c>
      <c r="AS95" s="57">
        <v>1.3764131205568592E-2</v>
      </c>
      <c r="AT95" s="57">
        <v>1.8626443182820862E-2</v>
      </c>
      <c r="AU95" s="57">
        <v>-7.3354609498668833E-3</v>
      </c>
      <c r="AV95" s="57">
        <v>-2.8382817933217835E-3</v>
      </c>
      <c r="AW95" s="57">
        <v>-3.3986413846942953E-2</v>
      </c>
      <c r="AX95" s="57">
        <v>-4.7233953780965579E-2</v>
      </c>
      <c r="AY95" s="57">
        <v>-5.8630602700128966E-2</v>
      </c>
      <c r="AZ95" s="57">
        <v>-8.6753800133312162E-3</v>
      </c>
      <c r="BA95" s="57">
        <v>-2.8022520161390056E-2</v>
      </c>
      <c r="BB95" s="57">
        <v>-1.4534974535868651E-2</v>
      </c>
      <c r="BC95" s="57">
        <v>-4.6945146440350631E-2</v>
      </c>
      <c r="BD95" s="57">
        <v>-6.4069634926411059E-2</v>
      </c>
      <c r="BE95" s="57">
        <v>-4.6402140629246962E-2</v>
      </c>
      <c r="BF95" s="57">
        <v>2.8956306157001795E-2</v>
      </c>
      <c r="BG95" s="57">
        <v>-4.5524589403045372E-5</v>
      </c>
      <c r="BH95" s="57">
        <v>-1.972415608363241E-2</v>
      </c>
      <c r="BI95" s="57">
        <v>2.7070173026455216E-2</v>
      </c>
      <c r="BJ95" s="57">
        <v>1.5227733291237647E-2</v>
      </c>
      <c r="BK95" s="57">
        <v>-2.7188197280513244E-3</v>
      </c>
      <c r="BL95" s="57">
        <v>1.2036584703647784E-2</v>
      </c>
      <c r="BM95" s="57">
        <v>-2.642096214767603E-2</v>
      </c>
      <c r="BN95" s="57">
        <v>-2.5361627347477107E-2</v>
      </c>
      <c r="BO95" s="57">
        <v>5.4686252461102494E-2</v>
      </c>
      <c r="BP95" s="57">
        <v>1.5122142777620237E-2</v>
      </c>
      <c r="BQ95" s="57">
        <v>-9.0755258191153301E-4</v>
      </c>
      <c r="BR95" s="57">
        <v>8.1130238832795257E-2</v>
      </c>
      <c r="BS95" s="57">
        <v>-3.7149437428793675E-3</v>
      </c>
      <c r="BT95" s="57">
        <v>-8.6474208574956624E-3</v>
      </c>
      <c r="BU95" s="57">
        <v>2.6117237944316023E-2</v>
      </c>
      <c r="BV95" s="57">
        <v>-1.0465731050066894E-2</v>
      </c>
      <c r="BW95" s="57">
        <v>-1.3763595623127862E-2</v>
      </c>
    </row>
    <row r="96" spans="1:75" x14ac:dyDescent="0.3">
      <c r="A96" s="8" t="s">
        <v>104</v>
      </c>
      <c r="B96" s="8" t="s">
        <v>9</v>
      </c>
      <c r="C96" s="8" t="s">
        <v>110</v>
      </c>
      <c r="D96" s="57">
        <v>3.8179045828373177E-2</v>
      </c>
      <c r="E96" s="57">
        <v>-3.6933052392897563E-2</v>
      </c>
      <c r="F96" s="57">
        <v>-4.5106701322856269E-2</v>
      </c>
      <c r="G96" s="57">
        <v>3.2447153526854228E-4</v>
      </c>
      <c r="H96" s="57">
        <v>-5.9086224554502902E-2</v>
      </c>
      <c r="I96" s="57">
        <v>-8.4513699863791356E-2</v>
      </c>
      <c r="J96" s="57">
        <v>-1.3542365317932573E-2</v>
      </c>
      <c r="K96" s="57">
        <v>-6.0335532528836187E-2</v>
      </c>
      <c r="L96" s="57">
        <v>-8.105086970667788E-2</v>
      </c>
      <c r="M96" s="57">
        <v>-8.8681773527888048E-3</v>
      </c>
      <c r="N96" s="57">
        <v>-5.5498385248587807E-2</v>
      </c>
      <c r="O96" s="57">
        <v>-9.6622373741676093E-2</v>
      </c>
      <c r="P96" s="57">
        <v>2.0298109062289143E-3</v>
      </c>
      <c r="Q96" s="57">
        <v>-5.7292193953946642E-2</v>
      </c>
      <c r="R96" s="57">
        <v>-9.1544014372351018E-2</v>
      </c>
      <c r="S96" s="57">
        <v>1.9094180234573432E-2</v>
      </c>
      <c r="T96" s="57">
        <v>-3.0455845793775367E-2</v>
      </c>
      <c r="U96" s="57">
        <v>-7.0693122666144526E-2</v>
      </c>
      <c r="V96" s="57">
        <v>-1.6342261199584065E-2</v>
      </c>
      <c r="W96" s="57">
        <v>-6.6755597295000663E-2</v>
      </c>
      <c r="X96" s="57">
        <v>-8.286979796713366E-2</v>
      </c>
      <c r="Y96" s="57">
        <v>-1.2353402023405957E-2</v>
      </c>
      <c r="Z96" s="57">
        <v>-4.8319492970209668E-2</v>
      </c>
      <c r="AA96" s="57">
        <v>-9.9564011332006111E-2</v>
      </c>
      <c r="AB96" s="57">
        <v>-3.3095234902618051E-2</v>
      </c>
      <c r="AC96" s="57">
        <v>-6.612851843948242E-2</v>
      </c>
      <c r="AD96" s="57">
        <v>-7.2575363053651615E-2</v>
      </c>
      <c r="AE96" s="57">
        <v>-5.8958549037873037E-2</v>
      </c>
      <c r="AF96" s="57">
        <v>-6.3235545033462376E-2</v>
      </c>
      <c r="AG96" s="57">
        <v>-9.5243135321563033E-2</v>
      </c>
      <c r="AH96" s="57">
        <v>-1.6868758652724414E-3</v>
      </c>
      <c r="AI96" s="57">
        <v>-5.4965114154412298E-2</v>
      </c>
      <c r="AJ96" s="57">
        <v>-5.0311104579305391E-2</v>
      </c>
      <c r="AK96" s="57">
        <v>-5.9801233219962703E-2</v>
      </c>
      <c r="AL96" s="57">
        <v>-3.9592746183437638E-2</v>
      </c>
      <c r="AM96" s="57">
        <v>-6.5551312009458115E-2</v>
      </c>
      <c r="AN96" s="57">
        <v>-5.6045550563675259E-3</v>
      </c>
      <c r="AO96" s="57">
        <v>-4.2726147932353797E-2</v>
      </c>
      <c r="AP96" s="57">
        <v>-4.8076232062576732E-2</v>
      </c>
      <c r="AQ96" s="57">
        <v>2.3645368949615386E-2</v>
      </c>
      <c r="AR96" s="57">
        <v>-1.5166506969276183E-2</v>
      </c>
      <c r="AS96" s="57">
        <v>-4.8600375546358821E-2</v>
      </c>
      <c r="AT96" s="57">
        <v>3.8055467411838018E-3</v>
      </c>
      <c r="AU96" s="57">
        <v>-4.6185761573785455E-2</v>
      </c>
      <c r="AV96" s="57">
        <v>-6.8747029073120094E-2</v>
      </c>
      <c r="AW96" s="57">
        <v>-3.450145108157196E-2</v>
      </c>
      <c r="AX96" s="57">
        <v>-6.201220017706234E-2</v>
      </c>
      <c r="AY96" s="57">
        <v>-9.4862694208516007E-2</v>
      </c>
      <c r="AZ96" s="57">
        <v>-2.7984537746524762E-2</v>
      </c>
      <c r="BA96" s="57">
        <v>-5.9649691706016625E-2</v>
      </c>
      <c r="BB96" s="57">
        <v>-5.9664866463441213E-2</v>
      </c>
      <c r="BC96" s="57">
        <v>-4.8682100427036079E-2</v>
      </c>
      <c r="BD96" s="57">
        <v>-7.8967046894839091E-2</v>
      </c>
      <c r="BE96" s="57">
        <v>-7.5155579402521169E-2</v>
      </c>
      <c r="BF96" s="57">
        <v>1.7630180834340509E-2</v>
      </c>
      <c r="BG96" s="57">
        <v>-3.5143322453378839E-2</v>
      </c>
      <c r="BH96" s="57">
        <v>-9.3483753379729223E-2</v>
      </c>
      <c r="BI96" s="57">
        <v>-9.7167623095124889E-3</v>
      </c>
      <c r="BJ96" s="57">
        <v>-3.4047947591665489E-2</v>
      </c>
      <c r="BK96" s="57">
        <v>-7.9034291656938441E-2</v>
      </c>
      <c r="BL96" s="57">
        <v>1.2175607799091362E-2</v>
      </c>
      <c r="BM96" s="57">
        <v>-6.0058768908837296E-2</v>
      </c>
      <c r="BN96" s="57">
        <v>-8.9663871415421634E-2</v>
      </c>
      <c r="BO96" s="57">
        <v>4.1273224143876686E-2</v>
      </c>
      <c r="BP96" s="57">
        <v>-3.1597702090952327E-2</v>
      </c>
      <c r="BQ96" s="57">
        <v>-6.9239331474759289E-2</v>
      </c>
      <c r="BR96" s="57">
        <v>4.2467219492064889E-2</v>
      </c>
      <c r="BS96" s="57">
        <v>-2.0759317199484179E-2</v>
      </c>
      <c r="BT96" s="57">
        <v>-5.9509579811382732E-2</v>
      </c>
      <c r="BU96" s="57">
        <v>1.0458042627630615E-2</v>
      </c>
      <c r="BV96" s="57">
        <v>-5.564399336830074E-2</v>
      </c>
      <c r="BW96" s="57">
        <v>-8.50359234852264E-2</v>
      </c>
    </row>
    <row r="97" spans="1:75" x14ac:dyDescent="0.3">
      <c r="A97" s="8" t="s">
        <v>104</v>
      </c>
      <c r="B97" s="8" t="s">
        <v>9</v>
      </c>
      <c r="C97" s="8" t="s">
        <v>111</v>
      </c>
      <c r="D97" s="57">
        <v>-0.10666286071944278</v>
      </c>
      <c r="E97" s="57">
        <v>-0.11869203524997633</v>
      </c>
      <c r="F97" s="57">
        <v>-0.13222732300828413</v>
      </c>
      <c r="G97" s="57">
        <v>-0.10101085656279384</v>
      </c>
      <c r="H97" s="57">
        <v>-0.10249798844864486</v>
      </c>
      <c r="I97" s="57">
        <v>-0.13904564606574032</v>
      </c>
      <c r="J97" s="57">
        <v>-0.11171827290090748</v>
      </c>
      <c r="K97" s="57">
        <v>-0.11999035518339488</v>
      </c>
      <c r="L97" s="57">
        <v>-0.14034562237618109</v>
      </c>
      <c r="M97" s="57">
        <v>-0.16644203389619164</v>
      </c>
      <c r="N97" s="57">
        <v>-0.167994367500828</v>
      </c>
      <c r="O97" s="57">
        <v>-0.15646177665507488</v>
      </c>
      <c r="P97" s="57">
        <v>-0.11360704108985095</v>
      </c>
      <c r="Q97" s="57">
        <v>-0.12280948636865111</v>
      </c>
      <c r="R97" s="57">
        <v>-0.14962710831407461</v>
      </c>
      <c r="S97" s="57">
        <v>-0.14807400787452152</v>
      </c>
      <c r="T97" s="57">
        <v>-0.1496193148374001</v>
      </c>
      <c r="U97" s="57">
        <v>-0.1428563997671424</v>
      </c>
      <c r="V97" s="57">
        <v>-0.1151786611083656</v>
      </c>
      <c r="W97" s="57">
        <v>-0.11871866816619238</v>
      </c>
      <c r="X97" s="57">
        <v>-0.13858053945119303</v>
      </c>
      <c r="Y97" s="57">
        <v>-0.15936742644416099</v>
      </c>
      <c r="Z97" s="57">
        <v>-0.15211076927817335</v>
      </c>
      <c r="AA97" s="57">
        <v>-0.14937097013265396</v>
      </c>
      <c r="AB97" s="57">
        <v>-0.11890412559663302</v>
      </c>
      <c r="AC97" s="57">
        <v>-0.11822730100153443</v>
      </c>
      <c r="AD97" s="57">
        <v>-0.13364483140445807</v>
      </c>
      <c r="AE97" s="57">
        <v>-0.16684164515740341</v>
      </c>
      <c r="AF97" s="57">
        <v>-0.15334431226464518</v>
      </c>
      <c r="AG97" s="57">
        <v>-0.14505894150206261</v>
      </c>
      <c r="AH97" s="57">
        <v>-0.1204550411368898</v>
      </c>
      <c r="AI97" s="57">
        <v>-0.12170628276989283</v>
      </c>
      <c r="AJ97" s="57">
        <v>-0.13350941942574349</v>
      </c>
      <c r="AK97" s="57">
        <v>-0.10510524301799141</v>
      </c>
      <c r="AL97" s="57">
        <v>-9.3138937786629905E-2</v>
      </c>
      <c r="AM97" s="57">
        <v>-0.12621487295099029</v>
      </c>
      <c r="AN97" s="57">
        <v>-0.11176413166401745</v>
      </c>
      <c r="AO97" s="57">
        <v>-0.11214083774919188</v>
      </c>
      <c r="AP97" s="57">
        <v>-0.1281367015457196</v>
      </c>
      <c r="AQ97" s="57">
        <v>-0.14630590105413685</v>
      </c>
      <c r="AR97" s="57">
        <v>-0.1441398100411547</v>
      </c>
      <c r="AS97" s="57">
        <v>-0.13598521031220781</v>
      </c>
      <c r="AT97" s="57">
        <v>-0.15151145765750565</v>
      </c>
      <c r="AU97" s="57">
        <v>-0.15516195527758248</v>
      </c>
      <c r="AV97" s="57">
        <v>-0.13847430241961425</v>
      </c>
      <c r="AW97" s="57">
        <v>-0.14010045369884358</v>
      </c>
      <c r="AX97" s="57">
        <v>-0.14875556212074514</v>
      </c>
      <c r="AY97" s="57">
        <v>-0.13957627896658062</v>
      </c>
      <c r="AZ97" s="57">
        <v>-0.11953524544639034</v>
      </c>
      <c r="BA97" s="57">
        <v>-0.11515056284716808</v>
      </c>
      <c r="BB97" s="57">
        <v>-0.1285316985913422</v>
      </c>
      <c r="BC97" s="57">
        <v>-0.16810618831284491</v>
      </c>
      <c r="BD97" s="57">
        <v>-0.16613729462416257</v>
      </c>
      <c r="BE97" s="57">
        <v>-0.14296166660267798</v>
      </c>
      <c r="BF97" s="57">
        <v>-0.1016967098808253</v>
      </c>
      <c r="BG97" s="57">
        <v>-0.10573730884384705</v>
      </c>
      <c r="BH97" s="57">
        <v>-0.14091738300674522</v>
      </c>
      <c r="BI97" s="57">
        <v>-0.14978913021161824</v>
      </c>
      <c r="BJ97" s="57">
        <v>-0.14351047391497007</v>
      </c>
      <c r="BK97" s="57">
        <v>-0.13916271426569732</v>
      </c>
      <c r="BL97" s="57">
        <v>-0.11170683086458452</v>
      </c>
      <c r="BM97" s="57">
        <v>-0.12044027191080857</v>
      </c>
      <c r="BN97" s="57">
        <v>-0.14374429041987891</v>
      </c>
      <c r="BO97" s="57">
        <v>-0.14446543532610537</v>
      </c>
      <c r="BP97" s="57">
        <v>-0.15173290390357555</v>
      </c>
      <c r="BQ97" s="57">
        <v>-0.14306356549803373</v>
      </c>
      <c r="BR97" s="57">
        <v>-0.11891909298800424</v>
      </c>
      <c r="BS97" s="57">
        <v>-0.12244633129889061</v>
      </c>
      <c r="BT97" s="57">
        <v>-0.14769118662153063</v>
      </c>
      <c r="BU97" s="57">
        <v>-0.16442424754984489</v>
      </c>
      <c r="BV97" s="57">
        <v>-0.16858792806136746</v>
      </c>
      <c r="BW97" s="57">
        <v>-0.1507735888201176</v>
      </c>
    </row>
    <row r="98" spans="1:75" x14ac:dyDescent="0.3">
      <c r="A98" s="8" t="s">
        <v>104</v>
      </c>
      <c r="B98" s="8" t="s">
        <v>9</v>
      </c>
      <c r="C98" s="8" t="s">
        <v>112</v>
      </c>
      <c r="D98" s="57">
        <v>-0.42505574844844279</v>
      </c>
      <c r="E98" s="57">
        <v>-0.40596468127397628</v>
      </c>
      <c r="F98" s="57">
        <v>-0.34770344384728408</v>
      </c>
      <c r="G98" s="57">
        <v>-0.36766408867379385</v>
      </c>
      <c r="H98" s="57">
        <v>-0.33255698964164487</v>
      </c>
      <c r="I98" s="57">
        <v>-0.32795957682374033</v>
      </c>
      <c r="J98" s="57">
        <v>-0.41128034925290752</v>
      </c>
      <c r="K98" s="57">
        <v>-0.39526926726639489</v>
      </c>
      <c r="L98" s="57">
        <v>-0.34846539407518101</v>
      </c>
      <c r="M98" s="57">
        <v>-0.42328680048719169</v>
      </c>
      <c r="N98" s="57">
        <v>-0.39791633866082804</v>
      </c>
      <c r="O98" s="57">
        <v>-0.34716430994907482</v>
      </c>
      <c r="P98" s="57">
        <v>-0.40415398369185085</v>
      </c>
      <c r="Q98" s="57">
        <v>-0.38983774804365107</v>
      </c>
      <c r="R98" s="57">
        <v>-0.35321046471007461</v>
      </c>
      <c r="S98" s="57">
        <v>-0.39631473081452157</v>
      </c>
      <c r="T98" s="57">
        <v>-0.36894670081440012</v>
      </c>
      <c r="U98" s="57">
        <v>-0.32835179180714241</v>
      </c>
      <c r="V98" s="57">
        <v>-0.38577691574836559</v>
      </c>
      <c r="W98" s="57">
        <v>-0.36736326909819239</v>
      </c>
      <c r="X98" s="57">
        <v>-0.32770362131219305</v>
      </c>
      <c r="Y98" s="57">
        <v>-0.39317672327716102</v>
      </c>
      <c r="Z98" s="57">
        <v>-0.35769187931317337</v>
      </c>
      <c r="AA98" s="57">
        <v>-0.325043472438654</v>
      </c>
      <c r="AB98" s="57">
        <v>-0.38909129013763299</v>
      </c>
      <c r="AC98" s="57">
        <v>-0.36652572079753437</v>
      </c>
      <c r="AD98" s="57">
        <v>-0.32133270397245806</v>
      </c>
      <c r="AE98" s="57">
        <v>-0.39105883968040345</v>
      </c>
      <c r="AF98" s="57">
        <v>-0.35297543402464521</v>
      </c>
      <c r="AG98" s="57">
        <v>-0.31708932977306264</v>
      </c>
      <c r="AH98" s="57">
        <v>-0.41636779134688973</v>
      </c>
      <c r="AI98" s="57">
        <v>-0.39060969226489278</v>
      </c>
      <c r="AJ98" s="57">
        <v>-0.33376078238774354</v>
      </c>
      <c r="AK98" s="57">
        <v>-0.34316247087399143</v>
      </c>
      <c r="AL98" s="57">
        <v>-0.30836984698762987</v>
      </c>
      <c r="AM98" s="57">
        <v>-0.30741184921899029</v>
      </c>
      <c r="AN98" s="57">
        <v>-0.4135547490790174</v>
      </c>
      <c r="AO98" s="57">
        <v>-0.38756399197219188</v>
      </c>
      <c r="AP98" s="57">
        <v>-0.33654495752471958</v>
      </c>
      <c r="AQ98" s="57">
        <v>-0.39244790085713682</v>
      </c>
      <c r="AR98" s="57">
        <v>-0.36750597593815465</v>
      </c>
      <c r="AS98" s="57">
        <v>-0.32344950756320784</v>
      </c>
      <c r="AT98" s="57">
        <v>-0.42399207222450558</v>
      </c>
      <c r="AU98" s="57">
        <v>-0.40704479225258244</v>
      </c>
      <c r="AV98" s="57">
        <v>-0.3307851355746142</v>
      </c>
      <c r="AW98" s="57">
        <v>-0.37361405414484361</v>
      </c>
      <c r="AX98" s="57">
        <v>-0.35857017896474513</v>
      </c>
      <c r="AY98" s="57">
        <v>-0.3161286583265806</v>
      </c>
      <c r="AZ98" s="57">
        <v>-0.40868303929039029</v>
      </c>
      <c r="BA98" s="57">
        <v>-0.38244567248116806</v>
      </c>
      <c r="BB98" s="57">
        <v>-0.33027596770234219</v>
      </c>
      <c r="BC98" s="57">
        <v>-0.40295402855384499</v>
      </c>
      <c r="BD98" s="57">
        <v>-0.37596633568216259</v>
      </c>
      <c r="BE98" s="57">
        <v>-0.32241331297667797</v>
      </c>
      <c r="BF98" s="57">
        <v>-0.38203130897082527</v>
      </c>
      <c r="BG98" s="57">
        <v>-0.36227916694084705</v>
      </c>
      <c r="BH98" s="57">
        <v>-0.33169203737074521</v>
      </c>
      <c r="BI98" s="57">
        <v>-0.38360563915161822</v>
      </c>
      <c r="BJ98" s="57">
        <v>-0.34862279699497006</v>
      </c>
      <c r="BK98" s="57">
        <v>-0.31538333670369728</v>
      </c>
      <c r="BL98" s="57">
        <v>-0.4186180442495846</v>
      </c>
      <c r="BM98" s="57">
        <v>-0.39773136184680857</v>
      </c>
      <c r="BN98" s="57">
        <v>-0.3520732132218789</v>
      </c>
      <c r="BO98" s="57">
        <v>-0.39711996775010533</v>
      </c>
      <c r="BP98" s="57">
        <v>-0.37646937013057552</v>
      </c>
      <c r="BQ98" s="57">
        <v>-0.32958307673203374</v>
      </c>
      <c r="BR98" s="57">
        <v>-0.44013191455400424</v>
      </c>
      <c r="BS98" s="57">
        <v>-0.41131285296989062</v>
      </c>
      <c r="BT98" s="57">
        <v>-0.36502081895953065</v>
      </c>
      <c r="BU98" s="57">
        <v>-0.42840900007084493</v>
      </c>
      <c r="BV98" s="57">
        <v>-0.40014704751036739</v>
      </c>
      <c r="BW98" s="57">
        <v>-0.3396803074711176</v>
      </c>
    </row>
    <row r="99" spans="1:75" x14ac:dyDescent="0.3">
      <c r="A99" s="8" t="s">
        <v>104</v>
      </c>
      <c r="B99" s="8" t="s">
        <v>9</v>
      </c>
      <c r="C99" s="8" t="s">
        <v>115</v>
      </c>
      <c r="D99" s="57">
        <v>-0.10365263319903814</v>
      </c>
      <c r="E99" s="57">
        <v>-0.11341617877201576</v>
      </c>
      <c r="F99" s="57">
        <v>-0.10231121107981057</v>
      </c>
      <c r="G99" s="57">
        <v>-9.8106153466137436E-2</v>
      </c>
      <c r="H99" s="57">
        <v>-0.11802572130490341</v>
      </c>
      <c r="I99" s="57">
        <v>-0.11237208504683978</v>
      </c>
      <c r="J99" s="57">
        <v>-0.11104282205539498</v>
      </c>
      <c r="K99" s="57">
        <v>-0.11940419440173675</v>
      </c>
      <c r="L99" s="57">
        <v>-0.11124092879077783</v>
      </c>
      <c r="M99" s="57">
        <v>-9.8970206017205548E-2</v>
      </c>
      <c r="N99" s="57">
        <v>-0.11331977147944799</v>
      </c>
      <c r="O99" s="57">
        <v>-0.11044953359818198</v>
      </c>
      <c r="P99" s="57">
        <v>-9.6930061582765792E-2</v>
      </c>
      <c r="Q99" s="57">
        <v>-0.11964764726756585</v>
      </c>
      <c r="R99" s="57">
        <v>-0.11401575208508939</v>
      </c>
      <c r="S99" s="57">
        <v>-7.7252153070318949E-2</v>
      </c>
      <c r="T99" s="57">
        <v>-9.2743855264399905E-2</v>
      </c>
      <c r="U99" s="57">
        <v>-9.7185639255044226E-2</v>
      </c>
      <c r="V99" s="57">
        <v>-0.12528665184775625</v>
      </c>
      <c r="W99" s="57">
        <v>-0.1329367376385383</v>
      </c>
      <c r="X99" s="57">
        <v>-0.11188108929411576</v>
      </c>
      <c r="Y99" s="57">
        <v>-0.11684973656122598</v>
      </c>
      <c r="Z99" s="57">
        <v>-0.11224450056121774</v>
      </c>
      <c r="AA99" s="57">
        <v>-0.11237351429980839</v>
      </c>
      <c r="AB99" s="57">
        <v>-0.12303791748357802</v>
      </c>
      <c r="AC99" s="57">
        <v>-0.13247304458031037</v>
      </c>
      <c r="AD99" s="57">
        <v>-0.1070252328343613</v>
      </c>
      <c r="AE99" s="57">
        <v>-0.11734812540573107</v>
      </c>
      <c r="AF99" s="57">
        <v>-0.11407016537023658</v>
      </c>
      <c r="AG99" s="57">
        <v>-0.10836295998662487</v>
      </c>
      <c r="AH99" s="57">
        <v>-0.10730363912207345</v>
      </c>
      <c r="AI99" s="57">
        <v>-0.1140788972174864</v>
      </c>
      <c r="AJ99" s="57">
        <v>-9.9936370118837603E-2</v>
      </c>
      <c r="AK99" s="57">
        <v>-0.11171713635600572</v>
      </c>
      <c r="AL99" s="57">
        <v>-0.1027382838369134</v>
      </c>
      <c r="AM99" s="57">
        <v>-0.10013562207000645</v>
      </c>
      <c r="AN99" s="57">
        <v>-0.10973879751065503</v>
      </c>
      <c r="AO99" s="57">
        <v>-0.10793580353530806</v>
      </c>
      <c r="AP99" s="57">
        <v>-9.8857100314853577E-2</v>
      </c>
      <c r="AQ99" s="57">
        <v>-7.9630161314575426E-2</v>
      </c>
      <c r="AR99" s="57">
        <v>-7.9647753452666073E-2</v>
      </c>
      <c r="AS99" s="57">
        <v>-9.0040737553194777E-2</v>
      </c>
      <c r="AT99" s="57">
        <v>-9.9989153237662928E-2</v>
      </c>
      <c r="AU99" s="57">
        <v>-0.10568201041797531</v>
      </c>
      <c r="AV99" s="57">
        <v>-9.9148047426923874E-2</v>
      </c>
      <c r="AW99" s="57">
        <v>-9.986335442210427E-2</v>
      </c>
      <c r="AX99" s="57">
        <v>-0.10763555848483658</v>
      </c>
      <c r="AY99" s="57">
        <v>-0.10943407343561289</v>
      </c>
      <c r="AZ99" s="57">
        <v>-0.11178252560107313</v>
      </c>
      <c r="BA99" s="57">
        <v>-0.12719289545388796</v>
      </c>
      <c r="BB99" s="57">
        <v>-0.10240176144710519</v>
      </c>
      <c r="BC99" s="57">
        <v>-0.11043044193943667</v>
      </c>
      <c r="BD99" s="57">
        <v>-0.124304109792507</v>
      </c>
      <c r="BE99" s="57">
        <v>-0.10552042433688136</v>
      </c>
      <c r="BF99" s="57">
        <v>-8.983099393278314E-2</v>
      </c>
      <c r="BG99" s="57">
        <v>-0.10073311328676862</v>
      </c>
      <c r="BH99" s="57">
        <v>-0.1064439381475033</v>
      </c>
      <c r="BI99" s="57">
        <v>-8.4351146178921144E-2</v>
      </c>
      <c r="BJ99" s="57">
        <v>-9.5944317104891513E-2</v>
      </c>
      <c r="BK99" s="57">
        <v>-9.4347358620201799E-2</v>
      </c>
      <c r="BL99" s="57">
        <v>-0.10685094320361029</v>
      </c>
      <c r="BM99" s="57">
        <v>-0.11719850174079431</v>
      </c>
      <c r="BN99" s="57">
        <v>-0.11466020317955106</v>
      </c>
      <c r="BO99" s="57">
        <v>-7.7135691254596406E-2</v>
      </c>
      <c r="BP99" s="57">
        <v>-8.8243892886949643E-2</v>
      </c>
      <c r="BQ99" s="57">
        <v>-9.7295936210114495E-2</v>
      </c>
      <c r="BR99" s="57">
        <v>-9.3870420922663816E-2</v>
      </c>
      <c r="BS99" s="57">
        <v>-0.11000252865540626</v>
      </c>
      <c r="BT99" s="57">
        <v>-0.11072284758297954</v>
      </c>
      <c r="BU99" s="57">
        <v>-9.6235404954770065E-2</v>
      </c>
      <c r="BV99" s="57">
        <v>-0.1119885511310884</v>
      </c>
      <c r="BW99" s="57">
        <v>-0.10486712876832976</v>
      </c>
    </row>
    <row r="100" spans="1:75" x14ac:dyDescent="0.3">
      <c r="A100" s="8" t="s">
        <v>104</v>
      </c>
      <c r="B100" s="8" t="s">
        <v>9</v>
      </c>
      <c r="C100" s="8" t="s">
        <v>116</v>
      </c>
      <c r="D100" s="57">
        <v>-0.34018965207204871</v>
      </c>
      <c r="E100" s="57">
        <v>-0.32428541142090977</v>
      </c>
      <c r="F100" s="57">
        <v>-0.25687510028453159</v>
      </c>
      <c r="G100" s="57">
        <v>-0.29138777433768581</v>
      </c>
      <c r="H100" s="57">
        <v>-0.27796015523061468</v>
      </c>
      <c r="I100" s="57">
        <v>-0.24425118990457484</v>
      </c>
      <c r="J100" s="57">
        <v>-0.33149244634782177</v>
      </c>
      <c r="K100" s="57">
        <v>-0.31954663790263543</v>
      </c>
      <c r="L100" s="57">
        <v>-0.25953529917703827</v>
      </c>
      <c r="M100" s="57">
        <v>-0.29373982085010336</v>
      </c>
      <c r="N100" s="57">
        <v>-0.28367003678065494</v>
      </c>
      <c r="O100" s="57">
        <v>-0.24672420145241583</v>
      </c>
      <c r="P100" s="57">
        <v>-0.31224583911192849</v>
      </c>
      <c r="Q100" s="57">
        <v>-0.31328125610397867</v>
      </c>
      <c r="R100" s="57">
        <v>-0.25949497479323713</v>
      </c>
      <c r="S100" s="57">
        <v>-0.26533374974794938</v>
      </c>
      <c r="T100" s="57">
        <v>-0.25457020390970009</v>
      </c>
      <c r="U100" s="57">
        <v>-0.22905740239385894</v>
      </c>
      <c r="V100" s="57">
        <v>-0.31991328032884769</v>
      </c>
      <c r="W100" s="57">
        <v>-0.30859987228228641</v>
      </c>
      <c r="X100" s="57">
        <v>-0.24393886808722723</v>
      </c>
      <c r="Y100" s="57">
        <v>-0.28862515953981621</v>
      </c>
      <c r="Z100" s="57">
        <v>-0.26003151139801112</v>
      </c>
      <c r="AA100" s="57">
        <v>-0.23473515245903526</v>
      </c>
      <c r="AB100" s="57">
        <v>-0.31821712192408619</v>
      </c>
      <c r="AC100" s="57">
        <v>-0.30784271958729392</v>
      </c>
      <c r="AD100" s="57">
        <v>-0.23787160898027582</v>
      </c>
      <c r="AE100" s="57">
        <v>-0.28215366593413194</v>
      </c>
      <c r="AF100" s="57">
        <v>-0.25679586773239788</v>
      </c>
      <c r="AG100" s="57">
        <v>-0.22763561026899054</v>
      </c>
      <c r="AH100" s="57">
        <v>-0.32657486209979586</v>
      </c>
      <c r="AI100" s="57">
        <v>-0.30994942584259727</v>
      </c>
      <c r="AJ100" s="57">
        <v>-0.25577422928997295</v>
      </c>
      <c r="AK100" s="57">
        <v>-0.2796731784921036</v>
      </c>
      <c r="AL100" s="57">
        <v>-0.25116992747592082</v>
      </c>
      <c r="AM100" s="57">
        <v>-0.225476411297554</v>
      </c>
      <c r="AN100" s="57">
        <v>-0.33225332790190937</v>
      </c>
      <c r="AO100" s="57">
        <v>-0.30874162326804055</v>
      </c>
      <c r="AP100" s="57">
        <v>-0.24741879728193333</v>
      </c>
      <c r="AQ100" s="57">
        <v>-0.26533590782515953</v>
      </c>
      <c r="AR100" s="57">
        <v>-0.24599185772628929</v>
      </c>
      <c r="AS100" s="57">
        <v>-0.22359899974109679</v>
      </c>
      <c r="AT100" s="57">
        <v>-0.30543344107448922</v>
      </c>
      <c r="AU100" s="57">
        <v>-0.29360608733316634</v>
      </c>
      <c r="AV100" s="57">
        <v>-0.23576389624107741</v>
      </c>
      <c r="AW100" s="57">
        <v>-0.27104957111491518</v>
      </c>
      <c r="AX100" s="57">
        <v>-0.25914863167842284</v>
      </c>
      <c r="AY100" s="57">
        <v>-0.23150274987325806</v>
      </c>
      <c r="AZ100" s="57">
        <v>-0.32459037557607062</v>
      </c>
      <c r="BA100" s="57">
        <v>-0.31876888718557994</v>
      </c>
      <c r="BB100" s="57">
        <v>-0.24492181977579075</v>
      </c>
      <c r="BC100" s="57">
        <v>-0.28534749895399786</v>
      </c>
      <c r="BD100" s="57">
        <v>-0.27593621468715529</v>
      </c>
      <c r="BE100" s="57">
        <v>-0.23110691514645074</v>
      </c>
      <c r="BF100" s="57">
        <v>-0.29589048056448941</v>
      </c>
      <c r="BG100" s="57">
        <v>-0.2858794383156803</v>
      </c>
      <c r="BH100" s="57">
        <v>-0.24104805888058958</v>
      </c>
      <c r="BI100" s="57">
        <v>-0.25957064054082568</v>
      </c>
      <c r="BJ100" s="57">
        <v>-0.24449453920040323</v>
      </c>
      <c r="BK100" s="57">
        <v>-0.21833975357592605</v>
      </c>
      <c r="BL100" s="57">
        <v>-0.33406941182450639</v>
      </c>
      <c r="BM100" s="57">
        <v>-0.31942089242709643</v>
      </c>
      <c r="BN100" s="57">
        <v>-0.26312627317870024</v>
      </c>
      <c r="BO100" s="57">
        <v>-0.26838215496252271</v>
      </c>
      <c r="BP100" s="57">
        <v>-0.25558271988629344</v>
      </c>
      <c r="BQ100" s="57">
        <v>-0.23003810070600239</v>
      </c>
      <c r="BR100" s="57">
        <v>-0.33606986546976481</v>
      </c>
      <c r="BS100" s="57">
        <v>-0.3232789778769789</v>
      </c>
      <c r="BT100" s="57">
        <v>-0.26789357689266213</v>
      </c>
      <c r="BU100" s="57">
        <v>-0.29707956023658127</v>
      </c>
      <c r="BV100" s="57">
        <v>-0.28399572178158022</v>
      </c>
      <c r="BW100" s="57">
        <v>-0.23962514122014802</v>
      </c>
    </row>
    <row r="101" spans="1:75" x14ac:dyDescent="0.3">
      <c r="A101" s="8" t="s">
        <v>104</v>
      </c>
      <c r="B101" s="8" t="s">
        <v>9</v>
      </c>
      <c r="C101" s="8" t="s">
        <v>117</v>
      </c>
      <c r="D101" s="57">
        <v>-0.31594220499938924</v>
      </c>
      <c r="E101" s="57">
        <v>-0.30070910212550589</v>
      </c>
      <c r="F101" s="57">
        <v>-0.23678848117967896</v>
      </c>
      <c r="G101" s="57">
        <v>-0.26786891276005159</v>
      </c>
      <c r="H101" s="57">
        <v>-0.25312082478508885</v>
      </c>
      <c r="I101" s="57">
        <v>-0.22421977556706493</v>
      </c>
      <c r="J101" s="57">
        <v>-0.30728053319877308</v>
      </c>
      <c r="K101" s="57">
        <v>-0.29567269809390118</v>
      </c>
      <c r="L101" s="57">
        <v>-0.23947262893987856</v>
      </c>
      <c r="M101" s="57">
        <v>-0.27681779268670215</v>
      </c>
      <c r="N101" s="57">
        <v>-0.2658528967947929</v>
      </c>
      <c r="O101" s="57">
        <v>-0.22860110385390517</v>
      </c>
      <c r="P101" s="57">
        <v>-0.28976286645403704</v>
      </c>
      <c r="Q101" s="57">
        <v>-0.28978275056158709</v>
      </c>
      <c r="R101" s="57">
        <v>-0.24014777675333571</v>
      </c>
      <c r="S101" s="57">
        <v>-0.24886963918636962</v>
      </c>
      <c r="T101" s="57">
        <v>-0.23712450149589998</v>
      </c>
      <c r="U101" s="57">
        <v>-0.21097454427306875</v>
      </c>
      <c r="V101" s="57">
        <v>-0.29503679190290855</v>
      </c>
      <c r="W101" s="57">
        <v>-0.28362599960745183</v>
      </c>
      <c r="X101" s="57">
        <v>-0.22390705479063513</v>
      </c>
      <c r="Y101" s="57">
        <v>-0.26953679571620975</v>
      </c>
      <c r="Z101" s="57">
        <v>-0.24108126526920659</v>
      </c>
      <c r="AA101" s="57">
        <v>-0.21592529086651979</v>
      </c>
      <c r="AB101" s="57">
        <v>-0.29394392609909176</v>
      </c>
      <c r="AC101" s="57">
        <v>-0.28287102494661637</v>
      </c>
      <c r="AD101" s="57">
        <v>-0.21785231351488551</v>
      </c>
      <c r="AE101" s="57">
        <v>-0.26389991513039918</v>
      </c>
      <c r="AF101" s="57">
        <v>-0.23787140925383871</v>
      </c>
      <c r="AG101" s="57">
        <v>-0.20884763144523433</v>
      </c>
      <c r="AH101" s="57">
        <v>-0.30366267729827751</v>
      </c>
      <c r="AI101" s="57">
        <v>-0.286870687119338</v>
      </c>
      <c r="AJ101" s="57">
        <v>-0.22893499482006383</v>
      </c>
      <c r="AK101" s="57">
        <v>-0.25561117161750219</v>
      </c>
      <c r="AL101" s="57">
        <v>-0.22713526559659244</v>
      </c>
      <c r="AM101" s="57">
        <v>-0.20549580815325239</v>
      </c>
      <c r="AN101" s="57">
        <v>-0.3081445667827456</v>
      </c>
      <c r="AO101" s="57">
        <v>-0.28522751020052906</v>
      </c>
      <c r="AP101" s="57">
        <v>-0.22736949660532008</v>
      </c>
      <c r="AQ101" s="57">
        <v>-0.24848716751621566</v>
      </c>
      <c r="AR101" s="57">
        <v>-0.22925011815803825</v>
      </c>
      <c r="AS101" s="57">
        <v>-0.205515385627698</v>
      </c>
      <c r="AT101" s="57">
        <v>-0.28669309130837356</v>
      </c>
      <c r="AU101" s="57">
        <v>-0.2749557555766271</v>
      </c>
      <c r="AV101" s="57">
        <v>-0.21694922412384646</v>
      </c>
      <c r="AW101" s="57">
        <v>-0.25173737246478906</v>
      </c>
      <c r="AX101" s="57">
        <v>-0.24026328037281366</v>
      </c>
      <c r="AY101" s="57">
        <v>-0.2119947935783548</v>
      </c>
      <c r="AZ101" s="57">
        <v>-0.30123496479140238</v>
      </c>
      <c r="BA101" s="57">
        <v>-0.29374615235870793</v>
      </c>
      <c r="BB101" s="57">
        <v>-0.22465275250291444</v>
      </c>
      <c r="BC101" s="57">
        <v>-0.26776010444503867</v>
      </c>
      <c r="BD101" s="57">
        <v>-0.25712197544092091</v>
      </c>
      <c r="BE101" s="57">
        <v>-0.21228744442483038</v>
      </c>
      <c r="BF101" s="57">
        <v>-0.27307227217229363</v>
      </c>
      <c r="BG101" s="57">
        <v>-0.2627149741842883</v>
      </c>
      <c r="BH101" s="57">
        <v>-0.22177005116131376</v>
      </c>
      <c r="BI101" s="57">
        <v>-0.24277420310209538</v>
      </c>
      <c r="BJ101" s="57">
        <v>-0.22632097883741106</v>
      </c>
      <c r="BK101" s="57">
        <v>-0.20030385167707568</v>
      </c>
      <c r="BL101" s="57">
        <v>-0.31017055468510385</v>
      </c>
      <c r="BM101" s="57">
        <v>-0.29578376815929786</v>
      </c>
      <c r="BN101" s="57">
        <v>-0.24305855443413302</v>
      </c>
      <c r="BO101" s="57">
        <v>-0.25150577890647369</v>
      </c>
      <c r="BP101" s="57">
        <v>-0.23872110004185609</v>
      </c>
      <c r="BQ101" s="57">
        <v>-0.21195029918859429</v>
      </c>
      <c r="BR101" s="57">
        <v>-0.3139859780824989</v>
      </c>
      <c r="BS101" s="57">
        <v>-0.30039669354602738</v>
      </c>
      <c r="BT101" s="57">
        <v>-0.24848570176311724</v>
      </c>
      <c r="BU101" s="57">
        <v>-0.2801272337457888</v>
      </c>
      <c r="BV101" s="57">
        <v>-0.26634767205390808</v>
      </c>
      <c r="BW101" s="57">
        <v>-0.22151711981602673</v>
      </c>
    </row>
    <row r="102" spans="1:75" x14ac:dyDescent="0.3">
      <c r="A102" s="8" t="s">
        <v>104</v>
      </c>
      <c r="B102" s="8" t="s">
        <v>9</v>
      </c>
      <c r="C102" s="8" t="s">
        <v>118</v>
      </c>
      <c r="D102" s="57">
        <v>-0.34867626803410534</v>
      </c>
      <c r="E102" s="57">
        <v>-0.33228577587004704</v>
      </c>
      <c r="F102" s="57">
        <v>-0.27006296997996054</v>
      </c>
      <c r="G102" s="57">
        <v>-0.29780746553417431</v>
      </c>
      <c r="H102" s="57">
        <v>-0.27695167424205547</v>
      </c>
      <c r="I102" s="57">
        <v>-0.25534171594406752</v>
      </c>
      <c r="J102" s="57">
        <v>-0.33848047801501346</v>
      </c>
      <c r="K102" s="57">
        <v>-0.32555166884564934</v>
      </c>
      <c r="L102" s="57">
        <v>-0.27217045848046939</v>
      </c>
      <c r="M102" s="57">
        <v>-0.32075849502684894</v>
      </c>
      <c r="N102" s="57">
        <v>-0.30547192935460366</v>
      </c>
      <c r="O102" s="57">
        <v>-0.2641700656824561</v>
      </c>
      <c r="P102" s="57">
        <v>-0.3240802016253812</v>
      </c>
      <c r="Q102" s="57">
        <v>-0.31979924980620639</v>
      </c>
      <c r="R102" s="57">
        <v>-0.27406658314035742</v>
      </c>
      <c r="S102" s="57">
        <v>-0.29310316667481517</v>
      </c>
      <c r="T102" s="57">
        <v>-0.27667116129145014</v>
      </c>
      <c r="U102" s="57">
        <v>-0.24618771853329086</v>
      </c>
      <c r="V102" s="57">
        <v>-0.32225882905654574</v>
      </c>
      <c r="W102" s="57">
        <v>-0.30874718045467403</v>
      </c>
      <c r="X102" s="57">
        <v>-0.25504602474710253</v>
      </c>
      <c r="Y102" s="57">
        <v>-0.30662877398449512</v>
      </c>
      <c r="Z102" s="57">
        <v>-0.27606444948239667</v>
      </c>
      <c r="AA102" s="57">
        <v>-0.24866074533816007</v>
      </c>
      <c r="AB102" s="57">
        <v>-0.32248813531065412</v>
      </c>
      <c r="AC102" s="57">
        <v>-0.30796743370189184</v>
      </c>
      <c r="AD102" s="57">
        <v>-0.24889643065215727</v>
      </c>
      <c r="AE102" s="57">
        <v>-0.30204759249540042</v>
      </c>
      <c r="AF102" s="57">
        <v>-0.2724026166850807</v>
      </c>
      <c r="AG102" s="57">
        <v>-0.24132014094358281</v>
      </c>
      <c r="AH102" s="57">
        <v>-0.33747421151286117</v>
      </c>
      <c r="AI102" s="57">
        <v>-0.3179923886630045</v>
      </c>
      <c r="AJ102" s="57">
        <v>-0.26038273109036775</v>
      </c>
      <c r="AK102" s="57">
        <v>-0.28187656139444894</v>
      </c>
      <c r="AL102" s="57">
        <v>-0.25150564001390396</v>
      </c>
      <c r="AM102" s="57">
        <v>-0.23607062047297372</v>
      </c>
      <c r="AN102" s="57">
        <v>-0.33976762147162715</v>
      </c>
      <c r="AO102" s="57">
        <v>-0.31592845473202791</v>
      </c>
      <c r="AP102" s="57">
        <v>-0.26012213488113994</v>
      </c>
      <c r="AQ102" s="57">
        <v>-0.2916753875184922</v>
      </c>
      <c r="AR102" s="57">
        <v>-0.27072687549207314</v>
      </c>
      <c r="AS102" s="57">
        <v>-0.24089562220835101</v>
      </c>
      <c r="AT102" s="57">
        <v>-0.32788278558321321</v>
      </c>
      <c r="AU102" s="57">
        <v>-0.31458246657941374</v>
      </c>
      <c r="AV102" s="57">
        <v>-0.25109999755907675</v>
      </c>
      <c r="AW102" s="57">
        <v>-0.28830037696880562</v>
      </c>
      <c r="AX102" s="57">
        <v>-0.27575534995039314</v>
      </c>
      <c r="AY102" s="57">
        <v>-0.24323495300282255</v>
      </c>
      <c r="AZ102" s="57">
        <v>-0.33346938714109881</v>
      </c>
      <c r="BA102" s="57">
        <v>-0.32035600839544598</v>
      </c>
      <c r="BB102" s="57">
        <v>-0.25633971706274278</v>
      </c>
      <c r="BC102" s="57">
        <v>-0.30831828167768072</v>
      </c>
      <c r="BD102" s="57">
        <v>-0.29277528351329341</v>
      </c>
      <c r="BE102" s="57">
        <v>-0.24532520499038485</v>
      </c>
      <c r="BF102" s="57">
        <v>-0.30575998321185333</v>
      </c>
      <c r="BG102" s="57">
        <v>-0.29258423201125588</v>
      </c>
      <c r="BH102" s="57">
        <v>-0.25474664702414324</v>
      </c>
      <c r="BI102" s="57">
        <v>-0.28502363391695235</v>
      </c>
      <c r="BJ102" s="57">
        <v>-0.26301152428467889</v>
      </c>
      <c r="BK102" s="57">
        <v>-0.23482769718506211</v>
      </c>
      <c r="BL102" s="57">
        <v>-0.3427048015544481</v>
      </c>
      <c r="BM102" s="57">
        <v>-0.3263680462655511</v>
      </c>
      <c r="BN102" s="57">
        <v>-0.27576295207045676</v>
      </c>
      <c r="BO102" s="57">
        <v>-0.29519003555956314</v>
      </c>
      <c r="BP102" s="57">
        <v>-0.28004558106847194</v>
      </c>
      <c r="BQ102" s="57">
        <v>-0.24724013245162615</v>
      </c>
      <c r="BR102" s="57">
        <v>-0.35182975902395047</v>
      </c>
      <c r="BS102" s="57">
        <v>-0.33367154137318639</v>
      </c>
      <c r="BT102" s="57">
        <v>-0.28344623692204135</v>
      </c>
      <c r="BU102" s="57">
        <v>-0.32461176364330557</v>
      </c>
      <c r="BV102" s="57">
        <v>-0.30648748469084591</v>
      </c>
      <c r="BW102" s="57">
        <v>-0.25696607611255401</v>
      </c>
    </row>
    <row r="103" spans="1:75" x14ac:dyDescent="0.3">
      <c r="A103" s="8" t="s">
        <v>104</v>
      </c>
      <c r="B103" s="8" t="s">
        <v>10</v>
      </c>
      <c r="C103" s="8" t="s">
        <v>108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v>0</v>
      </c>
      <c r="Q103" s="57">
        <v>0</v>
      </c>
      <c r="R103" s="57">
        <v>0</v>
      </c>
      <c r="S103" s="57">
        <v>0</v>
      </c>
      <c r="T103" s="57">
        <v>0</v>
      </c>
      <c r="U103" s="57">
        <v>0</v>
      </c>
      <c r="V103" s="57">
        <v>0</v>
      </c>
      <c r="W103" s="57">
        <v>0</v>
      </c>
      <c r="X103" s="57">
        <v>0</v>
      </c>
      <c r="Y103" s="57">
        <v>0</v>
      </c>
      <c r="Z103" s="57">
        <v>0</v>
      </c>
      <c r="AA103" s="57">
        <v>0</v>
      </c>
      <c r="AB103" s="57">
        <v>0</v>
      </c>
      <c r="AC103" s="57">
        <v>0</v>
      </c>
      <c r="AD103" s="57">
        <v>0</v>
      </c>
      <c r="AE103" s="57">
        <v>0</v>
      </c>
      <c r="AF103" s="57">
        <v>0</v>
      </c>
      <c r="AG103" s="57">
        <v>0</v>
      </c>
      <c r="AH103" s="57">
        <v>0</v>
      </c>
      <c r="AI103" s="57">
        <v>0</v>
      </c>
      <c r="AJ103" s="57">
        <v>0</v>
      </c>
      <c r="AK103" s="57">
        <v>0</v>
      </c>
      <c r="AL103" s="57">
        <v>0</v>
      </c>
      <c r="AM103" s="57">
        <v>0</v>
      </c>
      <c r="AN103" s="57">
        <v>0</v>
      </c>
      <c r="AO103" s="57">
        <v>0</v>
      </c>
      <c r="AP103" s="57">
        <v>0</v>
      </c>
      <c r="AQ103" s="57">
        <v>0</v>
      </c>
      <c r="AR103" s="57">
        <v>0</v>
      </c>
      <c r="AS103" s="57">
        <v>0</v>
      </c>
      <c r="AT103" s="57">
        <v>0</v>
      </c>
      <c r="AU103" s="57">
        <v>0</v>
      </c>
      <c r="AV103" s="57">
        <v>0</v>
      </c>
      <c r="AW103" s="57">
        <v>0</v>
      </c>
      <c r="AX103" s="57">
        <v>0</v>
      </c>
      <c r="AY103" s="57">
        <v>0</v>
      </c>
      <c r="AZ103" s="57">
        <v>0</v>
      </c>
      <c r="BA103" s="57">
        <v>0</v>
      </c>
      <c r="BB103" s="57">
        <v>0</v>
      </c>
      <c r="BC103" s="57">
        <v>0</v>
      </c>
      <c r="BD103" s="57">
        <v>0</v>
      </c>
      <c r="BE103" s="57">
        <v>0</v>
      </c>
      <c r="BF103" s="57">
        <v>0</v>
      </c>
      <c r="BG103" s="57">
        <v>0</v>
      </c>
      <c r="BH103" s="57">
        <v>0</v>
      </c>
      <c r="BI103" s="57">
        <v>0</v>
      </c>
      <c r="BJ103" s="57">
        <v>0</v>
      </c>
      <c r="BK103" s="57">
        <v>0</v>
      </c>
      <c r="BL103" s="57">
        <v>0</v>
      </c>
      <c r="BM103" s="57">
        <v>0</v>
      </c>
      <c r="BN103" s="57">
        <v>0</v>
      </c>
      <c r="BO103" s="57">
        <v>0</v>
      </c>
      <c r="BP103" s="57">
        <v>0</v>
      </c>
      <c r="BQ103" s="57">
        <v>0</v>
      </c>
      <c r="BR103" s="57">
        <v>0</v>
      </c>
      <c r="BS103" s="57">
        <v>0</v>
      </c>
      <c r="BT103" s="57">
        <v>0</v>
      </c>
      <c r="BU103" s="57">
        <v>0</v>
      </c>
      <c r="BV103" s="57">
        <v>0</v>
      </c>
      <c r="BW103" s="57">
        <v>0</v>
      </c>
    </row>
    <row r="104" spans="1:75" x14ac:dyDescent="0.3">
      <c r="A104" s="8" t="s">
        <v>104</v>
      </c>
      <c r="B104" s="8" t="s">
        <v>10</v>
      </c>
      <c r="C104" s="8" t="s">
        <v>109</v>
      </c>
      <c r="D104" s="57">
        <v>3.1591775326427762E-2</v>
      </c>
      <c r="E104" s="57">
        <v>-1.4029734153091089E-2</v>
      </c>
      <c r="F104" s="57">
        <v>-3.267494651691813E-2</v>
      </c>
      <c r="G104" s="57">
        <v>2.205095555319939E-2</v>
      </c>
      <c r="H104" s="57">
        <v>-4.4879843494016738E-3</v>
      </c>
      <c r="I104" s="57">
        <v>-2.7709895324486335E-2</v>
      </c>
      <c r="J104" s="57">
        <v>7.7163732497078197E-2</v>
      </c>
      <c r="K104" s="57">
        <v>2.1544793261256055E-2</v>
      </c>
      <c r="L104" s="57">
        <v>-2.3862260950936097E-2</v>
      </c>
      <c r="M104" s="57">
        <v>6.6623994222203387E-2</v>
      </c>
      <c r="N104" s="57">
        <v>2.1360876359261639E-2</v>
      </c>
      <c r="O104" s="57">
        <v>-2.6243549382515736E-2</v>
      </c>
      <c r="P104" s="57">
        <v>1.9670551832180524E-2</v>
      </c>
      <c r="Q104" s="57">
        <v>-1.1557095807522349E-2</v>
      </c>
      <c r="R104" s="57">
        <v>-3.9312217062668846E-2</v>
      </c>
      <c r="S104" s="57">
        <v>4.8215716238283211E-2</v>
      </c>
      <c r="T104" s="57">
        <v>5.8294748701740078E-3</v>
      </c>
      <c r="U104" s="57">
        <v>-2.6518304070802929E-2</v>
      </c>
      <c r="V104" s="57">
        <v>3.0599785737763611E-2</v>
      </c>
      <c r="W104" s="57">
        <v>5.7681656815968668E-4</v>
      </c>
      <c r="X104" s="57">
        <v>-3.0662706843107075E-2</v>
      </c>
      <c r="Y104" s="57">
        <v>-1.5353714338698934E-2</v>
      </c>
      <c r="Z104" s="57">
        <v>-5.4574994805448036E-2</v>
      </c>
      <c r="AA104" s="57">
        <v>-4.0917505445115708E-2</v>
      </c>
      <c r="AB104" s="57">
        <v>2.7231613640097269E-2</v>
      </c>
      <c r="AC104" s="57">
        <v>-4.856748183851619E-3</v>
      </c>
      <c r="AD104" s="57">
        <v>-2.219445314204458E-2</v>
      </c>
      <c r="AE104" s="57">
        <v>-1.8074966533015303E-2</v>
      </c>
      <c r="AF104" s="57">
        <v>-5.2692951529376357E-2</v>
      </c>
      <c r="AG104" s="57">
        <v>-2.7478900813452885E-2</v>
      </c>
      <c r="AH104" s="57">
        <v>6.6146541160985589E-3</v>
      </c>
      <c r="AI104" s="57">
        <v>-1.5033704357870069E-2</v>
      </c>
      <c r="AJ104" s="57">
        <v>-1.8608475203095706E-2</v>
      </c>
      <c r="AK104" s="57">
        <v>3.328696273073263E-2</v>
      </c>
      <c r="AL104" s="57">
        <v>3.45850564918787E-2</v>
      </c>
      <c r="AM104" s="57">
        <v>-6.7236045036265504E-3</v>
      </c>
      <c r="AN104" s="57">
        <v>7.2532550896138043E-3</v>
      </c>
      <c r="AO104" s="57">
        <v>-1.5931883702221355E-2</v>
      </c>
      <c r="AP104" s="57">
        <v>-2.8288398897269914E-3</v>
      </c>
      <c r="AQ104" s="57">
        <v>5.4532764122983711E-2</v>
      </c>
      <c r="AR104" s="57">
        <v>2.4688582800098013E-2</v>
      </c>
      <c r="AS104" s="57">
        <v>1.1841272682254343E-2</v>
      </c>
      <c r="AT104" s="57">
        <v>3.2814216662390774E-2</v>
      </c>
      <c r="AU104" s="57">
        <v>1.0360136049865805E-2</v>
      </c>
      <c r="AV104" s="57">
        <v>-1.854322654550811E-2</v>
      </c>
      <c r="AW104" s="57">
        <v>-1.6332260439057507E-2</v>
      </c>
      <c r="AX104" s="57">
        <v>-3.3847267491688461E-2</v>
      </c>
      <c r="AY104" s="57">
        <v>-2.7240298057835104E-2</v>
      </c>
      <c r="AZ104" s="57">
        <v>2.8744181276991701E-2</v>
      </c>
      <c r="BA104" s="57">
        <v>-1.0086255509042687E-2</v>
      </c>
      <c r="BB104" s="57">
        <v>1.8302817966156612E-2</v>
      </c>
      <c r="BC104" s="57">
        <v>-1.7663077306730971E-3</v>
      </c>
      <c r="BD104" s="57">
        <v>-3.8443252431588859E-2</v>
      </c>
      <c r="BE104" s="57">
        <v>-3.5353353923479637E-2</v>
      </c>
      <c r="BF104" s="57">
        <v>2.923541099360721E-2</v>
      </c>
      <c r="BG104" s="57">
        <v>1.9563153434284811E-3</v>
      </c>
      <c r="BH104" s="57">
        <v>-2.3952967290216377E-2</v>
      </c>
      <c r="BI104" s="57">
        <v>2.7070173026455174E-2</v>
      </c>
      <c r="BJ104" s="57">
        <v>4.7754882714766238E-3</v>
      </c>
      <c r="BK104" s="57">
        <v>-6.9476309346352839E-3</v>
      </c>
      <c r="BL104" s="57">
        <v>1.4019139763146034E-2</v>
      </c>
      <c r="BM104" s="57">
        <v>8.6219563577636868E-3</v>
      </c>
      <c r="BN104" s="57">
        <v>-4.10887134179488E-2</v>
      </c>
      <c r="BO104" s="57">
        <v>5.468625246110255E-2</v>
      </c>
      <c r="BP104" s="57">
        <v>1.4273592976051344E-2</v>
      </c>
      <c r="BQ104" s="57">
        <v>-2.646426644512875E-2</v>
      </c>
      <c r="BR104" s="57">
        <v>8.922651755480604E-2</v>
      </c>
      <c r="BS104" s="57">
        <v>-2.6872540267502297E-3</v>
      </c>
      <c r="BT104" s="57">
        <v>-2.8432367094054802E-2</v>
      </c>
      <c r="BU104" s="57">
        <v>4.5796044434638555E-2</v>
      </c>
      <c r="BV104" s="57">
        <v>5.6893600299330648E-3</v>
      </c>
      <c r="BW104" s="57">
        <v>-8.3082216499054867E-2</v>
      </c>
    </row>
    <row r="105" spans="1:75" x14ac:dyDescent="0.3">
      <c r="A105" s="8" t="s">
        <v>104</v>
      </c>
      <c r="B105" s="8" t="s">
        <v>10</v>
      </c>
      <c r="C105" s="8" t="s">
        <v>110</v>
      </c>
      <c r="D105" s="57">
        <v>4.7301936713677731E-2</v>
      </c>
      <c r="E105" s="57">
        <v>-3.6933052392897563E-2</v>
      </c>
      <c r="F105" s="57">
        <v>-0.10276048898603908</v>
      </c>
      <c r="G105" s="57">
        <v>5.8214751194979666E-3</v>
      </c>
      <c r="H105" s="57">
        <v>-5.6340269735506328E-2</v>
      </c>
      <c r="I105" s="57">
        <v>-0.10618584941423355</v>
      </c>
      <c r="J105" s="57">
        <v>5.6661053536045905E-2</v>
      </c>
      <c r="K105" s="57">
        <v>3.9456553734576391E-3</v>
      </c>
      <c r="L105" s="57">
        <v>-9.8984894453444203E-2</v>
      </c>
      <c r="M105" s="57">
        <v>4.8848452538179016E-2</v>
      </c>
      <c r="N105" s="57">
        <v>-2.0258336844286733E-2</v>
      </c>
      <c r="O105" s="57">
        <v>-0.10685029085159638</v>
      </c>
      <c r="P105" s="57">
        <v>1.2261737009454788E-2</v>
      </c>
      <c r="Q105" s="57">
        <v>-4.6974554699256189E-2</v>
      </c>
      <c r="R105" s="57">
        <v>-0.11751507516947526</v>
      </c>
      <c r="S105" s="57">
        <v>2.9326106337799442E-2</v>
      </c>
      <c r="T105" s="57">
        <v>-4.8935323865737221E-2</v>
      </c>
      <c r="U105" s="57">
        <v>-0.10638716722854483</v>
      </c>
      <c r="V105" s="57">
        <v>1.4702109019054083E-2</v>
      </c>
      <c r="W105" s="57">
        <v>-3.6219712825208944E-2</v>
      </c>
      <c r="X105" s="57">
        <v>-0.10888178284672805</v>
      </c>
      <c r="Y105" s="57">
        <v>-7.3017229258029642E-2</v>
      </c>
      <c r="Z105" s="57">
        <v>-0.14092269896387311</v>
      </c>
      <c r="AA105" s="57">
        <v>-0.12713741472268786</v>
      </c>
      <c r="AB105" s="57">
        <v>1.5386977938089196E-2</v>
      </c>
      <c r="AC105" s="57">
        <v>-4.3860575234206459E-2</v>
      </c>
      <c r="AD105" s="57">
        <v>-0.10103610161130558</v>
      </c>
      <c r="AE105" s="57">
        <v>-7.7986376155377971E-2</v>
      </c>
      <c r="AF105" s="57">
        <v>-0.14259623320550535</v>
      </c>
      <c r="AG105" s="57">
        <v>-0.1160492530684448</v>
      </c>
      <c r="AH105" s="57">
        <v>-1.6868758652723967E-3</v>
      </c>
      <c r="AI105" s="57">
        <v>-5.0371231833313601E-2</v>
      </c>
      <c r="AJ105" s="57">
        <v>-9.7435261020982766E-2</v>
      </c>
      <c r="AK105" s="57">
        <v>1.7618410727971898E-3</v>
      </c>
      <c r="AL105" s="57">
        <v>-1.2717773415451931E-2</v>
      </c>
      <c r="AM105" s="57">
        <v>-8.7918844228239437E-2</v>
      </c>
      <c r="AN105" s="57">
        <v>2.3635949006218767E-3</v>
      </c>
      <c r="AO105" s="57">
        <v>-4.7955304012051989E-2</v>
      </c>
      <c r="AP105" s="57">
        <v>-6.3872462560400148E-2</v>
      </c>
      <c r="AQ105" s="57">
        <v>3.6429178989701459E-2</v>
      </c>
      <c r="AR105" s="57">
        <v>-2.0395663048974576E-2</v>
      </c>
      <c r="AS105" s="57">
        <v>-5.2404291320741384E-2</v>
      </c>
      <c r="AT105" s="57">
        <v>2.015149397946317E-2</v>
      </c>
      <c r="AU105" s="57">
        <v>-2.0600957760454064E-2</v>
      </c>
      <c r="AV105" s="57">
        <v>-9.8369356128532273E-2</v>
      </c>
      <c r="AW105" s="57">
        <v>-7.3463317463364042E-2</v>
      </c>
      <c r="AX105" s="57">
        <v>-0.1097014628513712</v>
      </c>
      <c r="AY105" s="57">
        <v>-0.1164514393726738</v>
      </c>
      <c r="AZ105" s="57">
        <v>2.423450741476604E-2</v>
      </c>
      <c r="BA105" s="57">
        <v>-4.4782981595703993E-2</v>
      </c>
      <c r="BB105" s="57">
        <v>-3.3925884165521565E-2</v>
      </c>
      <c r="BC105" s="57">
        <v>1.2801254411673846E-2</v>
      </c>
      <c r="BD105" s="57">
        <v>-5.4918601257088917E-2</v>
      </c>
      <c r="BE105" s="57">
        <v>-6.0119414397633623E-2</v>
      </c>
      <c r="BF105" s="57">
        <v>1.8045066402267475E-2</v>
      </c>
      <c r="BG105" s="57">
        <v>-3.5058137775386036E-2</v>
      </c>
      <c r="BH105" s="57">
        <v>-9.9238693245074186E-2</v>
      </c>
      <c r="BI105" s="57">
        <v>-9.7167623095125721E-3</v>
      </c>
      <c r="BJ105" s="57">
        <v>-4.8272285971426659E-2</v>
      </c>
      <c r="BK105" s="57">
        <v>-8.4789231522283404E-2</v>
      </c>
      <c r="BL105" s="57">
        <v>1.512264910375089E-2</v>
      </c>
      <c r="BM105" s="57">
        <v>-1.1932578233616134E-2</v>
      </c>
      <c r="BN105" s="57">
        <v>-0.11802339717906166</v>
      </c>
      <c r="BO105" s="57">
        <v>4.1273224143876797E-2</v>
      </c>
      <c r="BP105" s="57">
        <v>-3.3276354959273405E-2</v>
      </c>
      <c r="BQ105" s="57">
        <v>-0.10647825248404812</v>
      </c>
      <c r="BR105" s="57">
        <v>3.7204638322757638E-2</v>
      </c>
      <c r="BS105" s="57">
        <v>-2.1427315514968043E-2</v>
      </c>
      <c r="BT105" s="57">
        <v>-9.864936475761929E-2</v>
      </c>
      <c r="BU105" s="57">
        <v>-2.3331815910792031E-3</v>
      </c>
      <c r="BV105" s="57">
        <v>-4.0420313188300853E-2</v>
      </c>
      <c r="BW105" s="57">
        <v>-0.13881134236485332</v>
      </c>
    </row>
    <row r="106" spans="1:75" x14ac:dyDescent="0.3">
      <c r="A106" s="8" t="s">
        <v>104</v>
      </c>
      <c r="B106" s="8" t="s">
        <v>10</v>
      </c>
      <c r="C106" s="8" t="s">
        <v>111</v>
      </c>
      <c r="D106" s="57">
        <v>-0.10989734021514166</v>
      </c>
      <c r="E106" s="57">
        <v>-0.11869203524997633</v>
      </c>
      <c r="F106" s="57">
        <v>-0.1500966651628648</v>
      </c>
      <c r="G106" s="57">
        <v>-0.1594653941972024</v>
      </c>
      <c r="H106" s="57">
        <v>-0.15591059424810724</v>
      </c>
      <c r="I106" s="57">
        <v>-0.14952506519276543</v>
      </c>
      <c r="J106" s="57">
        <v>-9.9266016507681729E-2</v>
      </c>
      <c r="K106" s="57">
        <v>-0.10312546566748095</v>
      </c>
      <c r="L106" s="57">
        <v>-0.15006187557861211</v>
      </c>
      <c r="M106" s="57">
        <v>-0.14415050392135292</v>
      </c>
      <c r="N106" s="57">
        <v>-0.15088974094598923</v>
      </c>
      <c r="O106" s="57">
        <v>-0.15745815886438766</v>
      </c>
      <c r="P106" s="57">
        <v>-0.11124582737372191</v>
      </c>
      <c r="Q106" s="57">
        <v>-0.11622610982218402</v>
      </c>
      <c r="R106" s="57">
        <v>-0.15637539061960964</v>
      </c>
      <c r="S106" s="57">
        <v>-0.14571279415839244</v>
      </c>
      <c r="T106" s="57">
        <v>-0.1538838097770836</v>
      </c>
      <c r="U106" s="57">
        <v>-0.15557027020927952</v>
      </c>
      <c r="V106" s="57">
        <v>-0.15876534490406444</v>
      </c>
      <c r="W106" s="57">
        <v>-0.16202936626483389</v>
      </c>
      <c r="X106" s="57">
        <v>-0.15124358543258148</v>
      </c>
      <c r="Y106" s="57">
        <v>-0.17336677119061261</v>
      </c>
      <c r="Z106" s="57">
        <v>-0.17840399873453525</v>
      </c>
      <c r="AA106" s="57">
        <v>-0.15708064657006757</v>
      </c>
      <c r="AB106" s="57">
        <v>-0.15846669186416212</v>
      </c>
      <c r="AC106" s="57">
        <v>-0.16465253182493225</v>
      </c>
      <c r="AD106" s="57">
        <v>-0.14598779904363698</v>
      </c>
      <c r="AE106" s="57">
        <v>-0.16843128450075948</v>
      </c>
      <c r="AF106" s="57">
        <v>-0.17464908645819349</v>
      </c>
      <c r="AG106" s="57">
        <v>-0.14986035328980457</v>
      </c>
      <c r="AH106" s="57">
        <v>-0.12045504113688978</v>
      </c>
      <c r="AI106" s="57">
        <v>-0.11888768196408193</v>
      </c>
      <c r="AJ106" s="57">
        <v>-0.1436788588311306</v>
      </c>
      <c r="AK106" s="57">
        <v>-0.14859068741196987</v>
      </c>
      <c r="AL106" s="57">
        <v>-0.13722142684247926</v>
      </c>
      <c r="AM106" s="57">
        <v>-0.14291507269378598</v>
      </c>
      <c r="AN106" s="57">
        <v>-0.11458920301240458</v>
      </c>
      <c r="AO106" s="57">
        <v>-0.11411066037032931</v>
      </c>
      <c r="AP106" s="57">
        <v>-0.13178198550675585</v>
      </c>
      <c r="AQ106" s="57">
        <v>-0.14149024097104002</v>
      </c>
      <c r="AR106" s="57">
        <v>-0.14610963266229215</v>
      </c>
      <c r="AS106" s="57">
        <v>-0.13686303702937302</v>
      </c>
      <c r="AT106" s="57">
        <v>-0.15815162367944119</v>
      </c>
      <c r="AU106" s="57">
        <v>-0.15853246662441903</v>
      </c>
      <c r="AV106" s="57">
        <v>-0.14577541934778629</v>
      </c>
      <c r="AW106" s="57">
        <v>-0.17336857671002631</v>
      </c>
      <c r="AX106" s="57">
        <v>-0.16976319242081339</v>
      </c>
      <c r="AY106" s="57">
        <v>-0.15149983554292473</v>
      </c>
      <c r="AZ106" s="57">
        <v>-0.11107361963993891</v>
      </c>
      <c r="BA106" s="57">
        <v>-0.11559721994975861</v>
      </c>
      <c r="BB106" s="57">
        <v>-0.12656689748804609</v>
      </c>
      <c r="BC106" s="57">
        <v>-0.14494541411929643</v>
      </c>
      <c r="BD106" s="57">
        <v>-0.15201581900361666</v>
      </c>
      <c r="BE106" s="57">
        <v>-0.13729754460854307</v>
      </c>
      <c r="BF106" s="57">
        <v>-0.1018438056730903</v>
      </c>
      <c r="BG106" s="57">
        <v>-0.11257337925277179</v>
      </c>
      <c r="BH106" s="57">
        <v>-0.14308526833226726</v>
      </c>
      <c r="BI106" s="57">
        <v>-0.14978913021161824</v>
      </c>
      <c r="BJ106" s="57">
        <v>-0.14886878089302152</v>
      </c>
      <c r="BK106" s="57">
        <v>-0.14133059959121938</v>
      </c>
      <c r="BL106" s="57">
        <v>-0.11275169096350936</v>
      </c>
      <c r="BM106" s="57">
        <v>-0.11298000371940524</v>
      </c>
      <c r="BN106" s="57">
        <v>-0.15117429739530269</v>
      </c>
      <c r="BO106" s="57">
        <v>-0.14446543532610534</v>
      </c>
      <c r="BP106" s="57">
        <v>-0.15212028533472652</v>
      </c>
      <c r="BQ106" s="57">
        <v>-0.15594157241014567</v>
      </c>
      <c r="BR106" s="57">
        <v>-0.12013353479630594</v>
      </c>
      <c r="BS106" s="57">
        <v>-0.12260048475630997</v>
      </c>
      <c r="BT106" s="57">
        <v>-0.15672344468604676</v>
      </c>
      <c r="BU106" s="57">
        <v>-0.16737606852339329</v>
      </c>
      <c r="BV106" s="57">
        <v>-0.15969138648136746</v>
      </c>
      <c r="BW106" s="57">
        <v>-0.16780848140301421</v>
      </c>
    </row>
    <row r="107" spans="1:75" x14ac:dyDescent="0.3">
      <c r="A107" s="8" t="s">
        <v>104</v>
      </c>
      <c r="B107" s="8" t="s">
        <v>10</v>
      </c>
      <c r="C107" s="8" t="s">
        <v>112</v>
      </c>
      <c r="D107" s="57">
        <v>-0.42829022794414162</v>
      </c>
      <c r="E107" s="57">
        <v>-0.40596468127397628</v>
      </c>
      <c r="F107" s="57">
        <v>-0.36557278600186477</v>
      </c>
      <c r="G107" s="57">
        <v>-0.42611862630820241</v>
      </c>
      <c r="H107" s="57">
        <v>-0.38596959544110726</v>
      </c>
      <c r="I107" s="57">
        <v>-0.33843899595076543</v>
      </c>
      <c r="J107" s="57">
        <v>-0.39882809285968174</v>
      </c>
      <c r="K107" s="57">
        <v>-0.37840437775048091</v>
      </c>
      <c r="L107" s="57">
        <v>-0.35818164727761209</v>
      </c>
      <c r="M107" s="57">
        <v>-0.4009952705123529</v>
      </c>
      <c r="N107" s="57">
        <v>-0.38081171210598924</v>
      </c>
      <c r="O107" s="57">
        <v>-0.34816069215838763</v>
      </c>
      <c r="P107" s="57">
        <v>-0.40179276997572183</v>
      </c>
      <c r="Q107" s="57">
        <v>-0.38325437149718394</v>
      </c>
      <c r="R107" s="57">
        <v>-0.35995874701560965</v>
      </c>
      <c r="S107" s="57">
        <v>-0.39395351709839249</v>
      </c>
      <c r="T107" s="57">
        <v>-0.37321119575408362</v>
      </c>
      <c r="U107" s="57">
        <v>-0.34106566224927953</v>
      </c>
      <c r="V107" s="57">
        <v>-0.42936359954406444</v>
      </c>
      <c r="W107" s="57">
        <v>-0.41067396719683391</v>
      </c>
      <c r="X107" s="57">
        <v>-0.3403666672935815</v>
      </c>
      <c r="Y107" s="57">
        <v>-0.40717606802361256</v>
      </c>
      <c r="Z107" s="57">
        <v>-0.38398510876953523</v>
      </c>
      <c r="AA107" s="57">
        <v>-0.33275314887606761</v>
      </c>
      <c r="AB107" s="57">
        <v>-0.42865385640516207</v>
      </c>
      <c r="AC107" s="57">
        <v>-0.41295095162093221</v>
      </c>
      <c r="AD107" s="57">
        <v>-0.33367567161163697</v>
      </c>
      <c r="AE107" s="57">
        <v>-0.39264847902375949</v>
      </c>
      <c r="AF107" s="57">
        <v>-0.37428020821819358</v>
      </c>
      <c r="AG107" s="57">
        <v>-0.32189074156080461</v>
      </c>
      <c r="AH107" s="57">
        <v>-0.41636779134688973</v>
      </c>
      <c r="AI107" s="57">
        <v>-0.38779109145908192</v>
      </c>
      <c r="AJ107" s="57">
        <v>-0.3439302217931306</v>
      </c>
      <c r="AK107" s="57">
        <v>-0.38664791526796988</v>
      </c>
      <c r="AL107" s="57">
        <v>-0.35245233604347931</v>
      </c>
      <c r="AM107" s="57">
        <v>-0.32411204896178597</v>
      </c>
      <c r="AN107" s="57">
        <v>-0.41637982042740457</v>
      </c>
      <c r="AO107" s="57">
        <v>-0.38953381459332936</v>
      </c>
      <c r="AP107" s="57">
        <v>-0.34019024148575588</v>
      </c>
      <c r="AQ107" s="57">
        <v>-0.38763224077404002</v>
      </c>
      <c r="AR107" s="57">
        <v>-0.36947579855929213</v>
      </c>
      <c r="AS107" s="57">
        <v>-0.32432733428037303</v>
      </c>
      <c r="AT107" s="57">
        <v>-0.43063223824644109</v>
      </c>
      <c r="AU107" s="57">
        <v>-0.41041530359941902</v>
      </c>
      <c r="AV107" s="57">
        <v>-0.33808625250278629</v>
      </c>
      <c r="AW107" s="57">
        <v>-0.40688217715602631</v>
      </c>
      <c r="AX107" s="57">
        <v>-0.37957780926481333</v>
      </c>
      <c r="AY107" s="57">
        <v>-0.32805221490292474</v>
      </c>
      <c r="AZ107" s="57">
        <v>-0.40022141348393886</v>
      </c>
      <c r="BA107" s="57">
        <v>-0.38289232958375863</v>
      </c>
      <c r="BB107" s="57">
        <v>-0.32831116659904608</v>
      </c>
      <c r="BC107" s="57">
        <v>-0.37979325436029648</v>
      </c>
      <c r="BD107" s="57">
        <v>-0.36184486006161665</v>
      </c>
      <c r="BE107" s="57">
        <v>-0.31674919098254306</v>
      </c>
      <c r="BF107" s="57">
        <v>-0.38217840476309023</v>
      </c>
      <c r="BG107" s="57">
        <v>-0.36911523734977175</v>
      </c>
      <c r="BH107" s="57">
        <v>-0.33385992269626724</v>
      </c>
      <c r="BI107" s="57">
        <v>-0.38360563915161822</v>
      </c>
      <c r="BJ107" s="57">
        <v>-0.35398110397302152</v>
      </c>
      <c r="BK107" s="57">
        <v>-0.31755122202921937</v>
      </c>
      <c r="BL107" s="57">
        <v>-0.41966290434850945</v>
      </c>
      <c r="BM107" s="57">
        <v>-0.39027109365540524</v>
      </c>
      <c r="BN107" s="57">
        <v>-0.35950322019730269</v>
      </c>
      <c r="BO107" s="57">
        <v>-0.39711996775010533</v>
      </c>
      <c r="BP107" s="57">
        <v>-0.37685675156172649</v>
      </c>
      <c r="BQ107" s="57">
        <v>-0.34246108364414568</v>
      </c>
      <c r="BR107" s="57">
        <v>-0.4413463563623059</v>
      </c>
      <c r="BS107" s="57">
        <v>-0.41146700642730999</v>
      </c>
      <c r="BT107" s="57">
        <v>-0.37405307702404683</v>
      </c>
      <c r="BU107" s="57">
        <v>-0.43136082104439333</v>
      </c>
      <c r="BV107" s="57">
        <v>-0.39125050593036742</v>
      </c>
      <c r="BW107" s="57">
        <v>-0.35671520005401419</v>
      </c>
    </row>
    <row r="108" spans="1:75" x14ac:dyDescent="0.3">
      <c r="A108" s="8" t="s">
        <v>104</v>
      </c>
      <c r="B108" s="8" t="s">
        <v>10</v>
      </c>
      <c r="C108" s="8" t="s">
        <v>115</v>
      </c>
      <c r="D108" s="57">
        <v>-0.10149631353523889</v>
      </c>
      <c r="E108" s="57">
        <v>-0.11341617877201576</v>
      </c>
      <c r="F108" s="57">
        <v>-0.11017834465009013</v>
      </c>
      <c r="G108" s="57">
        <v>-9.8016461709865041E-2</v>
      </c>
      <c r="H108" s="57">
        <v>-9.7969317438595147E-2</v>
      </c>
      <c r="I108" s="57">
        <v>-0.10920447229548974</v>
      </c>
      <c r="J108" s="57">
        <v>-8.0464326317545479E-2</v>
      </c>
      <c r="K108" s="57">
        <v>-9.1767454079012711E-2</v>
      </c>
      <c r="L108" s="57">
        <v>-9.8853165786258607E-2</v>
      </c>
      <c r="M108" s="57">
        <v>-7.4951226000431373E-2</v>
      </c>
      <c r="N108" s="57">
        <v>-8.5842855849340496E-2</v>
      </c>
      <c r="O108" s="57">
        <v>-0.10387501792240823</v>
      </c>
      <c r="P108" s="57">
        <v>-9.850420406018516E-2</v>
      </c>
      <c r="Q108" s="57">
        <v>-0.10582623918521052</v>
      </c>
      <c r="R108" s="57">
        <v>-0.11278839307492687</v>
      </c>
      <c r="S108" s="57">
        <v>-7.8826295547738331E-2</v>
      </c>
      <c r="T108" s="57">
        <v>-8.9900858637944239E-2</v>
      </c>
      <c r="U108" s="57">
        <v>-0.10810911964714694</v>
      </c>
      <c r="V108" s="57">
        <v>-9.6228862650623692E-2</v>
      </c>
      <c r="W108" s="57">
        <v>-0.10235851513668211</v>
      </c>
      <c r="X108" s="57">
        <v>-0.11238027301294573</v>
      </c>
      <c r="Y108" s="57">
        <v>-0.10751684006359156</v>
      </c>
      <c r="Z108" s="57">
        <v>-0.11604980257421454</v>
      </c>
      <c r="AA108" s="57">
        <v>-0.11306892451297654</v>
      </c>
      <c r="AB108" s="57">
        <v>-9.6662873305225272E-2</v>
      </c>
      <c r="AC108" s="57">
        <v>-0.10504683413804514</v>
      </c>
      <c r="AD108" s="57">
        <v>-0.10390204228702986</v>
      </c>
      <c r="AE108" s="57">
        <v>-0.10414897588053169</v>
      </c>
      <c r="AF108" s="57">
        <v>-0.11282698257453763</v>
      </c>
      <c r="AG108" s="57">
        <v>-0.1051620187947969</v>
      </c>
      <c r="AH108" s="57">
        <v>-0.10730363912207348</v>
      </c>
      <c r="AI108" s="57">
        <v>-0.10833790991727867</v>
      </c>
      <c r="AJ108" s="57">
        <v>-9.3156743848579568E-2</v>
      </c>
      <c r="AK108" s="57">
        <v>-8.2726840093353404E-2</v>
      </c>
      <c r="AL108" s="57">
        <v>-7.3435412659680427E-2</v>
      </c>
      <c r="AM108" s="57">
        <v>-8.9002155574809325E-2</v>
      </c>
      <c r="AN108" s="57">
        <v>-0.10785541661173029</v>
      </c>
      <c r="AO108" s="57">
        <v>-0.10992933039978048</v>
      </c>
      <c r="AP108" s="57">
        <v>-9.6426911007496077E-2</v>
      </c>
      <c r="AQ108" s="57">
        <v>-7.4756551049973294E-2</v>
      </c>
      <c r="AR108" s="57">
        <v>-8.164128031713852E-2</v>
      </c>
      <c r="AS108" s="57">
        <v>-8.9455519741751297E-2</v>
      </c>
      <c r="AT108" s="57">
        <v>-9.5562375889705911E-2</v>
      </c>
      <c r="AU108" s="57">
        <v>-9.8505355836374348E-2</v>
      </c>
      <c r="AV108" s="57">
        <v>-9.6296482441475831E-2</v>
      </c>
      <c r="AW108" s="57">
        <v>-0.1076846057479824</v>
      </c>
      <c r="AX108" s="57">
        <v>-0.10689427357744477</v>
      </c>
      <c r="AY108" s="57">
        <v>-0.10148503571805015</v>
      </c>
      <c r="AZ108" s="57">
        <v>-9.4095609472040737E-2</v>
      </c>
      <c r="BA108" s="57">
        <v>-0.10516389141216094</v>
      </c>
      <c r="BB108" s="57">
        <v>-9.0856473032939103E-2</v>
      </c>
      <c r="BC108" s="57">
        <v>-8.6990958068468988E-2</v>
      </c>
      <c r="BD108" s="57">
        <v>-9.6573811488255529E-2</v>
      </c>
      <c r="BE108" s="57">
        <v>-9.978814202994099E-2</v>
      </c>
      <c r="BF108" s="57">
        <v>-8.9732930071273115E-2</v>
      </c>
      <c r="BG108" s="57">
        <v>-9.6175733014152123E-2</v>
      </c>
      <c r="BH108" s="57">
        <v>-0.1086379111424059</v>
      </c>
      <c r="BI108" s="57">
        <v>-8.4351146178921144E-2</v>
      </c>
      <c r="BJ108" s="57">
        <v>-0.101367104311319</v>
      </c>
      <c r="BK108" s="57">
        <v>-9.6541331615104392E-2</v>
      </c>
      <c r="BL108" s="57">
        <v>-0.10615436980432706</v>
      </c>
      <c r="BM108" s="57">
        <v>-9.9599946128396524E-2</v>
      </c>
      <c r="BN108" s="57">
        <v>-0.11354403632579821</v>
      </c>
      <c r="BO108" s="57">
        <v>-7.713569125459642E-2</v>
      </c>
      <c r="BP108" s="57">
        <v>-8.798563859951565E-2</v>
      </c>
      <c r="BQ108" s="57">
        <v>-0.10727637387856953</v>
      </c>
      <c r="BR108" s="57">
        <v>-9.3060793050462692E-2</v>
      </c>
      <c r="BS108" s="57">
        <v>-0.10989975968379335</v>
      </c>
      <c r="BT108" s="57">
        <v>-0.10470134220663545</v>
      </c>
      <c r="BU108" s="57">
        <v>-9.4267524305737802E-2</v>
      </c>
      <c r="BV108" s="57">
        <v>-9.4591578851088362E-2</v>
      </c>
      <c r="BW108" s="57">
        <v>-0.11355298269265719</v>
      </c>
    </row>
    <row r="109" spans="1:75" x14ac:dyDescent="0.3">
      <c r="A109" s="8" t="s">
        <v>104</v>
      </c>
      <c r="B109" s="8" t="s">
        <v>10</v>
      </c>
      <c r="C109" s="8" t="s">
        <v>116</v>
      </c>
      <c r="D109" s="57">
        <v>-0.33884195228217423</v>
      </c>
      <c r="E109" s="57">
        <v>-0.32428541142090977</v>
      </c>
      <c r="F109" s="57">
        <v>-0.26624256514245631</v>
      </c>
      <c r="G109" s="57">
        <v>-0.30007971699001557</v>
      </c>
      <c r="H109" s="57">
        <v>-0.26892410281417189</v>
      </c>
      <c r="I109" s="57">
        <v>-0.24313063193498102</v>
      </c>
      <c r="J109" s="57">
        <v>-0.30363288651166598</v>
      </c>
      <c r="K109" s="57">
        <v>-0.29352567520093281</v>
      </c>
      <c r="L109" s="57">
        <v>-0.25046313860356151</v>
      </c>
      <c r="M109" s="57">
        <v>-0.26997995833961957</v>
      </c>
      <c r="N109" s="57">
        <v>-0.25774896451183776</v>
      </c>
      <c r="O109" s="57">
        <v>-0.24128532045940521</v>
      </c>
      <c r="P109" s="57">
        <v>-0.31322967816031561</v>
      </c>
      <c r="Q109" s="57">
        <v>-0.3005455527520064</v>
      </c>
      <c r="R109" s="57">
        <v>-0.25946396198042931</v>
      </c>
      <c r="S109" s="57">
        <v>-0.26631758879633655</v>
      </c>
      <c r="T109" s="57">
        <v>-0.25279333101816515</v>
      </c>
      <c r="U109" s="57">
        <v>-0.24024944129346684</v>
      </c>
      <c r="V109" s="57">
        <v>-0.30175216208063982</v>
      </c>
      <c r="W109" s="57">
        <v>-0.28910498787050493</v>
      </c>
      <c r="X109" s="57">
        <v>-0.24626263114544106</v>
      </c>
      <c r="Y109" s="57">
        <v>-0.28279209922879467</v>
      </c>
      <c r="Z109" s="57">
        <v>-0.26721000252751265</v>
      </c>
      <c r="AA109" s="57">
        <v>-0.23648270260584017</v>
      </c>
      <c r="AB109" s="57">
        <v>-0.30173271931261575</v>
      </c>
      <c r="AC109" s="57">
        <v>-0.29149422533487812</v>
      </c>
      <c r="AD109" s="57">
        <v>-0.23706834216092093</v>
      </c>
      <c r="AE109" s="57">
        <v>-0.27117283473921577</v>
      </c>
      <c r="AF109" s="57">
        <v>-0.25893487848508601</v>
      </c>
      <c r="AG109" s="57">
        <v>-0.22563502202409791</v>
      </c>
      <c r="AH109" s="57">
        <v>-0.32657486209979592</v>
      </c>
      <c r="AI109" s="57">
        <v>-0.30464679651654919</v>
      </c>
      <c r="AJ109" s="57">
        <v>-0.23808798585706228</v>
      </c>
      <c r="AK109" s="57">
        <v>-0.26155424332794586</v>
      </c>
      <c r="AL109" s="57">
        <v>-0.23287486033365015</v>
      </c>
      <c r="AM109" s="57">
        <v>-0.21851799473805578</v>
      </c>
      <c r="AN109" s="57">
        <v>-0.33107621484008148</v>
      </c>
      <c r="AO109" s="57">
        <v>-0.31073159449601273</v>
      </c>
      <c r="AP109" s="57">
        <v>-0.24589992896483498</v>
      </c>
      <c r="AQ109" s="57">
        <v>-0.26047099008778329</v>
      </c>
      <c r="AR109" s="57">
        <v>-0.24798182895426149</v>
      </c>
      <c r="AS109" s="57">
        <v>-0.22323323860894453</v>
      </c>
      <c r="AT109" s="57">
        <v>-0.30266670523201605</v>
      </c>
      <c r="AU109" s="57">
        <v>-0.28801150764083105</v>
      </c>
      <c r="AV109" s="57">
        <v>-0.23443523354267234</v>
      </c>
      <c r="AW109" s="57">
        <v>-0.28268785319358897</v>
      </c>
      <c r="AX109" s="57">
        <v>-0.26166968405214996</v>
      </c>
      <c r="AY109" s="57">
        <v>-0.22653460129978131</v>
      </c>
      <c r="AZ109" s="57">
        <v>-0.30828725299542542</v>
      </c>
      <c r="BA109" s="57">
        <v>-0.30011123231550046</v>
      </c>
      <c r="BB109" s="57">
        <v>-0.23481360445825514</v>
      </c>
      <c r="BC109" s="57">
        <v>-0.26194982153464308</v>
      </c>
      <c r="BD109" s="57">
        <v>-0.25024723978545971</v>
      </c>
      <c r="BE109" s="57">
        <v>-0.22538485688643128</v>
      </c>
      <c r="BF109" s="57">
        <v>-0.29582919065104563</v>
      </c>
      <c r="BG109" s="57">
        <v>-0.28303107564529506</v>
      </c>
      <c r="BH109" s="57">
        <v>-0.24323811872508511</v>
      </c>
      <c r="BI109" s="57">
        <v>-0.25957064054082574</v>
      </c>
      <c r="BJ109" s="57">
        <v>-0.24990765437257431</v>
      </c>
      <c r="BK109" s="57">
        <v>-0.22052981342042161</v>
      </c>
      <c r="BL109" s="57">
        <v>-0.33363405344995439</v>
      </c>
      <c r="BM109" s="57">
        <v>-0.30334307992784781</v>
      </c>
      <c r="BN109" s="57">
        <v>-0.26329203239932386</v>
      </c>
      <c r="BO109" s="57">
        <v>-0.26838215496252271</v>
      </c>
      <c r="BP109" s="57">
        <v>-0.25542131095664722</v>
      </c>
      <c r="BQ109" s="57">
        <v>-0.24045317376100592</v>
      </c>
      <c r="BR109" s="57">
        <v>-0.33556384804963907</v>
      </c>
      <c r="BS109" s="57">
        <v>-0.32321474726972083</v>
      </c>
      <c r="BT109" s="57">
        <v>-0.26413013603244717</v>
      </c>
      <c r="BU109" s="57">
        <v>-0.29584963483093613</v>
      </c>
      <c r="BV109" s="57">
        <v>-0.26787381410658018</v>
      </c>
      <c r="BW109" s="57">
        <v>-0.24956335094326079</v>
      </c>
    </row>
    <row r="110" spans="1:75" x14ac:dyDescent="0.3">
      <c r="A110" s="8" t="s">
        <v>104</v>
      </c>
      <c r="B110" s="8" t="s">
        <v>10</v>
      </c>
      <c r="C110" s="8" t="s">
        <v>117</v>
      </c>
      <c r="D110" s="57">
        <v>-0.31513358512546458</v>
      </c>
      <c r="E110" s="57">
        <v>-0.30070910212550589</v>
      </c>
      <c r="F110" s="57">
        <v>-0.24715616689603395</v>
      </c>
      <c r="G110" s="57">
        <v>-0.28241527835144942</v>
      </c>
      <c r="H110" s="57">
        <v>-0.25143167333522315</v>
      </c>
      <c r="I110" s="57">
        <v>-0.22446392078530858</v>
      </c>
      <c r="J110" s="57">
        <v>-0.28123359729707958</v>
      </c>
      <c r="K110" s="57">
        <v>-0.27072892047287983</v>
      </c>
      <c r="L110" s="57">
        <v>-0.2326108699870969</v>
      </c>
      <c r="M110" s="57">
        <v>-0.25323067518041181</v>
      </c>
      <c r="N110" s="57">
        <v>-0.24096905343350267</v>
      </c>
      <c r="O110" s="57">
        <v>-0.22391931264940337</v>
      </c>
      <c r="P110" s="57">
        <v>-0.29035316988306931</v>
      </c>
      <c r="Q110" s="57">
        <v>-0.27777085036320392</v>
      </c>
      <c r="R110" s="57">
        <v>-0.24091432807209751</v>
      </c>
      <c r="S110" s="57">
        <v>-0.24945994261540186</v>
      </c>
      <c r="T110" s="57">
        <v>-0.23605837776097902</v>
      </c>
      <c r="U110" s="57">
        <v>-0.22234562217768006</v>
      </c>
      <c r="V110" s="57">
        <v>-0.28414012095398389</v>
      </c>
      <c r="W110" s="57">
        <v>-0.27152000725572001</v>
      </c>
      <c r="X110" s="57">
        <v>-0.22744720407510469</v>
      </c>
      <c r="Y110" s="57">
        <v>-0.26603695952959677</v>
      </c>
      <c r="Z110" s="57">
        <v>-0.25050854914304471</v>
      </c>
      <c r="AA110" s="57">
        <v>-0.2183742676357493</v>
      </c>
      <c r="AB110" s="57">
        <v>-0.28405328453220946</v>
      </c>
      <c r="AC110" s="57">
        <v>-0.27390767482076689</v>
      </c>
      <c r="AD110" s="57">
        <v>-0.21859566251418189</v>
      </c>
      <c r="AE110" s="57">
        <v>-0.25439796282233867</v>
      </c>
      <c r="AF110" s="57">
        <v>-0.24226521570545156</v>
      </c>
      <c r="AG110" s="57">
        <v>-0.20764727849829875</v>
      </c>
      <c r="AH110" s="57">
        <v>-0.30366267729827751</v>
      </c>
      <c r="AI110" s="57">
        <v>-0.28186029644272942</v>
      </c>
      <c r="AJ110" s="57">
        <v>-0.22027946359871742</v>
      </c>
      <c r="AK110" s="57">
        <v>-0.24473981051900751</v>
      </c>
      <c r="AL110" s="57">
        <v>-0.21617873447763014</v>
      </c>
      <c r="AM110" s="57">
        <v>-0.20132075821755346</v>
      </c>
      <c r="AN110" s="57">
        <v>-0.30743829894564884</v>
      </c>
      <c r="AO110" s="57">
        <v>-0.28721511100416769</v>
      </c>
      <c r="AP110" s="57">
        <v>-0.22645817561506107</v>
      </c>
      <c r="AQ110" s="57">
        <v>-0.24362804479698988</v>
      </c>
      <c r="AR110" s="57">
        <v>-0.23123771896167694</v>
      </c>
      <c r="AS110" s="57">
        <v>-0.20529592894840673</v>
      </c>
      <c r="AT110" s="57">
        <v>-0.28503304980288974</v>
      </c>
      <c r="AU110" s="57">
        <v>-0.27041589247713549</v>
      </c>
      <c r="AV110" s="57">
        <v>-0.21663582961680342</v>
      </c>
      <c r="AW110" s="57">
        <v>-0.26592034171199336</v>
      </c>
      <c r="AX110" s="57">
        <v>-0.24495922426728695</v>
      </c>
      <c r="AY110" s="57">
        <v>-0.20901390443426879</v>
      </c>
      <c r="AZ110" s="57">
        <v>-0.28585437124301527</v>
      </c>
      <c r="BA110" s="57">
        <v>-0.2773360636030604</v>
      </c>
      <c r="BB110" s="57">
        <v>-0.21550258591646584</v>
      </c>
      <c r="BC110" s="57">
        <v>-0.2443902979934259</v>
      </c>
      <c r="BD110" s="57">
        <v>-0.2327938828075958</v>
      </c>
      <c r="BE110" s="57">
        <v>-0.20657220219609146</v>
      </c>
      <c r="BF110" s="57">
        <v>-0.27303549822422735</v>
      </c>
      <c r="BG110" s="57">
        <v>-0.26100595658205694</v>
      </c>
      <c r="BH110" s="57">
        <v>-0.22395750223887123</v>
      </c>
      <c r="BI110" s="57">
        <v>-0.24277420310209538</v>
      </c>
      <c r="BJ110" s="57">
        <v>-0.23172764598674456</v>
      </c>
      <c r="BK110" s="57">
        <v>-0.20249130275463309</v>
      </c>
      <c r="BL110" s="57">
        <v>-0.30990933966037265</v>
      </c>
      <c r="BM110" s="57">
        <v>-0.28071978440214868</v>
      </c>
      <c r="BN110" s="57">
        <v>-0.24407893103767414</v>
      </c>
      <c r="BO110" s="57">
        <v>-0.25150577890647363</v>
      </c>
      <c r="BP110" s="57">
        <v>-0.23862425468406834</v>
      </c>
      <c r="BQ110" s="57">
        <v>-0.22265512916796357</v>
      </c>
      <c r="BR110" s="57">
        <v>-0.3136823676304234</v>
      </c>
      <c r="BS110" s="57">
        <v>-0.30035815518167236</v>
      </c>
      <c r="BT110" s="57">
        <v>-0.24622763724698826</v>
      </c>
      <c r="BU110" s="57">
        <v>-0.27938927850240164</v>
      </c>
      <c r="BV110" s="57">
        <v>-0.25107580744890806</v>
      </c>
      <c r="BW110" s="57">
        <v>-0.23229023340499647</v>
      </c>
    </row>
    <row r="111" spans="1:75" x14ac:dyDescent="0.3">
      <c r="A111" s="8" t="s">
        <v>104</v>
      </c>
      <c r="B111" s="8" t="s">
        <v>10</v>
      </c>
      <c r="C111" s="8" t="s">
        <v>118</v>
      </c>
      <c r="D111" s="57">
        <v>-0.34908057797106767</v>
      </c>
      <c r="E111" s="57">
        <v>-0.33228577587004704</v>
      </c>
      <c r="F111" s="57">
        <v>-0.28268115262778315</v>
      </c>
      <c r="G111" s="57">
        <v>-0.32552628273847539</v>
      </c>
      <c r="H111" s="57">
        <v>-0.29179304996698852</v>
      </c>
      <c r="I111" s="57">
        <v>-0.25865644333494558</v>
      </c>
      <c r="J111" s="57">
        <v>-0.31651194596586035</v>
      </c>
      <c r="K111" s="57">
        <v>-0.30303155765616013</v>
      </c>
      <c r="L111" s="57">
        <v>-0.27028210317425155</v>
      </c>
      <c r="M111" s="57">
        <v>-0.29756005377999406</v>
      </c>
      <c r="N111" s="57">
        <v>-0.28292185103524864</v>
      </c>
      <c r="O111" s="57">
        <v>-0.26119172650209865</v>
      </c>
      <c r="P111" s="57">
        <v>-0.3237850499108651</v>
      </c>
      <c r="Q111" s="57">
        <v>-0.30941590670339791</v>
      </c>
      <c r="R111" s="57">
        <v>-0.27662765375515108</v>
      </c>
      <c r="S111" s="57">
        <v>-0.29280801496029907</v>
      </c>
      <c r="T111" s="57">
        <v>-0.27720422315891063</v>
      </c>
      <c r="U111" s="57">
        <v>-0.25796163419915979</v>
      </c>
      <c r="V111" s="57">
        <v>-0.32770716453100807</v>
      </c>
      <c r="W111" s="57">
        <v>-0.31326619523805427</v>
      </c>
      <c r="X111" s="57">
        <v>-0.26132304304064774</v>
      </c>
      <c r="Y111" s="57">
        <v>-0.30837869207780161</v>
      </c>
      <c r="Z111" s="57">
        <v>-0.29055151703099186</v>
      </c>
      <c r="AA111" s="57">
        <v>-0.25268793200784478</v>
      </c>
      <c r="AB111" s="57">
        <v>-0.3274334560940953</v>
      </c>
      <c r="AC111" s="57">
        <v>-0.3156206578608165</v>
      </c>
      <c r="AD111" s="57">
        <v>-0.25311966524341845</v>
      </c>
      <c r="AE111" s="57">
        <v>-0.29587311768276492</v>
      </c>
      <c r="AF111" s="57">
        <v>-0.28186971345927425</v>
      </c>
      <c r="AG111" s="57">
        <v>-0.24192031741705053</v>
      </c>
      <c r="AH111" s="57">
        <v>-0.33747421151286122</v>
      </c>
      <c r="AI111" s="57">
        <v>-0.31363953494763525</v>
      </c>
      <c r="AJ111" s="57">
        <v>-0.25737469105704108</v>
      </c>
      <c r="AK111" s="57">
        <v>-0.28731224194369626</v>
      </c>
      <c r="AL111" s="57">
        <v>-0.25706081494738492</v>
      </c>
      <c r="AM111" s="57">
        <v>-0.2381581454408232</v>
      </c>
      <c r="AN111" s="57">
        <v>-0.34012075539017556</v>
      </c>
      <c r="AO111" s="57">
        <v>-0.3179107220809162</v>
      </c>
      <c r="AP111" s="57">
        <v>-0.26057779537626946</v>
      </c>
      <c r="AQ111" s="57">
        <v>-0.28682930359010494</v>
      </c>
      <c r="AR111" s="57">
        <v>-0.27270914284096148</v>
      </c>
      <c r="AS111" s="57">
        <v>-0.24100535054799663</v>
      </c>
      <c r="AT111" s="57">
        <v>-0.32871280633595512</v>
      </c>
      <c r="AU111" s="57">
        <v>-0.31241571581382055</v>
      </c>
      <c r="AV111" s="57">
        <v>-0.25307095648259825</v>
      </c>
      <c r="AW111" s="57">
        <v>-0.30820889234520349</v>
      </c>
      <c r="AX111" s="57">
        <v>-0.28534479976654481</v>
      </c>
      <c r="AY111" s="57">
        <v>-0.24472539757486558</v>
      </c>
      <c r="AZ111" s="57">
        <v>-0.32016448391529234</v>
      </c>
      <c r="BA111" s="57">
        <v>-0.30900294339726986</v>
      </c>
      <c r="BB111" s="57">
        <v>-0.24934516012123994</v>
      </c>
      <c r="BC111" s="57">
        <v>-0.28501118490348704</v>
      </c>
      <c r="BD111" s="57">
        <v>-0.27150917598380203</v>
      </c>
      <c r="BE111" s="57">
        <v>-0.23962529883202696</v>
      </c>
      <c r="BF111" s="57">
        <v>-0.30577837018588627</v>
      </c>
      <c r="BG111" s="57">
        <v>-0.29343874081237159</v>
      </c>
      <c r="BH111" s="57">
        <v>-0.25692822837609008</v>
      </c>
      <c r="BI111" s="57">
        <v>-0.28502363391695223</v>
      </c>
      <c r="BJ111" s="57">
        <v>-0.26840368338262777</v>
      </c>
      <c r="BK111" s="57">
        <v>-0.23700927853700898</v>
      </c>
      <c r="BL111" s="57">
        <v>-0.34283540906681387</v>
      </c>
      <c r="BM111" s="57">
        <v>-0.31358517717812567</v>
      </c>
      <c r="BN111" s="57">
        <v>-0.27870621778556282</v>
      </c>
      <c r="BO111" s="57">
        <v>-0.29519003555956314</v>
      </c>
      <c r="BP111" s="57">
        <v>-0.28009400374736576</v>
      </c>
      <c r="BQ111" s="57">
        <v>-0.2585969155108182</v>
      </c>
      <c r="BR111" s="57">
        <v>-0.35198156424998844</v>
      </c>
      <c r="BS111" s="57">
        <v>-0.33369081055536398</v>
      </c>
      <c r="BT111" s="57">
        <v>-0.28457526918010584</v>
      </c>
      <c r="BU111" s="57">
        <v>-0.32498074126499921</v>
      </c>
      <c r="BV111" s="57">
        <v>-0.29312821699334585</v>
      </c>
      <c r="BW111" s="57">
        <v>-0.26961772339970175</v>
      </c>
    </row>
    <row r="112" spans="1:75" x14ac:dyDescent="0.3">
      <c r="A112" s="8" t="s">
        <v>100</v>
      </c>
      <c r="B112" s="8" t="s">
        <v>8</v>
      </c>
      <c r="C112" s="8" t="s">
        <v>108</v>
      </c>
      <c r="D112" s="57">
        <v>0</v>
      </c>
      <c r="E112" s="57">
        <v>0</v>
      </c>
      <c r="F112" s="57">
        <v>0</v>
      </c>
      <c r="G112" s="57">
        <v>0</v>
      </c>
      <c r="H112" s="57">
        <v>0</v>
      </c>
      <c r="I112" s="57">
        <v>0</v>
      </c>
      <c r="J112" s="57">
        <v>0</v>
      </c>
      <c r="K112" s="57">
        <v>0</v>
      </c>
      <c r="L112" s="57">
        <v>0</v>
      </c>
      <c r="M112" s="57">
        <v>0</v>
      </c>
      <c r="N112" s="57">
        <v>0</v>
      </c>
      <c r="O112" s="57">
        <v>0</v>
      </c>
      <c r="P112" s="57">
        <v>0</v>
      </c>
      <c r="Q112" s="57">
        <v>0</v>
      </c>
      <c r="R112" s="57">
        <v>0</v>
      </c>
      <c r="S112" s="57">
        <v>0</v>
      </c>
      <c r="T112" s="57">
        <v>0</v>
      </c>
      <c r="U112" s="57">
        <v>0</v>
      </c>
      <c r="V112" s="57">
        <v>0</v>
      </c>
      <c r="W112" s="57">
        <v>0</v>
      </c>
      <c r="X112" s="57">
        <v>0</v>
      </c>
      <c r="Y112" s="57">
        <v>0</v>
      </c>
      <c r="Z112" s="57">
        <v>0</v>
      </c>
      <c r="AA112" s="57">
        <v>0</v>
      </c>
      <c r="AB112" s="57">
        <v>0</v>
      </c>
      <c r="AC112" s="57">
        <v>0</v>
      </c>
      <c r="AD112" s="57">
        <v>0</v>
      </c>
      <c r="AE112" s="57">
        <v>0</v>
      </c>
      <c r="AF112" s="57">
        <v>0</v>
      </c>
      <c r="AG112" s="57">
        <v>0</v>
      </c>
      <c r="AH112" s="57">
        <v>0</v>
      </c>
      <c r="AI112" s="57">
        <v>0</v>
      </c>
      <c r="AJ112" s="57">
        <v>0</v>
      </c>
      <c r="AK112" s="57">
        <v>0</v>
      </c>
      <c r="AL112" s="57">
        <v>0</v>
      </c>
      <c r="AM112" s="57">
        <v>0</v>
      </c>
      <c r="AN112" s="57">
        <v>0</v>
      </c>
      <c r="AO112" s="57">
        <v>0</v>
      </c>
      <c r="AP112" s="57">
        <v>0</v>
      </c>
      <c r="AQ112" s="57">
        <v>0</v>
      </c>
      <c r="AR112" s="57">
        <v>0</v>
      </c>
      <c r="AS112" s="57">
        <v>0</v>
      </c>
      <c r="AT112" s="57">
        <v>0</v>
      </c>
      <c r="AU112" s="57">
        <v>0</v>
      </c>
      <c r="AV112" s="57">
        <v>0</v>
      </c>
      <c r="AW112" s="57">
        <v>0</v>
      </c>
      <c r="AX112" s="57">
        <v>0</v>
      </c>
      <c r="AY112" s="57">
        <v>0</v>
      </c>
      <c r="AZ112" s="57">
        <v>0</v>
      </c>
      <c r="BA112" s="57">
        <v>0</v>
      </c>
      <c r="BB112" s="57">
        <v>0</v>
      </c>
      <c r="BC112" s="57">
        <v>0</v>
      </c>
      <c r="BD112" s="57">
        <v>0</v>
      </c>
      <c r="BE112" s="57">
        <v>0</v>
      </c>
      <c r="BF112" s="57">
        <v>0</v>
      </c>
      <c r="BG112" s="57">
        <v>0</v>
      </c>
      <c r="BH112" s="57">
        <v>0</v>
      </c>
      <c r="BI112" s="57">
        <v>0</v>
      </c>
      <c r="BJ112" s="57">
        <v>0</v>
      </c>
      <c r="BK112" s="57">
        <v>0</v>
      </c>
      <c r="BL112" s="57">
        <v>0</v>
      </c>
      <c r="BM112" s="57">
        <v>0</v>
      </c>
      <c r="BN112" s="57">
        <v>0</v>
      </c>
      <c r="BO112" s="57">
        <v>0</v>
      </c>
      <c r="BP112" s="57">
        <v>0</v>
      </c>
      <c r="BQ112" s="57">
        <v>0</v>
      </c>
      <c r="BR112" s="57">
        <v>0</v>
      </c>
      <c r="BS112" s="57">
        <v>0</v>
      </c>
      <c r="BT112" s="57">
        <v>0</v>
      </c>
      <c r="BU112" s="57">
        <v>0</v>
      </c>
      <c r="BV112" s="57">
        <v>0</v>
      </c>
      <c r="BW112" s="57">
        <v>0</v>
      </c>
    </row>
    <row r="113" spans="1:75" x14ac:dyDescent="0.3">
      <c r="A113" s="8" t="s">
        <v>100</v>
      </c>
      <c r="B113" s="8" t="s">
        <v>8</v>
      </c>
      <c r="C113" s="8" t="s">
        <v>109</v>
      </c>
      <c r="D113" s="57">
        <v>8.9760125337756597E-2</v>
      </c>
      <c r="E113" s="57">
        <v>6.8521307494271919E-3</v>
      </c>
      <c r="F113" s="57">
        <v>-8.2057961875166355E-3</v>
      </c>
      <c r="G113" s="57">
        <v>0.11791329018448793</v>
      </c>
      <c r="H113" s="57">
        <v>2.493436743434459E-2</v>
      </c>
      <c r="I113" s="57">
        <v>3.0103268908988922E-3</v>
      </c>
      <c r="J113" s="57">
        <v>5.582757603200904E-3</v>
      </c>
      <c r="K113" s="57">
        <v>-2.5954906131084674E-2</v>
      </c>
      <c r="L113" s="57">
        <v>-2.1983450660336398E-2</v>
      </c>
      <c r="M113" s="57">
        <v>2.4072145687437235E-2</v>
      </c>
      <c r="N113" s="57">
        <v>3.084308711459257E-3</v>
      </c>
      <c r="O113" s="57">
        <v>-2.6532169892077084E-2</v>
      </c>
      <c r="P113" s="57">
        <v>2.2525323443692184E-2</v>
      </c>
      <c r="Q113" s="57">
        <v>-1.6507920098930994E-2</v>
      </c>
      <c r="R113" s="57">
        <v>-2.5814641569450191E-2</v>
      </c>
      <c r="S113" s="57">
        <v>5.1854864225038835E-2</v>
      </c>
      <c r="T113" s="57">
        <v>1.4952460827536684E-2</v>
      </c>
      <c r="U113" s="57">
        <v>-8.2951336395682453E-3</v>
      </c>
      <c r="V113" s="57">
        <v>1.9833853700216359E-2</v>
      </c>
      <c r="W113" s="57">
        <v>-1.2671498235869862E-2</v>
      </c>
      <c r="X113" s="57">
        <v>-1.1357898688448893E-2</v>
      </c>
      <c r="Y113" s="57">
        <v>-6.4985558437942612E-2</v>
      </c>
      <c r="Z113" s="57">
        <v>-5.1801642640554056E-2</v>
      </c>
      <c r="AA113" s="57">
        <v>-7.1179742620822592E-2</v>
      </c>
      <c r="AB113" s="57">
        <v>6.8743599095891547E-2</v>
      </c>
      <c r="AC113" s="57">
        <v>1.0951880919011243E-2</v>
      </c>
      <c r="AD113" s="57">
        <v>-1.708575310621329E-2</v>
      </c>
      <c r="AE113" s="57">
        <v>3.2622519611019064E-2</v>
      </c>
      <c r="AF113" s="57">
        <v>-2.0118221205060034E-2</v>
      </c>
      <c r="AG113" s="57">
        <v>-1.7008980631623229E-2</v>
      </c>
      <c r="AH113" s="57">
        <v>-2.2522977743318255E-3</v>
      </c>
      <c r="AI113" s="57">
        <v>-7.6092618497436539E-3</v>
      </c>
      <c r="AJ113" s="57">
        <v>2.4122566112904621E-2</v>
      </c>
      <c r="AK113" s="57">
        <v>-3.8750402624038865E-2</v>
      </c>
      <c r="AL113" s="57">
        <v>-4.5917909513709838E-2</v>
      </c>
      <c r="AM113" s="57">
        <v>-4.1187226762345881E-2</v>
      </c>
      <c r="AN113" s="57">
        <v>2.2186835358931515E-2</v>
      </c>
      <c r="AO113" s="57">
        <v>-1.732127658136675E-2</v>
      </c>
      <c r="AP113" s="57">
        <v>8.2112816454084289E-3</v>
      </c>
      <c r="AQ113" s="57">
        <v>6.5671491588049316E-2</v>
      </c>
      <c r="AR113" s="57">
        <v>2.4264349940814521E-2</v>
      </c>
      <c r="AS113" s="57">
        <v>1.6512311729093912E-2</v>
      </c>
      <c r="AT113" s="57">
        <v>2.9307765092655119E-2</v>
      </c>
      <c r="AU113" s="57">
        <v>-7.8768520403038281E-3</v>
      </c>
      <c r="AV113" s="57">
        <v>-5.4223613813665628E-4</v>
      </c>
      <c r="AW113" s="57">
        <v>-3.0563161856380128E-2</v>
      </c>
      <c r="AX113" s="57">
        <v>-4.7123245146732266E-2</v>
      </c>
      <c r="AY113" s="57">
        <v>-5.6042388211001271E-2</v>
      </c>
      <c r="AZ113" s="57">
        <v>9.3622994199427155E-4</v>
      </c>
      <c r="BA113" s="57">
        <v>-2.528496228455631E-2</v>
      </c>
      <c r="BB113" s="57">
        <v>1.740927893001176E-3</v>
      </c>
      <c r="BC113" s="57">
        <v>3.2024890984134739E-2</v>
      </c>
      <c r="BD113" s="57">
        <v>1.444626907723354E-2</v>
      </c>
      <c r="BE113" s="57">
        <v>4.6484989823817038E-3</v>
      </c>
      <c r="BF113" s="57">
        <v>3.3065942480220531E-2</v>
      </c>
      <c r="BG113" s="57">
        <v>8.9839662910821944E-5</v>
      </c>
      <c r="BH113" s="57">
        <v>-2.4289250669670331E-2</v>
      </c>
      <c r="BI113" s="57">
        <v>3.0497865581092531E-2</v>
      </c>
      <c r="BJ113" s="57">
        <v>2.2847155699390033E-2</v>
      </c>
      <c r="BK113" s="57">
        <v>-7.014076004296892E-3</v>
      </c>
      <c r="BL113" s="57">
        <v>2.7237373772014187E-2</v>
      </c>
      <c r="BM113" s="57">
        <v>-1.4309617661705213E-2</v>
      </c>
      <c r="BN113" s="57">
        <v>-1.8788189015592049E-2</v>
      </c>
      <c r="BO113" s="57">
        <v>1.3211267100408888E-2</v>
      </c>
      <c r="BP113" s="57">
        <v>-1.0707146045499634E-2</v>
      </c>
      <c r="BQ113" s="57">
        <v>-2.3874236198213755E-2</v>
      </c>
      <c r="BR113" s="57">
        <v>8.8779565635615842E-2</v>
      </c>
      <c r="BS113" s="57">
        <v>5.1976846843740365E-4</v>
      </c>
      <c r="BT113" s="57">
        <v>-2.7422186176960235E-4</v>
      </c>
      <c r="BU113" s="57">
        <v>9.8588332477551416E-2</v>
      </c>
      <c r="BV113" s="57">
        <v>2.7155495293314846E-2</v>
      </c>
      <c r="BW113" s="57">
        <v>-1.102500346027499E-2</v>
      </c>
    </row>
    <row r="114" spans="1:75" x14ac:dyDescent="0.3">
      <c r="A114" s="8" t="s">
        <v>100</v>
      </c>
      <c r="B114" s="8" t="s">
        <v>8</v>
      </c>
      <c r="C114" s="8" t="s">
        <v>110</v>
      </c>
      <c r="D114" s="57">
        <v>3.8189885113072711E-2</v>
      </c>
      <c r="E114" s="57">
        <v>-2.2947778375458874E-2</v>
      </c>
      <c r="F114" s="57">
        <v>-5.869416949968366E-2</v>
      </c>
      <c r="G114" s="57">
        <v>6.1164446904784703E-2</v>
      </c>
      <c r="H114" s="57">
        <v>-1.3660287257234116E-2</v>
      </c>
      <c r="I114" s="57">
        <v>-6.0858797770434007E-2</v>
      </c>
      <c r="J114" s="57">
        <v>-9.6637746045256101E-3</v>
      </c>
      <c r="K114" s="57">
        <v>-5.9738937300967493E-2</v>
      </c>
      <c r="L114" s="57">
        <v>-8.373415846420898E-2</v>
      </c>
      <c r="M114" s="57">
        <v>-4.9428447597305025E-3</v>
      </c>
      <c r="N114" s="57">
        <v>-4.3494281078576211E-2</v>
      </c>
      <c r="O114" s="57">
        <v>-9.9777105138123476E-2</v>
      </c>
      <c r="P114" s="57">
        <v>1.8214672085642418E-2</v>
      </c>
      <c r="Q114" s="57">
        <v>-5.1811553579582198E-2</v>
      </c>
      <c r="R114" s="57">
        <v>-9.120692315138916E-2</v>
      </c>
      <c r="S114" s="57">
        <v>3.6045384032001825E-2</v>
      </c>
      <c r="T114" s="57">
        <v>-3.1311687974217586E-2</v>
      </c>
      <c r="U114" s="57">
        <v>-7.8701674423726303E-2</v>
      </c>
      <c r="V114" s="57">
        <v>6.0348945409455538E-3</v>
      </c>
      <c r="W114" s="57">
        <v>-5.3982584001075223E-2</v>
      </c>
      <c r="X114" s="57">
        <v>-8.1264048854013907E-2</v>
      </c>
      <c r="Y114" s="57">
        <v>-7.4813278695969723E-2</v>
      </c>
      <c r="Z114" s="57">
        <v>-6.5840846902821409E-2</v>
      </c>
      <c r="AA114" s="57">
        <v>-0.11131659342921063</v>
      </c>
      <c r="AB114" s="57">
        <v>4.358311561381234E-2</v>
      </c>
      <c r="AC114" s="57">
        <v>-2.057958193296967E-2</v>
      </c>
      <c r="AD114" s="57">
        <v>-9.667765051027713E-2</v>
      </c>
      <c r="AE114" s="57">
        <v>-3.7616979746143864E-2</v>
      </c>
      <c r="AF114" s="57">
        <v>-9.6844827982853515E-2</v>
      </c>
      <c r="AG114" s="57">
        <v>-0.10682646350593926</v>
      </c>
      <c r="AH114" s="57">
        <v>-1.3306226076290676E-2</v>
      </c>
      <c r="AI114" s="57">
        <v>-3.4255655840671473E-2</v>
      </c>
      <c r="AJ114" s="57">
        <v>-2.6645201967974187E-2</v>
      </c>
      <c r="AK114" s="57">
        <v>-3.3551427111456894E-2</v>
      </c>
      <c r="AL114" s="57">
        <v>-5.4963146139721031E-2</v>
      </c>
      <c r="AM114" s="57">
        <v>-6.5526827136720978E-2</v>
      </c>
      <c r="AN114" s="57">
        <v>2.402879420910127E-2</v>
      </c>
      <c r="AO114" s="57">
        <v>-4.7885843441391338E-2</v>
      </c>
      <c r="AP114" s="57">
        <v>-4.243512318606988E-2</v>
      </c>
      <c r="AQ114" s="57">
        <v>5.3339609713208433E-2</v>
      </c>
      <c r="AR114" s="57">
        <v>-1.9383232649328286E-2</v>
      </c>
      <c r="AS114" s="57">
        <v>-4.3526169122610786E-2</v>
      </c>
      <c r="AT114" s="57">
        <v>2.0280959393346593E-2</v>
      </c>
      <c r="AU114" s="57">
        <v>-4.5129808749640454E-2</v>
      </c>
      <c r="AV114" s="57">
        <v>-6.4253633471378177E-2</v>
      </c>
      <c r="AW114" s="57">
        <v>-2.8180801076258644E-2</v>
      </c>
      <c r="AX114" s="57">
        <v>-6.2198809490660985E-2</v>
      </c>
      <c r="AY114" s="57">
        <v>-9.008384708608512E-2</v>
      </c>
      <c r="AZ114" s="57">
        <v>-1.2171447811821529E-2</v>
      </c>
      <c r="BA114" s="57">
        <v>-5.977693402399388E-2</v>
      </c>
      <c r="BB114" s="57">
        <v>-5.5028892831800014E-2</v>
      </c>
      <c r="BC114" s="57">
        <v>-5.684325424175074E-4</v>
      </c>
      <c r="BD114" s="57">
        <v>-3.0458456464973086E-2</v>
      </c>
      <c r="BE114" s="57">
        <v>-6.5431365791528445E-2</v>
      </c>
      <c r="BF114" s="57">
        <v>2.5218162355945511E-2</v>
      </c>
      <c r="BG114" s="57">
        <v>-3.5371491018414414E-2</v>
      </c>
      <c r="BH114" s="57">
        <v>-9.8338536979902025E-2</v>
      </c>
      <c r="BI114" s="57">
        <v>-3.3879133017832297E-3</v>
      </c>
      <c r="BJ114" s="57">
        <v>-2.2218918593813187E-2</v>
      </c>
      <c r="BK114" s="57">
        <v>-8.3625440854937089E-2</v>
      </c>
      <c r="BL114" s="57">
        <v>3.6390657854734831E-2</v>
      </c>
      <c r="BM114" s="57">
        <v>-4.0016616467414237E-2</v>
      </c>
      <c r="BN114" s="57">
        <v>-7.8233368328574124E-2</v>
      </c>
      <c r="BO114" s="57">
        <v>-1.3371381822569806E-2</v>
      </c>
      <c r="BP114" s="57">
        <v>-5.5237066782112765E-2</v>
      </c>
      <c r="BQ114" s="57">
        <v>-9.9166908162490061E-2</v>
      </c>
      <c r="BR114" s="57">
        <v>4.9250399150898558E-2</v>
      </c>
      <c r="BS114" s="57">
        <v>-1.2940397109830193E-2</v>
      </c>
      <c r="BT114" s="57">
        <v>-4.6567790792292355E-2</v>
      </c>
      <c r="BU114" s="57">
        <v>6.3862330320608646E-2</v>
      </c>
      <c r="BV114" s="57">
        <v>-9.5592243345207981E-3</v>
      </c>
      <c r="BW114" s="57">
        <v>-7.9964499604286213E-2</v>
      </c>
    </row>
    <row r="115" spans="1:75" x14ac:dyDescent="0.3">
      <c r="A115" s="8" t="s">
        <v>100</v>
      </c>
      <c r="B115" s="8" t="s">
        <v>8</v>
      </c>
      <c r="C115" s="8" t="s">
        <v>111</v>
      </c>
      <c r="D115" s="57">
        <v>-0.12003066845600277</v>
      </c>
      <c r="E115" s="57">
        <v>-0.12338876993908356</v>
      </c>
      <c r="F115" s="57">
        <v>-0.14760605234305899</v>
      </c>
      <c r="G115" s="57">
        <v>-0.14557521190053788</v>
      </c>
      <c r="H115" s="57">
        <v>-0.15020086053467432</v>
      </c>
      <c r="I115" s="57">
        <v>-0.1430637396590142</v>
      </c>
      <c r="J115" s="57">
        <v>-0.11114368308378134</v>
      </c>
      <c r="K115" s="57">
        <v>-0.12047213687383876</v>
      </c>
      <c r="L115" s="57">
        <v>-0.14289032657376244</v>
      </c>
      <c r="M115" s="57">
        <v>-0.16641468168901832</v>
      </c>
      <c r="N115" s="57">
        <v>-0.16133731781125984</v>
      </c>
      <c r="O115" s="57">
        <v>-0.15905570261049892</v>
      </c>
      <c r="P115" s="57">
        <v>-0.11114478156143769</v>
      </c>
      <c r="Q115" s="57">
        <v>-0.12001629092040597</v>
      </c>
      <c r="R115" s="57">
        <v>-0.15100060080970262</v>
      </c>
      <c r="S115" s="57">
        <v>-0.1450112567236323</v>
      </c>
      <c r="T115" s="57">
        <v>-0.15056698884481359</v>
      </c>
      <c r="U115" s="57">
        <v>-0.14724038110896379</v>
      </c>
      <c r="V115" s="57">
        <v>-0.15127869886886641</v>
      </c>
      <c r="W115" s="57">
        <v>-0.15754492417660618</v>
      </c>
      <c r="X115" s="57">
        <v>-0.14223388540141238</v>
      </c>
      <c r="Y115" s="57">
        <v>-0.15722710285914027</v>
      </c>
      <c r="Z115" s="57">
        <v>-0.15043394456370349</v>
      </c>
      <c r="AA115" s="57">
        <v>-0.14642072642899776</v>
      </c>
      <c r="AB115" s="57">
        <v>-0.14841107603896952</v>
      </c>
      <c r="AC115" s="57">
        <v>-0.15771262286687879</v>
      </c>
      <c r="AD115" s="57">
        <v>-0.14389170432010778</v>
      </c>
      <c r="AE115" s="57">
        <v>-0.15345118976962813</v>
      </c>
      <c r="AF115" s="57">
        <v>-0.15888588174799695</v>
      </c>
      <c r="AG115" s="57">
        <v>-0.14473149480119721</v>
      </c>
      <c r="AH115" s="57">
        <v>-0.11265940994241998</v>
      </c>
      <c r="AI115" s="57">
        <v>-0.11136721106427187</v>
      </c>
      <c r="AJ115" s="57">
        <v>-0.11552765916371464</v>
      </c>
      <c r="AK115" s="57">
        <v>-0.16652644503877775</v>
      </c>
      <c r="AL115" s="57">
        <v>-0.15982192483848923</v>
      </c>
      <c r="AM115" s="57">
        <v>-0.1419563606052314</v>
      </c>
      <c r="AN115" s="57">
        <v>-0.10167956305675799</v>
      </c>
      <c r="AO115" s="57">
        <v>-0.11611445169272747</v>
      </c>
      <c r="AP115" s="57">
        <v>-0.12754773213106929</v>
      </c>
      <c r="AQ115" s="57">
        <v>-0.13693422885045586</v>
      </c>
      <c r="AR115" s="57">
        <v>-0.1473745306108358</v>
      </c>
      <c r="AS115" s="57">
        <v>-0.13545542929705029</v>
      </c>
      <c r="AT115" s="57">
        <v>-0.14731344085578157</v>
      </c>
      <c r="AU115" s="57">
        <v>-0.15662063535821755</v>
      </c>
      <c r="AV115" s="57">
        <v>-0.13819903331477815</v>
      </c>
      <c r="AW115" s="57">
        <v>-0.13944053565518683</v>
      </c>
      <c r="AX115" s="57">
        <v>-0.14951626096775905</v>
      </c>
      <c r="AY115" s="57">
        <v>-0.13907733543366582</v>
      </c>
      <c r="AZ115" s="57">
        <v>-0.12154970042062305</v>
      </c>
      <c r="BA115" s="57">
        <v>-0.12498650005204068</v>
      </c>
      <c r="BB115" s="57">
        <v>-0.13600331900338983</v>
      </c>
      <c r="BC115" s="57">
        <v>-0.14883398352930666</v>
      </c>
      <c r="BD115" s="57">
        <v>-0.14708885470026359</v>
      </c>
      <c r="BE115" s="57">
        <v>-0.13774247802139289</v>
      </c>
      <c r="BF115" s="57">
        <v>-0.10090447396888087</v>
      </c>
      <c r="BG115" s="57">
        <v>-0.10666742085701673</v>
      </c>
      <c r="BH115" s="57">
        <v>-0.14415225002863408</v>
      </c>
      <c r="BI115" s="57">
        <v>-0.14912835613739034</v>
      </c>
      <c r="BJ115" s="57">
        <v>-0.14056622346749151</v>
      </c>
      <c r="BK115" s="57">
        <v>-0.14219100234211121</v>
      </c>
      <c r="BL115" s="57">
        <v>-0.11647949249258001</v>
      </c>
      <c r="BM115" s="57">
        <v>-0.12387957111886021</v>
      </c>
      <c r="BN115" s="57">
        <v>-0.14964607510257613</v>
      </c>
      <c r="BO115" s="57">
        <v>-0.16691219849657074</v>
      </c>
      <c r="BP115" s="57">
        <v>-0.1669291224049769</v>
      </c>
      <c r="BQ115" s="57">
        <v>-0.15571198963123212</v>
      </c>
      <c r="BR115" s="57">
        <v>-0.11845239758005822</v>
      </c>
      <c r="BS115" s="57">
        <v>-0.12162998385919131</v>
      </c>
      <c r="BT115" s="57">
        <v>-0.14441780506839111</v>
      </c>
      <c r="BU115" s="57">
        <v>-0.14403078834841215</v>
      </c>
      <c r="BV115" s="57">
        <v>-0.14977268219564355</v>
      </c>
      <c r="BW115" s="57">
        <v>-0.15025548709761</v>
      </c>
    </row>
    <row r="116" spans="1:75" x14ac:dyDescent="0.3">
      <c r="A116" s="8" t="s">
        <v>100</v>
      </c>
      <c r="B116" s="8" t="s">
        <v>8</v>
      </c>
      <c r="C116" s="8" t="s">
        <v>112</v>
      </c>
      <c r="D116" s="57">
        <v>-0.4416074850622928</v>
      </c>
      <c r="E116" s="57">
        <v>-0.41353414242332354</v>
      </c>
      <c r="F116" s="57">
        <v>-0.36523693439044896</v>
      </c>
      <c r="G116" s="57">
        <v>-0.41489497633264794</v>
      </c>
      <c r="H116" s="57">
        <v>-0.38256045173960435</v>
      </c>
      <c r="I116" s="57">
        <v>-0.3338668097245942</v>
      </c>
      <c r="J116" s="57">
        <v>-0.41370138019930142</v>
      </c>
      <c r="K116" s="57">
        <v>-0.39850383807766881</v>
      </c>
      <c r="L116" s="57">
        <v>-0.35309129598975242</v>
      </c>
      <c r="M116" s="57">
        <v>-0.42582789594592835</v>
      </c>
      <c r="N116" s="57">
        <v>-0.39355850868285985</v>
      </c>
      <c r="O116" s="57">
        <v>-0.35166526123743891</v>
      </c>
      <c r="P116" s="57">
        <v>-0.40459719358945767</v>
      </c>
      <c r="Q116" s="57">
        <v>-0.389714835212156</v>
      </c>
      <c r="R116" s="57">
        <v>-0.3566197907696626</v>
      </c>
      <c r="S116" s="57">
        <v>-0.39573438689303236</v>
      </c>
      <c r="T116" s="57">
        <v>-0.37208764868158362</v>
      </c>
      <c r="U116" s="57">
        <v>-0.33459072706936382</v>
      </c>
      <c r="V116" s="57">
        <v>-0.42458293605526648</v>
      </c>
      <c r="W116" s="57">
        <v>-0.4086759711179262</v>
      </c>
      <c r="X116" s="57">
        <v>-0.33324819808102241</v>
      </c>
      <c r="Y116" s="57">
        <v>-0.39337449266047025</v>
      </c>
      <c r="Z116" s="57">
        <v>-0.35807086569905355</v>
      </c>
      <c r="AA116" s="57">
        <v>-0.32384995375805781</v>
      </c>
      <c r="AB116" s="57">
        <v>-0.42130011222537955</v>
      </c>
      <c r="AC116" s="57">
        <v>-0.4084940268608388</v>
      </c>
      <c r="AD116" s="57">
        <v>-0.33345645561378778</v>
      </c>
      <c r="AE116" s="57">
        <v>-0.37991055623785813</v>
      </c>
      <c r="AF116" s="57">
        <v>-0.36051331472559695</v>
      </c>
      <c r="AG116" s="57">
        <v>-0.31848218695490726</v>
      </c>
      <c r="AH116" s="57">
        <v>-0.41153128765451996</v>
      </c>
      <c r="AI116" s="57">
        <v>-0.38295965465422194</v>
      </c>
      <c r="AJ116" s="57">
        <v>-0.31778153575533469</v>
      </c>
      <c r="AK116" s="57">
        <v>-0.40696424517333779</v>
      </c>
      <c r="AL116" s="57">
        <v>-0.37720514313149928</v>
      </c>
      <c r="AM116" s="57">
        <v>-0.32496530663591139</v>
      </c>
      <c r="AN116" s="57">
        <v>-0.40648808664590796</v>
      </c>
      <c r="AO116" s="57">
        <v>-0.39429183745795748</v>
      </c>
      <c r="AP116" s="57">
        <v>-0.33804007066985925</v>
      </c>
      <c r="AQ116" s="57">
        <v>-0.38553764865148582</v>
      </c>
      <c r="AR116" s="57">
        <v>-0.37297435816680585</v>
      </c>
      <c r="AS116" s="57">
        <v>-0.32479436952056034</v>
      </c>
      <c r="AT116" s="57">
        <v>-0.42251886156845159</v>
      </c>
      <c r="AU116" s="57">
        <v>-0.41102230070296758</v>
      </c>
      <c r="AV116" s="57">
        <v>-0.33243297480132811</v>
      </c>
      <c r="AW116" s="57">
        <v>-0.37528927210564689</v>
      </c>
      <c r="AX116" s="57">
        <v>-0.36142902398019905</v>
      </c>
      <c r="AY116" s="57">
        <v>-0.31739523858726582</v>
      </c>
      <c r="AZ116" s="57">
        <v>-0.41358897220306307</v>
      </c>
      <c r="BA116" s="57">
        <v>-0.39495456078238067</v>
      </c>
      <c r="BB116" s="57">
        <v>-0.33976503080549986</v>
      </c>
      <c r="BC116" s="57">
        <v>-0.38603030217271672</v>
      </c>
      <c r="BD116" s="57">
        <v>-0.35901618616884357</v>
      </c>
      <c r="BE116" s="57">
        <v>-0.31898864085913287</v>
      </c>
      <c r="BF116" s="57">
        <v>-0.38404241904978093</v>
      </c>
      <c r="BG116" s="57">
        <v>-0.36577469753498681</v>
      </c>
      <c r="BH116" s="57">
        <v>-0.33683465093627413</v>
      </c>
      <c r="BI116" s="57">
        <v>-0.38528303016679033</v>
      </c>
      <c r="BJ116" s="57">
        <v>-0.34772966977829151</v>
      </c>
      <c r="BK116" s="57">
        <v>-0.32017383100449121</v>
      </c>
      <c r="BL116" s="57">
        <v>-0.42645981801143007</v>
      </c>
      <c r="BM116" s="57">
        <v>-0.40394357195422026</v>
      </c>
      <c r="BN116" s="57">
        <v>-0.36005828713259613</v>
      </c>
      <c r="BO116" s="57">
        <v>-0.4220932762448108</v>
      </c>
      <c r="BP116" s="57">
        <v>-0.39391295329424691</v>
      </c>
      <c r="BQ116" s="57">
        <v>-0.34409669597757214</v>
      </c>
      <c r="BR116" s="57">
        <v>-0.44287734736171824</v>
      </c>
      <c r="BS116" s="57">
        <v>-0.41338517074690134</v>
      </c>
      <c r="BT116" s="57">
        <v>-0.36392073372977113</v>
      </c>
      <c r="BU116" s="57">
        <v>-0.41065538839462218</v>
      </c>
      <c r="BV116" s="57">
        <v>-0.38364739283913346</v>
      </c>
      <c r="BW116" s="57">
        <v>-0.34105127293512005</v>
      </c>
    </row>
    <row r="117" spans="1:75" x14ac:dyDescent="0.3">
      <c r="A117" s="8" t="s">
        <v>100</v>
      </c>
      <c r="B117" s="8" t="s">
        <v>8</v>
      </c>
      <c r="C117" s="8" t="s">
        <v>115</v>
      </c>
      <c r="D117" s="57">
        <v>-9.2921373444784822E-2</v>
      </c>
      <c r="E117" s="57">
        <v>-0.10864346433533095</v>
      </c>
      <c r="F117" s="57">
        <v>-0.11060746107754726</v>
      </c>
      <c r="G117" s="57">
        <v>-6.6872850486054722E-2</v>
      </c>
      <c r="H117" s="57">
        <v>-8.4909183716923742E-2</v>
      </c>
      <c r="I117" s="57">
        <v>-9.6880514475563881E-2</v>
      </c>
      <c r="J117" s="57">
        <v>-0.10971409864003907</v>
      </c>
      <c r="K117" s="57">
        <v>-0.11611427340714756</v>
      </c>
      <c r="L117" s="57">
        <v>-0.11361433392222625</v>
      </c>
      <c r="M117" s="57">
        <v>-9.7520756441467765E-2</v>
      </c>
      <c r="N117" s="57">
        <v>-9.6193081546626744E-2</v>
      </c>
      <c r="O117" s="57">
        <v>-0.11288965130100188</v>
      </c>
      <c r="P117" s="57">
        <v>-9.8120048824801437E-2</v>
      </c>
      <c r="Q117" s="57">
        <v>-0.10940295491039603</v>
      </c>
      <c r="R117" s="57">
        <v>-0.11520825281641157</v>
      </c>
      <c r="S117" s="57">
        <v>-7.7875468754111762E-2</v>
      </c>
      <c r="T117" s="57">
        <v>-9.0858773244350918E-2</v>
      </c>
      <c r="U117" s="57">
        <v>-0.10144240537855749</v>
      </c>
      <c r="V117" s="57">
        <v>-9.9673684266622348E-2</v>
      </c>
      <c r="W117" s="57">
        <v>-0.10816659515388917</v>
      </c>
      <c r="X117" s="57">
        <v>-0.10307866265077531</v>
      </c>
      <c r="Y117" s="57">
        <v>-0.11694056582647978</v>
      </c>
      <c r="Z117" s="57">
        <v>-0.11443303440399763</v>
      </c>
      <c r="AA117" s="57">
        <v>-0.11627581164065179</v>
      </c>
      <c r="AB117" s="57">
        <v>-8.2439933207227811E-2</v>
      </c>
      <c r="AC117" s="57">
        <v>-9.7782509186560812E-2</v>
      </c>
      <c r="AD117" s="57">
        <v>-9.6720508209168055E-2</v>
      </c>
      <c r="AE117" s="57">
        <v>-8.4986898030948735E-2</v>
      </c>
      <c r="AF117" s="57">
        <v>-9.6680402847468649E-2</v>
      </c>
      <c r="AG117" s="57">
        <v>-9.2046226997081815E-2</v>
      </c>
      <c r="AH117" s="57">
        <v>-0.11080979658385333</v>
      </c>
      <c r="AI117" s="57">
        <v>-0.11096505447710651</v>
      </c>
      <c r="AJ117" s="57">
        <v>-8.6693432679283575E-2</v>
      </c>
      <c r="AK117" s="57">
        <v>-0.10828934132582814</v>
      </c>
      <c r="AL117" s="57">
        <v>-0.10963861213064156</v>
      </c>
      <c r="AM117" s="57">
        <v>-0.10415788567421905</v>
      </c>
      <c r="AN117" s="57">
        <v>-0.10017281058082814</v>
      </c>
      <c r="AO117" s="57">
        <v>-0.1116900146164406</v>
      </c>
      <c r="AP117" s="57">
        <v>-9.805884227140714E-2</v>
      </c>
      <c r="AQ117" s="57">
        <v>-6.9906902216336164E-2</v>
      </c>
      <c r="AR117" s="57">
        <v>-8.270468609748835E-2</v>
      </c>
      <c r="AS117" s="57">
        <v>-8.9322700340913122E-2</v>
      </c>
      <c r="AT117" s="57">
        <v>-9.5476253567693486E-2</v>
      </c>
      <c r="AU117" s="57">
        <v>-0.1069138628975216</v>
      </c>
      <c r="AV117" s="57">
        <v>-9.868288265388124E-2</v>
      </c>
      <c r="AW117" s="57">
        <v>-9.8968936353422077E-2</v>
      </c>
      <c r="AX117" s="57">
        <v>-0.10592948525248064</v>
      </c>
      <c r="AY117" s="57">
        <v>-0.10875783171835612</v>
      </c>
      <c r="AZ117" s="57">
        <v>-0.10878728251057131</v>
      </c>
      <c r="BA117" s="57">
        <v>-0.11910820335749286</v>
      </c>
      <c r="BB117" s="57">
        <v>-0.10021071392034388</v>
      </c>
      <c r="BC117" s="57">
        <v>-8.3056590803275515E-2</v>
      </c>
      <c r="BD117" s="57">
        <v>-9.8659431265397599E-2</v>
      </c>
      <c r="BE117" s="57">
        <v>-9.2422445411791398E-2</v>
      </c>
      <c r="BF117" s="57">
        <v>-8.8757239212612735E-2</v>
      </c>
      <c r="BG117" s="57">
        <v>-9.8647085136482154E-2</v>
      </c>
      <c r="BH117" s="57">
        <v>-0.10953263983261469</v>
      </c>
      <c r="BI117" s="57">
        <v>-8.3455567891606408E-2</v>
      </c>
      <c r="BJ117" s="57">
        <v>-9.2765633065405653E-2</v>
      </c>
      <c r="BK117" s="57">
        <v>-9.7241116015416545E-2</v>
      </c>
      <c r="BL117" s="57">
        <v>-0.10191539042274662</v>
      </c>
      <c r="BM117" s="57">
        <v>-0.11407704734817317</v>
      </c>
      <c r="BN117" s="57">
        <v>-0.11337240020017592</v>
      </c>
      <c r="BO117" s="57">
        <v>-9.9607442289006143E-2</v>
      </c>
      <c r="BP117" s="57">
        <v>-0.11570887217424206</v>
      </c>
      <c r="BQ117" s="57">
        <v>-0.10991560328603196</v>
      </c>
      <c r="BR117" s="57">
        <v>-9.2346049357107829E-2</v>
      </c>
      <c r="BS117" s="57">
        <v>-0.10889609444375242</v>
      </c>
      <c r="BT117" s="57">
        <v>-0.10719921833837925</v>
      </c>
      <c r="BU117" s="57">
        <v>-6.944256012227186E-2</v>
      </c>
      <c r="BV117" s="57">
        <v>-8.4328853406624313E-2</v>
      </c>
      <c r="BW117" s="57">
        <v>-0.10415951193254001</v>
      </c>
    </row>
    <row r="118" spans="1:75" x14ac:dyDescent="0.3">
      <c r="A118" s="8" t="s">
        <v>100</v>
      </c>
      <c r="B118" s="8" t="s">
        <v>8</v>
      </c>
      <c r="C118" s="8" t="s">
        <v>116</v>
      </c>
      <c r="D118" s="57">
        <v>-0.33573410728886693</v>
      </c>
      <c r="E118" s="57">
        <v>-0.32333389289486592</v>
      </c>
      <c r="F118" s="57">
        <v>-0.2680344869069784</v>
      </c>
      <c r="G118" s="57">
        <v>-0.27375257925934771</v>
      </c>
      <c r="H118" s="57">
        <v>-0.25888916503227788</v>
      </c>
      <c r="I118" s="57">
        <v>-0.23326484966503042</v>
      </c>
      <c r="J118" s="57">
        <v>-0.33278032603885638</v>
      </c>
      <c r="K118" s="57">
        <v>-0.31912301750463778</v>
      </c>
      <c r="L118" s="57">
        <v>-0.2636736858318911</v>
      </c>
      <c r="M118" s="57">
        <v>-0.29465017428616086</v>
      </c>
      <c r="N118" s="57">
        <v>-0.27003528364330176</v>
      </c>
      <c r="O118" s="57">
        <v>-0.25078111870708347</v>
      </c>
      <c r="P118" s="57">
        <v>-0.31531613164442784</v>
      </c>
      <c r="Q118" s="57">
        <v>-0.30638588161286012</v>
      </c>
      <c r="R118" s="57">
        <v>-0.26241599948194316</v>
      </c>
      <c r="S118" s="57">
        <v>-0.26747873859110988</v>
      </c>
      <c r="T118" s="57">
        <v>-0.25494298559086381</v>
      </c>
      <c r="U118" s="57">
        <v>-0.23488346229073845</v>
      </c>
      <c r="V118" s="57">
        <v>-0.30581869181987903</v>
      </c>
      <c r="W118" s="57">
        <v>-0.29544714802254274</v>
      </c>
      <c r="X118" s="57">
        <v>-0.23858533594561634</v>
      </c>
      <c r="Y118" s="57">
        <v>-0.29033529357249038</v>
      </c>
      <c r="Z118" s="57">
        <v>-0.26335831216249589</v>
      </c>
      <c r="AA118" s="57">
        <v>-0.23907768884104671</v>
      </c>
      <c r="AB118" s="57">
        <v>-0.29039287058777458</v>
      </c>
      <c r="AC118" s="57">
        <v>-0.28635362814784648</v>
      </c>
      <c r="AD118" s="57">
        <v>-0.23221815834981294</v>
      </c>
      <c r="AE118" s="57">
        <v>-0.25451186948305721</v>
      </c>
      <c r="AF118" s="57">
        <v>-0.24451415081382782</v>
      </c>
      <c r="AG118" s="57">
        <v>-0.2151549527532996</v>
      </c>
      <c r="AH118" s="57">
        <v>-0.33085873638989322</v>
      </c>
      <c r="AI118" s="57">
        <v>-0.30799906296535379</v>
      </c>
      <c r="AJ118" s="57">
        <v>-0.23004502066065921</v>
      </c>
      <c r="AK118" s="57">
        <v>-0.28796221128093857</v>
      </c>
      <c r="AL118" s="57">
        <v>-0.26883637003883432</v>
      </c>
      <c r="AM118" s="57">
        <v>-0.23277084752522489</v>
      </c>
      <c r="AN118" s="57">
        <v>-0.32513166102315005</v>
      </c>
      <c r="AO118" s="57">
        <v>-0.31483049542454006</v>
      </c>
      <c r="AP118" s="57">
        <v>-0.24839363010063098</v>
      </c>
      <c r="AQ118" s="57">
        <v>-0.25772243061660055</v>
      </c>
      <c r="AR118" s="57">
        <v>-0.25094216151769405</v>
      </c>
      <c r="AS118" s="57">
        <v>-0.22447586687112414</v>
      </c>
      <c r="AT118" s="57">
        <v>-0.30324493325649515</v>
      </c>
      <c r="AU118" s="57">
        <v>-0.2969769848047385</v>
      </c>
      <c r="AV118" s="57">
        <v>-0.23693438492391827</v>
      </c>
      <c r="AW118" s="57">
        <v>-0.27214183456799973</v>
      </c>
      <c r="AX118" s="57">
        <v>-0.25956602498445441</v>
      </c>
      <c r="AY118" s="57">
        <v>-0.23232857633973258</v>
      </c>
      <c r="AZ118" s="57">
        <v>-0.32476303661526107</v>
      </c>
      <c r="BA118" s="57">
        <v>-0.31560611290060198</v>
      </c>
      <c r="BB118" s="57">
        <v>-0.24586617811742137</v>
      </c>
      <c r="BC118" s="57">
        <v>-0.26115155172131566</v>
      </c>
      <c r="BD118" s="57">
        <v>-0.25303454322222646</v>
      </c>
      <c r="BE118" s="57">
        <v>-0.22069045781762858</v>
      </c>
      <c r="BF118" s="57">
        <v>-0.29720174995794785</v>
      </c>
      <c r="BG118" s="57">
        <v>-0.28638978814686589</v>
      </c>
      <c r="BH118" s="57">
        <v>-0.24575301640625963</v>
      </c>
      <c r="BI118" s="57">
        <v>-0.26066432085304397</v>
      </c>
      <c r="BJ118" s="57">
        <v>-0.24306517318545848</v>
      </c>
      <c r="BK118" s="57">
        <v>-0.22272639148940973</v>
      </c>
      <c r="BL118" s="57">
        <v>-0.33315499205968907</v>
      </c>
      <c r="BM118" s="57">
        <v>-0.31960091232618426</v>
      </c>
      <c r="BN118" s="57">
        <v>-0.26465794291776695</v>
      </c>
      <c r="BO118" s="57">
        <v>-0.29296162783831281</v>
      </c>
      <c r="BP118" s="57">
        <v>-0.28308553980917073</v>
      </c>
      <c r="BQ118" s="57">
        <v>-0.24422085154153902</v>
      </c>
      <c r="BR118" s="57">
        <v>-0.33738856676522339</v>
      </c>
      <c r="BS118" s="57">
        <v>-0.32463015546936869</v>
      </c>
      <c r="BT118" s="57">
        <v>-0.26622373958631995</v>
      </c>
      <c r="BU118" s="57">
        <v>-0.2734527815376685</v>
      </c>
      <c r="BV118" s="57">
        <v>-0.2595978644770367</v>
      </c>
      <c r="BW118" s="57">
        <v>-0.24052467208579109</v>
      </c>
    </row>
    <row r="119" spans="1:75" x14ac:dyDescent="0.3">
      <c r="A119" s="8" t="s">
        <v>100</v>
      </c>
      <c r="B119" s="8" t="s">
        <v>8</v>
      </c>
      <c r="C119" s="8" t="s">
        <v>117</v>
      </c>
      <c r="D119" s="57">
        <v>-0.31385108226704189</v>
      </c>
      <c r="E119" s="57">
        <v>-0.30066348956260913</v>
      </c>
      <c r="F119" s="57">
        <v>-0.24862533343285273</v>
      </c>
      <c r="G119" s="57">
        <v>-0.25777539019462303</v>
      </c>
      <c r="H119" s="57">
        <v>-0.2420989099825539</v>
      </c>
      <c r="I119" s="57">
        <v>-0.21515741403958147</v>
      </c>
      <c r="J119" s="57">
        <v>-0.30860103166729458</v>
      </c>
      <c r="K119" s="57">
        <v>-0.29558692240553786</v>
      </c>
      <c r="L119" s="57">
        <v>-0.24359841410538788</v>
      </c>
      <c r="M119" s="57">
        <v>-0.27783366375010293</v>
      </c>
      <c r="N119" s="57">
        <v>-0.25323226168588497</v>
      </c>
      <c r="O119" s="57">
        <v>-0.23264615871479122</v>
      </c>
      <c r="P119" s="57">
        <v>-0.29242642760340554</v>
      </c>
      <c r="Q119" s="57">
        <v>-0.28359437886683597</v>
      </c>
      <c r="R119" s="57">
        <v>-0.24305781728184428</v>
      </c>
      <c r="S119" s="57">
        <v>-0.25061055838564195</v>
      </c>
      <c r="T119" s="57">
        <v>-0.23774922629609901</v>
      </c>
      <c r="U119" s="57">
        <v>-0.21678682635005911</v>
      </c>
      <c r="V119" s="57">
        <v>-0.28707484703458336</v>
      </c>
      <c r="W119" s="57">
        <v>-0.27679739453993846</v>
      </c>
      <c r="X119" s="57">
        <v>-0.21977208232525705</v>
      </c>
      <c r="Y119" s="57">
        <v>-0.27099041313573741</v>
      </c>
      <c r="Z119" s="57">
        <v>-0.24399216144796135</v>
      </c>
      <c r="AA119" s="57">
        <v>-0.21955747707232329</v>
      </c>
      <c r="AB119" s="57">
        <v>-0.27309157006828572</v>
      </c>
      <c r="AC119" s="57">
        <v>-0.26876404803025034</v>
      </c>
      <c r="AD119" s="57">
        <v>-0.21422721008528298</v>
      </c>
      <c r="AE119" s="57">
        <v>-0.23812316485023613</v>
      </c>
      <c r="AF119" s="57">
        <v>-0.22785430680420074</v>
      </c>
      <c r="AG119" s="57">
        <v>-0.19794132678865803</v>
      </c>
      <c r="AH119" s="57">
        <v>-0.30677409947271989</v>
      </c>
      <c r="AI119" s="57">
        <v>-0.28415938657278533</v>
      </c>
      <c r="AJ119" s="57">
        <v>-0.21003910221493635</v>
      </c>
      <c r="AK119" s="57">
        <v>-0.27035109593602552</v>
      </c>
      <c r="AL119" s="57">
        <v>-0.25074922676257594</v>
      </c>
      <c r="AM119" s="57">
        <v>-0.21393628150360217</v>
      </c>
      <c r="AN119" s="57">
        <v>-0.30092792879089808</v>
      </c>
      <c r="AO119" s="57">
        <v>-0.29129897647837988</v>
      </c>
      <c r="AP119" s="57">
        <v>-0.22833548567890019</v>
      </c>
      <c r="AQ119" s="57">
        <v>-0.24087368585428362</v>
      </c>
      <c r="AR119" s="57">
        <v>-0.23418629128965768</v>
      </c>
      <c r="AS119" s="57">
        <v>-0.20638429776354494</v>
      </c>
      <c r="AT119" s="57">
        <v>-0.28449714597512299</v>
      </c>
      <c r="AU119" s="57">
        <v>-0.27831335254588307</v>
      </c>
      <c r="AV119" s="57">
        <v>-0.21811122939734295</v>
      </c>
      <c r="AW119" s="57">
        <v>-0.25281972683459825</v>
      </c>
      <c r="AX119" s="57">
        <v>-0.24089737737009023</v>
      </c>
      <c r="AY119" s="57">
        <v>-0.2128131280947835</v>
      </c>
      <c r="AZ119" s="57">
        <v>-0.3018672888093743</v>
      </c>
      <c r="BA119" s="57">
        <v>-0.29233725598819482</v>
      </c>
      <c r="BB119" s="57">
        <v>-0.22653455702855299</v>
      </c>
      <c r="BC119" s="57">
        <v>-0.24434077215615582</v>
      </c>
      <c r="BD119" s="57">
        <v>-0.23484995225901908</v>
      </c>
      <c r="BE119" s="57">
        <v>-0.20263323018090681</v>
      </c>
      <c r="BF119" s="57">
        <v>-0.27437164564670469</v>
      </c>
      <c r="BG119" s="57">
        <v>-0.26349028919494832</v>
      </c>
      <c r="BH119" s="57">
        <v>-0.22646237169860953</v>
      </c>
      <c r="BI119" s="57">
        <v>-0.24385796147720243</v>
      </c>
      <c r="BJ119" s="57">
        <v>-0.2248857544212271</v>
      </c>
      <c r="BK119" s="57">
        <v>-0.20467876828404516</v>
      </c>
      <c r="BL119" s="57">
        <v>-0.31018311190211739</v>
      </c>
      <c r="BM119" s="57">
        <v>-0.29658025040560493</v>
      </c>
      <c r="BN119" s="57">
        <v>-0.24527942166472094</v>
      </c>
      <c r="BO119" s="57">
        <v>-0.2760466594912373</v>
      </c>
      <c r="BP119" s="57">
        <v>-0.26496493867668325</v>
      </c>
      <c r="BQ119" s="57">
        <v>-0.2261092800853971</v>
      </c>
      <c r="BR119" s="57">
        <v>-0.31536455944778047</v>
      </c>
      <c r="BS119" s="57">
        <v>-0.30173561316965963</v>
      </c>
      <c r="BT119" s="57">
        <v>-0.24680984213558729</v>
      </c>
      <c r="BU119" s="57">
        <v>-0.2571026815024795</v>
      </c>
      <c r="BV119" s="57">
        <v>-0.24280118006103155</v>
      </c>
      <c r="BW119" s="57">
        <v>-0.22240861551890498</v>
      </c>
    </row>
    <row r="120" spans="1:75" x14ac:dyDescent="0.3">
      <c r="A120" s="8" t="s">
        <v>100</v>
      </c>
      <c r="B120" s="8" t="s">
        <v>8</v>
      </c>
      <c r="C120" s="8" t="s">
        <v>118</v>
      </c>
      <c r="D120" s="57">
        <v>-0.35217800310561714</v>
      </c>
      <c r="E120" s="57">
        <v>-0.33452468542082348</v>
      </c>
      <c r="F120" s="57">
        <v>-0.28360881372013158</v>
      </c>
      <c r="G120" s="57">
        <v>-0.30491126603603053</v>
      </c>
      <c r="H120" s="57">
        <v>-0.28423737250966913</v>
      </c>
      <c r="I120" s="57">
        <v>-0.2507702327450852</v>
      </c>
      <c r="J120" s="57">
        <v>-0.34013113622689684</v>
      </c>
      <c r="K120" s="57">
        <v>-0.3264619971071771</v>
      </c>
      <c r="L120" s="57">
        <v>-0.27644627867069721</v>
      </c>
      <c r="M120" s="57">
        <v>-0.32223193340885059</v>
      </c>
      <c r="N120" s="57">
        <v>-0.29533013578497747</v>
      </c>
      <c r="O120" s="57">
        <v>-0.26835188947158545</v>
      </c>
      <c r="P120" s="57">
        <v>-0.32607765739922118</v>
      </c>
      <c r="Q120" s="57">
        <v>-0.31543051577043207</v>
      </c>
      <c r="R120" s="57">
        <v>-0.27712640932819005</v>
      </c>
      <c r="S120" s="57">
        <v>-0.29414770693785908</v>
      </c>
      <c r="T120" s="57">
        <v>-0.27805075301174442</v>
      </c>
      <c r="U120" s="57">
        <v>-0.25212799656585044</v>
      </c>
      <c r="V120" s="57">
        <v>-0.32832727374078829</v>
      </c>
      <c r="W120" s="57">
        <v>-0.31636096751333465</v>
      </c>
      <c r="X120" s="57">
        <v>-0.25381491705198672</v>
      </c>
      <c r="Y120" s="57">
        <v>-0.30770563699315728</v>
      </c>
      <c r="Z120" s="57">
        <v>-0.27821577272328907</v>
      </c>
      <c r="AA120" s="57">
        <v>-0.25084522007804366</v>
      </c>
      <c r="AB120" s="57">
        <v>-0.31755413271541399</v>
      </c>
      <c r="AC120" s="57">
        <v>-0.31068304167942695</v>
      </c>
      <c r="AD120" s="57">
        <v>-0.24999598374383447</v>
      </c>
      <c r="AE120" s="57">
        <v>-0.28065938226652271</v>
      </c>
      <c r="AF120" s="57">
        <v>-0.2676520091806196</v>
      </c>
      <c r="AG120" s="57">
        <v>-0.23410358483853269</v>
      </c>
      <c r="AH120" s="57">
        <v>-0.33820125592726019</v>
      </c>
      <c r="AI120" s="57">
        <v>-0.31379946699721645</v>
      </c>
      <c r="AJ120" s="57">
        <v>-0.24236183227705591</v>
      </c>
      <c r="AK120" s="57">
        <v>-0.31133504070721918</v>
      </c>
      <c r="AL120" s="57">
        <v>-0.28868600167325303</v>
      </c>
      <c r="AM120" s="57">
        <v>-0.24724498904329492</v>
      </c>
      <c r="AN120" s="57">
        <v>-0.33259597614740105</v>
      </c>
      <c r="AO120" s="57">
        <v>-0.32219683477225314</v>
      </c>
      <c r="AP120" s="57">
        <v>-0.26124686117618789</v>
      </c>
      <c r="AQ120" s="57">
        <v>-0.28427287469344431</v>
      </c>
      <c r="AR120" s="57">
        <v>-0.27582271135280217</v>
      </c>
      <c r="AS120" s="57">
        <v>-0.2419073192906496</v>
      </c>
      <c r="AT120" s="57">
        <v>-0.3259036606531216</v>
      </c>
      <c r="AU120" s="57">
        <v>-0.31812603699300851</v>
      </c>
      <c r="AV120" s="57">
        <v>-0.25240775301853852</v>
      </c>
      <c r="AW120" s="57">
        <v>-0.28956059041591287</v>
      </c>
      <c r="AX120" s="57">
        <v>-0.2770568713531229</v>
      </c>
      <c r="AY120" s="57">
        <v>-0.24418776124252822</v>
      </c>
      <c r="AZ120" s="57">
        <v>-0.33538379382748074</v>
      </c>
      <c r="BA120" s="57">
        <v>-0.32312244742645058</v>
      </c>
      <c r="BB120" s="57">
        <v>-0.2605036991616369</v>
      </c>
      <c r="BC120" s="57">
        <v>-0.28684763116112411</v>
      </c>
      <c r="BD120" s="57">
        <v>-0.27209982243196645</v>
      </c>
      <c r="BE120" s="57">
        <v>-0.23753985338437456</v>
      </c>
      <c r="BF120" s="57">
        <v>-0.30727287766762768</v>
      </c>
      <c r="BG120" s="57">
        <v>-0.29417561169695983</v>
      </c>
      <c r="BH120" s="57">
        <v>-0.25957405546990897</v>
      </c>
      <c r="BI120" s="57">
        <v>-0.28628548208407872</v>
      </c>
      <c r="BJ120" s="57">
        <v>-0.26173892902834645</v>
      </c>
      <c r="BK120" s="57">
        <v>-0.23932728710017906</v>
      </c>
      <c r="BL120" s="57">
        <v>-0.34506612373491152</v>
      </c>
      <c r="BM120" s="57">
        <v>-0.32878924687018957</v>
      </c>
      <c r="BN120" s="57">
        <v>-0.27971308130508349</v>
      </c>
      <c r="BO120" s="57">
        <v>-0.31986064451730933</v>
      </c>
      <c r="BP120" s="57">
        <v>-0.30364934306195235</v>
      </c>
      <c r="BQ120" s="57">
        <v>-0.26150550485304941</v>
      </c>
      <c r="BR120" s="57">
        <v>-0.35361839582196186</v>
      </c>
      <c r="BS120" s="57">
        <v>-0.33523048044283221</v>
      </c>
      <c r="BT120" s="57">
        <v>-0.28194310961384234</v>
      </c>
      <c r="BU120" s="57">
        <v>-0.30316849357012232</v>
      </c>
      <c r="BV120" s="57">
        <v>-0.28505504389446229</v>
      </c>
      <c r="BW120" s="57">
        <v>-0.25800141274376959</v>
      </c>
    </row>
    <row r="121" spans="1:75" x14ac:dyDescent="0.3">
      <c r="A121" s="8" t="s">
        <v>100</v>
      </c>
      <c r="B121" s="8" t="s">
        <v>9</v>
      </c>
      <c r="C121" s="8" t="s">
        <v>108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v>0</v>
      </c>
      <c r="Q121" s="57">
        <v>0</v>
      </c>
      <c r="R121" s="57">
        <v>0</v>
      </c>
      <c r="S121" s="57">
        <v>0</v>
      </c>
      <c r="T121" s="57">
        <v>0</v>
      </c>
      <c r="U121" s="57">
        <v>0</v>
      </c>
      <c r="V121" s="57">
        <v>0</v>
      </c>
      <c r="W121" s="57">
        <v>0</v>
      </c>
      <c r="X121" s="57">
        <v>0</v>
      </c>
      <c r="Y121" s="57">
        <v>0</v>
      </c>
      <c r="Z121" s="57">
        <v>0</v>
      </c>
      <c r="AA121" s="57">
        <v>0</v>
      </c>
      <c r="AB121" s="57">
        <v>0</v>
      </c>
      <c r="AC121" s="57">
        <v>0</v>
      </c>
      <c r="AD121" s="57">
        <v>0</v>
      </c>
      <c r="AE121" s="57">
        <v>0</v>
      </c>
      <c r="AF121" s="57">
        <v>0</v>
      </c>
      <c r="AG121" s="57">
        <v>0</v>
      </c>
      <c r="AH121" s="57">
        <v>0</v>
      </c>
      <c r="AI121" s="57">
        <v>0</v>
      </c>
      <c r="AJ121" s="57">
        <v>0</v>
      </c>
      <c r="AK121" s="57">
        <v>0</v>
      </c>
      <c r="AL121" s="57">
        <v>0</v>
      </c>
      <c r="AM121" s="57">
        <v>0</v>
      </c>
      <c r="AN121" s="57">
        <v>0</v>
      </c>
      <c r="AO121" s="57">
        <v>0</v>
      </c>
      <c r="AP121" s="57">
        <v>0</v>
      </c>
      <c r="AQ121" s="57">
        <v>0</v>
      </c>
      <c r="AR121" s="57">
        <v>0</v>
      </c>
      <c r="AS121" s="57">
        <v>0</v>
      </c>
      <c r="AT121" s="57">
        <v>0</v>
      </c>
      <c r="AU121" s="57">
        <v>0</v>
      </c>
      <c r="AV121" s="57">
        <v>0</v>
      </c>
      <c r="AW121" s="57">
        <v>0</v>
      </c>
      <c r="AX121" s="57">
        <v>0</v>
      </c>
      <c r="AY121" s="57">
        <v>0</v>
      </c>
      <c r="AZ121" s="57">
        <v>0</v>
      </c>
      <c r="BA121" s="57">
        <v>0</v>
      </c>
      <c r="BB121" s="57">
        <v>0</v>
      </c>
      <c r="BC121" s="57">
        <v>0</v>
      </c>
      <c r="BD121" s="57">
        <v>0</v>
      </c>
      <c r="BE121" s="57">
        <v>0</v>
      </c>
      <c r="BF121" s="57">
        <v>0</v>
      </c>
      <c r="BG121" s="57">
        <v>0</v>
      </c>
      <c r="BH121" s="57">
        <v>0</v>
      </c>
      <c r="BI121" s="57">
        <v>0</v>
      </c>
      <c r="BJ121" s="57">
        <v>0</v>
      </c>
      <c r="BK121" s="57">
        <v>0</v>
      </c>
      <c r="BL121" s="57">
        <v>0</v>
      </c>
      <c r="BM121" s="57">
        <v>0</v>
      </c>
      <c r="BN121" s="57">
        <v>0</v>
      </c>
      <c r="BO121" s="57">
        <v>0</v>
      </c>
      <c r="BP121" s="57">
        <v>0</v>
      </c>
      <c r="BQ121" s="57">
        <v>0</v>
      </c>
      <c r="BR121" s="57">
        <v>0</v>
      </c>
      <c r="BS121" s="57">
        <v>0</v>
      </c>
      <c r="BT121" s="57">
        <v>0</v>
      </c>
      <c r="BU121" s="57">
        <v>0</v>
      </c>
      <c r="BV121" s="57">
        <v>0</v>
      </c>
      <c r="BW121" s="57">
        <v>0</v>
      </c>
    </row>
    <row r="122" spans="1:75" x14ac:dyDescent="0.3">
      <c r="A122" s="8" t="s">
        <v>100</v>
      </c>
      <c r="B122" s="8" t="s">
        <v>9</v>
      </c>
      <c r="C122" s="8" t="s">
        <v>109</v>
      </c>
      <c r="D122" s="57">
        <v>8.513165008278871E-2</v>
      </c>
      <c r="E122" s="57">
        <v>1.0554949610335689E-2</v>
      </c>
      <c r="F122" s="57">
        <v>-7.3710260705834099E-3</v>
      </c>
      <c r="G122" s="57">
        <v>-1.7539557830336547E-2</v>
      </c>
      <c r="H122" s="57">
        <v>-5.4936985215735784E-2</v>
      </c>
      <c r="I122" s="57">
        <v>-4.2640258126121072E-2</v>
      </c>
      <c r="J122" s="57">
        <v>3.7984546581980957E-2</v>
      </c>
      <c r="K122" s="57">
        <v>-2.9926724624139964E-2</v>
      </c>
      <c r="L122" s="57">
        <v>-2.3240105306468271E-2</v>
      </c>
      <c r="M122" s="57">
        <v>5.6473934666217349E-2</v>
      </c>
      <c r="N122" s="57">
        <v>-1.0430796866708468E-2</v>
      </c>
      <c r="O122" s="57">
        <v>-6.6063940434828291E-3</v>
      </c>
      <c r="P122" s="57">
        <v>3.0078588104569572E-3</v>
      </c>
      <c r="Q122" s="57">
        <v>-2.529918331322871E-2</v>
      </c>
      <c r="R122" s="57">
        <v>-2.5814641569450469E-2</v>
      </c>
      <c r="S122" s="57">
        <v>1.7599127373933494E-2</v>
      </c>
      <c r="T122" s="57">
        <v>-3.7717650977738847E-3</v>
      </c>
      <c r="U122" s="57">
        <v>-1.0805069123439129E-2</v>
      </c>
      <c r="V122" s="57">
        <v>1.9833853700216411E-2</v>
      </c>
      <c r="W122" s="57">
        <v>-1.267149823586977E-2</v>
      </c>
      <c r="X122" s="57">
        <v>8.142601422268185E-3</v>
      </c>
      <c r="Y122" s="57">
        <v>-4.5040038724680966E-2</v>
      </c>
      <c r="Z122" s="57">
        <v>-6.3039892260648031E-2</v>
      </c>
      <c r="AA122" s="57">
        <v>-5.7682304875696998E-2</v>
      </c>
      <c r="AB122" s="57">
        <v>-5.7485931872247195E-2</v>
      </c>
      <c r="AC122" s="57">
        <v>-7.0110231077876478E-2</v>
      </c>
      <c r="AD122" s="57">
        <v>-4.483822611808988E-2</v>
      </c>
      <c r="AE122" s="57">
        <v>-5.9242442822905195E-2</v>
      </c>
      <c r="AF122" s="57">
        <v>-5.1898030435351156E-2</v>
      </c>
      <c r="AG122" s="57">
        <v>-5.4759599400573671E-2</v>
      </c>
      <c r="AH122" s="57">
        <v>-7.6630504625039139E-3</v>
      </c>
      <c r="AI122" s="57">
        <v>-1.8233375559231577E-2</v>
      </c>
      <c r="AJ122" s="57">
        <v>-3.8661010877431312E-3</v>
      </c>
      <c r="AK122" s="57">
        <v>3.6776823182412745E-2</v>
      </c>
      <c r="AL122" s="57">
        <v>2.4395955271425865E-2</v>
      </c>
      <c r="AM122" s="57">
        <v>7.2326958182992685E-3</v>
      </c>
      <c r="AN122" s="57">
        <v>-2.8988045984848943E-4</v>
      </c>
      <c r="AO122" s="57">
        <v>-2.3729523094854675E-2</v>
      </c>
      <c r="AP122" s="57">
        <v>8.2112816454084619E-3</v>
      </c>
      <c r="AQ122" s="57">
        <v>5.4024441384285166E-2</v>
      </c>
      <c r="AR122" s="57">
        <v>2.385916579291799E-2</v>
      </c>
      <c r="AS122" s="57">
        <v>8.5341038437892029E-3</v>
      </c>
      <c r="AT122" s="57">
        <v>4.256646173651301E-2</v>
      </c>
      <c r="AU122" s="57">
        <v>1.6302599246760384E-2</v>
      </c>
      <c r="AV122" s="57">
        <v>7.4359717471680032E-3</v>
      </c>
      <c r="AW122" s="57">
        <v>-3.956808862662654E-3</v>
      </c>
      <c r="AX122" s="57">
        <v>-2.592224467856304E-2</v>
      </c>
      <c r="AY122" s="57">
        <v>-4.8064180325696634E-2</v>
      </c>
      <c r="AZ122" s="57">
        <v>6.4649681555980386E-3</v>
      </c>
      <c r="BA122" s="57">
        <v>-2.5284962284556269E-2</v>
      </c>
      <c r="BB122" s="57">
        <v>6.3225561572102839E-3</v>
      </c>
      <c r="BC122" s="57">
        <v>5.1383654115159209E-2</v>
      </c>
      <c r="BD122" s="57">
        <v>1.444626907723354E-2</v>
      </c>
      <c r="BE122" s="57">
        <v>4.6484989823816951E-3</v>
      </c>
      <c r="BF122" s="57">
        <v>4.9574513390413626E-2</v>
      </c>
      <c r="BG122" s="57">
        <v>8.9839662910813623E-5</v>
      </c>
      <c r="BH122" s="57">
        <v>-8.9864551922540451E-3</v>
      </c>
      <c r="BI122" s="57">
        <v>5.0282811817651679E-2</v>
      </c>
      <c r="BJ122" s="57">
        <v>7.7823845161986028E-3</v>
      </c>
      <c r="BK122" s="57">
        <v>-1.3546871386229951E-4</v>
      </c>
      <c r="BL122" s="57">
        <v>2.7237373772014187E-2</v>
      </c>
      <c r="BM122" s="57">
        <v>-4.6606373343145071E-3</v>
      </c>
      <c r="BN122" s="57">
        <v>-1.878818901559199E-2</v>
      </c>
      <c r="BO122" s="57">
        <v>1.3211267100408888E-2</v>
      </c>
      <c r="BP122" s="57">
        <v>-1.0707146045499617E-2</v>
      </c>
      <c r="BQ122" s="57">
        <v>-7.1413329724071646E-3</v>
      </c>
      <c r="BR122" s="57">
        <v>4.9827594309451231E-2</v>
      </c>
      <c r="BS122" s="57">
        <v>-1.9425751244824197E-2</v>
      </c>
      <c r="BT122" s="57">
        <v>-6.2391825531607509E-3</v>
      </c>
      <c r="BU122" s="57">
        <v>-2.149060257946658E-2</v>
      </c>
      <c r="BV122" s="57">
        <v>-4.9716189294498787E-2</v>
      </c>
      <c r="BW122" s="57">
        <v>-4.4027112912560534E-2</v>
      </c>
    </row>
    <row r="123" spans="1:75" x14ac:dyDescent="0.3">
      <c r="A123" s="8" t="s">
        <v>100</v>
      </c>
      <c r="B123" s="8" t="s">
        <v>9</v>
      </c>
      <c r="C123" s="8" t="s">
        <v>110</v>
      </c>
      <c r="D123" s="57">
        <v>4.1198394028801696E-2</v>
      </c>
      <c r="E123" s="57">
        <v>-2.5354610635049082E-2</v>
      </c>
      <c r="F123" s="57">
        <v>-5.7558140580525899E-2</v>
      </c>
      <c r="G123" s="57">
        <v>7.5421314477539247E-3</v>
      </c>
      <c r="H123" s="57">
        <v>-5.9294484891088767E-2</v>
      </c>
      <c r="I123" s="57">
        <v>-6.3622567386440218E-2</v>
      </c>
      <c r="J123" s="57">
        <v>-3.0724937440732673E-2</v>
      </c>
      <c r="K123" s="57">
        <v>-6.0709742191042144E-2</v>
      </c>
      <c r="L123" s="57">
        <v>-8.5444325120203377E-2</v>
      </c>
      <c r="M123" s="57">
        <v>-2.6004007595937462E-2</v>
      </c>
      <c r="N123" s="57">
        <v>-5.5702878061647171E-2</v>
      </c>
      <c r="O123" s="57">
        <v>-7.2660349109746558E-2</v>
      </c>
      <c r="P123" s="57">
        <v>-8.3464179704442337E-3</v>
      </c>
      <c r="Q123" s="57">
        <v>-5.9752963207105617E-2</v>
      </c>
      <c r="R123" s="57">
        <v>-9.1206923151389202E-2</v>
      </c>
      <c r="S123" s="57">
        <v>-3.829225825619606E-3</v>
      </c>
      <c r="T123" s="57">
        <v>-4.8225838353579777E-2</v>
      </c>
      <c r="U123" s="57">
        <v>-8.2117416359210008E-2</v>
      </c>
      <c r="V123" s="57">
        <v>6.0348945409455105E-3</v>
      </c>
      <c r="W123" s="57">
        <v>-5.3982584001075223E-2</v>
      </c>
      <c r="X123" s="57">
        <v>-5.4726045618824715E-2</v>
      </c>
      <c r="Y123" s="57">
        <v>-4.5164533176256461E-2</v>
      </c>
      <c r="Z123" s="57">
        <v>-7.7737396774463743E-2</v>
      </c>
      <c r="AA123" s="57">
        <v>-9.1946039656387063E-2</v>
      </c>
      <c r="AB123" s="57">
        <v>-4.4280065544178529E-2</v>
      </c>
      <c r="AC123" s="57">
        <v>-6.4980309301960637E-2</v>
      </c>
      <c r="AD123" s="57">
        <v>-6.7495104985263454E-2</v>
      </c>
      <c r="AE123" s="57">
        <v>-7.1387675903223397E-2</v>
      </c>
      <c r="AF123" s="57">
        <v>-6.6851699766951142E-2</v>
      </c>
      <c r="AG123" s="57">
        <v>-9.0586687592341272E-2</v>
      </c>
      <c r="AH123" s="57">
        <v>-2.1349236828978897E-2</v>
      </c>
      <c r="AI123" s="57">
        <v>-5.1308329986406546E-2</v>
      </c>
      <c r="AJ123" s="57">
        <v>-6.4734652828325204E-2</v>
      </c>
      <c r="AK123" s="57">
        <v>8.2054761143495452E-3</v>
      </c>
      <c r="AL123" s="57">
        <v>-2.2215906306961488E-2</v>
      </c>
      <c r="AM123" s="57">
        <v>-6.0659936814140364E-2</v>
      </c>
      <c r="AN123" s="57">
        <v>-7.2569082184722813E-3</v>
      </c>
      <c r="AO123" s="57">
        <v>-5.513152679713143E-2</v>
      </c>
      <c r="AP123" s="57">
        <v>-4.2435123186069824E-2</v>
      </c>
      <c r="AQ123" s="57">
        <v>3.4984154593218464E-2</v>
      </c>
      <c r="AR123" s="57">
        <v>-1.9461466542702793E-2</v>
      </c>
      <c r="AS123" s="57">
        <v>-5.5385667330496199E-2</v>
      </c>
      <c r="AT123" s="57">
        <v>4.082968536271761E-2</v>
      </c>
      <c r="AU123" s="57">
        <v>-9.7191551165351706E-3</v>
      </c>
      <c r="AV123" s="57">
        <v>-5.2394135263492875E-2</v>
      </c>
      <c r="AW123" s="57">
        <v>1.464481028087816E-2</v>
      </c>
      <c r="AX123" s="57">
        <v>-2.4181178129717568E-2</v>
      </c>
      <c r="AY123" s="57">
        <v>-7.8224348878199845E-2</v>
      </c>
      <c r="AZ123" s="57">
        <v>-1.2341613457792985E-3</v>
      </c>
      <c r="BA123" s="57">
        <v>-5.9776934023993845E-2</v>
      </c>
      <c r="BB123" s="57">
        <v>-4.8793808346392686E-2</v>
      </c>
      <c r="BC123" s="57">
        <v>3.2333468434174333E-2</v>
      </c>
      <c r="BD123" s="57">
        <v>-3.0458456464973062E-2</v>
      </c>
      <c r="BE123" s="57">
        <v>-6.5431365791528445E-2</v>
      </c>
      <c r="BF123" s="57">
        <v>3.7556729702266728E-2</v>
      </c>
      <c r="BG123" s="57">
        <v>-3.5371491018414448E-2</v>
      </c>
      <c r="BH123" s="57">
        <v>-7.751314103716278E-2</v>
      </c>
      <c r="BI123" s="57">
        <v>3.5751871644453315E-2</v>
      </c>
      <c r="BJ123" s="57">
        <v>-4.2720390049778817E-2</v>
      </c>
      <c r="BK123" s="57">
        <v>-7.4264424394296355E-2</v>
      </c>
      <c r="BL123" s="57">
        <v>3.6390657854734831E-2</v>
      </c>
      <c r="BM123" s="57">
        <v>-2.0928416254532584E-2</v>
      </c>
      <c r="BN123" s="57">
        <v>-7.8233368328574096E-2</v>
      </c>
      <c r="BO123" s="57">
        <v>-1.3371381822569806E-2</v>
      </c>
      <c r="BP123" s="57">
        <v>-5.5237066782112765E-2</v>
      </c>
      <c r="BQ123" s="57">
        <v>-7.6395295259264084E-2</v>
      </c>
      <c r="BR123" s="57">
        <v>3.1955847179572519E-2</v>
      </c>
      <c r="BS123" s="57">
        <v>-4.2589142629543358E-2</v>
      </c>
      <c r="BT123" s="57">
        <v>-5.5687484367374904E-2</v>
      </c>
      <c r="BU123" s="57">
        <v>2.4697144100374602E-4</v>
      </c>
      <c r="BV123" s="57">
        <v>-4.9259296019108639E-2</v>
      </c>
      <c r="BW123" s="57">
        <v>-6.5515106298759923E-2</v>
      </c>
    </row>
    <row r="124" spans="1:75" x14ac:dyDescent="0.3">
      <c r="A124" s="8" t="s">
        <v>100</v>
      </c>
      <c r="B124" s="8" t="s">
        <v>9</v>
      </c>
      <c r="C124" s="8" t="s">
        <v>111</v>
      </c>
      <c r="D124" s="57">
        <v>-0.11933639716775758</v>
      </c>
      <c r="E124" s="57">
        <v>-0.12394419276821976</v>
      </c>
      <c r="F124" s="57">
        <v>-0.14717811035220668</v>
      </c>
      <c r="G124" s="57">
        <v>-0.10025728469831421</v>
      </c>
      <c r="H124" s="57">
        <v>-0.1030395215271023</v>
      </c>
      <c r="I124" s="57">
        <v>-0.13256831470475361</v>
      </c>
      <c r="J124" s="57">
        <v>-0.11600395143059834</v>
      </c>
      <c r="K124" s="57">
        <v>-0.11060594819759442</v>
      </c>
      <c r="L124" s="57">
        <v>-0.14353454619802869</v>
      </c>
      <c r="M124" s="57">
        <v>-0.17127495003583532</v>
      </c>
      <c r="N124" s="57">
        <v>-0.16882796708981471</v>
      </c>
      <c r="O124" s="57">
        <v>-0.14884082307306415</v>
      </c>
      <c r="P124" s="57">
        <v>-0.12115034177748848</v>
      </c>
      <c r="Q124" s="57">
        <v>-0.12488878481791141</v>
      </c>
      <c r="R124" s="57">
        <v>-0.15100060080970248</v>
      </c>
      <c r="S124" s="57">
        <v>-0.16318539746000646</v>
      </c>
      <c r="T124" s="57">
        <v>-0.160944755308251</v>
      </c>
      <c r="U124" s="57">
        <v>-0.14852709078638307</v>
      </c>
      <c r="V124" s="57">
        <v>-0.15127869886886641</v>
      </c>
      <c r="W124" s="57">
        <v>-0.15754492417660626</v>
      </c>
      <c r="X124" s="57">
        <v>-0.1322370219887006</v>
      </c>
      <c r="Y124" s="57">
        <v>-0.16773893081612953</v>
      </c>
      <c r="Z124" s="57">
        <v>-0.16470768978815939</v>
      </c>
      <c r="AA124" s="57">
        <v>-0.14779604366144722</v>
      </c>
      <c r="AB124" s="57">
        <v>-0.12240936953549186</v>
      </c>
      <c r="AC124" s="57">
        <v>-0.11962480983135361</v>
      </c>
      <c r="AD124" s="57">
        <v>-0.13311441855721232</v>
      </c>
      <c r="AE124" s="57">
        <v>-0.17047680192627862</v>
      </c>
      <c r="AF124" s="57">
        <v>-0.15617786291417335</v>
      </c>
      <c r="AG124" s="57">
        <v>-0.14457277728267465</v>
      </c>
      <c r="AH124" s="57">
        <v>-0.10980779703919412</v>
      </c>
      <c r="AI124" s="57">
        <v>-0.11101413122978836</v>
      </c>
      <c r="AJ124" s="57">
        <v>-0.12987595184954948</v>
      </c>
      <c r="AK124" s="57">
        <v>-0.14791792890974551</v>
      </c>
      <c r="AL124" s="57">
        <v>-0.14371194177819921</v>
      </c>
      <c r="AM124" s="57">
        <v>-0.13724430899232817</v>
      </c>
      <c r="AN124" s="57">
        <v>-0.10742923482747485</v>
      </c>
      <c r="AO124" s="57">
        <v>-0.10722827371442524</v>
      </c>
      <c r="AP124" s="57">
        <v>-0.12754773213106929</v>
      </c>
      <c r="AQ124" s="57">
        <v>-0.12216821942376124</v>
      </c>
      <c r="AR124" s="57">
        <v>-0.1271161719873723</v>
      </c>
      <c r="AS124" s="57">
        <v>-0.1312506981142546</v>
      </c>
      <c r="AT124" s="57">
        <v>-0.16125324535236027</v>
      </c>
      <c r="AU124" s="57">
        <v>-0.16496195305127717</v>
      </c>
      <c r="AV124" s="57">
        <v>-0.14240376449757383</v>
      </c>
      <c r="AW124" s="57">
        <v>-0.14691154841892445</v>
      </c>
      <c r="AX124" s="57">
        <v>-0.14768449988446447</v>
      </c>
      <c r="AY124" s="57">
        <v>-0.14328206661646151</v>
      </c>
      <c r="AZ124" s="57">
        <v>-0.1190257112361518</v>
      </c>
      <c r="BA124" s="57">
        <v>-0.12498650005204072</v>
      </c>
      <c r="BB124" s="57">
        <v>-0.13365456324302108</v>
      </c>
      <c r="BC124" s="57">
        <v>-0.13950585253470857</v>
      </c>
      <c r="BD124" s="57">
        <v>-0.14708885470026362</v>
      </c>
      <c r="BE124" s="57">
        <v>-0.13774247802139289</v>
      </c>
      <c r="BF124" s="57">
        <v>-9.8057112273575942E-2</v>
      </c>
      <c r="BG124" s="57">
        <v>-0.10666742085701671</v>
      </c>
      <c r="BH124" s="57">
        <v>-0.13630732526507278</v>
      </c>
      <c r="BI124" s="57">
        <v>-0.14009609807287424</v>
      </c>
      <c r="BJ124" s="57">
        <v>-0.14828912590625279</v>
      </c>
      <c r="BK124" s="57">
        <v>-0.13866470829007474</v>
      </c>
      <c r="BL124" s="57">
        <v>-0.11647949249258001</v>
      </c>
      <c r="BM124" s="57">
        <v>-0.11947460183896445</v>
      </c>
      <c r="BN124" s="57">
        <v>-0.14964607510257613</v>
      </c>
      <c r="BO124" s="57">
        <v>-0.16691219849657074</v>
      </c>
      <c r="BP124" s="57">
        <v>-0.16692912240497687</v>
      </c>
      <c r="BQ124" s="57">
        <v>-0.14713392511510306</v>
      </c>
      <c r="BR124" s="57">
        <v>-0.10508960188113346</v>
      </c>
      <c r="BS124" s="57">
        <v>-0.11111815590220206</v>
      </c>
      <c r="BT124" s="57">
        <v>-0.13918098972881429</v>
      </c>
      <c r="BU124" s="57">
        <v>-0.10101894808985948</v>
      </c>
      <c r="BV124" s="57">
        <v>-0.10124192950747149</v>
      </c>
      <c r="BW124" s="57">
        <v>-0.13327586523138502</v>
      </c>
    </row>
    <row r="125" spans="1:75" x14ac:dyDescent="0.3">
      <c r="A125" s="8" t="s">
        <v>100</v>
      </c>
      <c r="B125" s="8" t="s">
        <v>9</v>
      </c>
      <c r="C125" s="8" t="s">
        <v>112</v>
      </c>
      <c r="D125" s="57">
        <v>-0.44091321377404757</v>
      </c>
      <c r="E125" s="57">
        <v>-0.41408956525245977</v>
      </c>
      <c r="F125" s="57">
        <v>-0.36480899239959663</v>
      </c>
      <c r="G125" s="57">
        <v>-0.36957704913042427</v>
      </c>
      <c r="H125" s="57">
        <v>-0.33539911273203232</v>
      </c>
      <c r="I125" s="57">
        <v>-0.32337138477033367</v>
      </c>
      <c r="J125" s="57">
        <v>-0.41856164854611844</v>
      </c>
      <c r="K125" s="57">
        <v>-0.38863764940142442</v>
      </c>
      <c r="L125" s="57">
        <v>-0.35373551561401873</v>
      </c>
      <c r="M125" s="57">
        <v>-0.43068816429274531</v>
      </c>
      <c r="N125" s="57">
        <v>-0.40104915796141472</v>
      </c>
      <c r="O125" s="57">
        <v>-0.34145038170000414</v>
      </c>
      <c r="P125" s="57">
        <v>-0.41460275380550848</v>
      </c>
      <c r="Q125" s="57">
        <v>-0.39458732910966143</v>
      </c>
      <c r="R125" s="57">
        <v>-0.35661979076966249</v>
      </c>
      <c r="S125" s="57">
        <v>-0.4139085276294065</v>
      </c>
      <c r="T125" s="57">
        <v>-0.38246541514502108</v>
      </c>
      <c r="U125" s="57">
        <v>-0.33587743674678311</v>
      </c>
      <c r="V125" s="57">
        <v>-0.42458293605526648</v>
      </c>
      <c r="W125" s="57">
        <v>-0.40867597111792631</v>
      </c>
      <c r="X125" s="57">
        <v>-0.32325133466831063</v>
      </c>
      <c r="Y125" s="57">
        <v>-0.40388632061745955</v>
      </c>
      <c r="Z125" s="57">
        <v>-0.3723446109235094</v>
      </c>
      <c r="AA125" s="57">
        <v>-0.32522527099050724</v>
      </c>
      <c r="AB125" s="57">
        <v>-0.39529840572190189</v>
      </c>
      <c r="AC125" s="57">
        <v>-0.37040621382531363</v>
      </c>
      <c r="AD125" s="57">
        <v>-0.32267916985089229</v>
      </c>
      <c r="AE125" s="57">
        <v>-0.39693616839450863</v>
      </c>
      <c r="AF125" s="57">
        <v>-0.3578052958917734</v>
      </c>
      <c r="AG125" s="57">
        <v>-0.31832346943638473</v>
      </c>
      <c r="AH125" s="57">
        <v>-0.40867967475129413</v>
      </c>
      <c r="AI125" s="57">
        <v>-0.38260657481973842</v>
      </c>
      <c r="AJ125" s="57">
        <v>-0.33212982844116951</v>
      </c>
      <c r="AK125" s="57">
        <v>-0.38835572904430549</v>
      </c>
      <c r="AL125" s="57">
        <v>-0.36109516007120929</v>
      </c>
      <c r="AM125" s="57">
        <v>-0.32025325502300822</v>
      </c>
      <c r="AN125" s="57">
        <v>-0.41223775841662486</v>
      </c>
      <c r="AO125" s="57">
        <v>-0.38540565947965527</v>
      </c>
      <c r="AP125" s="57">
        <v>-0.33804007066985925</v>
      </c>
      <c r="AQ125" s="57">
        <v>-0.37077163922479128</v>
      </c>
      <c r="AR125" s="57">
        <v>-0.35271599954334237</v>
      </c>
      <c r="AS125" s="57">
        <v>-0.3205896383377646</v>
      </c>
      <c r="AT125" s="57">
        <v>-0.4364586660650302</v>
      </c>
      <c r="AU125" s="57">
        <v>-0.41936361839602726</v>
      </c>
      <c r="AV125" s="57">
        <v>-0.33663770598412385</v>
      </c>
      <c r="AW125" s="57">
        <v>-0.38276028486938446</v>
      </c>
      <c r="AX125" s="57">
        <v>-0.35959726289690447</v>
      </c>
      <c r="AY125" s="57">
        <v>-0.3215999697700615</v>
      </c>
      <c r="AZ125" s="57">
        <v>-0.41106498301859179</v>
      </c>
      <c r="BA125" s="57">
        <v>-0.39495456078238073</v>
      </c>
      <c r="BB125" s="57">
        <v>-0.33741627504513111</v>
      </c>
      <c r="BC125" s="57">
        <v>-0.37670217117811866</v>
      </c>
      <c r="BD125" s="57">
        <v>-0.35901618616884368</v>
      </c>
      <c r="BE125" s="57">
        <v>-0.31898864085913287</v>
      </c>
      <c r="BF125" s="57">
        <v>-0.38119505735447601</v>
      </c>
      <c r="BG125" s="57">
        <v>-0.3657746975349867</v>
      </c>
      <c r="BH125" s="57">
        <v>-0.32898972617271277</v>
      </c>
      <c r="BI125" s="57">
        <v>-0.37625077210227426</v>
      </c>
      <c r="BJ125" s="57">
        <v>-0.35545257221705273</v>
      </c>
      <c r="BK125" s="57">
        <v>-0.31664753695245473</v>
      </c>
      <c r="BL125" s="57">
        <v>-0.42645981801143007</v>
      </c>
      <c r="BM125" s="57">
        <v>-0.39953860267432451</v>
      </c>
      <c r="BN125" s="57">
        <v>-0.36005828713259613</v>
      </c>
      <c r="BO125" s="57">
        <v>-0.4220932762448108</v>
      </c>
      <c r="BP125" s="57">
        <v>-0.39391295329424691</v>
      </c>
      <c r="BQ125" s="57">
        <v>-0.33551863146144306</v>
      </c>
      <c r="BR125" s="57">
        <v>-0.42951455166279351</v>
      </c>
      <c r="BS125" s="57">
        <v>-0.4028733427899121</v>
      </c>
      <c r="BT125" s="57">
        <v>-0.35868391839019431</v>
      </c>
      <c r="BU125" s="57">
        <v>-0.36764354813606953</v>
      </c>
      <c r="BV125" s="57">
        <v>-0.33511664015096143</v>
      </c>
      <c r="BW125" s="57">
        <v>-0.32407165106889507</v>
      </c>
    </row>
    <row r="126" spans="1:75" x14ac:dyDescent="0.3">
      <c r="A126" s="8" t="s">
        <v>100</v>
      </c>
      <c r="B126" s="8" t="s">
        <v>9</v>
      </c>
      <c r="C126" s="8" t="s">
        <v>115</v>
      </c>
      <c r="D126" s="57">
        <v>-9.3384220970281609E-2</v>
      </c>
      <c r="E126" s="57">
        <v>-0.10827318244924014</v>
      </c>
      <c r="F126" s="57">
        <v>-0.11017436936358006</v>
      </c>
      <c r="G126" s="57">
        <v>-9.7084801954203825E-2</v>
      </c>
      <c r="H126" s="57">
        <v>-0.11635007638863844</v>
      </c>
      <c r="I126" s="57">
        <v>-0.10563352002726883</v>
      </c>
      <c r="J126" s="57">
        <v>-0.10647391974216107</v>
      </c>
      <c r="K126" s="57">
        <v>-0.12408744337084369</v>
      </c>
      <c r="L126" s="57">
        <v>-0.11426630588854146</v>
      </c>
      <c r="M126" s="57">
        <v>-9.4280577543589775E-2</v>
      </c>
      <c r="N126" s="57">
        <v>-0.11145019858492348</v>
      </c>
      <c r="O126" s="57">
        <v>-0.10255184902545117</v>
      </c>
      <c r="P126" s="57">
        <v>-0.10824601289423433</v>
      </c>
      <c r="Q126" s="57">
        <v>-0.11932735624039237</v>
      </c>
      <c r="R126" s="57">
        <v>-0.11520825281641167</v>
      </c>
      <c r="S126" s="57">
        <v>-0.10463937492986232</v>
      </c>
      <c r="T126" s="57">
        <v>-0.11199643323092602</v>
      </c>
      <c r="U126" s="57">
        <v>-0.10274459892694458</v>
      </c>
      <c r="V126" s="57">
        <v>-9.9673684266622348E-2</v>
      </c>
      <c r="W126" s="57">
        <v>-0.10816659515388914</v>
      </c>
      <c r="X126" s="57">
        <v>-9.2961500039354564E-2</v>
      </c>
      <c r="Y126" s="57">
        <v>-0.10993268052182029</v>
      </c>
      <c r="Z126" s="57">
        <v>-0.12479355035536037</v>
      </c>
      <c r="AA126" s="57">
        <v>-0.11060919526579022</v>
      </c>
      <c r="AB126" s="57">
        <v>-0.1191571615364854</v>
      </c>
      <c r="AC126" s="57">
        <v>-0.13364646735397759</v>
      </c>
      <c r="AD126" s="57">
        <v>-0.10630633927023178</v>
      </c>
      <c r="AE126" s="57">
        <v>-0.11364344644825421</v>
      </c>
      <c r="AF126" s="57">
        <v>-0.11674412867268447</v>
      </c>
      <c r="AG126" s="57">
        <v>-0.10770403867609686</v>
      </c>
      <c r="AH126" s="57">
        <v>-0.11271087185267056</v>
      </c>
      <c r="AI126" s="57">
        <v>-0.11301775427159824</v>
      </c>
      <c r="AJ126" s="57">
        <v>-0.10121438833366034</v>
      </c>
      <c r="AK126" s="57">
        <v>-8.181501874518296E-2</v>
      </c>
      <c r="AL126" s="57">
        <v>-8.3315914075670974E-2</v>
      </c>
      <c r="AM126" s="57">
        <v>-9.1747253416154528E-2</v>
      </c>
      <c r="AN126" s="57">
        <v>-0.11090421092121676</v>
      </c>
      <c r="AO126" s="57">
        <v>-0.11698167867359233</v>
      </c>
      <c r="AP126" s="57">
        <v>-9.805884227140714E-2</v>
      </c>
      <c r="AQ126" s="57">
        <v>-7.2609412531799256E-2</v>
      </c>
      <c r="AR126" s="57">
        <v>-8.354580391808096E-2</v>
      </c>
      <c r="AS126" s="57">
        <v>-9.2125854462776907E-2</v>
      </c>
      <c r="AT126" s="57">
        <v>-9.1937596024519799E-2</v>
      </c>
      <c r="AU126" s="57">
        <v>-9.7709348071845475E-2</v>
      </c>
      <c r="AV126" s="57">
        <v>-9.5879728532017455E-2</v>
      </c>
      <c r="AW126" s="57">
        <v>-9.3988261177596996E-2</v>
      </c>
      <c r="AX126" s="57">
        <v>-0.10715065930801035</v>
      </c>
      <c r="AY126" s="57">
        <v>-0.10595467759649232</v>
      </c>
      <c r="AZ126" s="57">
        <v>-0.11046994196688548</v>
      </c>
      <c r="BA126" s="57">
        <v>-0.11910820335749284</v>
      </c>
      <c r="BB126" s="57">
        <v>-9.7833693951065712E-2</v>
      </c>
      <c r="BC126" s="57">
        <v>-8.1755344799674237E-2</v>
      </c>
      <c r="BD126" s="57">
        <v>-9.8659431265397585E-2</v>
      </c>
      <c r="BE126" s="57">
        <v>-9.2422445411791398E-2</v>
      </c>
      <c r="BF126" s="57">
        <v>-9.0655480342816022E-2</v>
      </c>
      <c r="BG126" s="57">
        <v>-9.8647085136482168E-2</v>
      </c>
      <c r="BH126" s="57">
        <v>-0.10159331164229571</v>
      </c>
      <c r="BI126" s="57">
        <v>-8.9477073267950472E-2</v>
      </c>
      <c r="BJ126" s="57">
        <v>-0.1005814705515648</v>
      </c>
      <c r="BK126" s="57">
        <v>-9.3672387618590175E-2</v>
      </c>
      <c r="BL126" s="57">
        <v>-0.10191539042274662</v>
      </c>
      <c r="BM126" s="57">
        <v>-0.11701369353477035</v>
      </c>
      <c r="BN126" s="57">
        <v>-0.11337240020017586</v>
      </c>
      <c r="BO126" s="57">
        <v>-9.9607442289006143E-2</v>
      </c>
      <c r="BP126" s="57">
        <v>-0.11570887217424207</v>
      </c>
      <c r="BQ126" s="57">
        <v>-0.10123431296345126</v>
      </c>
      <c r="BR126" s="57">
        <v>-0.10125457982305767</v>
      </c>
      <c r="BS126" s="57">
        <v>-0.11590397974841193</v>
      </c>
      <c r="BT126" s="57">
        <v>-0.1089578685181818</v>
      </c>
      <c r="BU126" s="57">
        <v>-9.8117120294640314E-2</v>
      </c>
      <c r="BV126" s="57">
        <v>-0.11668268853207234</v>
      </c>
      <c r="BW126" s="57">
        <v>-0.10635029172857467</v>
      </c>
    </row>
    <row r="127" spans="1:75" x14ac:dyDescent="0.3">
      <c r="A127" s="8" t="s">
        <v>100</v>
      </c>
      <c r="B127" s="8" t="s">
        <v>9</v>
      </c>
      <c r="C127" s="8" t="s">
        <v>116</v>
      </c>
      <c r="D127" s="57">
        <v>-0.33602338699230255</v>
      </c>
      <c r="E127" s="57">
        <v>-0.32310246671605919</v>
      </c>
      <c r="F127" s="57">
        <v>-0.26760216765147848</v>
      </c>
      <c r="G127" s="57">
        <v>-0.29263504892694087</v>
      </c>
      <c r="H127" s="57">
        <v>-0.27853972295209944</v>
      </c>
      <c r="I127" s="57">
        <v>-0.23913059064084047</v>
      </c>
      <c r="J127" s="57">
        <v>-0.33075521422768267</v>
      </c>
      <c r="K127" s="57">
        <v>-0.32442028367234271</v>
      </c>
      <c r="L127" s="57">
        <v>-0.26432449494689897</v>
      </c>
      <c r="M127" s="57">
        <v>-0.2926250624749871</v>
      </c>
      <c r="N127" s="57">
        <v>-0.28412743051763723</v>
      </c>
      <c r="O127" s="57">
        <v>-0.24046175484225008</v>
      </c>
      <c r="P127" s="57">
        <v>-0.32542403513585355</v>
      </c>
      <c r="Q127" s="57">
        <v>-0.31555249682798275</v>
      </c>
      <c r="R127" s="57">
        <v>-0.26241599948194333</v>
      </c>
      <c r="S127" s="57">
        <v>-0.29295417995095396</v>
      </c>
      <c r="T127" s="57">
        <v>-0.27446666154896826</v>
      </c>
      <c r="U127" s="57">
        <v>-0.23618333325848034</v>
      </c>
      <c r="V127" s="57">
        <v>-0.30581869181987903</v>
      </c>
      <c r="W127" s="57">
        <v>-0.29544714802254268</v>
      </c>
      <c r="X127" s="57">
        <v>-0.22848621821400203</v>
      </c>
      <c r="Y127" s="57">
        <v>-0.2859553652570781</v>
      </c>
      <c r="Z127" s="57">
        <v>-0.27430581250482272</v>
      </c>
      <c r="AA127" s="57">
        <v>-0.23446736250728181</v>
      </c>
      <c r="AB127" s="57">
        <v>-0.31770225869212187</v>
      </c>
      <c r="AC127" s="57">
        <v>-0.31112482063482211</v>
      </c>
      <c r="AD127" s="57">
        <v>-0.23874952188728285</v>
      </c>
      <c r="AE127" s="57">
        <v>-0.28142377746126435</v>
      </c>
      <c r="AF127" s="57">
        <v>-0.26116211494018782</v>
      </c>
      <c r="AG127" s="57">
        <v>-0.22844028505268404</v>
      </c>
      <c r="AH127" s="57">
        <v>-0.33204690843290402</v>
      </c>
      <c r="AI127" s="57">
        <v>-0.30969089581549925</v>
      </c>
      <c r="AJ127" s="57">
        <v>-0.24454007686975462</v>
      </c>
      <c r="AK127" s="57">
        <v>-0.26266775966803541</v>
      </c>
      <c r="AL127" s="57">
        <v>-0.24404557923306566</v>
      </c>
      <c r="AM127" s="57">
        <v>-0.22151500236393457</v>
      </c>
      <c r="AN127" s="57">
        <v>-0.33511580207808794</v>
      </c>
      <c r="AO127" s="57">
        <v>-0.31799548317637383</v>
      </c>
      <c r="AP127" s="57">
        <v>-0.24839363010063098</v>
      </c>
      <c r="AQ127" s="57">
        <v>-0.25780466297074006</v>
      </c>
      <c r="AR127" s="57">
        <v>-0.24861835787167816</v>
      </c>
      <c r="AS127" s="57">
        <v>-0.22622783819728906</v>
      </c>
      <c r="AT127" s="57">
        <v>-0.30232804501928429</v>
      </c>
      <c r="AU127" s="57">
        <v>-0.29040434485687266</v>
      </c>
      <c r="AV127" s="57">
        <v>-0.23518241359775335</v>
      </c>
      <c r="AW127" s="57">
        <v>-0.26902891258310901</v>
      </c>
      <c r="AX127" s="57">
        <v>-0.26032925876916041</v>
      </c>
      <c r="AY127" s="57">
        <v>-0.23057660501356769</v>
      </c>
      <c r="AZ127" s="57">
        <v>-0.32581469877545743</v>
      </c>
      <c r="BA127" s="57">
        <v>-0.31560611290060187</v>
      </c>
      <c r="BB127" s="57">
        <v>-0.24349339777947956</v>
      </c>
      <c r="BC127" s="57">
        <v>-0.25864627296906489</v>
      </c>
      <c r="BD127" s="57">
        <v>-0.2530345432222264</v>
      </c>
      <c r="BE127" s="57">
        <v>-0.22069045781762858</v>
      </c>
      <c r="BF127" s="57">
        <v>-0.298388150664325</v>
      </c>
      <c r="BG127" s="57">
        <v>-0.28638978814686583</v>
      </c>
      <c r="BH127" s="57">
        <v>-0.23782784872995416</v>
      </c>
      <c r="BI127" s="57">
        <v>-0.26442776171325899</v>
      </c>
      <c r="BJ127" s="57">
        <v>-0.25086707041450806</v>
      </c>
      <c r="BK127" s="57">
        <v>-0.21916402824430187</v>
      </c>
      <c r="BL127" s="57">
        <v>-0.33315499205968907</v>
      </c>
      <c r="BM127" s="57">
        <v>-0.32143631619280744</v>
      </c>
      <c r="BN127" s="57">
        <v>-0.26465794291776679</v>
      </c>
      <c r="BO127" s="57">
        <v>-0.29296162783831281</v>
      </c>
      <c r="BP127" s="57">
        <v>-0.28308553980917078</v>
      </c>
      <c r="BQ127" s="57">
        <v>-0.23555504508992589</v>
      </c>
      <c r="BR127" s="57">
        <v>-0.34295639830644209</v>
      </c>
      <c r="BS127" s="57">
        <v>-0.32901008378478092</v>
      </c>
      <c r="BT127" s="57">
        <v>-0.26693306993821564</v>
      </c>
      <c r="BU127" s="57">
        <v>-0.29137438164539875</v>
      </c>
      <c r="BV127" s="57">
        <v>-0.27981901143044163</v>
      </c>
      <c r="BW127" s="57">
        <v>-0.23983989163248673</v>
      </c>
    </row>
    <row r="128" spans="1:75" x14ac:dyDescent="0.3">
      <c r="A128" s="8" t="s">
        <v>100</v>
      </c>
      <c r="B128" s="8" t="s">
        <v>9</v>
      </c>
      <c r="C128" s="8" t="s">
        <v>117</v>
      </c>
      <c r="D128" s="57">
        <v>-0.31402465008910313</v>
      </c>
      <c r="E128" s="57">
        <v>-0.30052463385532502</v>
      </c>
      <c r="F128" s="57">
        <v>-0.24819352914966419</v>
      </c>
      <c r="G128" s="57">
        <v>-0.26910487199517896</v>
      </c>
      <c r="H128" s="57">
        <v>-0.25388924473444674</v>
      </c>
      <c r="I128" s="57">
        <v>-0.21909831196479507</v>
      </c>
      <c r="J128" s="57">
        <v>-0.30738596458059042</v>
      </c>
      <c r="K128" s="57">
        <v>-0.29910025270924862</v>
      </c>
      <c r="L128" s="57">
        <v>-0.24424844798619075</v>
      </c>
      <c r="M128" s="57">
        <v>-0.27661859666339872</v>
      </c>
      <c r="N128" s="57">
        <v>-0.26654776178424605</v>
      </c>
      <c r="O128" s="57">
        <v>-0.2223390871237694</v>
      </c>
      <c r="P128" s="57">
        <v>-0.30252229070949282</v>
      </c>
      <c r="Q128" s="57">
        <v>-0.29225580333870993</v>
      </c>
      <c r="R128" s="57">
        <v>-0.24305781728184447</v>
      </c>
      <c r="S128" s="57">
        <v>-0.27522702320154824</v>
      </c>
      <c r="T128" s="57">
        <v>-0.25619691290188978</v>
      </c>
      <c r="U128" s="57">
        <v>-0.21808514893070421</v>
      </c>
      <c r="V128" s="57">
        <v>-0.28707484703458336</v>
      </c>
      <c r="W128" s="57">
        <v>-0.2767973945399384</v>
      </c>
      <c r="X128" s="57">
        <v>-0.20968499451351352</v>
      </c>
      <c r="Y128" s="57">
        <v>-0.26836245614649007</v>
      </c>
      <c r="Z128" s="57">
        <v>-0.25533098471759763</v>
      </c>
      <c r="AA128" s="57">
        <v>-0.21565134409928946</v>
      </c>
      <c r="AB128" s="57">
        <v>-0.29412906468935957</v>
      </c>
      <c r="AC128" s="57">
        <v>-0.28614006339693171</v>
      </c>
      <c r="AD128" s="57">
        <v>-0.21872226194035702</v>
      </c>
      <c r="AE128" s="57">
        <v>-0.26387197920237776</v>
      </c>
      <c r="AF128" s="57">
        <v>-0.24222509646465665</v>
      </c>
      <c r="AG128" s="57">
        <v>-0.20964500616828885</v>
      </c>
      <c r="AH128" s="57">
        <v>-0.30748700269852641</v>
      </c>
      <c r="AI128" s="57">
        <v>-0.28561064146003323</v>
      </c>
      <c r="AJ128" s="57">
        <v>-0.22451689212717768</v>
      </c>
      <c r="AK128" s="57">
        <v>-0.24584322496828356</v>
      </c>
      <c r="AL128" s="57">
        <v>-0.22697970745627544</v>
      </c>
      <c r="AM128" s="57">
        <v>-0.20345029440682794</v>
      </c>
      <c r="AN128" s="57">
        <v>-0.31041389698886873</v>
      </c>
      <c r="AO128" s="57">
        <v>-0.29304618002666805</v>
      </c>
      <c r="AP128" s="57">
        <v>-0.22833548567890019</v>
      </c>
      <c r="AQ128" s="57">
        <v>-0.23920906623420729</v>
      </c>
      <c r="AR128" s="57">
        <v>-0.22975253999923631</v>
      </c>
      <c r="AS128" s="57">
        <v>-0.20743548055924377</v>
      </c>
      <c r="AT128" s="57">
        <v>-0.28532810394188746</v>
      </c>
      <c r="AU128" s="57">
        <v>-0.27349529584989096</v>
      </c>
      <c r="AV128" s="57">
        <v>-0.21706004660164405</v>
      </c>
      <c r="AW128" s="57">
        <v>-0.25095197364366378</v>
      </c>
      <c r="AX128" s="57">
        <v>-0.24135531764091386</v>
      </c>
      <c r="AY128" s="57">
        <v>-0.21176194529908457</v>
      </c>
      <c r="AZ128" s="57">
        <v>-0.30249828610549206</v>
      </c>
      <c r="BA128" s="57">
        <v>-0.29233725598819488</v>
      </c>
      <c r="BB128" s="57">
        <v>-0.22416460311150208</v>
      </c>
      <c r="BC128" s="57">
        <v>-0.24103280490480533</v>
      </c>
      <c r="BD128" s="57">
        <v>-0.23484995225901897</v>
      </c>
      <c r="BE128" s="57">
        <v>-0.20263323018090681</v>
      </c>
      <c r="BF128" s="57">
        <v>-0.27508348607053096</v>
      </c>
      <c r="BG128" s="57">
        <v>-0.26349028919494832</v>
      </c>
      <c r="BH128" s="57">
        <v>-0.21854664436498006</v>
      </c>
      <c r="BI128" s="57">
        <v>-0.24611602599333141</v>
      </c>
      <c r="BJ128" s="57">
        <v>-0.23267835814553681</v>
      </c>
      <c r="BK128" s="57">
        <v>-0.20112064847341626</v>
      </c>
      <c r="BL128" s="57">
        <v>-0.31018311190211739</v>
      </c>
      <c r="BM128" s="57">
        <v>-0.29768149272557887</v>
      </c>
      <c r="BN128" s="57">
        <v>-0.24527942166472091</v>
      </c>
      <c r="BO128" s="57">
        <v>-0.2760466594912373</v>
      </c>
      <c r="BP128" s="57">
        <v>-0.2649649386766833</v>
      </c>
      <c r="BQ128" s="57">
        <v>-0.21745379621442917</v>
      </c>
      <c r="BR128" s="57">
        <v>-0.31870525837251168</v>
      </c>
      <c r="BS128" s="57">
        <v>-0.30436357015890697</v>
      </c>
      <c r="BT128" s="57">
        <v>-0.24681962593554491</v>
      </c>
      <c r="BU128" s="57">
        <v>-0.26785564156711766</v>
      </c>
      <c r="BV128" s="57">
        <v>-0.25493386823307457</v>
      </c>
      <c r="BW128" s="57">
        <v>-0.21980679489937477</v>
      </c>
    </row>
    <row r="129" spans="1:75" x14ac:dyDescent="0.3">
      <c r="A129" s="8" t="s">
        <v>100</v>
      </c>
      <c r="B129" s="8" t="s">
        <v>9</v>
      </c>
      <c r="C129" s="8" t="s">
        <v>118</v>
      </c>
      <c r="D129" s="57">
        <v>-0.35209121919458652</v>
      </c>
      <c r="E129" s="57">
        <v>-0.33459411327446542</v>
      </c>
      <c r="F129" s="57">
        <v>-0.28317816812464391</v>
      </c>
      <c r="G129" s="57">
        <v>-0.29924652513575251</v>
      </c>
      <c r="H129" s="57">
        <v>-0.27834220513372249</v>
      </c>
      <c r="I129" s="57">
        <v>-0.25038023380645663</v>
      </c>
      <c r="J129" s="57">
        <v>-0.34073866977024891</v>
      </c>
      <c r="K129" s="57">
        <v>-0.32596147171690149</v>
      </c>
      <c r="L129" s="57">
        <v>-0.27709456827453921</v>
      </c>
      <c r="M129" s="57">
        <v>-0.32283946695220267</v>
      </c>
      <c r="N129" s="57">
        <v>-0.30689818063739677</v>
      </c>
      <c r="O129" s="57">
        <v>-0.25807247549663986</v>
      </c>
      <c r="P129" s="57">
        <v>-0.33614642963829755</v>
      </c>
      <c r="Q129" s="57">
        <v>-0.32295526106999523</v>
      </c>
      <c r="R129" s="57">
        <v>-0.27712640932818966</v>
      </c>
      <c r="S129" s="57">
        <v>-0.31683147452990584</v>
      </c>
      <c r="T129" s="57">
        <v>-0.29407746357482917</v>
      </c>
      <c r="U129" s="57">
        <v>-0.25342283527552789</v>
      </c>
      <c r="V129" s="57">
        <v>-0.32832727374078829</v>
      </c>
      <c r="W129" s="57">
        <v>-0.31636096751333487</v>
      </c>
      <c r="X129" s="57">
        <v>-0.24375489655995269</v>
      </c>
      <c r="Y129" s="57">
        <v>-0.30901961548778106</v>
      </c>
      <c r="Z129" s="57">
        <v>-0.29043507257937112</v>
      </c>
      <c r="AA129" s="57">
        <v>-0.24852352216665488</v>
      </c>
      <c r="AB129" s="57">
        <v>-0.32447986699912224</v>
      </c>
      <c r="AC129" s="57">
        <v>-0.3114199085254461</v>
      </c>
      <c r="AD129" s="57">
        <v>-0.2499093343135175</v>
      </c>
      <c r="AE129" s="57">
        <v>-0.30379123596001717</v>
      </c>
      <c r="AF129" s="57">
        <v>-0.27689915629279171</v>
      </c>
      <c r="AG129" s="57">
        <v>-0.24224854514871771</v>
      </c>
      <c r="AH129" s="57">
        <v>-0.33784480431435687</v>
      </c>
      <c r="AI129" s="57">
        <v>-0.31470942146794495</v>
      </c>
      <c r="AJ129" s="57">
        <v>-0.25680077302137522</v>
      </c>
      <c r="AK129" s="57">
        <v>-0.2885969761910902</v>
      </c>
      <c r="AL129" s="57">
        <v>-0.26721434324075555</v>
      </c>
      <c r="AM129" s="57">
        <v>-0.23849118259168209</v>
      </c>
      <c r="AN129" s="57">
        <v>-0.34096105541719557</v>
      </c>
      <c r="AO129" s="57">
        <v>-0.3207540238625643</v>
      </c>
      <c r="AP129" s="57">
        <v>-0.26124686117618789</v>
      </c>
      <c r="AQ129" s="57">
        <v>-0.27867783813138253</v>
      </c>
      <c r="AR129" s="57">
        <v>-0.26664157786246812</v>
      </c>
      <c r="AS129" s="57">
        <v>-0.24138172789280016</v>
      </c>
      <c r="AT129" s="57">
        <v>-0.33066727257883027</v>
      </c>
      <c r="AU129" s="57">
        <v>-0.31725579261373188</v>
      </c>
      <c r="AV129" s="57">
        <v>-0.25293334441638798</v>
      </c>
      <c r="AW129" s="57">
        <v>-0.29049446701138004</v>
      </c>
      <c r="AX129" s="57">
        <v>-0.27682790121771123</v>
      </c>
      <c r="AY129" s="57">
        <v>-0.24471335264037766</v>
      </c>
      <c r="AZ129" s="57">
        <v>-0.33506829517942199</v>
      </c>
      <c r="BA129" s="57">
        <v>-0.32312244742645052</v>
      </c>
      <c r="BB129" s="57">
        <v>-0.25814010469159088</v>
      </c>
      <c r="BC129" s="57">
        <v>-0.28173361478679937</v>
      </c>
      <c r="BD129" s="57">
        <v>-0.27209982243196645</v>
      </c>
      <c r="BE129" s="57">
        <v>-0.23753985338437456</v>
      </c>
      <c r="BF129" s="57">
        <v>-0.30691695745571451</v>
      </c>
      <c r="BG129" s="57">
        <v>-0.29417561169695983</v>
      </c>
      <c r="BH129" s="57">
        <v>-0.25167956890729987</v>
      </c>
      <c r="BI129" s="57">
        <v>-0.28515644982601435</v>
      </c>
      <c r="BJ129" s="57">
        <v>-0.26951062236699153</v>
      </c>
      <c r="BK129" s="57">
        <v>-0.23577871501712785</v>
      </c>
      <c r="BL129" s="57">
        <v>-0.34506612373491152</v>
      </c>
      <c r="BM129" s="57">
        <v>-0.32823862571020257</v>
      </c>
      <c r="BN129" s="57">
        <v>-0.2797130813050836</v>
      </c>
      <c r="BO129" s="57">
        <v>-0.31986064451730933</v>
      </c>
      <c r="BP129" s="57">
        <v>-0.30364934306195235</v>
      </c>
      <c r="BQ129" s="57">
        <v>-0.25287324678853357</v>
      </c>
      <c r="BR129" s="57">
        <v>-0.35194804635959615</v>
      </c>
      <c r="BS129" s="57">
        <v>-0.33391650194820854</v>
      </c>
      <c r="BT129" s="57">
        <v>-0.28037891367193979</v>
      </c>
      <c r="BU129" s="57">
        <v>-0.29779201353780332</v>
      </c>
      <c r="BV129" s="57">
        <v>-0.27898869980844065</v>
      </c>
      <c r="BW129" s="57">
        <v>-0.25108625175023086</v>
      </c>
    </row>
    <row r="130" spans="1:75" x14ac:dyDescent="0.3">
      <c r="A130" s="8" t="s">
        <v>100</v>
      </c>
      <c r="B130" s="8" t="s">
        <v>10</v>
      </c>
      <c r="C130" s="8" t="s">
        <v>108</v>
      </c>
      <c r="D130" s="57">
        <v>0</v>
      </c>
      <c r="E130" s="57">
        <v>0</v>
      </c>
      <c r="F130" s="57">
        <v>0</v>
      </c>
      <c r="G130" s="57">
        <v>0</v>
      </c>
      <c r="H130" s="57">
        <v>0</v>
      </c>
      <c r="I130" s="57">
        <v>0</v>
      </c>
      <c r="J130" s="57">
        <v>0</v>
      </c>
      <c r="K130" s="57">
        <v>0</v>
      </c>
      <c r="L130" s="57">
        <v>0</v>
      </c>
      <c r="M130" s="57">
        <v>0</v>
      </c>
      <c r="N130" s="57">
        <v>0</v>
      </c>
      <c r="O130" s="57">
        <v>0</v>
      </c>
      <c r="P130" s="57">
        <v>0</v>
      </c>
      <c r="Q130" s="57">
        <v>0</v>
      </c>
      <c r="R130" s="57">
        <v>0</v>
      </c>
      <c r="S130" s="57">
        <v>0</v>
      </c>
      <c r="T130" s="57">
        <v>0</v>
      </c>
      <c r="U130" s="57">
        <v>0</v>
      </c>
      <c r="V130" s="57">
        <v>0</v>
      </c>
      <c r="W130" s="57">
        <v>0</v>
      </c>
      <c r="X130" s="57">
        <v>0</v>
      </c>
      <c r="Y130" s="57">
        <v>0</v>
      </c>
      <c r="Z130" s="57">
        <v>0</v>
      </c>
      <c r="AA130" s="57">
        <v>0</v>
      </c>
      <c r="AB130" s="57">
        <v>0</v>
      </c>
      <c r="AC130" s="57">
        <v>0</v>
      </c>
      <c r="AD130" s="57">
        <v>0</v>
      </c>
      <c r="AE130" s="57">
        <v>0</v>
      </c>
      <c r="AF130" s="57">
        <v>0</v>
      </c>
      <c r="AG130" s="57">
        <v>0</v>
      </c>
      <c r="AH130" s="57">
        <v>0</v>
      </c>
      <c r="AI130" s="57">
        <v>0</v>
      </c>
      <c r="AJ130" s="57">
        <v>0</v>
      </c>
      <c r="AK130" s="57">
        <v>0</v>
      </c>
      <c r="AL130" s="57">
        <v>0</v>
      </c>
      <c r="AM130" s="57">
        <v>0</v>
      </c>
      <c r="AN130" s="57">
        <v>0</v>
      </c>
      <c r="AO130" s="57">
        <v>0</v>
      </c>
      <c r="AP130" s="57">
        <v>0</v>
      </c>
      <c r="AQ130" s="57">
        <v>0</v>
      </c>
      <c r="AR130" s="57">
        <v>0</v>
      </c>
      <c r="AS130" s="57">
        <v>0</v>
      </c>
      <c r="AT130" s="57">
        <v>0</v>
      </c>
      <c r="AU130" s="57">
        <v>0</v>
      </c>
      <c r="AV130" s="57">
        <v>0</v>
      </c>
      <c r="AW130" s="57">
        <v>0</v>
      </c>
      <c r="AX130" s="57">
        <v>0</v>
      </c>
      <c r="AY130" s="57">
        <v>0</v>
      </c>
      <c r="AZ130" s="57">
        <v>0</v>
      </c>
      <c r="BA130" s="57">
        <v>0</v>
      </c>
      <c r="BB130" s="57">
        <v>0</v>
      </c>
      <c r="BC130" s="57">
        <v>0</v>
      </c>
      <c r="BD130" s="57">
        <v>0</v>
      </c>
      <c r="BE130" s="57">
        <v>0</v>
      </c>
      <c r="BF130" s="57">
        <v>0</v>
      </c>
      <c r="BG130" s="57">
        <v>0</v>
      </c>
      <c r="BH130" s="57">
        <v>0</v>
      </c>
      <c r="BI130" s="57">
        <v>0</v>
      </c>
      <c r="BJ130" s="57">
        <v>0</v>
      </c>
      <c r="BK130" s="57">
        <v>0</v>
      </c>
      <c r="BL130" s="57">
        <v>0</v>
      </c>
      <c r="BM130" s="57">
        <v>0</v>
      </c>
      <c r="BN130" s="57">
        <v>0</v>
      </c>
      <c r="BO130" s="57">
        <v>0</v>
      </c>
      <c r="BP130" s="57">
        <v>0</v>
      </c>
      <c r="BQ130" s="57">
        <v>0</v>
      </c>
      <c r="BR130" s="57">
        <v>0</v>
      </c>
      <c r="BS130" s="57">
        <v>0</v>
      </c>
      <c r="BT130" s="57">
        <v>0</v>
      </c>
      <c r="BU130" s="57">
        <v>0</v>
      </c>
      <c r="BV130" s="57">
        <v>0</v>
      </c>
      <c r="BW130" s="57">
        <v>0</v>
      </c>
    </row>
    <row r="131" spans="1:75" x14ac:dyDescent="0.3">
      <c r="A131" s="8" t="s">
        <v>100</v>
      </c>
      <c r="B131" s="8" t="s">
        <v>10</v>
      </c>
      <c r="C131" s="8" t="s">
        <v>109</v>
      </c>
      <c r="D131" s="57">
        <v>1.9373172832240437E-2</v>
      </c>
      <c r="E131" s="57">
        <v>8.4149638880874483E-3</v>
      </c>
      <c r="F131" s="57">
        <v>-1.5509497206490577E-2</v>
      </c>
      <c r="G131" s="57">
        <v>-1.0342476221299824E-2</v>
      </c>
      <c r="H131" s="57">
        <v>-1.9349271276624509E-2</v>
      </c>
      <c r="I131" s="57">
        <v>-6.0757223885684178E-2</v>
      </c>
      <c r="J131" s="57">
        <v>8.377775077618917E-3</v>
      </c>
      <c r="K131" s="57">
        <v>-2.5954906131084674E-2</v>
      </c>
      <c r="L131" s="57">
        <v>-4.0989934921496309E-2</v>
      </c>
      <c r="M131" s="57">
        <v>3.24740548558494E-2</v>
      </c>
      <c r="N131" s="57">
        <v>3.084308711459257E-3</v>
      </c>
      <c r="O131" s="57">
        <v>-3.6522073621860641E-2</v>
      </c>
      <c r="P131" s="57">
        <v>2.2525323443692145E-2</v>
      </c>
      <c r="Q131" s="57">
        <v>-1.6507920098930994E-2</v>
      </c>
      <c r="R131" s="57">
        <v>-3.9204796351575068E-2</v>
      </c>
      <c r="S131" s="57">
        <v>5.1854864225038835E-2</v>
      </c>
      <c r="T131" s="57">
        <v>1.4739715960596025E-2</v>
      </c>
      <c r="U131" s="57">
        <v>-2.6420427469933849E-2</v>
      </c>
      <c r="V131" s="57">
        <v>2.8421269168890154E-2</v>
      </c>
      <c r="W131" s="57">
        <v>-7.0418640791275456E-4</v>
      </c>
      <c r="X131" s="57">
        <v>-2.4237698418726292E-2</v>
      </c>
      <c r="Y131" s="57">
        <v>-3.6720896211533995E-2</v>
      </c>
      <c r="Z131" s="57">
        <v>-6.7706589730381947E-2</v>
      </c>
      <c r="AA131" s="57">
        <v>-8.4059542351100081E-2</v>
      </c>
      <c r="AB131" s="57">
        <v>2.8599201824774254E-2</v>
      </c>
      <c r="AC131" s="57">
        <v>-1.2167543753674416E-3</v>
      </c>
      <c r="AD131" s="57">
        <v>-2.0892844554265464E-2</v>
      </c>
      <c r="AE131" s="57">
        <v>-2.8894055726131004E-2</v>
      </c>
      <c r="AF131" s="57">
        <v>-5.639420247836191E-2</v>
      </c>
      <c r="AG131" s="57">
        <v>-2.9592850081338634E-2</v>
      </c>
      <c r="AH131" s="57">
        <v>1.0952662306005116E-2</v>
      </c>
      <c r="AI131" s="57">
        <v>-1.1390022616638697E-3</v>
      </c>
      <c r="AJ131" s="57">
        <v>6.9745136918659342E-3</v>
      </c>
      <c r="AK131" s="57">
        <v>-1.5609602310280978E-2</v>
      </c>
      <c r="AL131" s="57">
        <v>-3.5534333373310106E-2</v>
      </c>
      <c r="AM131" s="57">
        <v>-5.2332216817793188E-2</v>
      </c>
      <c r="AN131" s="57">
        <v>1.7360232109507098E-2</v>
      </c>
      <c r="AO131" s="57">
        <v>-1.4968481761802873E-2</v>
      </c>
      <c r="AP131" s="57">
        <v>8.2112816454084289E-3</v>
      </c>
      <c r="AQ131" s="57">
        <v>5.4430221663743235E-2</v>
      </c>
      <c r="AR131" s="57">
        <v>2.6617144760378433E-2</v>
      </c>
      <c r="AS131" s="57">
        <v>1.6512311729093912E-2</v>
      </c>
      <c r="AT131" s="57">
        <v>2.7606524902473541E-2</v>
      </c>
      <c r="AU131" s="57">
        <v>4.0904597876531825E-3</v>
      </c>
      <c r="AV131" s="57">
        <v>-1.7396894972717306E-2</v>
      </c>
      <c r="AW131" s="57">
        <v>8.5114531973833202E-3</v>
      </c>
      <c r="AX131" s="57">
        <v>-3.3225589930370468E-2</v>
      </c>
      <c r="AY131" s="57">
        <v>-7.2897047045581934E-2</v>
      </c>
      <c r="AZ131" s="57">
        <v>9.3622994199430896E-4</v>
      </c>
      <c r="BA131" s="57">
        <v>-1.7007615720186647E-2</v>
      </c>
      <c r="BB131" s="57">
        <v>2.4486842429182081E-3</v>
      </c>
      <c r="BC131" s="57">
        <v>-3.2284141195348025E-2</v>
      </c>
      <c r="BD131" s="57">
        <v>-4.9548363180830945E-2</v>
      </c>
      <c r="BE131" s="57">
        <v>-5.0794172376367075E-2</v>
      </c>
      <c r="BF131" s="57">
        <v>4.126786165386339E-2</v>
      </c>
      <c r="BG131" s="57">
        <v>9.5697065927516215E-4</v>
      </c>
      <c r="BH131" s="57">
        <v>-2.6708120881403567E-2</v>
      </c>
      <c r="BI131" s="57">
        <v>3.0497865581092531E-2</v>
      </c>
      <c r="BJ131" s="57">
        <v>2.2257323756616779E-2</v>
      </c>
      <c r="BK131" s="57">
        <v>-1.60112378110829E-2</v>
      </c>
      <c r="BL131" s="57">
        <v>2.7237373772014163E-2</v>
      </c>
      <c r="BM131" s="57">
        <v>1.8787511869760302E-2</v>
      </c>
      <c r="BN131" s="57">
        <v>-3.0915247491196323E-2</v>
      </c>
      <c r="BO131" s="57">
        <v>4.0318570326215393E-2</v>
      </c>
      <c r="BP131" s="57">
        <v>-1.0179005491425751E-3</v>
      </c>
      <c r="BQ131" s="57">
        <v>-4.323055676689691E-2</v>
      </c>
      <c r="BR131" s="57">
        <v>8.8779565635615829E-2</v>
      </c>
      <c r="BS131" s="57">
        <v>7.9586498919336154E-3</v>
      </c>
      <c r="BT131" s="57">
        <v>-2.5246368098328698E-2</v>
      </c>
      <c r="BU131" s="57">
        <v>9.8588332477551416E-2</v>
      </c>
      <c r="BV131" s="57">
        <v>2.7155495293314846E-2</v>
      </c>
      <c r="BW131" s="57">
        <v>-5.9208235710640308E-2</v>
      </c>
    </row>
    <row r="132" spans="1:75" x14ac:dyDescent="0.3">
      <c r="A132" s="8" t="s">
        <v>100</v>
      </c>
      <c r="B132" s="8" t="s">
        <v>10</v>
      </c>
      <c r="C132" s="8" t="s">
        <v>110</v>
      </c>
      <c r="D132" s="57">
        <v>2.7414382740008094E-2</v>
      </c>
      <c r="E132" s="57">
        <v>-5.091912644592498E-3</v>
      </c>
      <c r="F132" s="57">
        <v>-8.0848373354005978E-2</v>
      </c>
      <c r="G132" s="57">
        <v>1.5828669908627659E-2</v>
      </c>
      <c r="H132" s="57">
        <v>-1.4648398854620671E-2</v>
      </c>
      <c r="I132" s="57">
        <v>-9.882677865454402E-2</v>
      </c>
      <c r="J132" s="57">
        <v>4.4398946552861238E-3</v>
      </c>
      <c r="K132" s="57">
        <v>-5.9738937300967493E-2</v>
      </c>
      <c r="L132" s="57">
        <v>-0.11818989717744879</v>
      </c>
      <c r="M132" s="57">
        <v>1.5855259841617335E-2</v>
      </c>
      <c r="N132" s="57">
        <v>-4.3494281078576211E-2</v>
      </c>
      <c r="O132" s="57">
        <v>-0.11639569540885789</v>
      </c>
      <c r="P132" s="57">
        <v>1.8214672085642376E-2</v>
      </c>
      <c r="Q132" s="57">
        <v>-5.1811553579582198E-2</v>
      </c>
      <c r="R132" s="57">
        <v>-0.11769614239428829</v>
      </c>
      <c r="S132" s="57">
        <v>3.6045384032001825E-2</v>
      </c>
      <c r="T132" s="57">
        <v>-3.1732552819687163E-2</v>
      </c>
      <c r="U132" s="57">
        <v>-0.10655214700118869</v>
      </c>
      <c r="V132" s="57">
        <v>1.8799971588974035E-2</v>
      </c>
      <c r="W132" s="57">
        <v>-3.6193336689247187E-2</v>
      </c>
      <c r="X132" s="57">
        <v>-0.10333623177137707</v>
      </c>
      <c r="Y132" s="57">
        <v>-3.4845157245348285E-2</v>
      </c>
      <c r="Z132" s="57">
        <v>-9.7304981363133064E-2</v>
      </c>
      <c r="AA132" s="57">
        <v>-0.13338877634657384</v>
      </c>
      <c r="AB132" s="57">
        <v>1.8845403464907401E-2</v>
      </c>
      <c r="AC132" s="57">
        <v>-3.7139735825257987E-2</v>
      </c>
      <c r="AD132" s="57">
        <v>-0.10011670948751869</v>
      </c>
      <c r="AE132" s="57">
        <v>-9.1114127516126617E-2</v>
      </c>
      <c r="AF132" s="57">
        <v>-0.14621238793899413</v>
      </c>
      <c r="AG132" s="57">
        <v>-0.11819384718715371</v>
      </c>
      <c r="AH132" s="57">
        <v>6.3227686377237049E-3</v>
      </c>
      <c r="AI132" s="57">
        <v>-2.9548227592507009E-2</v>
      </c>
      <c r="AJ132" s="57">
        <v>-5.5860349148724668E-2</v>
      </c>
      <c r="AK132" s="57">
        <v>-2.0593817739183785E-3</v>
      </c>
      <c r="AL132" s="57">
        <v>-4.5583352870036634E-2</v>
      </c>
      <c r="AM132" s="57">
        <v>-8.757452485510589E-2</v>
      </c>
      <c r="AN132" s="57">
        <v>1.8265996363883315E-2</v>
      </c>
      <c r="AO132" s="57">
        <v>-4.4683952403786191E-2</v>
      </c>
      <c r="AP132" s="57">
        <v>-4.243512318606988E-2</v>
      </c>
      <c r="AQ132" s="57">
        <v>3.8041496540463737E-2</v>
      </c>
      <c r="AR132" s="57">
        <v>-1.6181341611723087E-2</v>
      </c>
      <c r="AS132" s="57">
        <v>-4.3526169122610786E-2</v>
      </c>
      <c r="AT132" s="57">
        <v>1.8591941420226517E-2</v>
      </c>
      <c r="AU132" s="57">
        <v>-2.7340561437812463E-2</v>
      </c>
      <c r="AV132" s="57">
        <v>-9.7596545513700755E-2</v>
      </c>
      <c r="AW132" s="57">
        <v>2.649845913879513E-2</v>
      </c>
      <c r="AX132" s="57">
        <v>-4.7336945943096426E-2</v>
      </c>
      <c r="AY132" s="57">
        <v>-0.12342675912840773</v>
      </c>
      <c r="AZ132" s="57">
        <v>-1.2171447811821464E-2</v>
      </c>
      <c r="BA132" s="57">
        <v>-5.2299760596888741E-2</v>
      </c>
      <c r="BB132" s="57">
        <v>-5.406571546726148E-2</v>
      </c>
      <c r="BC132" s="57">
        <v>-2.7058626859468096E-2</v>
      </c>
      <c r="BD132" s="57">
        <v>-6.613618549723109E-2</v>
      </c>
      <c r="BE132" s="57">
        <v>-7.9855433044705396E-2</v>
      </c>
      <c r="BF132" s="57">
        <v>3.7410204370820058E-2</v>
      </c>
      <c r="BG132" s="57">
        <v>-3.5190119452256585E-2</v>
      </c>
      <c r="BH132" s="57">
        <v>-0.10163034924830638</v>
      </c>
      <c r="BI132" s="57">
        <v>-3.3879133017832297E-3</v>
      </c>
      <c r="BJ132" s="57">
        <v>-2.3021614007605815E-2</v>
      </c>
      <c r="BK132" s="57">
        <v>-9.5869573455658844E-2</v>
      </c>
      <c r="BL132" s="57">
        <v>3.6390657854734804E-2</v>
      </c>
      <c r="BM132" s="57">
        <v>4.6413875830488994E-3</v>
      </c>
      <c r="BN132" s="57">
        <v>-0.10222385357379131</v>
      </c>
      <c r="BO132" s="57">
        <v>2.3518631080656077E-2</v>
      </c>
      <c r="BP132" s="57">
        <v>-5.2804515908884714E-2</v>
      </c>
      <c r="BQ132" s="57">
        <v>-0.11920153159549682</v>
      </c>
      <c r="BR132" s="57">
        <v>4.9250399150898558E-2</v>
      </c>
      <c r="BS132" s="57">
        <v>-2.8169101140049914E-3</v>
      </c>
      <c r="BT132" s="57">
        <v>-9.2766775738528859E-2</v>
      </c>
      <c r="BU132" s="57">
        <v>6.3862330320608646E-2</v>
      </c>
      <c r="BV132" s="57">
        <v>-9.5592243345207981E-3</v>
      </c>
      <c r="BW132" s="57">
        <v>-0.11107627864154841</v>
      </c>
    </row>
    <row r="133" spans="1:75" x14ac:dyDescent="0.3">
      <c r="A133" s="8" t="s">
        <v>100</v>
      </c>
      <c r="B133" s="8" t="s">
        <v>10</v>
      </c>
      <c r="C133" s="8" t="s">
        <v>111</v>
      </c>
      <c r="D133" s="57">
        <v>-7.1915339432825368E-2</v>
      </c>
      <c r="E133" s="57">
        <v>-0.1023395472373909</v>
      </c>
      <c r="F133" s="57">
        <v>-0.15023984355019493</v>
      </c>
      <c r="G133" s="57">
        <v>-0.10887399340819524</v>
      </c>
      <c r="H133" s="57">
        <v>-0.1383043482410555</v>
      </c>
      <c r="I133" s="57">
        <v>-0.15453327370919342</v>
      </c>
      <c r="J133" s="57">
        <v>-0.11437242346109398</v>
      </c>
      <c r="K133" s="57">
        <v>-0.12047213687383876</v>
      </c>
      <c r="L133" s="57">
        <v>-0.15185302212966056</v>
      </c>
      <c r="M133" s="57">
        <v>-0.15902174577533795</v>
      </c>
      <c r="N133" s="57">
        <v>-0.16133731781125984</v>
      </c>
      <c r="O133" s="57">
        <v>-0.16390213314120355</v>
      </c>
      <c r="P133" s="57">
        <v>-0.11114478156143771</v>
      </c>
      <c r="Q133" s="57">
        <v>-0.12001629092040597</v>
      </c>
      <c r="R133" s="57">
        <v>-0.15711349755806386</v>
      </c>
      <c r="S133" s="57">
        <v>-0.1450112567236323</v>
      </c>
      <c r="T133" s="57">
        <v>-0.15066411150146039</v>
      </c>
      <c r="U133" s="57">
        <v>-0.15624279785760894</v>
      </c>
      <c r="V133" s="57">
        <v>-0.15580449891316747</v>
      </c>
      <c r="W133" s="57">
        <v>-0.16385202095079976</v>
      </c>
      <c r="X133" s="57">
        <v>-0.14842355951001052</v>
      </c>
      <c r="Y133" s="57">
        <v>-0.15517941975602761</v>
      </c>
      <c r="Z133" s="57">
        <v>-0.15769489866992928</v>
      </c>
      <c r="AA133" s="57">
        <v>-0.15261040053759581</v>
      </c>
      <c r="AB133" s="57">
        <v>-0.15633639945689512</v>
      </c>
      <c r="AC133" s="57">
        <v>-0.16395083133673</v>
      </c>
      <c r="AD133" s="57">
        <v>-0.14600175715275546</v>
      </c>
      <c r="AE133" s="57">
        <v>-0.17502905999079471</v>
      </c>
      <c r="AF133" s="57">
        <v>-0.17748263710772169</v>
      </c>
      <c r="AG133" s="57">
        <v>-0.15170601320726934</v>
      </c>
      <c r="AH133" s="57">
        <v>-0.11961878079557052</v>
      </c>
      <c r="AI133" s="57">
        <v>-0.11302556265469055</v>
      </c>
      <c r="AJ133" s="57">
        <v>-0.13198777005158011</v>
      </c>
      <c r="AK133" s="57">
        <v>-0.15466339441525345</v>
      </c>
      <c r="AL133" s="57">
        <v>-0.15406690304638798</v>
      </c>
      <c r="AM133" s="57">
        <v>-0.1470442908479356</v>
      </c>
      <c r="AN133" s="57">
        <v>-0.11082306360900815</v>
      </c>
      <c r="AO133" s="57">
        <v>-0.11490829962915095</v>
      </c>
      <c r="AP133" s="57">
        <v>-0.12754773213106929</v>
      </c>
      <c r="AQ133" s="57">
        <v>-0.14269702669567383</v>
      </c>
      <c r="AR133" s="57">
        <v>-0.1461683785472592</v>
      </c>
      <c r="AS133" s="57">
        <v>-0.13545542929705029</v>
      </c>
      <c r="AT133" s="57">
        <v>-0.15336895431820435</v>
      </c>
      <c r="AU133" s="57">
        <v>-0.1629277321324111</v>
      </c>
      <c r="AV133" s="57">
        <v>-0.14589355147839103</v>
      </c>
      <c r="AW133" s="57">
        <v>-0.13185116791325133</v>
      </c>
      <c r="AX133" s="57">
        <v>-0.14202337706167109</v>
      </c>
      <c r="AY133" s="57">
        <v>-0.14677185359727873</v>
      </c>
      <c r="AZ133" s="57">
        <v>-0.12154970042062307</v>
      </c>
      <c r="BA133" s="57">
        <v>-0.12039884073172408</v>
      </c>
      <c r="BB133" s="57">
        <v>-0.13564049017749158</v>
      </c>
      <c r="BC133" s="57">
        <v>-0.1616915317965183</v>
      </c>
      <c r="BD133" s="57">
        <v>-0.15891109986155388</v>
      </c>
      <c r="BE133" s="57">
        <v>-0.14605471731758066</v>
      </c>
      <c r="BF133" s="57">
        <v>-0.1052271070468818</v>
      </c>
      <c r="BG133" s="57">
        <v>-0.10933963621197626</v>
      </c>
      <c r="BH133" s="57">
        <v>-0.1453922754117003</v>
      </c>
      <c r="BI133" s="57">
        <v>-0.14912835613739034</v>
      </c>
      <c r="BJ133" s="57">
        <v>-0.14086859875709334</v>
      </c>
      <c r="BK133" s="57">
        <v>-0.14680336598272761</v>
      </c>
      <c r="BL133" s="57">
        <v>-0.11647949249257994</v>
      </c>
      <c r="BM133" s="57">
        <v>-0.11541151637806328</v>
      </c>
      <c r="BN133" s="57">
        <v>-0.15518234092839553</v>
      </c>
      <c r="BO133" s="57">
        <v>-0.15301573398044174</v>
      </c>
      <c r="BP133" s="57">
        <v>-0.16098437989577039</v>
      </c>
      <c r="BQ133" s="57">
        <v>-0.16310459503884908</v>
      </c>
      <c r="BR133" s="57">
        <v>-0.11845239758005822</v>
      </c>
      <c r="BS133" s="57">
        <v>-0.11781646722567778</v>
      </c>
      <c r="BT133" s="57">
        <v>-0.15610926313290724</v>
      </c>
      <c r="BU133" s="57">
        <v>-0.14403078834841215</v>
      </c>
      <c r="BV133" s="57">
        <v>-0.14977268219564355</v>
      </c>
      <c r="BW133" s="57">
        <v>-0.1584652822600551</v>
      </c>
    </row>
    <row r="134" spans="1:75" x14ac:dyDescent="0.3">
      <c r="A134" s="8" t="s">
        <v>100</v>
      </c>
      <c r="B134" s="8" t="s">
        <v>10</v>
      </c>
      <c r="C134" s="8" t="s">
        <v>112</v>
      </c>
      <c r="D134" s="57">
        <v>-0.39349215603911536</v>
      </c>
      <c r="E134" s="57">
        <v>-0.39248491972163091</v>
      </c>
      <c r="F134" s="57">
        <v>-0.36787072559758494</v>
      </c>
      <c r="G134" s="57">
        <v>-0.37819375784030529</v>
      </c>
      <c r="H134" s="57">
        <v>-0.37066393944598552</v>
      </c>
      <c r="I134" s="57">
        <v>-0.34533634377477346</v>
      </c>
      <c r="J134" s="57">
        <v>-0.41693012057661405</v>
      </c>
      <c r="K134" s="57">
        <v>-0.39850383807766881</v>
      </c>
      <c r="L134" s="57">
        <v>-0.3620539915456506</v>
      </c>
      <c r="M134" s="57">
        <v>-0.41843496003224795</v>
      </c>
      <c r="N134" s="57">
        <v>-0.39355850868285985</v>
      </c>
      <c r="O134" s="57">
        <v>-0.35651169176814357</v>
      </c>
      <c r="P134" s="57">
        <v>-0.40459719358945767</v>
      </c>
      <c r="Q134" s="57">
        <v>-0.389714835212156</v>
      </c>
      <c r="R134" s="57">
        <v>-0.3627326875180239</v>
      </c>
      <c r="S134" s="57">
        <v>-0.39573438689303236</v>
      </c>
      <c r="T134" s="57">
        <v>-0.37218477133823041</v>
      </c>
      <c r="U134" s="57">
        <v>-0.34359314381800898</v>
      </c>
      <c r="V134" s="57">
        <v>-0.42910873609956751</v>
      </c>
      <c r="W134" s="57">
        <v>-0.41498306789211981</v>
      </c>
      <c r="X134" s="57">
        <v>-0.33943787218962052</v>
      </c>
      <c r="Y134" s="57">
        <v>-0.39132680955735766</v>
      </c>
      <c r="Z134" s="57">
        <v>-0.36533181980527935</v>
      </c>
      <c r="AA134" s="57">
        <v>-0.3300396278666558</v>
      </c>
      <c r="AB134" s="57">
        <v>-0.42922543564330518</v>
      </c>
      <c r="AC134" s="57">
        <v>-0.41473223533069004</v>
      </c>
      <c r="AD134" s="57">
        <v>-0.33556650844643543</v>
      </c>
      <c r="AE134" s="57">
        <v>-0.40148842645902477</v>
      </c>
      <c r="AF134" s="57">
        <v>-0.37911007008532172</v>
      </c>
      <c r="AG134" s="57">
        <v>-0.32545670536097943</v>
      </c>
      <c r="AH134" s="57">
        <v>-0.41849065850767059</v>
      </c>
      <c r="AI134" s="57">
        <v>-0.38461800624464054</v>
      </c>
      <c r="AJ134" s="57">
        <v>-0.33424164664320011</v>
      </c>
      <c r="AK134" s="57">
        <v>-0.39510119454981352</v>
      </c>
      <c r="AL134" s="57">
        <v>-0.37145012133939809</v>
      </c>
      <c r="AM134" s="57">
        <v>-0.33005323687861565</v>
      </c>
      <c r="AN134" s="57">
        <v>-0.41563158719815818</v>
      </c>
      <c r="AO134" s="57">
        <v>-0.39308568539438099</v>
      </c>
      <c r="AP134" s="57">
        <v>-0.33804007066985925</v>
      </c>
      <c r="AQ134" s="57">
        <v>-0.39130044649670387</v>
      </c>
      <c r="AR134" s="57">
        <v>-0.37176820610322919</v>
      </c>
      <c r="AS134" s="57">
        <v>-0.32479436952056034</v>
      </c>
      <c r="AT134" s="57">
        <v>-0.42857437503087431</v>
      </c>
      <c r="AU134" s="57">
        <v>-0.41732939747716119</v>
      </c>
      <c r="AV134" s="57">
        <v>-0.34012749296494105</v>
      </c>
      <c r="AW134" s="57">
        <v>-0.36769990436371131</v>
      </c>
      <c r="AX134" s="57">
        <v>-0.35393614007411106</v>
      </c>
      <c r="AY134" s="57">
        <v>-0.32508975675087876</v>
      </c>
      <c r="AZ134" s="57">
        <v>-0.41358897220306307</v>
      </c>
      <c r="BA134" s="57">
        <v>-0.39036690146206404</v>
      </c>
      <c r="BB134" s="57">
        <v>-0.33940220197960158</v>
      </c>
      <c r="BC134" s="57">
        <v>-0.39888785043992836</v>
      </c>
      <c r="BD134" s="57">
        <v>-0.37083843133013389</v>
      </c>
      <c r="BE134" s="57">
        <v>-0.32730088015532066</v>
      </c>
      <c r="BF134" s="57">
        <v>-0.38836505212778183</v>
      </c>
      <c r="BG134" s="57">
        <v>-0.3684469128899463</v>
      </c>
      <c r="BH134" s="57">
        <v>-0.33807467631934029</v>
      </c>
      <c r="BI134" s="57">
        <v>-0.38528303016679033</v>
      </c>
      <c r="BJ134" s="57">
        <v>-0.34803204506789331</v>
      </c>
      <c r="BK134" s="57">
        <v>-0.32478619464510761</v>
      </c>
      <c r="BL134" s="57">
        <v>-0.42645981801142996</v>
      </c>
      <c r="BM134" s="57">
        <v>-0.39547551721342328</v>
      </c>
      <c r="BN134" s="57">
        <v>-0.36559455295841553</v>
      </c>
      <c r="BO134" s="57">
        <v>-0.40819681172868172</v>
      </c>
      <c r="BP134" s="57">
        <v>-0.38796821078504035</v>
      </c>
      <c r="BQ134" s="57">
        <v>-0.35148930138518908</v>
      </c>
      <c r="BR134" s="57">
        <v>-0.44287734736171824</v>
      </c>
      <c r="BS134" s="57">
        <v>-0.40957165411338781</v>
      </c>
      <c r="BT134" s="57">
        <v>-0.37561219179428729</v>
      </c>
      <c r="BU134" s="57">
        <v>-0.41065538839462218</v>
      </c>
      <c r="BV134" s="57">
        <v>-0.38364739283913346</v>
      </c>
      <c r="BW134" s="57">
        <v>-0.34926106809756513</v>
      </c>
    </row>
    <row r="135" spans="1:75" x14ac:dyDescent="0.3">
      <c r="A135" s="8" t="s">
        <v>100</v>
      </c>
      <c r="B135" s="8" t="s">
        <v>10</v>
      </c>
      <c r="C135" s="8" t="s">
        <v>115</v>
      </c>
      <c r="D135" s="57">
        <v>-0.10167025946023643</v>
      </c>
      <c r="E135" s="57">
        <v>-0.10185851169639261</v>
      </c>
      <c r="F135" s="57">
        <v>-9.8110491649390022E-2</v>
      </c>
      <c r="G135" s="57">
        <v>-9.1340329480949806E-2</v>
      </c>
      <c r="H135" s="57">
        <v>-9.2840191912669637E-2</v>
      </c>
      <c r="I135" s="57">
        <v>-0.10096749177544437</v>
      </c>
      <c r="J135" s="57">
        <v>-0.10756160505516396</v>
      </c>
      <c r="K135" s="57">
        <v>-0.11611427340714756</v>
      </c>
      <c r="L135" s="57">
        <v>-0.11202181224727961</v>
      </c>
      <c r="M135" s="57">
        <v>-9.1211429359321167E-2</v>
      </c>
      <c r="N135" s="57">
        <v>-9.6193081546626744E-2</v>
      </c>
      <c r="O135" s="57">
        <v>-0.1140413063095176</v>
      </c>
      <c r="P135" s="57">
        <v>-9.8120048824801465E-2</v>
      </c>
      <c r="Q135" s="57">
        <v>-0.10940295491039603</v>
      </c>
      <c r="R135" s="57">
        <v>-0.11113298831750408</v>
      </c>
      <c r="S135" s="57">
        <v>-7.7875468754111762E-2</v>
      </c>
      <c r="T135" s="57">
        <v>-9.0794024806586382E-2</v>
      </c>
      <c r="U135" s="57">
        <v>-0.106600794212794</v>
      </c>
      <c r="V135" s="57">
        <v>-9.6656484237088308E-2</v>
      </c>
      <c r="W135" s="57">
        <v>-0.10396186397109346</v>
      </c>
      <c r="X135" s="57">
        <v>-0.10370195146493852</v>
      </c>
      <c r="Y135" s="57">
        <v>-0.10428051589902165</v>
      </c>
      <c r="Z135" s="57">
        <v>-0.10959239833318044</v>
      </c>
      <c r="AA135" s="57">
        <v>-0.11689910045481501</v>
      </c>
      <c r="AB135" s="57">
        <v>-9.6539141588883229E-2</v>
      </c>
      <c r="AC135" s="57">
        <v>-0.10409578635039331</v>
      </c>
      <c r="AD135" s="57">
        <v>-0.10101830961830108</v>
      </c>
      <c r="AE135" s="57">
        <v>-0.11060860773857681</v>
      </c>
      <c r="AF135" s="57">
        <v>-0.11550094587698552</v>
      </c>
      <c r="AG135" s="57">
        <v>-0.1062520774714651</v>
      </c>
      <c r="AH135" s="57">
        <v>-0.10617021601508631</v>
      </c>
      <c r="AI135" s="57">
        <v>-0.102144353102473</v>
      </c>
      <c r="AJ135" s="57">
        <v>-8.775202542070655E-2</v>
      </c>
      <c r="AK135" s="57">
        <v>-9.6283534377111041E-2</v>
      </c>
      <c r="AL135" s="57">
        <v>-9.7916658829288059E-2</v>
      </c>
      <c r="AM135" s="57">
        <v>-0.1007659321790829</v>
      </c>
      <c r="AN135" s="57">
        <v>-0.10375115436919452</v>
      </c>
      <c r="AO135" s="57">
        <v>-0.1104693480875984</v>
      </c>
      <c r="AP135" s="57">
        <v>-9.805884227140714E-2</v>
      </c>
      <c r="AQ135" s="57">
        <v>-7.5739047809390697E-2</v>
      </c>
      <c r="AR135" s="57">
        <v>-8.1484019568646121E-2</v>
      </c>
      <c r="AS135" s="57">
        <v>-8.9322700340913122E-2</v>
      </c>
      <c r="AT135" s="57">
        <v>-9.719379004729041E-2</v>
      </c>
      <c r="AU135" s="57">
        <v>-0.1027091317147259</v>
      </c>
      <c r="AV135" s="57">
        <v>-9.3553203878139327E-2</v>
      </c>
      <c r="AW135" s="57">
        <v>-8.0700514848045746E-2</v>
      </c>
      <c r="AX135" s="57">
        <v>-9.3317441144389182E-2</v>
      </c>
      <c r="AY135" s="57">
        <v>-0.10362815294261417</v>
      </c>
      <c r="AZ135" s="57">
        <v>-0.10878728251057129</v>
      </c>
      <c r="BA135" s="57">
        <v>-0.10976395927677055</v>
      </c>
      <c r="BB135" s="57">
        <v>-9.9843518923255478E-2</v>
      </c>
      <c r="BC135" s="57">
        <v>-0.10371074013266787</v>
      </c>
      <c r="BD135" s="57">
        <v>-0.10632993449120404</v>
      </c>
      <c r="BE135" s="57">
        <v>-0.10847658891130263</v>
      </c>
      <c r="BF135" s="57">
        <v>-8.587548382727879E-2</v>
      </c>
      <c r="BG135" s="57">
        <v>-9.686560823317579E-2</v>
      </c>
      <c r="BH135" s="57">
        <v>-0.11078758730211975</v>
      </c>
      <c r="BI135" s="57">
        <v>-8.3455567891606408E-2</v>
      </c>
      <c r="BJ135" s="57">
        <v>-9.3071647046819805E-2</v>
      </c>
      <c r="BK135" s="57">
        <v>-0.10190898343028826</v>
      </c>
      <c r="BL135" s="57">
        <v>-0.10191539042274667</v>
      </c>
      <c r="BM135" s="57">
        <v>-9.639441717537113E-2</v>
      </c>
      <c r="BN135" s="57">
        <v>-0.10968155631629632</v>
      </c>
      <c r="BO135" s="57">
        <v>-8.5543751966425483E-2</v>
      </c>
      <c r="BP135" s="57">
        <v>-9.6344033847046373E-2</v>
      </c>
      <c r="BQ135" s="57">
        <v>-0.11698719968095395</v>
      </c>
      <c r="BR135" s="57">
        <v>-9.2346049357107829E-2</v>
      </c>
      <c r="BS135" s="57">
        <v>-0.10503668711669484</v>
      </c>
      <c r="BT135" s="57">
        <v>-0.10386891296203514</v>
      </c>
      <c r="BU135" s="57">
        <v>-6.944256012227186E-2</v>
      </c>
      <c r="BV135" s="57">
        <v>-8.4328853406624313E-2</v>
      </c>
      <c r="BW135" s="57">
        <v>-0.10315031515757658</v>
      </c>
    </row>
    <row r="136" spans="1:75" x14ac:dyDescent="0.3">
      <c r="A136" s="8" t="s">
        <v>100</v>
      </c>
      <c r="B136" s="8" t="s">
        <v>10</v>
      </c>
      <c r="C136" s="8" t="s">
        <v>116</v>
      </c>
      <c r="D136" s="57">
        <v>-0.33595336104852436</v>
      </c>
      <c r="E136" s="57">
        <v>-0.31440929974651444</v>
      </c>
      <c r="F136" s="57">
        <v>-0.25780713157411517</v>
      </c>
      <c r="G136" s="57">
        <v>-0.26979743559406677</v>
      </c>
      <c r="H136" s="57">
        <v>-0.26384604515461901</v>
      </c>
      <c r="I136" s="57">
        <v>-0.23845921047745572</v>
      </c>
      <c r="J136" s="57">
        <v>-0.33143501754830945</v>
      </c>
      <c r="K136" s="57">
        <v>-0.31912301750463778</v>
      </c>
      <c r="L136" s="57">
        <v>-0.26366444674157113</v>
      </c>
      <c r="M136" s="57">
        <v>-0.28817830587928417</v>
      </c>
      <c r="N136" s="57">
        <v>-0.27003528364330176</v>
      </c>
      <c r="O136" s="57">
        <v>-0.2524869900439275</v>
      </c>
      <c r="P136" s="57">
        <v>-0.31531613164442784</v>
      </c>
      <c r="Q136" s="57">
        <v>-0.30638588161286012</v>
      </c>
      <c r="R136" s="57">
        <v>-0.25986895917012609</v>
      </c>
      <c r="S136" s="57">
        <v>-0.26747873859110988</v>
      </c>
      <c r="T136" s="57">
        <v>-0.25490251781726103</v>
      </c>
      <c r="U136" s="57">
        <v>-0.24061845531213627</v>
      </c>
      <c r="V136" s="57">
        <v>-0.30393294180142011</v>
      </c>
      <c r="W136" s="57">
        <v>-0.29281919103329546</v>
      </c>
      <c r="X136" s="57">
        <v>-0.24004358255394481</v>
      </c>
      <c r="Y136" s="57">
        <v>-0.2792670986686841</v>
      </c>
      <c r="Z136" s="57">
        <v>-0.26033291461823521</v>
      </c>
      <c r="AA136" s="57">
        <v>-0.24053593544937524</v>
      </c>
      <c r="AB136" s="57">
        <v>-0.30356599622487052</v>
      </c>
      <c r="AC136" s="57">
        <v>-0.29265564500758179</v>
      </c>
      <c r="AD136" s="57">
        <v>-0.2361877974724732</v>
      </c>
      <c r="AE136" s="57">
        <v>-0.27952700326771601</v>
      </c>
      <c r="AF136" s="57">
        <v>-0.263301125692876</v>
      </c>
      <c r="AG136" s="57">
        <v>-0.22827610341743632</v>
      </c>
      <c r="AH136" s="57">
        <v>-0.32795899853441385</v>
      </c>
      <c r="AI136" s="57">
        <v>-0.30075021953547804</v>
      </c>
      <c r="AJ136" s="57">
        <v>-0.23341384112404859</v>
      </c>
      <c r="AK136" s="57">
        <v>-0.2759778177810005</v>
      </c>
      <c r="AL136" s="57">
        <v>-0.25800945646386858</v>
      </c>
      <c r="AM136" s="57">
        <v>-0.23065087659076486</v>
      </c>
      <c r="AN136" s="57">
        <v>-0.32954477832609902</v>
      </c>
      <c r="AO136" s="57">
        <v>-0.31361200606548778</v>
      </c>
      <c r="AP136" s="57">
        <v>-0.24839363010063098</v>
      </c>
      <c r="AQ136" s="57">
        <v>-0.26354417404747965</v>
      </c>
      <c r="AR136" s="57">
        <v>-0.24972367215864152</v>
      </c>
      <c r="AS136" s="57">
        <v>-0.22447586687112414</v>
      </c>
      <c r="AT136" s="57">
        <v>-0.30561316628351598</v>
      </c>
      <c r="AU136" s="57">
        <v>-0.29434902781549122</v>
      </c>
      <c r="AV136" s="57">
        <v>-0.23372833568907958</v>
      </c>
      <c r="AW136" s="57">
        <v>-0.25547527112713958</v>
      </c>
      <c r="AX136" s="57">
        <v>-0.24772185490666346</v>
      </c>
      <c r="AY136" s="57">
        <v>-0.22912252710489389</v>
      </c>
      <c r="AZ136" s="57">
        <v>-0.32476303661526107</v>
      </c>
      <c r="BA136" s="57">
        <v>-0.30697535653394054</v>
      </c>
      <c r="BB136" s="57">
        <v>-0.24549963804601138</v>
      </c>
      <c r="BC136" s="57">
        <v>-0.28063621089138097</v>
      </c>
      <c r="BD136" s="57">
        <v>-0.26132780773835546</v>
      </c>
      <c r="BE136" s="57">
        <v>-0.23558331568664131</v>
      </c>
      <c r="BF136" s="57">
        <v>-0.29540065284211414</v>
      </c>
      <c r="BG136" s="57">
        <v>-0.28527636508229931</v>
      </c>
      <c r="BH136" s="57">
        <v>-0.24700572556279882</v>
      </c>
      <c r="BI136" s="57">
        <v>-0.26066432085304397</v>
      </c>
      <c r="BJ136" s="57">
        <v>-0.24337064136310083</v>
      </c>
      <c r="BK136" s="57">
        <v>-0.22738593333814316</v>
      </c>
      <c r="BL136" s="57">
        <v>-0.33315499205968913</v>
      </c>
      <c r="BM136" s="57">
        <v>-0.30330046846818287</v>
      </c>
      <c r="BN136" s="57">
        <v>-0.26235116549034215</v>
      </c>
      <c r="BO136" s="57">
        <v>-0.27892302138669983</v>
      </c>
      <c r="BP136" s="57">
        <v>-0.26573371585467342</v>
      </c>
      <c r="BQ136" s="57">
        <v>-0.251340599288365</v>
      </c>
      <c r="BR136" s="57">
        <v>-0.33738856676522339</v>
      </c>
      <c r="BS136" s="57">
        <v>-0.32077763174634283</v>
      </c>
      <c r="BT136" s="57">
        <v>-0.26514669872610497</v>
      </c>
      <c r="BU136" s="57">
        <v>-0.2734527815376685</v>
      </c>
      <c r="BV136" s="57">
        <v>-0.2595978644770367</v>
      </c>
      <c r="BW136" s="57">
        <v>-0.24089832410143897</v>
      </c>
    </row>
    <row r="137" spans="1:75" x14ac:dyDescent="0.3">
      <c r="A137" s="8" t="s">
        <v>100</v>
      </c>
      <c r="B137" s="8" t="s">
        <v>10</v>
      </c>
      <c r="C137" s="8" t="s">
        <v>117</v>
      </c>
      <c r="D137" s="57">
        <v>-0.30838391452283609</v>
      </c>
      <c r="E137" s="57">
        <v>-0.29031246940798211</v>
      </c>
      <c r="F137" s="57">
        <v>-0.23991105416351874</v>
      </c>
      <c r="G137" s="57">
        <v>-0.25820191389175851</v>
      </c>
      <c r="H137" s="57">
        <v>-0.24507303805595862</v>
      </c>
      <c r="I137" s="57">
        <v>-0.22109003052703663</v>
      </c>
      <c r="J137" s="57">
        <v>-0.30779384657296649</v>
      </c>
      <c r="K137" s="57">
        <v>-0.29558692240553786</v>
      </c>
      <c r="L137" s="57">
        <v>-0.2446446967381522</v>
      </c>
      <c r="M137" s="57">
        <v>-0.27125343446007294</v>
      </c>
      <c r="N137" s="57">
        <v>-0.25323226168588497</v>
      </c>
      <c r="O137" s="57">
        <v>-0.23472150760385396</v>
      </c>
      <c r="P137" s="57">
        <v>-0.29242642760340554</v>
      </c>
      <c r="Q137" s="57">
        <v>-0.28359437886683597</v>
      </c>
      <c r="R137" s="57">
        <v>-0.24152959309475378</v>
      </c>
      <c r="S137" s="57">
        <v>-0.25061055838564195</v>
      </c>
      <c r="T137" s="57">
        <v>-0.23772494563193738</v>
      </c>
      <c r="U137" s="57">
        <v>-0.22290622216289777</v>
      </c>
      <c r="V137" s="57">
        <v>-0.28594339702350807</v>
      </c>
      <c r="W137" s="57">
        <v>-0.27522062034639005</v>
      </c>
      <c r="X137" s="57">
        <v>-0.22178696746302898</v>
      </c>
      <c r="Y137" s="57">
        <v>-0.26098345491436564</v>
      </c>
      <c r="Z137" s="57">
        <v>-0.24217692292140502</v>
      </c>
      <c r="AA137" s="57">
        <v>-0.22157236221009541</v>
      </c>
      <c r="AB137" s="57">
        <v>-0.28564730720900872</v>
      </c>
      <c r="AC137" s="57">
        <v>-0.27505855802058754</v>
      </c>
      <c r="AD137" s="57">
        <v>-0.21797807435029451</v>
      </c>
      <c r="AE137" s="57">
        <v>-0.26273391468624879</v>
      </c>
      <c r="AF137" s="57">
        <v>-0.24661890291626953</v>
      </c>
      <c r="AG137" s="57">
        <v>-0.21033934424596343</v>
      </c>
      <c r="AH137" s="57">
        <v>-0.30503425675943241</v>
      </c>
      <c r="AI137" s="57">
        <v>-0.27795844843941492</v>
      </c>
      <c r="AJ137" s="57">
        <v>-0.21494807449296996</v>
      </c>
      <c r="AK137" s="57">
        <v>-0.2583809780686066</v>
      </c>
      <c r="AL137" s="57">
        <v>-0.24051900633853554</v>
      </c>
      <c r="AM137" s="57">
        <v>-0.2126642989429261</v>
      </c>
      <c r="AN137" s="57">
        <v>-0.30589756177023536</v>
      </c>
      <c r="AO137" s="57">
        <v>-0.29008193856585407</v>
      </c>
      <c r="AP137" s="57">
        <v>-0.22833548567890019</v>
      </c>
      <c r="AQ137" s="57">
        <v>-0.24668849451037905</v>
      </c>
      <c r="AR137" s="57">
        <v>-0.23296925337713192</v>
      </c>
      <c r="AS137" s="57">
        <v>-0.20638429776354494</v>
      </c>
      <c r="AT137" s="57">
        <v>-0.28729917670042643</v>
      </c>
      <c r="AU137" s="57">
        <v>-0.27673657835233473</v>
      </c>
      <c r="AV137" s="57">
        <v>-0.21618759985643973</v>
      </c>
      <c r="AW137" s="57">
        <v>-0.23722106877008214</v>
      </c>
      <c r="AX137" s="57">
        <v>-0.2295651233124997</v>
      </c>
      <c r="AY137" s="57">
        <v>-0.21088949855388014</v>
      </c>
      <c r="AZ137" s="57">
        <v>-0.30186728880937425</v>
      </c>
      <c r="BA137" s="57">
        <v>-0.28418215809757391</v>
      </c>
      <c r="BB137" s="57">
        <v>-0.22616845357426205</v>
      </c>
      <c r="BC137" s="57">
        <v>-0.263045771220003</v>
      </c>
      <c r="BD137" s="57">
        <v>-0.24355839096869639</v>
      </c>
      <c r="BE137" s="57">
        <v>-0.21675189762958716</v>
      </c>
      <c r="BF137" s="57">
        <v>-0.27329098737720453</v>
      </c>
      <c r="BG137" s="57">
        <v>-0.26282223535620841</v>
      </c>
      <c r="BH137" s="57">
        <v>-0.22771358864650493</v>
      </c>
      <c r="BI137" s="57">
        <v>-0.24385796147720243</v>
      </c>
      <c r="BJ137" s="57">
        <v>-0.22519085872968816</v>
      </c>
      <c r="BK137" s="57">
        <v>-0.20933275975535307</v>
      </c>
      <c r="BL137" s="57">
        <v>-0.31018311190211767</v>
      </c>
      <c r="BM137" s="57">
        <v>-0.2812012640908042</v>
      </c>
      <c r="BN137" s="57">
        <v>-0.24389535520826597</v>
      </c>
      <c r="BO137" s="57">
        <v>-0.26202477562026943</v>
      </c>
      <c r="BP137" s="57">
        <v>-0.24895512430398489</v>
      </c>
      <c r="BQ137" s="57">
        <v>-0.23326112873349272</v>
      </c>
      <c r="BR137" s="57">
        <v>-0.31536455944778047</v>
      </c>
      <c r="BS137" s="57">
        <v>-0.29788767851598802</v>
      </c>
      <c r="BT137" s="57">
        <v>-0.24723497761945815</v>
      </c>
      <c r="BU137" s="57">
        <v>-0.2571026815024795</v>
      </c>
      <c r="BV137" s="57">
        <v>-0.24280118006103155</v>
      </c>
      <c r="BW137" s="57">
        <v>-0.22370416672829366</v>
      </c>
    </row>
    <row r="138" spans="1:75" x14ac:dyDescent="0.3">
      <c r="A138" s="8" t="s">
        <v>100</v>
      </c>
      <c r="B138" s="8" t="s">
        <v>10</v>
      </c>
      <c r="C138" s="8" t="s">
        <v>118</v>
      </c>
      <c r="D138" s="57">
        <v>-0.33391638697772003</v>
      </c>
      <c r="E138" s="57">
        <v>-0.3209642045020768</v>
      </c>
      <c r="F138" s="57">
        <v>-0.27829895559373863</v>
      </c>
      <c r="G138" s="57">
        <v>-0.29419946707632261</v>
      </c>
      <c r="H138" s="57">
        <v>-0.28275030847296667</v>
      </c>
      <c r="I138" s="57">
        <v>-0.25836392450135764</v>
      </c>
      <c r="J138" s="57">
        <v>-0.34053472877406077</v>
      </c>
      <c r="K138" s="57">
        <v>-0.3264619971071771</v>
      </c>
      <c r="L138" s="57">
        <v>-0.27986748518040178</v>
      </c>
      <c r="M138" s="57">
        <v>-0.31540789213172549</v>
      </c>
      <c r="N138" s="57">
        <v>-0.29533013578497747</v>
      </c>
      <c r="O138" s="57">
        <v>-0.27125856285314087</v>
      </c>
      <c r="P138" s="57">
        <v>-0.32607765739922129</v>
      </c>
      <c r="Q138" s="57">
        <v>-0.31543051577043207</v>
      </c>
      <c r="R138" s="57">
        <v>-0.27789052142173509</v>
      </c>
      <c r="S138" s="57">
        <v>-0.29414770693785908</v>
      </c>
      <c r="T138" s="57">
        <v>-0.27806289334382528</v>
      </c>
      <c r="U138" s="57">
        <v>-0.25911229865943114</v>
      </c>
      <c r="V138" s="57">
        <v>-0.32889299874632599</v>
      </c>
      <c r="W138" s="57">
        <v>-0.31714935461010901</v>
      </c>
      <c r="X138" s="57">
        <v>-0.25708223888100645</v>
      </c>
      <c r="Y138" s="57">
        <v>-0.30008646130726324</v>
      </c>
      <c r="Z138" s="57">
        <v>-0.27912339198656755</v>
      </c>
      <c r="AA138" s="57">
        <v>-0.25411254190706328</v>
      </c>
      <c r="AB138" s="57">
        <v>-0.32872074573929772</v>
      </c>
      <c r="AC138" s="57">
        <v>-0.31696066121361827</v>
      </c>
      <c r="AD138" s="57">
        <v>-0.25325460457913695</v>
      </c>
      <c r="AE138" s="57">
        <v>-0.3043602682180816</v>
      </c>
      <c r="AF138" s="57">
        <v>-0.28636625306698521</v>
      </c>
      <c r="AG138" s="57">
        <v>-0.2448745525804682</v>
      </c>
      <c r="AH138" s="57">
        <v>-0.33907117728390385</v>
      </c>
      <c r="AI138" s="57">
        <v>-0.30995631578098265</v>
      </c>
      <c r="AJ138" s="57">
        <v>-0.25073614613803902</v>
      </c>
      <c r="AK138" s="57">
        <v>-0.29939704301296871</v>
      </c>
      <c r="AL138" s="57">
        <v>-0.27979834083879435</v>
      </c>
      <c r="AM138" s="57">
        <v>-0.24788098032363293</v>
      </c>
      <c r="AN138" s="57">
        <v>-0.33881776939861225</v>
      </c>
      <c r="AO138" s="57">
        <v>-0.32098306261441217</v>
      </c>
      <c r="AP138" s="57">
        <v>-0.26124686117618789</v>
      </c>
      <c r="AQ138" s="57">
        <v>-0.29007208010627644</v>
      </c>
      <c r="AR138" s="57">
        <v>-0.27460893919496115</v>
      </c>
      <c r="AS138" s="57">
        <v>-0.2419073192906496</v>
      </c>
      <c r="AT138" s="57">
        <v>-0.32968173619956076</v>
      </c>
      <c r="AU138" s="57">
        <v>-0.31891442408978271</v>
      </c>
      <c r="AV138" s="57">
        <v>-0.25336956778899011</v>
      </c>
      <c r="AW138" s="57">
        <v>-0.27636471944817093</v>
      </c>
      <c r="AX138" s="57">
        <v>-0.26687642834098307</v>
      </c>
      <c r="AY138" s="57">
        <v>-0.24514957601297999</v>
      </c>
      <c r="AZ138" s="57">
        <v>-0.3353837938274809</v>
      </c>
      <c r="BA138" s="57">
        <v>-0.31603758110692104</v>
      </c>
      <c r="BB138" s="57">
        <v>-0.26013857809586394</v>
      </c>
      <c r="BC138" s="57">
        <v>-0.3037983949859806</v>
      </c>
      <c r="BD138" s="57">
        <v>-0.28174240307712783</v>
      </c>
      <c r="BE138" s="57">
        <v>-0.24991659238730721</v>
      </c>
      <c r="BF138" s="57">
        <v>-0.30781320680237795</v>
      </c>
      <c r="BG138" s="57">
        <v>-0.29450963861632984</v>
      </c>
      <c r="BH138" s="57">
        <v>-0.26082191494835549</v>
      </c>
      <c r="BI138" s="57">
        <v>-0.28628548208407872</v>
      </c>
      <c r="BJ138" s="57">
        <v>-0.26204321463114977</v>
      </c>
      <c r="BK138" s="57">
        <v>-0.24396879022227946</v>
      </c>
      <c r="BL138" s="57">
        <v>-0.34506612373491119</v>
      </c>
      <c r="BM138" s="57">
        <v>-0.31548354002758994</v>
      </c>
      <c r="BN138" s="57">
        <v>-0.28040511453331096</v>
      </c>
      <c r="BO138" s="57">
        <v>-0.30587638645279347</v>
      </c>
      <c r="BP138" s="57">
        <v>-0.29065905024830152</v>
      </c>
      <c r="BQ138" s="57">
        <v>-0.26872958052900175</v>
      </c>
      <c r="BR138" s="57">
        <v>-0.35361839582196186</v>
      </c>
      <c r="BS138" s="57">
        <v>-0.33139287119520805</v>
      </c>
      <c r="BT138" s="57">
        <v>-0.285748141871907</v>
      </c>
      <c r="BU138" s="57">
        <v>-0.30316849357012232</v>
      </c>
      <c r="BV138" s="57">
        <v>-0.28505504389446229</v>
      </c>
      <c r="BW138" s="57">
        <v>-0.26137123713907501</v>
      </c>
    </row>
  </sheetData>
  <phoneticPr fontId="1" type="noConversion"/>
  <pageMargins left="0.75" right="0.75" top="1" bottom="1" header="0" footer="0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6">
    <tabColor indexed="47"/>
  </sheetPr>
  <dimension ref="A1:BW138"/>
  <sheetViews>
    <sheetView showRowColHeaders="0" workbookViewId="0">
      <pane xSplit="3" ySplit="3" topLeftCell="AT4" activePane="bottomRight" state="frozen"/>
      <selection pane="topRight"/>
      <selection pane="bottomLeft"/>
      <selection pane="bottomRight" activeCell="D4" sqref="D4"/>
    </sheetView>
  </sheetViews>
  <sheetFormatPr baseColWidth="10" defaultColWidth="11.44140625" defaultRowHeight="13.8" x14ac:dyDescent="0.3"/>
  <cols>
    <col min="1" max="2" width="4.5546875" style="8" bestFit="1" customWidth="1"/>
    <col min="3" max="3" width="7" style="8" bestFit="1" customWidth="1"/>
    <col min="4" max="75" width="8.33203125" style="6" bestFit="1" customWidth="1"/>
    <col min="76" max="16384" width="11.44140625" style="6"/>
  </cols>
  <sheetData>
    <row r="1" spans="1:75" s="9" customFormat="1" x14ac:dyDescent="0.3">
      <c r="A1" s="7" t="s">
        <v>165</v>
      </c>
      <c r="B1" s="7" t="s">
        <v>166</v>
      </c>
      <c r="C1" s="7" t="s">
        <v>169</v>
      </c>
      <c r="D1" s="51" t="s">
        <v>21</v>
      </c>
      <c r="E1" s="9" t="s">
        <v>21</v>
      </c>
      <c r="F1" s="9" t="s">
        <v>21</v>
      </c>
      <c r="G1" s="9" t="s">
        <v>21</v>
      </c>
      <c r="H1" s="9" t="s">
        <v>21</v>
      </c>
      <c r="I1" s="9" t="s">
        <v>21</v>
      </c>
      <c r="J1" s="9" t="s">
        <v>29</v>
      </c>
      <c r="K1" s="9" t="s">
        <v>29</v>
      </c>
      <c r="L1" s="9" t="s">
        <v>29</v>
      </c>
      <c r="M1" s="9" t="s">
        <v>29</v>
      </c>
      <c r="N1" s="9" t="s">
        <v>29</v>
      </c>
      <c r="O1" s="9" t="s">
        <v>29</v>
      </c>
      <c r="P1" s="9" t="s">
        <v>30</v>
      </c>
      <c r="Q1" s="9" t="s">
        <v>30</v>
      </c>
      <c r="R1" s="9" t="s">
        <v>30</v>
      </c>
      <c r="S1" s="9" t="s">
        <v>30</v>
      </c>
      <c r="T1" s="9" t="s">
        <v>30</v>
      </c>
      <c r="U1" s="9" t="s">
        <v>30</v>
      </c>
      <c r="V1" s="9" t="s">
        <v>31</v>
      </c>
      <c r="W1" s="9" t="s">
        <v>31</v>
      </c>
      <c r="X1" s="9" t="s">
        <v>31</v>
      </c>
      <c r="Y1" s="9" t="s">
        <v>31</v>
      </c>
      <c r="Z1" s="9" t="s">
        <v>31</v>
      </c>
      <c r="AA1" s="9" t="s">
        <v>31</v>
      </c>
      <c r="AB1" s="9" t="s">
        <v>32</v>
      </c>
      <c r="AC1" s="9" t="s">
        <v>32</v>
      </c>
      <c r="AD1" s="9" t="s">
        <v>32</v>
      </c>
      <c r="AE1" s="9" t="s">
        <v>32</v>
      </c>
      <c r="AF1" s="9" t="s">
        <v>32</v>
      </c>
      <c r="AG1" s="9" t="s">
        <v>32</v>
      </c>
      <c r="AH1" s="9" t="s">
        <v>33</v>
      </c>
      <c r="AI1" s="9" t="s">
        <v>33</v>
      </c>
      <c r="AJ1" s="9" t="s">
        <v>33</v>
      </c>
      <c r="AK1" s="9" t="s">
        <v>33</v>
      </c>
      <c r="AL1" s="9" t="s">
        <v>33</v>
      </c>
      <c r="AM1" s="9" t="s">
        <v>33</v>
      </c>
      <c r="AN1" s="9" t="s">
        <v>34</v>
      </c>
      <c r="AO1" s="9" t="s">
        <v>34</v>
      </c>
      <c r="AP1" s="9" t="s">
        <v>34</v>
      </c>
      <c r="AQ1" s="9" t="s">
        <v>34</v>
      </c>
      <c r="AR1" s="9" t="s">
        <v>34</v>
      </c>
      <c r="AS1" s="9" t="s">
        <v>34</v>
      </c>
      <c r="AT1" s="9" t="s">
        <v>35</v>
      </c>
      <c r="AU1" s="9" t="s">
        <v>35</v>
      </c>
      <c r="AV1" s="9" t="s">
        <v>35</v>
      </c>
      <c r="AW1" s="9" t="s">
        <v>35</v>
      </c>
      <c r="AX1" s="9" t="s">
        <v>35</v>
      </c>
      <c r="AY1" s="9" t="s">
        <v>35</v>
      </c>
      <c r="AZ1" s="9" t="s">
        <v>36</v>
      </c>
      <c r="BA1" s="9" t="s">
        <v>36</v>
      </c>
      <c r="BB1" s="9" t="s">
        <v>36</v>
      </c>
      <c r="BC1" s="9" t="s">
        <v>36</v>
      </c>
      <c r="BD1" s="9" t="s">
        <v>36</v>
      </c>
      <c r="BE1" s="9" t="s">
        <v>36</v>
      </c>
      <c r="BF1" s="9" t="s">
        <v>37</v>
      </c>
      <c r="BG1" s="9" t="s">
        <v>37</v>
      </c>
      <c r="BH1" s="9" t="s">
        <v>37</v>
      </c>
      <c r="BI1" s="9" t="s">
        <v>37</v>
      </c>
      <c r="BJ1" s="9" t="s">
        <v>37</v>
      </c>
      <c r="BK1" s="9" t="s">
        <v>37</v>
      </c>
      <c r="BL1" s="9" t="s">
        <v>38</v>
      </c>
      <c r="BM1" s="9" t="s">
        <v>38</v>
      </c>
      <c r="BN1" s="9" t="s">
        <v>38</v>
      </c>
      <c r="BO1" s="9" t="s">
        <v>38</v>
      </c>
      <c r="BP1" s="9" t="s">
        <v>38</v>
      </c>
      <c r="BQ1" s="9" t="s">
        <v>38</v>
      </c>
      <c r="BR1" s="9" t="s">
        <v>22</v>
      </c>
      <c r="BS1" s="9" t="s">
        <v>22</v>
      </c>
      <c r="BT1" s="9" t="s">
        <v>22</v>
      </c>
      <c r="BU1" s="9" t="s">
        <v>22</v>
      </c>
      <c r="BV1" s="9" t="s">
        <v>22</v>
      </c>
      <c r="BW1" s="9" t="s">
        <v>22</v>
      </c>
    </row>
    <row r="2" spans="1:75" s="9" customFormat="1" x14ac:dyDescent="0.3">
      <c r="A2" s="7"/>
      <c r="B2" s="7"/>
      <c r="C2" s="7"/>
      <c r="D2" s="51" t="s">
        <v>156</v>
      </c>
      <c r="E2" s="9" t="s">
        <v>156</v>
      </c>
      <c r="F2" s="9" t="s">
        <v>156</v>
      </c>
      <c r="G2" s="9" t="s">
        <v>39</v>
      </c>
      <c r="H2" s="9" t="s">
        <v>39</v>
      </c>
      <c r="I2" s="9" t="s">
        <v>39</v>
      </c>
      <c r="J2" s="9" t="s">
        <v>156</v>
      </c>
      <c r="K2" s="9" t="s">
        <v>156</v>
      </c>
      <c r="L2" s="9" t="s">
        <v>156</v>
      </c>
      <c r="M2" s="9" t="s">
        <v>39</v>
      </c>
      <c r="N2" s="9" t="s">
        <v>39</v>
      </c>
      <c r="O2" s="9" t="s">
        <v>39</v>
      </c>
      <c r="P2" s="9" t="s">
        <v>156</v>
      </c>
      <c r="Q2" s="9" t="s">
        <v>156</v>
      </c>
      <c r="R2" s="9" t="s">
        <v>156</v>
      </c>
      <c r="S2" s="9" t="s">
        <v>39</v>
      </c>
      <c r="T2" s="9" t="s">
        <v>39</v>
      </c>
      <c r="U2" s="9" t="s">
        <v>39</v>
      </c>
      <c r="V2" s="9" t="s">
        <v>156</v>
      </c>
      <c r="W2" s="9" t="s">
        <v>156</v>
      </c>
      <c r="X2" s="9" t="s">
        <v>156</v>
      </c>
      <c r="Y2" s="9" t="s">
        <v>39</v>
      </c>
      <c r="Z2" s="9" t="s">
        <v>39</v>
      </c>
      <c r="AA2" s="9" t="s">
        <v>39</v>
      </c>
      <c r="AB2" s="9" t="s">
        <v>156</v>
      </c>
      <c r="AC2" s="9" t="s">
        <v>156</v>
      </c>
      <c r="AD2" s="9" t="s">
        <v>156</v>
      </c>
      <c r="AE2" s="9" t="s">
        <v>39</v>
      </c>
      <c r="AF2" s="9" t="s">
        <v>39</v>
      </c>
      <c r="AG2" s="9" t="s">
        <v>39</v>
      </c>
      <c r="AH2" s="9" t="s">
        <v>156</v>
      </c>
      <c r="AI2" s="9" t="s">
        <v>156</v>
      </c>
      <c r="AJ2" s="9" t="s">
        <v>156</v>
      </c>
      <c r="AK2" s="9" t="s">
        <v>39</v>
      </c>
      <c r="AL2" s="9" t="s">
        <v>39</v>
      </c>
      <c r="AM2" s="9" t="s">
        <v>39</v>
      </c>
      <c r="AN2" s="9" t="s">
        <v>156</v>
      </c>
      <c r="AO2" s="9" t="s">
        <v>156</v>
      </c>
      <c r="AP2" s="9" t="s">
        <v>156</v>
      </c>
      <c r="AQ2" s="9" t="s">
        <v>39</v>
      </c>
      <c r="AR2" s="9" t="s">
        <v>39</v>
      </c>
      <c r="AS2" s="9" t="s">
        <v>39</v>
      </c>
      <c r="AT2" s="9" t="s">
        <v>156</v>
      </c>
      <c r="AU2" s="9" t="s">
        <v>156</v>
      </c>
      <c r="AV2" s="9" t="s">
        <v>156</v>
      </c>
      <c r="AW2" s="9" t="s">
        <v>39</v>
      </c>
      <c r="AX2" s="9" t="s">
        <v>39</v>
      </c>
      <c r="AY2" s="9" t="s">
        <v>39</v>
      </c>
      <c r="AZ2" s="9" t="s">
        <v>156</v>
      </c>
      <c r="BA2" s="9" t="s">
        <v>156</v>
      </c>
      <c r="BB2" s="9" t="s">
        <v>156</v>
      </c>
      <c r="BC2" s="9" t="s">
        <v>39</v>
      </c>
      <c r="BD2" s="9" t="s">
        <v>39</v>
      </c>
      <c r="BE2" s="9" t="s">
        <v>39</v>
      </c>
      <c r="BF2" s="9" t="s">
        <v>156</v>
      </c>
      <c r="BG2" s="9" t="s">
        <v>156</v>
      </c>
      <c r="BH2" s="9" t="s">
        <v>156</v>
      </c>
      <c r="BI2" s="9" t="s">
        <v>39</v>
      </c>
      <c r="BJ2" s="9" t="s">
        <v>39</v>
      </c>
      <c r="BK2" s="9" t="s">
        <v>39</v>
      </c>
      <c r="BL2" s="9" t="s">
        <v>156</v>
      </c>
      <c r="BM2" s="9" t="s">
        <v>156</v>
      </c>
      <c r="BN2" s="9" t="s">
        <v>156</v>
      </c>
      <c r="BO2" s="9" t="s">
        <v>39</v>
      </c>
      <c r="BP2" s="9" t="s">
        <v>39</v>
      </c>
      <c r="BQ2" s="9" t="s">
        <v>39</v>
      </c>
      <c r="BR2" s="9" t="s">
        <v>156</v>
      </c>
      <c r="BS2" s="9" t="s">
        <v>156</v>
      </c>
      <c r="BT2" s="9" t="s">
        <v>156</v>
      </c>
      <c r="BU2" s="9" t="s">
        <v>39</v>
      </c>
      <c r="BV2" s="9" t="s">
        <v>39</v>
      </c>
      <c r="BW2" s="9" t="s">
        <v>39</v>
      </c>
    </row>
    <row r="3" spans="1:75" s="9" customFormat="1" x14ac:dyDescent="0.3">
      <c r="A3" s="7"/>
      <c r="B3" s="7"/>
      <c r="C3" s="7"/>
      <c r="D3" s="51" t="s">
        <v>26</v>
      </c>
      <c r="E3" s="9" t="s">
        <v>56</v>
      </c>
      <c r="F3" s="9" t="s">
        <v>57</v>
      </c>
      <c r="G3" s="9" t="s">
        <v>26</v>
      </c>
      <c r="H3" s="9" t="s">
        <v>56</v>
      </c>
      <c r="I3" s="9" t="s">
        <v>57</v>
      </c>
      <c r="J3" s="9" t="s">
        <v>26</v>
      </c>
      <c r="K3" s="9" t="s">
        <v>56</v>
      </c>
      <c r="L3" s="9" t="s">
        <v>57</v>
      </c>
      <c r="M3" s="9" t="s">
        <v>26</v>
      </c>
      <c r="N3" s="9" t="s">
        <v>56</v>
      </c>
      <c r="O3" s="9" t="s">
        <v>57</v>
      </c>
      <c r="P3" s="9" t="s">
        <v>26</v>
      </c>
      <c r="Q3" s="9" t="s">
        <v>56</v>
      </c>
      <c r="R3" s="9" t="s">
        <v>57</v>
      </c>
      <c r="S3" s="9" t="s">
        <v>26</v>
      </c>
      <c r="T3" s="9" t="s">
        <v>56</v>
      </c>
      <c r="U3" s="9" t="s">
        <v>57</v>
      </c>
      <c r="V3" s="9" t="s">
        <v>26</v>
      </c>
      <c r="W3" s="9" t="s">
        <v>56</v>
      </c>
      <c r="X3" s="9" t="s">
        <v>57</v>
      </c>
      <c r="Y3" s="9" t="s">
        <v>26</v>
      </c>
      <c r="Z3" s="9" t="s">
        <v>56</v>
      </c>
      <c r="AA3" s="9" t="s">
        <v>57</v>
      </c>
      <c r="AB3" s="9" t="s">
        <v>26</v>
      </c>
      <c r="AC3" s="9" t="s">
        <v>56</v>
      </c>
      <c r="AD3" s="9" t="s">
        <v>57</v>
      </c>
      <c r="AE3" s="9" t="s">
        <v>26</v>
      </c>
      <c r="AF3" s="9" t="s">
        <v>56</v>
      </c>
      <c r="AG3" s="9" t="s">
        <v>57</v>
      </c>
      <c r="AH3" s="9" t="s">
        <v>26</v>
      </c>
      <c r="AI3" s="9" t="s">
        <v>56</v>
      </c>
      <c r="AJ3" s="9" t="s">
        <v>57</v>
      </c>
      <c r="AK3" s="9" t="s">
        <v>26</v>
      </c>
      <c r="AL3" s="9" t="s">
        <v>56</v>
      </c>
      <c r="AM3" s="9" t="s">
        <v>57</v>
      </c>
      <c r="AN3" s="9" t="s">
        <v>26</v>
      </c>
      <c r="AO3" s="9" t="s">
        <v>56</v>
      </c>
      <c r="AP3" s="9" t="s">
        <v>57</v>
      </c>
      <c r="AQ3" s="9" t="s">
        <v>26</v>
      </c>
      <c r="AR3" s="9" t="s">
        <v>56</v>
      </c>
      <c r="AS3" s="9" t="s">
        <v>57</v>
      </c>
      <c r="AT3" s="9" t="s">
        <v>26</v>
      </c>
      <c r="AU3" s="9" t="s">
        <v>56</v>
      </c>
      <c r="AV3" s="9" t="s">
        <v>57</v>
      </c>
      <c r="AW3" s="9" t="s">
        <v>26</v>
      </c>
      <c r="AX3" s="9" t="s">
        <v>56</v>
      </c>
      <c r="AY3" s="9" t="s">
        <v>57</v>
      </c>
      <c r="AZ3" s="9" t="s">
        <v>26</v>
      </c>
      <c r="BA3" s="9" t="s">
        <v>56</v>
      </c>
      <c r="BB3" s="9" t="s">
        <v>57</v>
      </c>
      <c r="BC3" s="9" t="s">
        <v>26</v>
      </c>
      <c r="BD3" s="9" t="s">
        <v>56</v>
      </c>
      <c r="BE3" s="9" t="s">
        <v>57</v>
      </c>
      <c r="BF3" s="9" t="s">
        <v>26</v>
      </c>
      <c r="BG3" s="9" t="s">
        <v>56</v>
      </c>
      <c r="BH3" s="9" t="s">
        <v>57</v>
      </c>
      <c r="BI3" s="9" t="s">
        <v>26</v>
      </c>
      <c r="BJ3" s="9" t="s">
        <v>56</v>
      </c>
      <c r="BK3" s="9" t="s">
        <v>57</v>
      </c>
      <c r="BL3" s="9" t="s">
        <v>26</v>
      </c>
      <c r="BM3" s="9" t="s">
        <v>56</v>
      </c>
      <c r="BN3" s="9" t="s">
        <v>57</v>
      </c>
      <c r="BO3" s="9" t="s">
        <v>26</v>
      </c>
      <c r="BP3" s="9" t="s">
        <v>56</v>
      </c>
      <c r="BQ3" s="9" t="s">
        <v>57</v>
      </c>
      <c r="BR3" s="9" t="s">
        <v>26</v>
      </c>
      <c r="BS3" s="9" t="s">
        <v>56</v>
      </c>
      <c r="BT3" s="9" t="s">
        <v>57</v>
      </c>
      <c r="BU3" s="9" t="s">
        <v>26</v>
      </c>
      <c r="BV3" s="9" t="s">
        <v>56</v>
      </c>
      <c r="BW3" s="9" t="s">
        <v>57</v>
      </c>
    </row>
    <row r="4" spans="1:75" x14ac:dyDescent="0.3">
      <c r="A4" s="7" t="s">
        <v>89</v>
      </c>
      <c r="B4" s="7" t="s">
        <v>8</v>
      </c>
      <c r="C4" s="7" t="s">
        <v>108</v>
      </c>
      <c r="D4" s="52">
        <v>52.000000000000043</v>
      </c>
      <c r="E4" s="52">
        <v>50.000000000000014</v>
      </c>
      <c r="F4" s="52">
        <v>31.000000000000004</v>
      </c>
      <c r="G4" s="52">
        <v>50.000000000000014</v>
      </c>
      <c r="H4" s="52">
        <v>49.999999999999972</v>
      </c>
      <c r="I4" s="52">
        <v>31.000000000000004</v>
      </c>
      <c r="J4" s="52">
        <v>50</v>
      </c>
      <c r="K4" s="52">
        <v>50</v>
      </c>
      <c r="L4" s="52">
        <v>30.999999999999996</v>
      </c>
      <c r="M4" s="52">
        <v>50.000000000000007</v>
      </c>
      <c r="N4" s="52">
        <v>49.999999999999972</v>
      </c>
      <c r="O4" s="52">
        <v>31</v>
      </c>
      <c r="P4" s="52">
        <v>50.000000000000007</v>
      </c>
      <c r="Q4" s="52">
        <v>49.999999999999972</v>
      </c>
      <c r="R4" s="52">
        <v>30.999999999999996</v>
      </c>
      <c r="S4" s="52">
        <v>50</v>
      </c>
      <c r="T4" s="52">
        <v>49.999999999999972</v>
      </c>
      <c r="U4" s="52">
        <v>31</v>
      </c>
      <c r="V4" s="52">
        <v>49.999999999999993</v>
      </c>
      <c r="W4" s="52">
        <v>50</v>
      </c>
      <c r="X4" s="52">
        <v>29.999999999999996</v>
      </c>
      <c r="Y4" s="52">
        <v>49.999999999999993</v>
      </c>
      <c r="Z4" s="52">
        <v>50.000000000000007</v>
      </c>
      <c r="AA4" s="52">
        <v>32.480519480519469</v>
      </c>
      <c r="AB4" s="52">
        <v>50</v>
      </c>
      <c r="AC4" s="52">
        <v>50</v>
      </c>
      <c r="AD4" s="52">
        <v>30.999999999999996</v>
      </c>
      <c r="AE4" s="52">
        <v>49.999999999999986</v>
      </c>
      <c r="AF4" s="52">
        <v>50.000000000000007</v>
      </c>
      <c r="AG4" s="52">
        <v>84.833333333333258</v>
      </c>
      <c r="AH4" s="52">
        <v>50.000000000000021</v>
      </c>
      <c r="AI4" s="52">
        <v>49.999999999999972</v>
      </c>
      <c r="AJ4" s="52">
        <v>30.999999999999996</v>
      </c>
      <c r="AK4" s="52">
        <v>49.999999999999972</v>
      </c>
      <c r="AL4" s="52">
        <v>49.999999999999972</v>
      </c>
      <c r="AM4" s="52">
        <v>30.999999999999996</v>
      </c>
      <c r="AN4" s="52">
        <v>50</v>
      </c>
      <c r="AO4" s="52">
        <v>50</v>
      </c>
      <c r="AP4" s="52">
        <v>31.000000000000007</v>
      </c>
      <c r="AQ4" s="52">
        <v>49.999999999999986</v>
      </c>
      <c r="AR4" s="52">
        <v>49.999999999999993</v>
      </c>
      <c r="AS4" s="52">
        <v>30.999999999999996</v>
      </c>
      <c r="AT4" s="52">
        <v>49.999999999999993</v>
      </c>
      <c r="AU4" s="52">
        <v>49.999999999999993</v>
      </c>
      <c r="AV4" s="52">
        <v>0</v>
      </c>
      <c r="AW4" s="52">
        <v>49.999999999999986</v>
      </c>
      <c r="AX4" s="52">
        <v>49.999999999999979</v>
      </c>
      <c r="AY4" s="52">
        <v>106.77777777777777</v>
      </c>
      <c r="AZ4" s="52">
        <v>50</v>
      </c>
      <c r="BA4" s="52">
        <v>49.999999999999972</v>
      </c>
      <c r="BB4" s="52">
        <v>30.999999999999986</v>
      </c>
      <c r="BC4" s="52">
        <v>50</v>
      </c>
      <c r="BD4" s="52">
        <v>49.999999999999986</v>
      </c>
      <c r="BE4" s="52">
        <v>31</v>
      </c>
      <c r="BF4" s="52">
        <v>52.000000000000021</v>
      </c>
      <c r="BG4" s="52">
        <v>50</v>
      </c>
      <c r="BH4" s="52">
        <v>0</v>
      </c>
      <c r="BI4" s="52">
        <v>49.999999999999993</v>
      </c>
      <c r="BJ4" s="52">
        <v>49.999999999999979</v>
      </c>
      <c r="BK4" s="52">
        <v>97.305555555555557</v>
      </c>
      <c r="BL4" s="52">
        <v>51.999999999999972</v>
      </c>
      <c r="BM4" s="52">
        <v>34.000000000000007</v>
      </c>
      <c r="BN4" s="52">
        <v>0</v>
      </c>
      <c r="BO4" s="52">
        <v>52.000000000000014</v>
      </c>
      <c r="BP4" s="52">
        <v>89.384615384615302</v>
      </c>
      <c r="BQ4" s="52">
        <v>94.291666666666671</v>
      </c>
      <c r="BR4" s="52">
        <v>52.000000000000021</v>
      </c>
      <c r="BS4" s="52">
        <v>50</v>
      </c>
      <c r="BT4" s="52">
        <v>31.000000000000007</v>
      </c>
      <c r="BU4" s="52">
        <v>52.000000000000036</v>
      </c>
      <c r="BV4" s="52">
        <v>47.999999999999972</v>
      </c>
      <c r="BW4" s="52">
        <v>29.999999999999982</v>
      </c>
    </row>
    <row r="5" spans="1:75" x14ac:dyDescent="0.3">
      <c r="A5" s="7" t="s">
        <v>89</v>
      </c>
      <c r="B5" s="7" t="s">
        <v>8</v>
      </c>
      <c r="C5" s="7" t="s">
        <v>109</v>
      </c>
      <c r="D5" s="52">
        <v>52.000000000000007</v>
      </c>
      <c r="E5" s="52">
        <v>50.000000000000014</v>
      </c>
      <c r="F5" s="52">
        <v>30.999999999999996</v>
      </c>
      <c r="G5" s="52">
        <v>50.000000000000014</v>
      </c>
      <c r="H5" s="52">
        <v>49.999999999999972</v>
      </c>
      <c r="I5" s="52">
        <v>31.000000000000004</v>
      </c>
      <c r="J5" s="52">
        <v>50.000000000000007</v>
      </c>
      <c r="K5" s="52">
        <v>50</v>
      </c>
      <c r="L5" s="52">
        <v>30.999999999999996</v>
      </c>
      <c r="M5" s="52">
        <v>50.000000000000007</v>
      </c>
      <c r="N5" s="52">
        <v>49.999999999999972</v>
      </c>
      <c r="O5" s="52">
        <v>31</v>
      </c>
      <c r="P5" s="52">
        <v>50.000000000000007</v>
      </c>
      <c r="Q5" s="52">
        <v>49.999999999999972</v>
      </c>
      <c r="R5" s="52">
        <v>31</v>
      </c>
      <c r="S5" s="52">
        <v>50</v>
      </c>
      <c r="T5" s="52">
        <v>49.999999999999972</v>
      </c>
      <c r="U5" s="52">
        <v>31</v>
      </c>
      <c r="V5" s="52">
        <v>49.999999999999993</v>
      </c>
      <c r="W5" s="52">
        <v>50</v>
      </c>
      <c r="X5" s="52">
        <v>30</v>
      </c>
      <c r="Y5" s="52">
        <v>49.999999999999986</v>
      </c>
      <c r="Z5" s="52">
        <v>50.000000000000036</v>
      </c>
      <c r="AA5" s="52">
        <v>32.480519480519469</v>
      </c>
      <c r="AB5" s="52">
        <v>50</v>
      </c>
      <c r="AC5" s="52">
        <v>50</v>
      </c>
      <c r="AD5" s="52">
        <v>30.999999999999996</v>
      </c>
      <c r="AE5" s="52">
        <v>49.999999999999986</v>
      </c>
      <c r="AF5" s="52">
        <v>50.000000000000007</v>
      </c>
      <c r="AG5" s="52">
        <v>84.833333333333258</v>
      </c>
      <c r="AH5" s="52">
        <v>50.000000000000021</v>
      </c>
      <c r="AI5" s="52">
        <v>49.999999999999972</v>
      </c>
      <c r="AJ5" s="52">
        <v>31</v>
      </c>
      <c r="AK5" s="52">
        <v>49.999999999999979</v>
      </c>
      <c r="AL5" s="52">
        <v>49.999999999999972</v>
      </c>
      <c r="AM5" s="52">
        <v>31</v>
      </c>
      <c r="AN5" s="52">
        <v>50</v>
      </c>
      <c r="AO5" s="52">
        <v>50</v>
      </c>
      <c r="AP5" s="52">
        <v>31</v>
      </c>
      <c r="AQ5" s="52">
        <v>49.999999999999986</v>
      </c>
      <c r="AR5" s="52">
        <v>49.999999999999986</v>
      </c>
      <c r="AS5" s="52">
        <v>31</v>
      </c>
      <c r="AT5" s="52">
        <v>49.999999999999993</v>
      </c>
      <c r="AU5" s="52">
        <v>49.999999999999986</v>
      </c>
      <c r="AV5" s="52">
        <v>0</v>
      </c>
      <c r="AW5" s="52">
        <v>49.999999999999979</v>
      </c>
      <c r="AX5" s="52">
        <v>49.999999999999972</v>
      </c>
      <c r="AY5" s="52">
        <v>106.7777777777778</v>
      </c>
      <c r="AZ5" s="52">
        <v>50</v>
      </c>
      <c r="BA5" s="52">
        <v>49.999999999999972</v>
      </c>
      <c r="BB5" s="52">
        <v>31</v>
      </c>
      <c r="BC5" s="52">
        <v>50</v>
      </c>
      <c r="BD5" s="52">
        <v>49.999999999999979</v>
      </c>
      <c r="BE5" s="52">
        <v>31</v>
      </c>
      <c r="BF5" s="52">
        <v>52.000000000000007</v>
      </c>
      <c r="BG5" s="52">
        <v>50</v>
      </c>
      <c r="BH5" s="52">
        <v>0</v>
      </c>
      <c r="BI5" s="52">
        <v>49.999999999999986</v>
      </c>
      <c r="BJ5" s="52">
        <v>49.999999999999979</v>
      </c>
      <c r="BK5" s="52">
        <v>97.305555555555557</v>
      </c>
      <c r="BL5" s="52">
        <v>52.000000000000007</v>
      </c>
      <c r="BM5" s="52">
        <v>34</v>
      </c>
      <c r="BN5" s="52">
        <v>0</v>
      </c>
      <c r="BO5" s="52">
        <v>52.000000000000007</v>
      </c>
      <c r="BP5" s="52">
        <v>89.384615384615302</v>
      </c>
      <c r="BQ5" s="52">
        <v>94.291666666666671</v>
      </c>
      <c r="BR5" s="52">
        <v>52.000000000000007</v>
      </c>
      <c r="BS5" s="52">
        <v>50</v>
      </c>
      <c r="BT5" s="52">
        <v>31</v>
      </c>
      <c r="BU5" s="52">
        <v>52.000000000000007</v>
      </c>
      <c r="BV5" s="52">
        <v>47.999999999999972</v>
      </c>
      <c r="BW5" s="52">
        <v>30</v>
      </c>
    </row>
    <row r="6" spans="1:75" x14ac:dyDescent="0.3">
      <c r="A6" s="7" t="s">
        <v>89</v>
      </c>
      <c r="B6" s="7" t="s">
        <v>8</v>
      </c>
      <c r="C6" s="7" t="s">
        <v>110</v>
      </c>
      <c r="D6" s="52">
        <v>52.000000000000007</v>
      </c>
      <c r="E6" s="52">
        <v>50.000000000000014</v>
      </c>
      <c r="F6" s="52">
        <v>30.999999999999996</v>
      </c>
      <c r="G6" s="52">
        <v>50.000000000000014</v>
      </c>
      <c r="H6" s="52">
        <v>49.999999999999972</v>
      </c>
      <c r="I6" s="52">
        <v>31.000000000000004</v>
      </c>
      <c r="J6" s="52">
        <v>50.000000000000014</v>
      </c>
      <c r="K6" s="52">
        <v>50</v>
      </c>
      <c r="L6" s="52">
        <v>30.999999999999996</v>
      </c>
      <c r="M6" s="52">
        <v>50.000000000000007</v>
      </c>
      <c r="N6" s="52">
        <v>49.999999999999972</v>
      </c>
      <c r="O6" s="52">
        <v>31</v>
      </c>
      <c r="P6" s="52">
        <v>50.000000000000007</v>
      </c>
      <c r="Q6" s="52">
        <v>49.999999999999972</v>
      </c>
      <c r="R6" s="52">
        <v>31</v>
      </c>
      <c r="S6" s="52">
        <v>50</v>
      </c>
      <c r="T6" s="52">
        <v>49.999999999999972</v>
      </c>
      <c r="U6" s="52">
        <v>31</v>
      </c>
      <c r="V6" s="52">
        <v>49.999999999999993</v>
      </c>
      <c r="W6" s="52">
        <v>50</v>
      </c>
      <c r="X6" s="52">
        <v>30.000000000000004</v>
      </c>
      <c r="Y6" s="52">
        <v>49.999999999999993</v>
      </c>
      <c r="Z6" s="52">
        <v>50.000000000000007</v>
      </c>
      <c r="AA6" s="52">
        <v>32.480519480519469</v>
      </c>
      <c r="AB6" s="52">
        <v>50</v>
      </c>
      <c r="AC6" s="52">
        <v>50.000000000000007</v>
      </c>
      <c r="AD6" s="52">
        <v>30.999999999999996</v>
      </c>
      <c r="AE6" s="52">
        <v>49.999999999999986</v>
      </c>
      <c r="AF6" s="52">
        <v>50.000000000000007</v>
      </c>
      <c r="AG6" s="52">
        <v>84.833333333333258</v>
      </c>
      <c r="AH6" s="52">
        <v>50.000000000000021</v>
      </c>
      <c r="AI6" s="52">
        <v>49.999999999999972</v>
      </c>
      <c r="AJ6" s="52">
        <v>31</v>
      </c>
      <c r="AK6" s="52">
        <v>49.999999999999979</v>
      </c>
      <c r="AL6" s="52">
        <v>49.999999999999972</v>
      </c>
      <c r="AM6" s="52">
        <v>31</v>
      </c>
      <c r="AN6" s="52">
        <v>50</v>
      </c>
      <c r="AO6" s="52">
        <v>50</v>
      </c>
      <c r="AP6" s="52">
        <v>31</v>
      </c>
      <c r="AQ6" s="52">
        <v>49.999999999999972</v>
      </c>
      <c r="AR6" s="52">
        <v>49.999999999999986</v>
      </c>
      <c r="AS6" s="52">
        <v>31</v>
      </c>
      <c r="AT6" s="52">
        <v>49.999999999999993</v>
      </c>
      <c r="AU6" s="52">
        <v>49.999999999999993</v>
      </c>
      <c r="AV6" s="52">
        <v>0</v>
      </c>
      <c r="AW6" s="52">
        <v>49.999999999999986</v>
      </c>
      <c r="AX6" s="52">
        <v>49.999999999999972</v>
      </c>
      <c r="AY6" s="52">
        <v>106.77777777777777</v>
      </c>
      <c r="AZ6" s="52">
        <v>50.000000000000007</v>
      </c>
      <c r="BA6" s="52">
        <v>49.999999999999972</v>
      </c>
      <c r="BB6" s="52">
        <v>31</v>
      </c>
      <c r="BC6" s="52">
        <v>50</v>
      </c>
      <c r="BD6" s="52">
        <v>49.999999999999979</v>
      </c>
      <c r="BE6" s="52">
        <v>31</v>
      </c>
      <c r="BF6" s="52">
        <v>52.000000000000007</v>
      </c>
      <c r="BG6" s="52">
        <v>50</v>
      </c>
      <c r="BH6" s="52">
        <v>0</v>
      </c>
      <c r="BI6" s="52">
        <v>49.999999999999986</v>
      </c>
      <c r="BJ6" s="52">
        <v>49.999999999999979</v>
      </c>
      <c r="BK6" s="52">
        <v>97.305555555555557</v>
      </c>
      <c r="BL6" s="52">
        <v>52.000000000000007</v>
      </c>
      <c r="BM6" s="52">
        <v>34</v>
      </c>
      <c r="BN6" s="52">
        <v>0</v>
      </c>
      <c r="BO6" s="52">
        <v>52.000000000000007</v>
      </c>
      <c r="BP6" s="52">
        <v>89.384615384615302</v>
      </c>
      <c r="BQ6" s="52">
        <v>94.291666666666671</v>
      </c>
      <c r="BR6" s="52">
        <v>52.000000000000007</v>
      </c>
      <c r="BS6" s="52">
        <v>50</v>
      </c>
      <c r="BT6" s="52">
        <v>31</v>
      </c>
      <c r="BU6" s="52">
        <v>52.000000000000007</v>
      </c>
      <c r="BV6" s="52">
        <v>47.999999999999972</v>
      </c>
      <c r="BW6" s="52">
        <v>30</v>
      </c>
    </row>
    <row r="7" spans="1:75" x14ac:dyDescent="0.3">
      <c r="A7" s="8" t="s">
        <v>89</v>
      </c>
      <c r="B7" s="8" t="s">
        <v>8</v>
      </c>
      <c r="C7" s="8" t="s">
        <v>111</v>
      </c>
      <c r="D7" s="52">
        <v>52.000000000000028</v>
      </c>
      <c r="E7" s="52">
        <v>50.000000000000014</v>
      </c>
      <c r="F7" s="52">
        <v>30.999999999999989</v>
      </c>
      <c r="G7" s="52">
        <v>50.000000000000014</v>
      </c>
      <c r="H7" s="52">
        <v>49.999999999999972</v>
      </c>
      <c r="I7" s="52">
        <v>31.000000000000004</v>
      </c>
      <c r="J7" s="52">
        <v>50</v>
      </c>
      <c r="K7" s="52">
        <v>50</v>
      </c>
      <c r="L7" s="52">
        <v>30.999999999999996</v>
      </c>
      <c r="M7" s="52">
        <v>50.000000000000007</v>
      </c>
      <c r="N7" s="52">
        <v>49.999999999999972</v>
      </c>
      <c r="O7" s="52">
        <v>31</v>
      </c>
      <c r="P7" s="52">
        <v>50.000000000000007</v>
      </c>
      <c r="Q7" s="52">
        <v>49.999999999999972</v>
      </c>
      <c r="R7" s="52">
        <v>30.999999999999996</v>
      </c>
      <c r="S7" s="52">
        <v>50</v>
      </c>
      <c r="T7" s="52">
        <v>49.999999999999972</v>
      </c>
      <c r="U7" s="52">
        <v>31</v>
      </c>
      <c r="V7" s="52">
        <v>49.999999999999993</v>
      </c>
      <c r="W7" s="52">
        <v>50</v>
      </c>
      <c r="X7" s="52">
        <v>30.000000000000018</v>
      </c>
      <c r="Y7" s="52">
        <v>49.999999999999993</v>
      </c>
      <c r="Z7" s="52">
        <v>50.000000000000007</v>
      </c>
      <c r="AA7" s="52">
        <v>32.480519480519469</v>
      </c>
      <c r="AB7" s="52">
        <v>50</v>
      </c>
      <c r="AC7" s="52">
        <v>50</v>
      </c>
      <c r="AD7" s="52">
        <v>30.999999999999996</v>
      </c>
      <c r="AE7" s="52">
        <v>49.999999999999986</v>
      </c>
      <c r="AF7" s="52">
        <v>50.000000000000007</v>
      </c>
      <c r="AG7" s="52">
        <v>84.833333333333258</v>
      </c>
      <c r="AH7" s="52">
        <v>50.000000000000021</v>
      </c>
      <c r="AI7" s="52">
        <v>49.999999999999972</v>
      </c>
      <c r="AJ7" s="52">
        <v>30.999999999999996</v>
      </c>
      <c r="AK7" s="52">
        <v>49.999999999999979</v>
      </c>
      <c r="AL7" s="52">
        <v>49.999999999999972</v>
      </c>
      <c r="AM7" s="52">
        <v>30.999999999999996</v>
      </c>
      <c r="AN7" s="52">
        <v>50</v>
      </c>
      <c r="AO7" s="52">
        <v>50</v>
      </c>
      <c r="AP7" s="52">
        <v>31.000000000000007</v>
      </c>
      <c r="AQ7" s="52">
        <v>49.999999999999986</v>
      </c>
      <c r="AR7" s="52">
        <v>49.999999999999993</v>
      </c>
      <c r="AS7" s="52">
        <v>30.999999999999996</v>
      </c>
      <c r="AT7" s="52">
        <v>49.999999999999993</v>
      </c>
      <c r="AU7" s="52">
        <v>49.999999999999993</v>
      </c>
      <c r="AV7" s="52">
        <v>0</v>
      </c>
      <c r="AW7" s="52">
        <v>49.999999999999986</v>
      </c>
      <c r="AX7" s="52">
        <v>49.999999999999979</v>
      </c>
      <c r="AY7" s="52">
        <v>106.77777777777777</v>
      </c>
      <c r="AZ7" s="52">
        <v>50</v>
      </c>
      <c r="BA7" s="52">
        <v>49.999999999999972</v>
      </c>
      <c r="BB7" s="52">
        <v>31</v>
      </c>
      <c r="BC7" s="52">
        <v>50</v>
      </c>
      <c r="BD7" s="52">
        <v>49.999999999999986</v>
      </c>
      <c r="BE7" s="52">
        <v>31</v>
      </c>
      <c r="BF7" s="52">
        <v>52.000000000000007</v>
      </c>
      <c r="BG7" s="52">
        <v>50</v>
      </c>
      <c r="BH7" s="52">
        <v>0</v>
      </c>
      <c r="BI7" s="52">
        <v>49.999999999999993</v>
      </c>
      <c r="BJ7" s="52">
        <v>49.999999999999979</v>
      </c>
      <c r="BK7" s="52">
        <v>97.305555555555557</v>
      </c>
      <c r="BL7" s="52">
        <v>51.999999999999993</v>
      </c>
      <c r="BM7" s="52">
        <v>34</v>
      </c>
      <c r="BN7" s="52">
        <v>0</v>
      </c>
      <c r="BO7" s="52">
        <v>52.000000000000014</v>
      </c>
      <c r="BP7" s="52">
        <v>89.384615384615302</v>
      </c>
      <c r="BQ7" s="52">
        <v>94.291666666666671</v>
      </c>
      <c r="BR7" s="52">
        <v>52.000000000000021</v>
      </c>
      <c r="BS7" s="52">
        <v>50</v>
      </c>
      <c r="BT7" s="52">
        <v>31.000000000000007</v>
      </c>
      <c r="BU7" s="52">
        <v>52.000000000000014</v>
      </c>
      <c r="BV7" s="52">
        <v>47.999999999999972</v>
      </c>
      <c r="BW7" s="52">
        <v>29.999999999999996</v>
      </c>
    </row>
    <row r="8" spans="1:75" x14ac:dyDescent="0.3">
      <c r="A8" s="8" t="s">
        <v>89</v>
      </c>
      <c r="B8" s="8" t="s">
        <v>8</v>
      </c>
      <c r="C8" s="8" t="s">
        <v>112</v>
      </c>
      <c r="D8" s="52">
        <v>52.000000000000028</v>
      </c>
      <c r="E8" s="52">
        <v>50.000000000000014</v>
      </c>
      <c r="F8" s="52">
        <v>30.999999999999989</v>
      </c>
      <c r="G8" s="52">
        <v>50.000000000000014</v>
      </c>
      <c r="H8" s="52">
        <v>49.999999999999972</v>
      </c>
      <c r="I8" s="52">
        <v>31.000000000000004</v>
      </c>
      <c r="J8" s="52">
        <v>50</v>
      </c>
      <c r="K8" s="52">
        <v>50</v>
      </c>
      <c r="L8" s="52">
        <v>30.999999999999996</v>
      </c>
      <c r="M8" s="52">
        <v>50.000000000000007</v>
      </c>
      <c r="N8" s="52">
        <v>49.999999999999972</v>
      </c>
      <c r="O8" s="52">
        <v>31</v>
      </c>
      <c r="P8" s="52">
        <v>50.000000000000007</v>
      </c>
      <c r="Q8" s="52">
        <v>49.999999999999972</v>
      </c>
      <c r="R8" s="52">
        <v>30.999999999999996</v>
      </c>
      <c r="S8" s="52">
        <v>50</v>
      </c>
      <c r="T8" s="52">
        <v>49.999999999999972</v>
      </c>
      <c r="U8" s="52">
        <v>31</v>
      </c>
      <c r="V8" s="52">
        <v>49.999999999999993</v>
      </c>
      <c r="W8" s="52">
        <v>50</v>
      </c>
      <c r="X8" s="52">
        <v>30.000000000000018</v>
      </c>
      <c r="Y8" s="52">
        <v>49.999999999999993</v>
      </c>
      <c r="Z8" s="52">
        <v>50.000000000000007</v>
      </c>
      <c r="AA8" s="52">
        <v>32.480519480519469</v>
      </c>
      <c r="AB8" s="52">
        <v>50</v>
      </c>
      <c r="AC8" s="52">
        <v>50</v>
      </c>
      <c r="AD8" s="52">
        <v>30.999999999999996</v>
      </c>
      <c r="AE8" s="52">
        <v>49.999999999999986</v>
      </c>
      <c r="AF8" s="52">
        <v>50.000000000000007</v>
      </c>
      <c r="AG8" s="52">
        <v>84.833333333333258</v>
      </c>
      <c r="AH8" s="52">
        <v>50.000000000000021</v>
      </c>
      <c r="AI8" s="52">
        <v>49.999999999999972</v>
      </c>
      <c r="AJ8" s="52">
        <v>30.999999999999996</v>
      </c>
      <c r="AK8" s="52">
        <v>49.999999999999979</v>
      </c>
      <c r="AL8" s="52">
        <v>49.999999999999972</v>
      </c>
      <c r="AM8" s="52">
        <v>30.999999999999996</v>
      </c>
      <c r="AN8" s="52">
        <v>50</v>
      </c>
      <c r="AO8" s="52">
        <v>50</v>
      </c>
      <c r="AP8" s="52">
        <v>31.000000000000007</v>
      </c>
      <c r="AQ8" s="52">
        <v>49.999999999999986</v>
      </c>
      <c r="AR8" s="52">
        <v>49.999999999999993</v>
      </c>
      <c r="AS8" s="52">
        <v>30.999999999999996</v>
      </c>
      <c r="AT8" s="52">
        <v>49.999999999999993</v>
      </c>
      <c r="AU8" s="52">
        <v>49.999999999999993</v>
      </c>
      <c r="AV8" s="52">
        <v>0</v>
      </c>
      <c r="AW8" s="52">
        <v>49.999999999999986</v>
      </c>
      <c r="AX8" s="52">
        <v>49.999999999999979</v>
      </c>
      <c r="AY8" s="52">
        <v>106.77777777777777</v>
      </c>
      <c r="AZ8" s="52">
        <v>50</v>
      </c>
      <c r="BA8" s="52">
        <v>49.999999999999972</v>
      </c>
      <c r="BB8" s="52">
        <v>31</v>
      </c>
      <c r="BC8" s="52">
        <v>50</v>
      </c>
      <c r="BD8" s="52">
        <v>49.999999999999986</v>
      </c>
      <c r="BE8" s="52">
        <v>31</v>
      </c>
      <c r="BF8" s="52">
        <v>52.000000000000007</v>
      </c>
      <c r="BG8" s="52">
        <v>50</v>
      </c>
      <c r="BH8" s="52">
        <v>0</v>
      </c>
      <c r="BI8" s="52">
        <v>49.999999999999993</v>
      </c>
      <c r="BJ8" s="52">
        <v>49.999999999999979</v>
      </c>
      <c r="BK8" s="52">
        <v>97.305555555555557</v>
      </c>
      <c r="BL8" s="52">
        <v>51.999999999999993</v>
      </c>
      <c r="BM8" s="52">
        <v>34</v>
      </c>
      <c r="BN8" s="52">
        <v>0</v>
      </c>
      <c r="BO8" s="52">
        <v>52.000000000000014</v>
      </c>
      <c r="BP8" s="52">
        <v>89.384615384615302</v>
      </c>
      <c r="BQ8" s="52">
        <v>94.291666666666671</v>
      </c>
      <c r="BR8" s="52">
        <v>52.000000000000021</v>
      </c>
      <c r="BS8" s="52">
        <v>50</v>
      </c>
      <c r="BT8" s="52">
        <v>31.000000000000007</v>
      </c>
      <c r="BU8" s="52">
        <v>52.000000000000014</v>
      </c>
      <c r="BV8" s="52">
        <v>47.999999999999972</v>
      </c>
      <c r="BW8" s="52">
        <v>29.999999999999996</v>
      </c>
    </row>
    <row r="9" spans="1:75" x14ac:dyDescent="0.3">
      <c r="A9" s="8" t="s">
        <v>89</v>
      </c>
      <c r="B9" s="8" t="s">
        <v>8</v>
      </c>
      <c r="C9" s="8" t="s">
        <v>115</v>
      </c>
      <c r="D9" s="52">
        <v>52</v>
      </c>
      <c r="E9" s="52">
        <v>50.000000000000014</v>
      </c>
      <c r="F9" s="52">
        <v>31.000000000000004</v>
      </c>
      <c r="G9" s="52">
        <v>50.000000000000014</v>
      </c>
      <c r="H9" s="52">
        <v>49.999999999999972</v>
      </c>
      <c r="I9" s="52">
        <v>31.000000000000004</v>
      </c>
      <c r="J9" s="52">
        <v>50.000000000000007</v>
      </c>
      <c r="K9" s="52">
        <v>50</v>
      </c>
      <c r="L9" s="52">
        <v>30.999999999999996</v>
      </c>
      <c r="M9" s="52">
        <v>50.000000000000007</v>
      </c>
      <c r="N9" s="52">
        <v>49.999999999999972</v>
      </c>
      <c r="O9" s="52">
        <v>31</v>
      </c>
      <c r="P9" s="52">
        <v>50.000000000000007</v>
      </c>
      <c r="Q9" s="52">
        <v>49.999999999999972</v>
      </c>
      <c r="R9" s="52">
        <v>31</v>
      </c>
      <c r="S9" s="52">
        <v>50</v>
      </c>
      <c r="T9" s="52">
        <v>49.999999999999972</v>
      </c>
      <c r="U9" s="52">
        <v>31</v>
      </c>
      <c r="V9" s="52">
        <v>49.999999999999993</v>
      </c>
      <c r="W9" s="52">
        <v>50</v>
      </c>
      <c r="X9" s="52">
        <v>29.999999999999996</v>
      </c>
      <c r="Y9" s="52">
        <v>49.999999999999986</v>
      </c>
      <c r="Z9" s="52">
        <v>50.000000000000036</v>
      </c>
      <c r="AA9" s="52">
        <v>32.480519480519469</v>
      </c>
      <c r="AB9" s="52">
        <v>50</v>
      </c>
      <c r="AC9" s="52">
        <v>50</v>
      </c>
      <c r="AD9" s="52">
        <v>30.999999999999996</v>
      </c>
      <c r="AE9" s="52">
        <v>49.999999999999986</v>
      </c>
      <c r="AF9" s="52">
        <v>50.000000000000007</v>
      </c>
      <c r="AG9" s="52">
        <v>84.833333333333258</v>
      </c>
      <c r="AH9" s="52">
        <v>50.000000000000021</v>
      </c>
      <c r="AI9" s="52">
        <v>49.999999999999972</v>
      </c>
      <c r="AJ9" s="52">
        <v>31</v>
      </c>
      <c r="AK9" s="52">
        <v>49.999999999999979</v>
      </c>
      <c r="AL9" s="52">
        <v>49.999999999999972</v>
      </c>
      <c r="AM9" s="52">
        <v>31</v>
      </c>
      <c r="AN9" s="52">
        <v>50</v>
      </c>
      <c r="AO9" s="52">
        <v>50</v>
      </c>
      <c r="AP9" s="52">
        <v>31</v>
      </c>
      <c r="AQ9" s="52">
        <v>49.999999999999986</v>
      </c>
      <c r="AR9" s="52">
        <v>49.999999999999986</v>
      </c>
      <c r="AS9" s="52">
        <v>31</v>
      </c>
      <c r="AT9" s="52">
        <v>49.999999999999993</v>
      </c>
      <c r="AU9" s="52">
        <v>49.999999999999986</v>
      </c>
      <c r="AV9" s="52">
        <v>0</v>
      </c>
      <c r="AW9" s="52">
        <v>49.999999999999979</v>
      </c>
      <c r="AX9" s="52">
        <v>49.999999999999972</v>
      </c>
      <c r="AY9" s="52">
        <v>106.7777777777778</v>
      </c>
      <c r="AZ9" s="52">
        <v>50</v>
      </c>
      <c r="BA9" s="52">
        <v>49.999999999999972</v>
      </c>
      <c r="BB9" s="52">
        <v>31</v>
      </c>
      <c r="BC9" s="52">
        <v>50</v>
      </c>
      <c r="BD9" s="52">
        <v>49.999999999999979</v>
      </c>
      <c r="BE9" s="52">
        <v>31</v>
      </c>
      <c r="BF9" s="52">
        <v>52.000000000000007</v>
      </c>
      <c r="BG9" s="52">
        <v>50</v>
      </c>
      <c r="BH9" s="52">
        <v>0</v>
      </c>
      <c r="BI9" s="52">
        <v>49.999999999999986</v>
      </c>
      <c r="BJ9" s="52">
        <v>49.999999999999979</v>
      </c>
      <c r="BK9" s="52">
        <v>97.305555555555557</v>
      </c>
      <c r="BL9" s="52">
        <v>52.000000000000007</v>
      </c>
      <c r="BM9" s="52">
        <v>34</v>
      </c>
      <c r="BN9" s="52">
        <v>0</v>
      </c>
      <c r="BO9" s="52">
        <v>52.000000000000007</v>
      </c>
      <c r="BP9" s="52">
        <v>89.384615384615302</v>
      </c>
      <c r="BQ9" s="52">
        <v>94.291666666666671</v>
      </c>
      <c r="BR9" s="52">
        <v>52.000000000000014</v>
      </c>
      <c r="BS9" s="52">
        <v>50</v>
      </c>
      <c r="BT9" s="52">
        <v>31</v>
      </c>
      <c r="BU9" s="52">
        <v>52</v>
      </c>
      <c r="BV9" s="52">
        <v>47.999999999999972</v>
      </c>
      <c r="BW9" s="52">
        <v>30</v>
      </c>
    </row>
    <row r="10" spans="1:75" x14ac:dyDescent="0.3">
      <c r="A10" s="8" t="s">
        <v>89</v>
      </c>
      <c r="B10" s="8" t="s">
        <v>8</v>
      </c>
      <c r="C10" s="8" t="s">
        <v>116</v>
      </c>
      <c r="D10" s="52">
        <v>52</v>
      </c>
      <c r="E10" s="52">
        <v>50.000000000000014</v>
      </c>
      <c r="F10" s="52">
        <v>31.000000000000004</v>
      </c>
      <c r="G10" s="52">
        <v>50.000000000000014</v>
      </c>
      <c r="H10" s="52">
        <v>49.999999999999972</v>
      </c>
      <c r="I10" s="52">
        <v>31.000000000000004</v>
      </c>
      <c r="J10" s="52">
        <v>50.000000000000007</v>
      </c>
      <c r="K10" s="52">
        <v>50</v>
      </c>
      <c r="L10" s="52">
        <v>30.999999999999996</v>
      </c>
      <c r="M10" s="52">
        <v>50.000000000000007</v>
      </c>
      <c r="N10" s="52">
        <v>49.999999999999972</v>
      </c>
      <c r="O10" s="52">
        <v>31</v>
      </c>
      <c r="P10" s="52">
        <v>50.000000000000007</v>
      </c>
      <c r="Q10" s="52">
        <v>49.999999999999972</v>
      </c>
      <c r="R10" s="52">
        <v>31</v>
      </c>
      <c r="S10" s="52">
        <v>50</v>
      </c>
      <c r="T10" s="52">
        <v>49.999999999999972</v>
      </c>
      <c r="U10" s="52">
        <v>31</v>
      </c>
      <c r="V10" s="52">
        <v>49.999999999999993</v>
      </c>
      <c r="W10" s="52">
        <v>50</v>
      </c>
      <c r="X10" s="52">
        <v>29.999999999999996</v>
      </c>
      <c r="Y10" s="52">
        <v>49.999999999999986</v>
      </c>
      <c r="Z10" s="52">
        <v>50.000000000000036</v>
      </c>
      <c r="AA10" s="52">
        <v>32.480519480519462</v>
      </c>
      <c r="AB10" s="52">
        <v>50</v>
      </c>
      <c r="AC10" s="52">
        <v>50</v>
      </c>
      <c r="AD10" s="52">
        <v>30.999999999999996</v>
      </c>
      <c r="AE10" s="52">
        <v>49.999999999999986</v>
      </c>
      <c r="AF10" s="52">
        <v>50.000000000000007</v>
      </c>
      <c r="AG10" s="52">
        <v>84.833333333333258</v>
      </c>
      <c r="AH10" s="52">
        <v>50.000000000000021</v>
      </c>
      <c r="AI10" s="52">
        <v>49.999999999999972</v>
      </c>
      <c r="AJ10" s="52">
        <v>31</v>
      </c>
      <c r="AK10" s="52">
        <v>49.999999999999979</v>
      </c>
      <c r="AL10" s="52">
        <v>49.999999999999972</v>
      </c>
      <c r="AM10" s="52">
        <v>31</v>
      </c>
      <c r="AN10" s="52">
        <v>50</v>
      </c>
      <c r="AO10" s="52">
        <v>50</v>
      </c>
      <c r="AP10" s="52">
        <v>31</v>
      </c>
      <c r="AQ10" s="52">
        <v>49.999999999999986</v>
      </c>
      <c r="AR10" s="52">
        <v>49.999999999999986</v>
      </c>
      <c r="AS10" s="52">
        <v>31</v>
      </c>
      <c r="AT10" s="52">
        <v>49.999999999999993</v>
      </c>
      <c r="AU10" s="52">
        <v>49.999999999999986</v>
      </c>
      <c r="AV10" s="52">
        <v>0</v>
      </c>
      <c r="AW10" s="52">
        <v>49.999999999999979</v>
      </c>
      <c r="AX10" s="52">
        <v>49.999999999999979</v>
      </c>
      <c r="AY10" s="52">
        <v>106.7777777777778</v>
      </c>
      <c r="AZ10" s="52">
        <v>50</v>
      </c>
      <c r="BA10" s="52">
        <v>49.999999999999972</v>
      </c>
      <c r="BB10" s="52">
        <v>31</v>
      </c>
      <c r="BC10" s="52">
        <v>50</v>
      </c>
      <c r="BD10" s="52">
        <v>49.999999999999986</v>
      </c>
      <c r="BE10" s="52">
        <v>31</v>
      </c>
      <c r="BF10" s="52">
        <v>52.000000000000007</v>
      </c>
      <c r="BG10" s="52">
        <v>50</v>
      </c>
      <c r="BH10" s="52">
        <v>0</v>
      </c>
      <c r="BI10" s="52">
        <v>49.999999999999993</v>
      </c>
      <c r="BJ10" s="52">
        <v>49.999999999999979</v>
      </c>
      <c r="BK10" s="52">
        <v>97.305555555555557</v>
      </c>
      <c r="BL10" s="52">
        <v>52.000000000000007</v>
      </c>
      <c r="BM10" s="52">
        <v>34</v>
      </c>
      <c r="BN10" s="52">
        <v>0</v>
      </c>
      <c r="BO10" s="52">
        <v>52.000000000000007</v>
      </c>
      <c r="BP10" s="52">
        <v>89.384615384615302</v>
      </c>
      <c r="BQ10" s="52">
        <v>94.291666666666671</v>
      </c>
      <c r="BR10" s="52">
        <v>52.000000000000014</v>
      </c>
      <c r="BS10" s="52">
        <v>50</v>
      </c>
      <c r="BT10" s="52">
        <v>31</v>
      </c>
      <c r="BU10" s="52">
        <v>52</v>
      </c>
      <c r="BV10" s="52">
        <v>47.999999999999972</v>
      </c>
      <c r="BW10" s="52">
        <v>30</v>
      </c>
    </row>
    <row r="11" spans="1:75" x14ac:dyDescent="0.3">
      <c r="A11" s="8" t="s">
        <v>89</v>
      </c>
      <c r="B11" s="8" t="s">
        <v>8</v>
      </c>
      <c r="C11" s="8" t="s">
        <v>117</v>
      </c>
      <c r="D11" s="52">
        <v>52</v>
      </c>
      <c r="E11" s="52">
        <v>50.000000000000014</v>
      </c>
      <c r="F11" s="52">
        <v>31.000000000000004</v>
      </c>
      <c r="G11" s="52">
        <v>50.000000000000014</v>
      </c>
      <c r="H11" s="52">
        <v>49.999999999999972</v>
      </c>
      <c r="I11" s="52">
        <v>31.000000000000004</v>
      </c>
      <c r="J11" s="52">
        <v>50.000000000000007</v>
      </c>
      <c r="K11" s="52">
        <v>50</v>
      </c>
      <c r="L11" s="52">
        <v>30.999999999999996</v>
      </c>
      <c r="M11" s="52">
        <v>50.000000000000007</v>
      </c>
      <c r="N11" s="52">
        <v>49.999999999999972</v>
      </c>
      <c r="O11" s="52">
        <v>31</v>
      </c>
      <c r="P11" s="52">
        <v>50.000000000000007</v>
      </c>
      <c r="Q11" s="52">
        <v>49.999999999999972</v>
      </c>
      <c r="R11" s="52">
        <v>31</v>
      </c>
      <c r="S11" s="52">
        <v>50</v>
      </c>
      <c r="T11" s="52">
        <v>49.999999999999972</v>
      </c>
      <c r="U11" s="52">
        <v>31</v>
      </c>
      <c r="V11" s="52">
        <v>49.999999999999993</v>
      </c>
      <c r="W11" s="52">
        <v>50</v>
      </c>
      <c r="X11" s="52">
        <v>29.999999999999996</v>
      </c>
      <c r="Y11" s="52">
        <v>49.999999999999986</v>
      </c>
      <c r="Z11" s="52">
        <v>50.000000000000036</v>
      </c>
      <c r="AA11" s="52">
        <v>32.480519480519462</v>
      </c>
      <c r="AB11" s="52">
        <v>50</v>
      </c>
      <c r="AC11" s="52">
        <v>50</v>
      </c>
      <c r="AD11" s="52">
        <v>30.999999999999996</v>
      </c>
      <c r="AE11" s="52">
        <v>49.999999999999986</v>
      </c>
      <c r="AF11" s="52">
        <v>50.000000000000007</v>
      </c>
      <c r="AG11" s="52">
        <v>84.833333333333258</v>
      </c>
      <c r="AH11" s="52">
        <v>50.000000000000021</v>
      </c>
      <c r="AI11" s="52">
        <v>49.999999999999972</v>
      </c>
      <c r="AJ11" s="52">
        <v>31</v>
      </c>
      <c r="AK11" s="52">
        <v>49.999999999999979</v>
      </c>
      <c r="AL11" s="52">
        <v>49.999999999999972</v>
      </c>
      <c r="AM11" s="52">
        <v>31</v>
      </c>
      <c r="AN11" s="52">
        <v>50</v>
      </c>
      <c r="AO11" s="52">
        <v>50</v>
      </c>
      <c r="AP11" s="52">
        <v>31</v>
      </c>
      <c r="AQ11" s="52">
        <v>49.999999999999986</v>
      </c>
      <c r="AR11" s="52">
        <v>49.999999999999986</v>
      </c>
      <c r="AS11" s="52">
        <v>31</v>
      </c>
      <c r="AT11" s="52">
        <v>49.999999999999993</v>
      </c>
      <c r="AU11" s="52">
        <v>49.999999999999986</v>
      </c>
      <c r="AV11" s="52">
        <v>0</v>
      </c>
      <c r="AW11" s="52">
        <v>49.999999999999979</v>
      </c>
      <c r="AX11" s="52">
        <v>49.999999999999979</v>
      </c>
      <c r="AY11" s="52">
        <v>106.7777777777778</v>
      </c>
      <c r="AZ11" s="52">
        <v>50</v>
      </c>
      <c r="BA11" s="52">
        <v>49.999999999999972</v>
      </c>
      <c r="BB11" s="52">
        <v>31</v>
      </c>
      <c r="BC11" s="52">
        <v>50</v>
      </c>
      <c r="BD11" s="52">
        <v>49.999999999999986</v>
      </c>
      <c r="BE11" s="52">
        <v>31</v>
      </c>
      <c r="BF11" s="52">
        <v>52.000000000000007</v>
      </c>
      <c r="BG11" s="52">
        <v>50</v>
      </c>
      <c r="BH11" s="52">
        <v>0</v>
      </c>
      <c r="BI11" s="52">
        <v>49.999999999999993</v>
      </c>
      <c r="BJ11" s="52">
        <v>49.999999999999979</v>
      </c>
      <c r="BK11" s="52">
        <v>97.305555555555557</v>
      </c>
      <c r="BL11" s="52">
        <v>52.000000000000007</v>
      </c>
      <c r="BM11" s="52">
        <v>34</v>
      </c>
      <c r="BN11" s="52">
        <v>0</v>
      </c>
      <c r="BO11" s="52">
        <v>52.000000000000007</v>
      </c>
      <c r="BP11" s="52">
        <v>89.384615384615302</v>
      </c>
      <c r="BQ11" s="52">
        <v>94.291666666666671</v>
      </c>
      <c r="BR11" s="52">
        <v>52.000000000000014</v>
      </c>
      <c r="BS11" s="52">
        <v>50</v>
      </c>
      <c r="BT11" s="52">
        <v>31</v>
      </c>
      <c r="BU11" s="52">
        <v>52</v>
      </c>
      <c r="BV11" s="52">
        <v>47.999999999999972</v>
      </c>
      <c r="BW11" s="52">
        <v>30</v>
      </c>
    </row>
    <row r="12" spans="1:75" x14ac:dyDescent="0.3">
      <c r="A12" s="8" t="s">
        <v>89</v>
      </c>
      <c r="B12" s="8" t="s">
        <v>8</v>
      </c>
      <c r="C12" s="8" t="s">
        <v>118</v>
      </c>
      <c r="D12" s="52">
        <v>52</v>
      </c>
      <c r="E12" s="52">
        <v>50.000000000000014</v>
      </c>
      <c r="F12" s="52">
        <v>31.000000000000004</v>
      </c>
      <c r="G12" s="52">
        <v>50.000000000000014</v>
      </c>
      <c r="H12" s="52">
        <v>49.999999999999972</v>
      </c>
      <c r="I12" s="52">
        <v>31.000000000000004</v>
      </c>
      <c r="J12" s="52">
        <v>50.000000000000007</v>
      </c>
      <c r="K12" s="52">
        <v>50</v>
      </c>
      <c r="L12" s="52">
        <v>30.999999999999996</v>
      </c>
      <c r="M12" s="52">
        <v>50.000000000000007</v>
      </c>
      <c r="N12" s="52">
        <v>49.999999999999972</v>
      </c>
      <c r="O12" s="52">
        <v>31</v>
      </c>
      <c r="P12" s="52">
        <v>50.000000000000007</v>
      </c>
      <c r="Q12" s="52">
        <v>49.999999999999972</v>
      </c>
      <c r="R12" s="52">
        <v>31</v>
      </c>
      <c r="S12" s="52">
        <v>50</v>
      </c>
      <c r="T12" s="52">
        <v>49.999999999999972</v>
      </c>
      <c r="U12" s="52">
        <v>31</v>
      </c>
      <c r="V12" s="52">
        <v>49.999999999999993</v>
      </c>
      <c r="W12" s="52">
        <v>50</v>
      </c>
      <c r="X12" s="52">
        <v>29.999999999999996</v>
      </c>
      <c r="Y12" s="52">
        <v>49.999999999999986</v>
      </c>
      <c r="Z12" s="52">
        <v>50.000000000000036</v>
      </c>
      <c r="AA12" s="52">
        <v>32.480519480519462</v>
      </c>
      <c r="AB12" s="52">
        <v>50</v>
      </c>
      <c r="AC12" s="52">
        <v>50</v>
      </c>
      <c r="AD12" s="52">
        <v>30.999999999999996</v>
      </c>
      <c r="AE12" s="52">
        <v>49.999999999999986</v>
      </c>
      <c r="AF12" s="52">
        <v>50.000000000000007</v>
      </c>
      <c r="AG12" s="52">
        <v>84.833333333333258</v>
      </c>
      <c r="AH12" s="52">
        <v>50.000000000000021</v>
      </c>
      <c r="AI12" s="52">
        <v>49.999999999999972</v>
      </c>
      <c r="AJ12" s="52">
        <v>31</v>
      </c>
      <c r="AK12" s="52">
        <v>49.999999999999979</v>
      </c>
      <c r="AL12" s="52">
        <v>49.999999999999972</v>
      </c>
      <c r="AM12" s="52">
        <v>31</v>
      </c>
      <c r="AN12" s="52">
        <v>50</v>
      </c>
      <c r="AO12" s="52">
        <v>50</v>
      </c>
      <c r="AP12" s="52">
        <v>31</v>
      </c>
      <c r="AQ12" s="52">
        <v>49.999999999999986</v>
      </c>
      <c r="AR12" s="52">
        <v>49.999999999999986</v>
      </c>
      <c r="AS12" s="52">
        <v>31</v>
      </c>
      <c r="AT12" s="52">
        <v>49.999999999999993</v>
      </c>
      <c r="AU12" s="52">
        <v>49.999999999999986</v>
      </c>
      <c r="AV12" s="52">
        <v>0</v>
      </c>
      <c r="AW12" s="52">
        <v>49.999999999999979</v>
      </c>
      <c r="AX12" s="52">
        <v>49.999999999999979</v>
      </c>
      <c r="AY12" s="52">
        <v>106.7777777777778</v>
      </c>
      <c r="AZ12" s="52">
        <v>50</v>
      </c>
      <c r="BA12" s="52">
        <v>49.999999999999972</v>
      </c>
      <c r="BB12" s="52">
        <v>31</v>
      </c>
      <c r="BC12" s="52">
        <v>50</v>
      </c>
      <c r="BD12" s="52">
        <v>49.999999999999986</v>
      </c>
      <c r="BE12" s="52">
        <v>31</v>
      </c>
      <c r="BF12" s="52">
        <v>52.000000000000007</v>
      </c>
      <c r="BG12" s="52">
        <v>50</v>
      </c>
      <c r="BH12" s="52">
        <v>0</v>
      </c>
      <c r="BI12" s="52">
        <v>49.999999999999993</v>
      </c>
      <c r="BJ12" s="52">
        <v>49.999999999999979</v>
      </c>
      <c r="BK12" s="52">
        <v>97.305555555555557</v>
      </c>
      <c r="BL12" s="52">
        <v>52.000000000000007</v>
      </c>
      <c r="BM12" s="52">
        <v>34</v>
      </c>
      <c r="BN12" s="52">
        <v>0</v>
      </c>
      <c r="BO12" s="52">
        <v>52.000000000000007</v>
      </c>
      <c r="BP12" s="52">
        <v>89.384615384615302</v>
      </c>
      <c r="BQ12" s="52">
        <v>94.291666666666671</v>
      </c>
      <c r="BR12" s="52">
        <v>52.000000000000014</v>
      </c>
      <c r="BS12" s="52">
        <v>50</v>
      </c>
      <c r="BT12" s="52">
        <v>31</v>
      </c>
      <c r="BU12" s="52">
        <v>52</v>
      </c>
      <c r="BV12" s="52">
        <v>47.999999999999972</v>
      </c>
      <c r="BW12" s="52">
        <v>30</v>
      </c>
    </row>
    <row r="13" spans="1:75" x14ac:dyDescent="0.3">
      <c r="A13" s="8" t="s">
        <v>89</v>
      </c>
      <c r="B13" s="8" t="s">
        <v>9</v>
      </c>
      <c r="C13" s="8" t="s">
        <v>108</v>
      </c>
      <c r="D13" s="52">
        <v>51.999999999999915</v>
      </c>
      <c r="E13" s="52">
        <v>52.00000000000005</v>
      </c>
      <c r="F13" s="52">
        <v>31.000000000000007</v>
      </c>
      <c r="G13" s="52">
        <v>51.999999999999929</v>
      </c>
      <c r="H13" s="52">
        <v>50.000000000000007</v>
      </c>
      <c r="I13" s="52">
        <v>31.000000000000007</v>
      </c>
      <c r="J13" s="52">
        <v>51.999999999999936</v>
      </c>
      <c r="K13" s="52">
        <v>51.999999999999986</v>
      </c>
      <c r="L13" s="52">
        <v>30.999999999999989</v>
      </c>
      <c r="M13" s="52">
        <v>51.999999999999915</v>
      </c>
      <c r="N13" s="52">
        <v>49.999999999999993</v>
      </c>
      <c r="O13" s="52">
        <v>31.000000000000004</v>
      </c>
      <c r="P13" s="52">
        <v>34</v>
      </c>
      <c r="Q13" s="52">
        <v>33.999999999999986</v>
      </c>
      <c r="R13" s="52">
        <v>0</v>
      </c>
      <c r="S13" s="52">
        <v>10000</v>
      </c>
      <c r="T13" s="52">
        <v>92.707692307692071</v>
      </c>
      <c r="U13" s="52">
        <v>79.825000000000003</v>
      </c>
      <c r="V13" s="52">
        <v>51.999999999999936</v>
      </c>
      <c r="W13" s="52">
        <v>51.999999999999929</v>
      </c>
      <c r="X13" s="52">
        <v>0</v>
      </c>
      <c r="Y13" s="52">
        <v>51.999999999999929</v>
      </c>
      <c r="Z13" s="52">
        <v>30.999999999999986</v>
      </c>
      <c r="AA13" s="52">
        <v>76.896103896103895</v>
      </c>
      <c r="AB13" s="52">
        <v>50.000000000000007</v>
      </c>
      <c r="AC13" s="52">
        <v>49.999999999999993</v>
      </c>
      <c r="AD13" s="52">
        <v>31.000000000000007</v>
      </c>
      <c r="AE13" s="52">
        <v>58.51851851851827</v>
      </c>
      <c r="AF13" s="52">
        <v>57.26495726495709</v>
      </c>
      <c r="AG13" s="52">
        <v>90.499999999999957</v>
      </c>
      <c r="AH13" s="52">
        <v>51.999999999999936</v>
      </c>
      <c r="AI13" s="52">
        <v>51.999999999999972</v>
      </c>
      <c r="AJ13" s="52">
        <v>31.000000000000004</v>
      </c>
      <c r="AK13" s="52">
        <v>51.999999999999979</v>
      </c>
      <c r="AL13" s="52">
        <v>51.999999999999972</v>
      </c>
      <c r="AM13" s="52">
        <v>40</v>
      </c>
      <c r="AN13" s="52">
        <v>51.999999999999936</v>
      </c>
      <c r="AO13" s="52">
        <v>52</v>
      </c>
      <c r="AP13" s="52">
        <v>0</v>
      </c>
      <c r="AQ13" s="52">
        <v>52</v>
      </c>
      <c r="AR13" s="52">
        <v>34.000000000000014</v>
      </c>
      <c r="AS13" s="52">
        <v>106.77777777777779</v>
      </c>
      <c r="AT13" s="52">
        <v>51.999999999999929</v>
      </c>
      <c r="AU13" s="52">
        <v>51.999999999999929</v>
      </c>
      <c r="AV13" s="52">
        <v>0</v>
      </c>
      <c r="AW13" s="52">
        <v>51.999999999999943</v>
      </c>
      <c r="AX13" s="52">
        <v>52</v>
      </c>
      <c r="AY13" s="52">
        <v>106.77777777777779</v>
      </c>
      <c r="AZ13" s="52">
        <v>51.999999999999943</v>
      </c>
      <c r="BA13" s="52">
        <v>51.999999999999936</v>
      </c>
      <c r="BB13" s="52">
        <v>31.000000000000021</v>
      </c>
      <c r="BC13" s="52">
        <v>51.999999999999936</v>
      </c>
      <c r="BD13" s="52">
        <v>49.999999999999993</v>
      </c>
      <c r="BE13" s="52">
        <v>30.999999999999996</v>
      </c>
      <c r="BF13" s="52">
        <v>52.000000000000021</v>
      </c>
      <c r="BG13" s="52">
        <v>49.999999999999993</v>
      </c>
      <c r="BH13" s="52">
        <v>30.999999999999996</v>
      </c>
      <c r="BI13" s="52">
        <v>51.999999999999702</v>
      </c>
      <c r="BJ13" s="52">
        <v>31.000000000000021</v>
      </c>
      <c r="BK13" s="52">
        <v>31.000000000000004</v>
      </c>
      <c r="BL13" s="52">
        <v>51.999999999999936</v>
      </c>
      <c r="BM13" s="52">
        <v>51.999999999999986</v>
      </c>
      <c r="BN13" s="52">
        <v>31.000000000000014</v>
      </c>
      <c r="BO13" s="52">
        <v>51.999999999999943</v>
      </c>
      <c r="BP13" s="52">
        <v>51.999999999999986</v>
      </c>
      <c r="BQ13" s="52">
        <v>31.000000000000014</v>
      </c>
      <c r="BR13" s="52">
        <v>52.000000000000021</v>
      </c>
      <c r="BS13" s="52">
        <v>52.000000000000014</v>
      </c>
      <c r="BT13" s="52">
        <v>31.000000000000004</v>
      </c>
      <c r="BU13" s="52">
        <v>51.999999999999837</v>
      </c>
      <c r="BV13" s="52">
        <v>49.999999999999993</v>
      </c>
      <c r="BW13" s="52">
        <v>31.000000000000004</v>
      </c>
    </row>
    <row r="14" spans="1:75" x14ac:dyDescent="0.3">
      <c r="A14" s="8" t="s">
        <v>89</v>
      </c>
      <c r="B14" s="8" t="s">
        <v>9</v>
      </c>
      <c r="C14" s="8" t="s">
        <v>109</v>
      </c>
      <c r="D14" s="52">
        <v>51.999999999999915</v>
      </c>
      <c r="E14" s="52">
        <v>52.000000000000007</v>
      </c>
      <c r="F14" s="52">
        <v>30.999999999999996</v>
      </c>
      <c r="G14" s="52">
        <v>51.999999999999936</v>
      </c>
      <c r="H14" s="52">
        <v>50.000000000000007</v>
      </c>
      <c r="I14" s="52">
        <v>31.000000000000007</v>
      </c>
      <c r="J14" s="52">
        <v>51.999999999999943</v>
      </c>
      <c r="K14" s="52">
        <v>51.999999999999986</v>
      </c>
      <c r="L14" s="52">
        <v>30.999999999999996</v>
      </c>
      <c r="M14" s="52">
        <v>51.999999999999943</v>
      </c>
      <c r="N14" s="52">
        <v>49.999999999999993</v>
      </c>
      <c r="O14" s="52">
        <v>31.000000000000004</v>
      </c>
      <c r="P14" s="52">
        <v>34</v>
      </c>
      <c r="Q14" s="52">
        <v>33.999999999999986</v>
      </c>
      <c r="R14" s="52">
        <v>0</v>
      </c>
      <c r="S14" s="52">
        <v>10000</v>
      </c>
      <c r="T14" s="52">
        <v>92.707692307692142</v>
      </c>
      <c r="U14" s="52">
        <v>79.825000000000003</v>
      </c>
      <c r="V14" s="52">
        <v>51.999999999999936</v>
      </c>
      <c r="W14" s="52">
        <v>51.999999999999936</v>
      </c>
      <c r="X14" s="52">
        <v>0</v>
      </c>
      <c r="Y14" s="52">
        <v>51.999999999999915</v>
      </c>
      <c r="Z14" s="52">
        <v>30.999999999999996</v>
      </c>
      <c r="AA14" s="52">
        <v>76.896103896103895</v>
      </c>
      <c r="AB14" s="52">
        <v>49.999999999999993</v>
      </c>
      <c r="AC14" s="52">
        <v>50.000000000000007</v>
      </c>
      <c r="AD14" s="52">
        <v>30.999999999999996</v>
      </c>
      <c r="AE14" s="52">
        <v>58.51851851851827</v>
      </c>
      <c r="AF14" s="52">
        <v>57.264957264957069</v>
      </c>
      <c r="AG14" s="52">
        <v>90.499999999999957</v>
      </c>
      <c r="AH14" s="52">
        <v>51.999999999999915</v>
      </c>
      <c r="AI14" s="52">
        <v>51.999999999999972</v>
      </c>
      <c r="AJ14" s="52">
        <v>31.000000000000004</v>
      </c>
      <c r="AK14" s="52">
        <v>51.999999999999943</v>
      </c>
      <c r="AL14" s="52">
        <v>52.000000000000043</v>
      </c>
      <c r="AM14" s="52">
        <v>40</v>
      </c>
      <c r="AN14" s="52">
        <v>51.999999999999936</v>
      </c>
      <c r="AO14" s="52">
        <v>51.999999999999979</v>
      </c>
      <c r="AP14" s="52">
        <v>0</v>
      </c>
      <c r="AQ14" s="52">
        <v>52</v>
      </c>
      <c r="AR14" s="52">
        <v>34</v>
      </c>
      <c r="AS14" s="52">
        <v>106.7777777777778</v>
      </c>
      <c r="AT14" s="52">
        <v>51.99999999999995</v>
      </c>
      <c r="AU14" s="52">
        <v>51.999999999999936</v>
      </c>
      <c r="AV14" s="52">
        <v>0</v>
      </c>
      <c r="AW14" s="52">
        <v>51.999999999999943</v>
      </c>
      <c r="AX14" s="52">
        <v>51.999999999999986</v>
      </c>
      <c r="AY14" s="52">
        <v>106.7777777777778</v>
      </c>
      <c r="AZ14" s="52">
        <v>51.999999999999943</v>
      </c>
      <c r="BA14" s="52">
        <v>51.99999999999995</v>
      </c>
      <c r="BB14" s="52">
        <v>30.999999999999996</v>
      </c>
      <c r="BC14" s="52">
        <v>51.99999999999995</v>
      </c>
      <c r="BD14" s="52">
        <v>49.999999999999986</v>
      </c>
      <c r="BE14" s="52">
        <v>30.999999999999996</v>
      </c>
      <c r="BF14" s="52">
        <v>52.000000000000007</v>
      </c>
      <c r="BG14" s="52">
        <v>49.999999999999986</v>
      </c>
      <c r="BH14" s="52">
        <v>30.999999999999996</v>
      </c>
      <c r="BI14" s="52">
        <v>51.99999999999973</v>
      </c>
      <c r="BJ14" s="52">
        <v>31.000000000000004</v>
      </c>
      <c r="BK14" s="52">
        <v>31.000000000000004</v>
      </c>
      <c r="BL14" s="52">
        <v>51.999999999999929</v>
      </c>
      <c r="BM14" s="52">
        <v>51.999999999999986</v>
      </c>
      <c r="BN14" s="52">
        <v>31.000000000000014</v>
      </c>
      <c r="BO14" s="52">
        <v>51.999999999999943</v>
      </c>
      <c r="BP14" s="52">
        <v>51.999999999999986</v>
      </c>
      <c r="BQ14" s="52">
        <v>31.000000000000007</v>
      </c>
      <c r="BR14" s="52">
        <v>52.000000000000014</v>
      </c>
      <c r="BS14" s="52">
        <v>52.000000000000014</v>
      </c>
      <c r="BT14" s="52">
        <v>31.000000000000004</v>
      </c>
      <c r="BU14" s="52">
        <v>51.999999999999837</v>
      </c>
      <c r="BV14" s="52">
        <v>49.999999999999993</v>
      </c>
      <c r="BW14" s="52">
        <v>31.000000000000007</v>
      </c>
    </row>
    <row r="15" spans="1:75" x14ac:dyDescent="0.3">
      <c r="A15" s="8" t="s">
        <v>89</v>
      </c>
      <c r="B15" s="8" t="s">
        <v>9</v>
      </c>
      <c r="C15" s="8" t="s">
        <v>110</v>
      </c>
      <c r="D15" s="52">
        <v>51.999999999999915</v>
      </c>
      <c r="E15" s="52">
        <v>52.000000000000007</v>
      </c>
      <c r="F15" s="52">
        <v>30.999999999999996</v>
      </c>
      <c r="G15" s="52">
        <v>51.999999999999929</v>
      </c>
      <c r="H15" s="52">
        <v>50.000000000000007</v>
      </c>
      <c r="I15" s="52">
        <v>31.000000000000007</v>
      </c>
      <c r="J15" s="52">
        <v>51.999999999999936</v>
      </c>
      <c r="K15" s="52">
        <v>51.999999999999986</v>
      </c>
      <c r="L15" s="52">
        <v>30.999999999999996</v>
      </c>
      <c r="M15" s="52">
        <v>51.999999999999915</v>
      </c>
      <c r="N15" s="52">
        <v>49.999999999999993</v>
      </c>
      <c r="O15" s="52">
        <v>31.000000000000004</v>
      </c>
      <c r="P15" s="52">
        <v>34</v>
      </c>
      <c r="Q15" s="52">
        <v>34</v>
      </c>
      <c r="R15" s="52">
        <v>0</v>
      </c>
      <c r="S15" s="52">
        <v>10000</v>
      </c>
      <c r="T15" s="52">
        <v>92.707692307692071</v>
      </c>
      <c r="U15" s="52">
        <v>79.824999999999989</v>
      </c>
      <c r="V15" s="52">
        <v>51.999999999999936</v>
      </c>
      <c r="W15" s="52">
        <v>51.999999999999929</v>
      </c>
      <c r="X15" s="52">
        <v>0</v>
      </c>
      <c r="Y15" s="52">
        <v>51.999999999999929</v>
      </c>
      <c r="Z15" s="52">
        <v>30.999999999999996</v>
      </c>
      <c r="AA15" s="52">
        <v>76.896103896103895</v>
      </c>
      <c r="AB15" s="52">
        <v>49.999999999999993</v>
      </c>
      <c r="AC15" s="52">
        <v>50.000000000000007</v>
      </c>
      <c r="AD15" s="52">
        <v>30.999999999999996</v>
      </c>
      <c r="AE15" s="52">
        <v>58.51851851851827</v>
      </c>
      <c r="AF15" s="52">
        <v>57.264957264957026</v>
      </c>
      <c r="AG15" s="52">
        <v>90.499999999999957</v>
      </c>
      <c r="AH15" s="52">
        <v>51.999999999999936</v>
      </c>
      <c r="AI15" s="52">
        <v>51.999999999999972</v>
      </c>
      <c r="AJ15" s="52">
        <v>31.000000000000004</v>
      </c>
      <c r="AK15" s="52">
        <v>51.999999999999943</v>
      </c>
      <c r="AL15" s="52">
        <v>52.000000000000043</v>
      </c>
      <c r="AM15" s="52">
        <v>40</v>
      </c>
      <c r="AN15" s="52">
        <v>51.999999999999936</v>
      </c>
      <c r="AO15" s="52">
        <v>51.999999999999979</v>
      </c>
      <c r="AP15" s="52">
        <v>0</v>
      </c>
      <c r="AQ15" s="52">
        <v>52</v>
      </c>
      <c r="AR15" s="52">
        <v>34</v>
      </c>
      <c r="AS15" s="52">
        <v>106.77777777777779</v>
      </c>
      <c r="AT15" s="52">
        <v>51.999999999999929</v>
      </c>
      <c r="AU15" s="52">
        <v>51.999999999999929</v>
      </c>
      <c r="AV15" s="52">
        <v>0</v>
      </c>
      <c r="AW15" s="52">
        <v>51.999999999999943</v>
      </c>
      <c r="AX15" s="52">
        <v>52</v>
      </c>
      <c r="AY15" s="52">
        <v>106.77777777777779</v>
      </c>
      <c r="AZ15" s="52">
        <v>51.999999999999943</v>
      </c>
      <c r="BA15" s="52">
        <v>51.999999999999936</v>
      </c>
      <c r="BB15" s="52">
        <v>30.999999999999996</v>
      </c>
      <c r="BC15" s="52">
        <v>51.999999999999936</v>
      </c>
      <c r="BD15" s="52">
        <v>49.999999999999986</v>
      </c>
      <c r="BE15" s="52">
        <v>30.999999999999996</v>
      </c>
      <c r="BF15" s="52">
        <v>52.000000000000007</v>
      </c>
      <c r="BG15" s="52">
        <v>49.999999999999986</v>
      </c>
      <c r="BH15" s="52">
        <v>30.999999999999996</v>
      </c>
      <c r="BI15" s="52">
        <v>51.999999999999702</v>
      </c>
      <c r="BJ15" s="52">
        <v>31.000000000000004</v>
      </c>
      <c r="BK15" s="52">
        <v>31.000000000000004</v>
      </c>
      <c r="BL15" s="52">
        <v>51.999999999999936</v>
      </c>
      <c r="BM15" s="52">
        <v>51.999999999999986</v>
      </c>
      <c r="BN15" s="52">
        <v>31.000000000000014</v>
      </c>
      <c r="BO15" s="52">
        <v>51.999999999999943</v>
      </c>
      <c r="BP15" s="52">
        <v>51.999999999999986</v>
      </c>
      <c r="BQ15" s="52">
        <v>30.999999999999975</v>
      </c>
      <c r="BR15" s="52">
        <v>52.000000000000007</v>
      </c>
      <c r="BS15" s="52">
        <v>52.000000000000014</v>
      </c>
      <c r="BT15" s="52">
        <v>31.000000000000004</v>
      </c>
      <c r="BU15" s="52">
        <v>51.999999999999837</v>
      </c>
      <c r="BV15" s="52">
        <v>49.999999999999993</v>
      </c>
      <c r="BW15" s="52">
        <v>31.000000000000007</v>
      </c>
    </row>
    <row r="16" spans="1:75" x14ac:dyDescent="0.3">
      <c r="A16" s="8" t="s">
        <v>89</v>
      </c>
      <c r="B16" s="8" t="s">
        <v>9</v>
      </c>
      <c r="C16" s="8" t="s">
        <v>111</v>
      </c>
      <c r="D16" s="52">
        <v>51.999999999999915</v>
      </c>
      <c r="E16" s="52">
        <v>52.000000000000021</v>
      </c>
      <c r="F16" s="52">
        <v>30.999999999999996</v>
      </c>
      <c r="G16" s="52">
        <v>51.999999999999929</v>
      </c>
      <c r="H16" s="52">
        <v>50.000000000000007</v>
      </c>
      <c r="I16" s="52">
        <v>31.000000000000007</v>
      </c>
      <c r="J16" s="52">
        <v>51.999999999999936</v>
      </c>
      <c r="K16" s="52">
        <v>51.999999999999986</v>
      </c>
      <c r="L16" s="52">
        <v>30.999999999999996</v>
      </c>
      <c r="M16" s="52">
        <v>51.999999999999915</v>
      </c>
      <c r="N16" s="52">
        <v>49.999999999999993</v>
      </c>
      <c r="O16" s="52">
        <v>31.000000000000004</v>
      </c>
      <c r="P16" s="52">
        <v>34</v>
      </c>
      <c r="Q16" s="52">
        <v>34</v>
      </c>
      <c r="R16" s="52">
        <v>0</v>
      </c>
      <c r="S16" s="52">
        <v>10000</v>
      </c>
      <c r="T16" s="52">
        <v>92.707692307692071</v>
      </c>
      <c r="U16" s="52">
        <v>79.824999999999989</v>
      </c>
      <c r="V16" s="52">
        <v>51.999999999999936</v>
      </c>
      <c r="W16" s="52">
        <v>51.999999999999929</v>
      </c>
      <c r="X16" s="52">
        <v>0</v>
      </c>
      <c r="Y16" s="52">
        <v>51.999999999999929</v>
      </c>
      <c r="Z16" s="52">
        <v>30.999999999999993</v>
      </c>
      <c r="AA16" s="52">
        <v>76.896103896103895</v>
      </c>
      <c r="AB16" s="52">
        <v>50.000000000000007</v>
      </c>
      <c r="AC16" s="52">
        <v>49.999999999999993</v>
      </c>
      <c r="AD16" s="52">
        <v>31.000000000000007</v>
      </c>
      <c r="AE16" s="52">
        <v>58.51851851851827</v>
      </c>
      <c r="AF16" s="52">
        <v>57.26495726495704</v>
      </c>
      <c r="AG16" s="52">
        <v>90.499999999999957</v>
      </c>
      <c r="AH16" s="52">
        <v>51.999999999999936</v>
      </c>
      <c r="AI16" s="52">
        <v>51.999999999999972</v>
      </c>
      <c r="AJ16" s="52">
        <v>31.000000000000004</v>
      </c>
      <c r="AK16" s="52">
        <v>51.999999999999929</v>
      </c>
      <c r="AL16" s="52">
        <v>52.000000000000043</v>
      </c>
      <c r="AM16" s="52">
        <v>40</v>
      </c>
      <c r="AN16" s="52">
        <v>51.999999999999936</v>
      </c>
      <c r="AO16" s="52">
        <v>51.999999999999979</v>
      </c>
      <c r="AP16" s="52">
        <v>0</v>
      </c>
      <c r="AQ16" s="52">
        <v>52</v>
      </c>
      <c r="AR16" s="52">
        <v>34</v>
      </c>
      <c r="AS16" s="52">
        <v>106.77777777777779</v>
      </c>
      <c r="AT16" s="52">
        <v>51.999999999999929</v>
      </c>
      <c r="AU16" s="52">
        <v>51.999999999999929</v>
      </c>
      <c r="AV16" s="52">
        <v>0</v>
      </c>
      <c r="AW16" s="52">
        <v>51.999999999999943</v>
      </c>
      <c r="AX16" s="52">
        <v>52</v>
      </c>
      <c r="AY16" s="52">
        <v>106.77777777777779</v>
      </c>
      <c r="AZ16" s="52">
        <v>51.999999999999943</v>
      </c>
      <c r="BA16" s="52">
        <v>51.999999999999936</v>
      </c>
      <c r="BB16" s="52">
        <v>31.000000000000011</v>
      </c>
      <c r="BC16" s="52">
        <v>51.999999999999936</v>
      </c>
      <c r="BD16" s="52">
        <v>49.999999999999993</v>
      </c>
      <c r="BE16" s="52">
        <v>30.999999999999996</v>
      </c>
      <c r="BF16" s="52">
        <v>52.000000000000021</v>
      </c>
      <c r="BG16" s="52">
        <v>49.999999999999993</v>
      </c>
      <c r="BH16" s="52">
        <v>30.999999999999993</v>
      </c>
      <c r="BI16" s="52">
        <v>51.999999999999702</v>
      </c>
      <c r="BJ16" s="52">
        <v>31.000000000000011</v>
      </c>
      <c r="BK16" s="52">
        <v>31.000000000000004</v>
      </c>
      <c r="BL16" s="52">
        <v>51.999999999999936</v>
      </c>
      <c r="BM16" s="52">
        <v>51.999999999999986</v>
      </c>
      <c r="BN16" s="52">
        <v>31.000000000000014</v>
      </c>
      <c r="BO16" s="52">
        <v>51.999999999999943</v>
      </c>
      <c r="BP16" s="52">
        <v>51.999999999999986</v>
      </c>
      <c r="BQ16" s="52">
        <v>31.000000000000004</v>
      </c>
      <c r="BR16" s="52">
        <v>52.000000000000014</v>
      </c>
      <c r="BS16" s="52">
        <v>52.000000000000014</v>
      </c>
      <c r="BT16" s="52">
        <v>30.999999999999996</v>
      </c>
      <c r="BU16" s="52">
        <v>51.999999999999837</v>
      </c>
      <c r="BV16" s="52">
        <v>49.999999999999993</v>
      </c>
      <c r="BW16" s="52">
        <v>31.000000000000004</v>
      </c>
    </row>
    <row r="17" spans="1:75" x14ac:dyDescent="0.3">
      <c r="A17" s="8" t="s">
        <v>89</v>
      </c>
      <c r="B17" s="8" t="s">
        <v>9</v>
      </c>
      <c r="C17" s="8" t="s">
        <v>112</v>
      </c>
      <c r="D17" s="52">
        <v>51.999999999999915</v>
      </c>
      <c r="E17" s="52">
        <v>52.000000000000021</v>
      </c>
      <c r="F17" s="52">
        <v>30.999999999999996</v>
      </c>
      <c r="G17" s="52">
        <v>51.999999999999929</v>
      </c>
      <c r="H17" s="52">
        <v>50.000000000000007</v>
      </c>
      <c r="I17" s="52">
        <v>31.000000000000007</v>
      </c>
      <c r="J17" s="52">
        <v>51.999999999999936</v>
      </c>
      <c r="K17" s="52">
        <v>51.999999999999986</v>
      </c>
      <c r="L17" s="52">
        <v>30.999999999999996</v>
      </c>
      <c r="M17" s="52">
        <v>51.999999999999915</v>
      </c>
      <c r="N17" s="52">
        <v>49.999999999999993</v>
      </c>
      <c r="O17" s="52">
        <v>31.000000000000004</v>
      </c>
      <c r="P17" s="52">
        <v>34</v>
      </c>
      <c r="Q17" s="52">
        <v>34</v>
      </c>
      <c r="R17" s="52">
        <v>0</v>
      </c>
      <c r="S17" s="52">
        <v>10000</v>
      </c>
      <c r="T17" s="52">
        <v>92.707692307692071</v>
      </c>
      <c r="U17" s="52">
        <v>79.824999999999989</v>
      </c>
      <c r="V17" s="52">
        <v>51.999999999999936</v>
      </c>
      <c r="W17" s="52">
        <v>51.999999999999929</v>
      </c>
      <c r="X17" s="52">
        <v>0</v>
      </c>
      <c r="Y17" s="52">
        <v>51.999999999999929</v>
      </c>
      <c r="Z17" s="52">
        <v>30.999999999999993</v>
      </c>
      <c r="AA17" s="52">
        <v>76.896103896103895</v>
      </c>
      <c r="AB17" s="52">
        <v>50.000000000000007</v>
      </c>
      <c r="AC17" s="52">
        <v>49.999999999999993</v>
      </c>
      <c r="AD17" s="52">
        <v>31.000000000000007</v>
      </c>
      <c r="AE17" s="52">
        <v>58.51851851851827</v>
      </c>
      <c r="AF17" s="52">
        <v>57.26495726495704</v>
      </c>
      <c r="AG17" s="52">
        <v>90.499999999999957</v>
      </c>
      <c r="AH17" s="52">
        <v>51.999999999999936</v>
      </c>
      <c r="AI17" s="52">
        <v>51.999999999999972</v>
      </c>
      <c r="AJ17" s="52">
        <v>31.000000000000004</v>
      </c>
      <c r="AK17" s="52">
        <v>51.999999999999929</v>
      </c>
      <c r="AL17" s="52">
        <v>52.000000000000043</v>
      </c>
      <c r="AM17" s="52">
        <v>40</v>
      </c>
      <c r="AN17" s="52">
        <v>51.999999999999936</v>
      </c>
      <c r="AO17" s="52">
        <v>51.999999999999979</v>
      </c>
      <c r="AP17" s="52">
        <v>0</v>
      </c>
      <c r="AQ17" s="52">
        <v>52</v>
      </c>
      <c r="AR17" s="52">
        <v>34</v>
      </c>
      <c r="AS17" s="52">
        <v>106.77777777777779</v>
      </c>
      <c r="AT17" s="52">
        <v>51.999999999999929</v>
      </c>
      <c r="AU17" s="52">
        <v>51.999999999999929</v>
      </c>
      <c r="AV17" s="52">
        <v>0</v>
      </c>
      <c r="AW17" s="52">
        <v>51.999999999999943</v>
      </c>
      <c r="AX17" s="52">
        <v>52</v>
      </c>
      <c r="AY17" s="52">
        <v>106.77777777777779</v>
      </c>
      <c r="AZ17" s="52">
        <v>51.999999999999943</v>
      </c>
      <c r="BA17" s="52">
        <v>51.999999999999936</v>
      </c>
      <c r="BB17" s="52">
        <v>31.000000000000011</v>
      </c>
      <c r="BC17" s="52">
        <v>51.999999999999936</v>
      </c>
      <c r="BD17" s="52">
        <v>49.999999999999993</v>
      </c>
      <c r="BE17" s="52">
        <v>30.999999999999996</v>
      </c>
      <c r="BF17" s="52">
        <v>52.000000000000021</v>
      </c>
      <c r="BG17" s="52">
        <v>49.999999999999993</v>
      </c>
      <c r="BH17" s="52">
        <v>30.999999999999993</v>
      </c>
      <c r="BI17" s="52">
        <v>51.999999999999702</v>
      </c>
      <c r="BJ17" s="52">
        <v>31.000000000000011</v>
      </c>
      <c r="BK17" s="52">
        <v>31.000000000000004</v>
      </c>
      <c r="BL17" s="52">
        <v>51.999999999999936</v>
      </c>
      <c r="BM17" s="52">
        <v>51.999999999999986</v>
      </c>
      <c r="BN17" s="52">
        <v>31.000000000000014</v>
      </c>
      <c r="BO17" s="52">
        <v>51.999999999999943</v>
      </c>
      <c r="BP17" s="52">
        <v>51.999999999999986</v>
      </c>
      <c r="BQ17" s="52">
        <v>31.000000000000004</v>
      </c>
      <c r="BR17" s="52">
        <v>52.000000000000014</v>
      </c>
      <c r="BS17" s="52">
        <v>52.000000000000014</v>
      </c>
      <c r="BT17" s="52">
        <v>30.999999999999996</v>
      </c>
      <c r="BU17" s="52">
        <v>51.999999999999837</v>
      </c>
      <c r="BV17" s="52">
        <v>49.999999999999993</v>
      </c>
      <c r="BW17" s="52">
        <v>31.000000000000004</v>
      </c>
    </row>
    <row r="18" spans="1:75" x14ac:dyDescent="0.3">
      <c r="A18" s="8" t="s">
        <v>89</v>
      </c>
      <c r="B18" s="8" t="s">
        <v>9</v>
      </c>
      <c r="C18" s="8" t="s">
        <v>115</v>
      </c>
      <c r="D18" s="52">
        <v>51.999999999999915</v>
      </c>
      <c r="E18" s="52">
        <v>52</v>
      </c>
      <c r="F18" s="52">
        <v>31.000000000000007</v>
      </c>
      <c r="G18" s="52">
        <v>51.999999999999936</v>
      </c>
      <c r="H18" s="52">
        <v>50.000000000000007</v>
      </c>
      <c r="I18" s="52">
        <v>31.000000000000007</v>
      </c>
      <c r="J18" s="52">
        <v>51.999999999999943</v>
      </c>
      <c r="K18" s="52">
        <v>52</v>
      </c>
      <c r="L18" s="52">
        <v>30.999999999999996</v>
      </c>
      <c r="M18" s="52">
        <v>51.999999999999943</v>
      </c>
      <c r="N18" s="52">
        <v>49.999999999999993</v>
      </c>
      <c r="O18" s="52">
        <v>31.000000000000007</v>
      </c>
      <c r="P18" s="52">
        <v>34</v>
      </c>
      <c r="Q18" s="52">
        <v>33.999999999999986</v>
      </c>
      <c r="R18" s="52">
        <v>0</v>
      </c>
      <c r="S18" s="52">
        <v>10000</v>
      </c>
      <c r="T18" s="52">
        <v>92.707692307692142</v>
      </c>
      <c r="U18" s="52">
        <v>79.825000000000003</v>
      </c>
      <c r="V18" s="52">
        <v>51.999999999999936</v>
      </c>
      <c r="W18" s="52">
        <v>51.999999999999936</v>
      </c>
      <c r="X18" s="52">
        <v>0</v>
      </c>
      <c r="Y18" s="52">
        <v>51.999999999999915</v>
      </c>
      <c r="Z18" s="52">
        <v>30.999999999999996</v>
      </c>
      <c r="AA18" s="52">
        <v>76.896103896103895</v>
      </c>
      <c r="AB18" s="52">
        <v>49.999999999999993</v>
      </c>
      <c r="AC18" s="52">
        <v>50.000000000000007</v>
      </c>
      <c r="AD18" s="52">
        <v>30.999999999999996</v>
      </c>
      <c r="AE18" s="52">
        <v>58.51851851851827</v>
      </c>
      <c r="AF18" s="52">
        <v>57.264957264957069</v>
      </c>
      <c r="AG18" s="52">
        <v>90.499999999999957</v>
      </c>
      <c r="AH18" s="52">
        <v>51.999999999999915</v>
      </c>
      <c r="AI18" s="52">
        <v>51.999999999999972</v>
      </c>
      <c r="AJ18" s="52">
        <v>31.000000000000004</v>
      </c>
      <c r="AK18" s="52">
        <v>51.999999999999943</v>
      </c>
      <c r="AL18" s="52">
        <v>52.000000000000043</v>
      </c>
      <c r="AM18" s="52">
        <v>40</v>
      </c>
      <c r="AN18" s="52">
        <v>51.999999999999936</v>
      </c>
      <c r="AO18" s="52">
        <v>51.999999999999979</v>
      </c>
      <c r="AP18" s="52">
        <v>0</v>
      </c>
      <c r="AQ18" s="52">
        <v>52</v>
      </c>
      <c r="AR18" s="52">
        <v>34</v>
      </c>
      <c r="AS18" s="52">
        <v>106.7777777777778</v>
      </c>
      <c r="AT18" s="52">
        <v>51.99999999999995</v>
      </c>
      <c r="AU18" s="52">
        <v>51.999999999999936</v>
      </c>
      <c r="AV18" s="52">
        <v>0</v>
      </c>
      <c r="AW18" s="52">
        <v>51.999999999999943</v>
      </c>
      <c r="AX18" s="52">
        <v>51.999999999999986</v>
      </c>
      <c r="AY18" s="52">
        <v>106.7777777777778</v>
      </c>
      <c r="AZ18" s="52">
        <v>51.999999999999943</v>
      </c>
      <c r="BA18" s="52">
        <v>51.99999999999995</v>
      </c>
      <c r="BB18" s="52">
        <v>30.999999999999996</v>
      </c>
      <c r="BC18" s="52">
        <v>51.99999999999995</v>
      </c>
      <c r="BD18" s="52">
        <v>49.999999999999986</v>
      </c>
      <c r="BE18" s="52">
        <v>30.999999999999996</v>
      </c>
      <c r="BF18" s="52">
        <v>52</v>
      </c>
      <c r="BG18" s="52">
        <v>49.999999999999986</v>
      </c>
      <c r="BH18" s="52">
        <v>30.999999999999996</v>
      </c>
      <c r="BI18" s="52">
        <v>51.99999999999973</v>
      </c>
      <c r="BJ18" s="52">
        <v>31.000000000000004</v>
      </c>
      <c r="BK18" s="52">
        <v>31.000000000000004</v>
      </c>
      <c r="BL18" s="52">
        <v>51.999999999999929</v>
      </c>
      <c r="BM18" s="52">
        <v>51.999999999999986</v>
      </c>
      <c r="BN18" s="52">
        <v>31.000000000000014</v>
      </c>
      <c r="BO18" s="52">
        <v>51.999999999999943</v>
      </c>
      <c r="BP18" s="52">
        <v>51.999999999999986</v>
      </c>
      <c r="BQ18" s="52">
        <v>31.000000000000007</v>
      </c>
      <c r="BR18" s="52">
        <v>52.000000000000014</v>
      </c>
      <c r="BS18" s="52">
        <v>52.000000000000014</v>
      </c>
      <c r="BT18" s="52">
        <v>31.000000000000007</v>
      </c>
      <c r="BU18" s="52">
        <v>51.999999999999837</v>
      </c>
      <c r="BV18" s="52">
        <v>49.999999999999993</v>
      </c>
      <c r="BW18" s="52">
        <v>31.000000000000007</v>
      </c>
    </row>
    <row r="19" spans="1:75" x14ac:dyDescent="0.3">
      <c r="A19" s="8" t="s">
        <v>89</v>
      </c>
      <c r="B19" s="8" t="s">
        <v>9</v>
      </c>
      <c r="C19" s="8" t="s">
        <v>116</v>
      </c>
      <c r="D19" s="52">
        <v>51.999999999999915</v>
      </c>
      <c r="E19" s="52">
        <v>52</v>
      </c>
      <c r="F19" s="52">
        <v>31.000000000000007</v>
      </c>
      <c r="G19" s="52">
        <v>51.999999999999936</v>
      </c>
      <c r="H19" s="52">
        <v>50.000000000000007</v>
      </c>
      <c r="I19" s="52">
        <v>31.000000000000007</v>
      </c>
      <c r="J19" s="52">
        <v>51.999999999999943</v>
      </c>
      <c r="K19" s="52">
        <v>51.999999999999986</v>
      </c>
      <c r="L19" s="52">
        <v>30.999999999999996</v>
      </c>
      <c r="M19" s="52">
        <v>51.999999999999943</v>
      </c>
      <c r="N19" s="52">
        <v>49.999999999999993</v>
      </c>
      <c r="O19" s="52">
        <v>31.000000000000007</v>
      </c>
      <c r="P19" s="52">
        <v>34</v>
      </c>
      <c r="Q19" s="52">
        <v>34</v>
      </c>
      <c r="R19" s="52">
        <v>0</v>
      </c>
      <c r="S19" s="52">
        <v>10000</v>
      </c>
      <c r="T19" s="52">
        <v>92.707692307692142</v>
      </c>
      <c r="U19" s="52">
        <v>79.825000000000003</v>
      </c>
      <c r="V19" s="52">
        <v>51.999999999999936</v>
      </c>
      <c r="W19" s="52">
        <v>51.999999999999936</v>
      </c>
      <c r="X19" s="52">
        <v>0</v>
      </c>
      <c r="Y19" s="52">
        <v>51.999999999999915</v>
      </c>
      <c r="Z19" s="52">
        <v>30.999999999999996</v>
      </c>
      <c r="AA19" s="52">
        <v>76.896103896103895</v>
      </c>
      <c r="AB19" s="52">
        <v>49.999999999999993</v>
      </c>
      <c r="AC19" s="52">
        <v>50.000000000000007</v>
      </c>
      <c r="AD19" s="52">
        <v>30.999999999999996</v>
      </c>
      <c r="AE19" s="52">
        <v>58.51851851851827</v>
      </c>
      <c r="AF19" s="52">
        <v>57.264957264957069</v>
      </c>
      <c r="AG19" s="52">
        <v>90.499999999999957</v>
      </c>
      <c r="AH19" s="52">
        <v>51.999999999999915</v>
      </c>
      <c r="AI19" s="52">
        <v>51.999999999999972</v>
      </c>
      <c r="AJ19" s="52">
        <v>31.000000000000004</v>
      </c>
      <c r="AK19" s="52">
        <v>51.999999999999865</v>
      </c>
      <c r="AL19" s="52">
        <v>52.000000000000043</v>
      </c>
      <c r="AM19" s="52">
        <v>40</v>
      </c>
      <c r="AN19" s="52">
        <v>51.999999999999908</v>
      </c>
      <c r="AO19" s="52">
        <v>51.999999999999979</v>
      </c>
      <c r="AP19" s="52">
        <v>0</v>
      </c>
      <c r="AQ19" s="52">
        <v>52</v>
      </c>
      <c r="AR19" s="52">
        <v>34</v>
      </c>
      <c r="AS19" s="52">
        <v>106.7777777777778</v>
      </c>
      <c r="AT19" s="52">
        <v>51.999999999999929</v>
      </c>
      <c r="AU19" s="52">
        <v>51.999999999999908</v>
      </c>
      <c r="AV19" s="52">
        <v>0</v>
      </c>
      <c r="AW19" s="52">
        <v>51.999999999999929</v>
      </c>
      <c r="AX19" s="52">
        <v>51.999999999999986</v>
      </c>
      <c r="AY19" s="52">
        <v>106.7777777777778</v>
      </c>
      <c r="AZ19" s="52">
        <v>51.999999999999929</v>
      </c>
      <c r="BA19" s="52">
        <v>51.999999999999936</v>
      </c>
      <c r="BB19" s="52">
        <v>30.999999999999996</v>
      </c>
      <c r="BC19" s="52">
        <v>51.999999999999936</v>
      </c>
      <c r="BD19" s="52">
        <v>49.999999999999986</v>
      </c>
      <c r="BE19" s="52">
        <v>30.999999999999996</v>
      </c>
      <c r="BF19" s="52">
        <v>52</v>
      </c>
      <c r="BG19" s="52">
        <v>49.999999999999986</v>
      </c>
      <c r="BH19" s="52">
        <v>30.999999999999996</v>
      </c>
      <c r="BI19" s="52">
        <v>51.999999999999709</v>
      </c>
      <c r="BJ19" s="52">
        <v>31.000000000000004</v>
      </c>
      <c r="BK19" s="52">
        <v>31.000000000000004</v>
      </c>
      <c r="BL19" s="52">
        <v>51.999999999999915</v>
      </c>
      <c r="BM19" s="52">
        <v>51.999999999999986</v>
      </c>
      <c r="BN19" s="52">
        <v>31.000000000000014</v>
      </c>
      <c r="BO19" s="52">
        <v>51.999999999999929</v>
      </c>
      <c r="BP19" s="52">
        <v>51.999999999999986</v>
      </c>
      <c r="BQ19" s="52">
        <v>31.000000000000007</v>
      </c>
      <c r="BR19" s="52">
        <v>52.000000000000014</v>
      </c>
      <c r="BS19" s="52">
        <v>52.000000000000014</v>
      </c>
      <c r="BT19" s="52">
        <v>31.000000000000007</v>
      </c>
      <c r="BU19" s="52">
        <v>51.999999999999837</v>
      </c>
      <c r="BV19" s="52">
        <v>49.999999999999993</v>
      </c>
      <c r="BW19" s="52">
        <v>31.000000000000007</v>
      </c>
    </row>
    <row r="20" spans="1:75" x14ac:dyDescent="0.3">
      <c r="A20" s="8" t="s">
        <v>89</v>
      </c>
      <c r="B20" s="8" t="s">
        <v>9</v>
      </c>
      <c r="C20" s="8" t="s">
        <v>117</v>
      </c>
      <c r="D20" s="52">
        <v>51.999999999999915</v>
      </c>
      <c r="E20" s="52">
        <v>52</v>
      </c>
      <c r="F20" s="52">
        <v>31.000000000000007</v>
      </c>
      <c r="G20" s="52">
        <v>51.999999999999936</v>
      </c>
      <c r="H20" s="52">
        <v>50.000000000000007</v>
      </c>
      <c r="I20" s="52">
        <v>31.000000000000007</v>
      </c>
      <c r="J20" s="52">
        <v>51.999999999999943</v>
      </c>
      <c r="K20" s="52">
        <v>51.999999999999986</v>
      </c>
      <c r="L20" s="52">
        <v>30.999999999999996</v>
      </c>
      <c r="M20" s="52">
        <v>51.999999999999943</v>
      </c>
      <c r="N20" s="52">
        <v>49.999999999999993</v>
      </c>
      <c r="O20" s="52">
        <v>31.000000000000007</v>
      </c>
      <c r="P20" s="52">
        <v>34</v>
      </c>
      <c r="Q20" s="52">
        <v>34</v>
      </c>
      <c r="R20" s="52">
        <v>0</v>
      </c>
      <c r="S20" s="52">
        <v>10000</v>
      </c>
      <c r="T20" s="52">
        <v>92.707692307692142</v>
      </c>
      <c r="U20" s="52">
        <v>79.825000000000003</v>
      </c>
      <c r="V20" s="52">
        <v>51.999999999999936</v>
      </c>
      <c r="W20" s="52">
        <v>51.999999999999936</v>
      </c>
      <c r="X20" s="52">
        <v>0</v>
      </c>
      <c r="Y20" s="52">
        <v>51.999999999999915</v>
      </c>
      <c r="Z20" s="52">
        <v>30.999999999999996</v>
      </c>
      <c r="AA20" s="52">
        <v>76.896103896103895</v>
      </c>
      <c r="AB20" s="52">
        <v>49.999999999999993</v>
      </c>
      <c r="AC20" s="52">
        <v>50.000000000000007</v>
      </c>
      <c r="AD20" s="52">
        <v>30.999999999999996</v>
      </c>
      <c r="AE20" s="52">
        <v>58.51851851851827</v>
      </c>
      <c r="AF20" s="52">
        <v>57.264957264957069</v>
      </c>
      <c r="AG20" s="52">
        <v>90.499999999999957</v>
      </c>
      <c r="AH20" s="52">
        <v>51.999999999999915</v>
      </c>
      <c r="AI20" s="52">
        <v>51.999999999999972</v>
      </c>
      <c r="AJ20" s="52">
        <v>31.000000000000004</v>
      </c>
      <c r="AK20" s="52">
        <v>51.999999999999865</v>
      </c>
      <c r="AL20" s="52">
        <v>52.000000000000043</v>
      </c>
      <c r="AM20" s="52">
        <v>40</v>
      </c>
      <c r="AN20" s="52">
        <v>51.999999999999908</v>
      </c>
      <c r="AO20" s="52">
        <v>51.999999999999979</v>
      </c>
      <c r="AP20" s="52">
        <v>0</v>
      </c>
      <c r="AQ20" s="52">
        <v>52</v>
      </c>
      <c r="AR20" s="52">
        <v>34</v>
      </c>
      <c r="AS20" s="52">
        <v>106.7777777777778</v>
      </c>
      <c r="AT20" s="52">
        <v>51.999999999999929</v>
      </c>
      <c r="AU20" s="52">
        <v>51.999999999999908</v>
      </c>
      <c r="AV20" s="52">
        <v>0</v>
      </c>
      <c r="AW20" s="52">
        <v>51.999999999999929</v>
      </c>
      <c r="AX20" s="52">
        <v>51.999999999999986</v>
      </c>
      <c r="AY20" s="52">
        <v>106.7777777777778</v>
      </c>
      <c r="AZ20" s="52">
        <v>51.999999999999929</v>
      </c>
      <c r="BA20" s="52">
        <v>51.999999999999936</v>
      </c>
      <c r="BB20" s="52">
        <v>30.999999999999996</v>
      </c>
      <c r="BC20" s="52">
        <v>51.999999999999936</v>
      </c>
      <c r="BD20" s="52">
        <v>49.999999999999986</v>
      </c>
      <c r="BE20" s="52">
        <v>30.999999999999996</v>
      </c>
      <c r="BF20" s="52">
        <v>52</v>
      </c>
      <c r="BG20" s="52">
        <v>49.999999999999986</v>
      </c>
      <c r="BH20" s="52">
        <v>30.999999999999996</v>
      </c>
      <c r="BI20" s="52">
        <v>51.999999999999709</v>
      </c>
      <c r="BJ20" s="52">
        <v>31.000000000000004</v>
      </c>
      <c r="BK20" s="52">
        <v>31.000000000000004</v>
      </c>
      <c r="BL20" s="52">
        <v>51.999999999999915</v>
      </c>
      <c r="BM20" s="52">
        <v>51.999999999999986</v>
      </c>
      <c r="BN20" s="52">
        <v>31.000000000000014</v>
      </c>
      <c r="BO20" s="52">
        <v>51.999999999999929</v>
      </c>
      <c r="BP20" s="52">
        <v>51.999999999999986</v>
      </c>
      <c r="BQ20" s="52">
        <v>31.000000000000007</v>
      </c>
      <c r="BR20" s="52">
        <v>52.000000000000014</v>
      </c>
      <c r="BS20" s="52">
        <v>52.000000000000014</v>
      </c>
      <c r="BT20" s="52">
        <v>31.000000000000007</v>
      </c>
      <c r="BU20" s="52">
        <v>51.999999999999837</v>
      </c>
      <c r="BV20" s="52">
        <v>49.999999999999993</v>
      </c>
      <c r="BW20" s="52">
        <v>31.000000000000007</v>
      </c>
    </row>
    <row r="21" spans="1:75" x14ac:dyDescent="0.3">
      <c r="A21" s="8" t="s">
        <v>89</v>
      </c>
      <c r="B21" s="8" t="s">
        <v>9</v>
      </c>
      <c r="C21" s="8" t="s">
        <v>118</v>
      </c>
      <c r="D21" s="52">
        <v>51.999999999999915</v>
      </c>
      <c r="E21" s="52">
        <v>52</v>
      </c>
      <c r="F21" s="52">
        <v>31.000000000000007</v>
      </c>
      <c r="G21" s="52">
        <v>51.999999999999936</v>
      </c>
      <c r="H21" s="52">
        <v>50.000000000000007</v>
      </c>
      <c r="I21" s="52">
        <v>31.000000000000007</v>
      </c>
      <c r="J21" s="52">
        <v>51.999999999999943</v>
      </c>
      <c r="K21" s="52">
        <v>51.999999999999986</v>
      </c>
      <c r="L21" s="52">
        <v>30.999999999999996</v>
      </c>
      <c r="M21" s="52">
        <v>51.999999999999943</v>
      </c>
      <c r="N21" s="52">
        <v>49.999999999999993</v>
      </c>
      <c r="O21" s="52">
        <v>31.000000000000007</v>
      </c>
      <c r="P21" s="52">
        <v>34</v>
      </c>
      <c r="Q21" s="52">
        <v>34</v>
      </c>
      <c r="R21" s="52">
        <v>0</v>
      </c>
      <c r="S21" s="52">
        <v>10000</v>
      </c>
      <c r="T21" s="52">
        <v>92.707692307692142</v>
      </c>
      <c r="U21" s="52">
        <v>79.825000000000003</v>
      </c>
      <c r="V21" s="52">
        <v>51.999999999999936</v>
      </c>
      <c r="W21" s="52">
        <v>51.999999999999936</v>
      </c>
      <c r="X21" s="52">
        <v>0</v>
      </c>
      <c r="Y21" s="52">
        <v>51.999999999999915</v>
      </c>
      <c r="Z21" s="52">
        <v>30.999999999999996</v>
      </c>
      <c r="AA21" s="52">
        <v>76.896103896103895</v>
      </c>
      <c r="AB21" s="52">
        <v>49.999999999999993</v>
      </c>
      <c r="AC21" s="52">
        <v>50.000000000000007</v>
      </c>
      <c r="AD21" s="52">
        <v>30.999999999999996</v>
      </c>
      <c r="AE21" s="52">
        <v>58.51851851851827</v>
      </c>
      <c r="AF21" s="52">
        <v>57.264957264957069</v>
      </c>
      <c r="AG21" s="52">
        <v>90.499999999999957</v>
      </c>
      <c r="AH21" s="52">
        <v>51.999999999999915</v>
      </c>
      <c r="AI21" s="52">
        <v>51.999999999999972</v>
      </c>
      <c r="AJ21" s="52">
        <v>31.000000000000004</v>
      </c>
      <c r="AK21" s="52">
        <v>51.999999999999865</v>
      </c>
      <c r="AL21" s="52">
        <v>52.000000000000043</v>
      </c>
      <c r="AM21" s="52">
        <v>40</v>
      </c>
      <c r="AN21" s="52">
        <v>51.999999999999908</v>
      </c>
      <c r="AO21" s="52">
        <v>51.999999999999979</v>
      </c>
      <c r="AP21" s="52">
        <v>0</v>
      </c>
      <c r="AQ21" s="52">
        <v>52</v>
      </c>
      <c r="AR21" s="52">
        <v>34</v>
      </c>
      <c r="AS21" s="52">
        <v>106.7777777777778</v>
      </c>
      <c r="AT21" s="52">
        <v>51.999999999999929</v>
      </c>
      <c r="AU21" s="52">
        <v>51.999999999999908</v>
      </c>
      <c r="AV21" s="52">
        <v>0</v>
      </c>
      <c r="AW21" s="52">
        <v>51.999999999999929</v>
      </c>
      <c r="AX21" s="52">
        <v>51.999999999999986</v>
      </c>
      <c r="AY21" s="52">
        <v>106.7777777777778</v>
      </c>
      <c r="AZ21" s="52">
        <v>51.999999999999929</v>
      </c>
      <c r="BA21" s="52">
        <v>51.999999999999936</v>
      </c>
      <c r="BB21" s="52">
        <v>30.999999999999996</v>
      </c>
      <c r="BC21" s="52">
        <v>51.999999999999936</v>
      </c>
      <c r="BD21" s="52">
        <v>49.999999999999986</v>
      </c>
      <c r="BE21" s="52">
        <v>30.999999999999996</v>
      </c>
      <c r="BF21" s="52">
        <v>52</v>
      </c>
      <c r="BG21" s="52">
        <v>49.999999999999986</v>
      </c>
      <c r="BH21" s="52">
        <v>30.999999999999996</v>
      </c>
      <c r="BI21" s="52">
        <v>51.999999999999709</v>
      </c>
      <c r="BJ21" s="52">
        <v>31.000000000000004</v>
      </c>
      <c r="BK21" s="52">
        <v>31.000000000000004</v>
      </c>
      <c r="BL21" s="52">
        <v>51.999999999999915</v>
      </c>
      <c r="BM21" s="52">
        <v>51.999999999999986</v>
      </c>
      <c r="BN21" s="52">
        <v>31.000000000000014</v>
      </c>
      <c r="BO21" s="52">
        <v>51.999999999999929</v>
      </c>
      <c r="BP21" s="52">
        <v>51.999999999999986</v>
      </c>
      <c r="BQ21" s="52">
        <v>31.000000000000007</v>
      </c>
      <c r="BR21" s="52">
        <v>52.000000000000014</v>
      </c>
      <c r="BS21" s="52">
        <v>52.000000000000014</v>
      </c>
      <c r="BT21" s="52">
        <v>31.000000000000007</v>
      </c>
      <c r="BU21" s="52">
        <v>51.999999999999837</v>
      </c>
      <c r="BV21" s="52">
        <v>49.999999999999993</v>
      </c>
      <c r="BW21" s="52">
        <v>31.000000000000007</v>
      </c>
    </row>
    <row r="22" spans="1:75" x14ac:dyDescent="0.3">
      <c r="A22" s="8" t="s">
        <v>89</v>
      </c>
      <c r="B22" s="8" t="s">
        <v>10</v>
      </c>
      <c r="C22" s="8" t="s">
        <v>108</v>
      </c>
      <c r="D22" s="52">
        <v>53.999999999999986</v>
      </c>
      <c r="E22" s="52">
        <v>49.999999999999993</v>
      </c>
      <c r="F22" s="52">
        <v>31.000000000000004</v>
      </c>
      <c r="G22" s="52">
        <v>53.999999999999915</v>
      </c>
      <c r="H22" s="52">
        <v>31.000000000000025</v>
      </c>
      <c r="I22" s="52">
        <v>31.000000000000007</v>
      </c>
      <c r="J22" s="52">
        <v>54</v>
      </c>
      <c r="K22" s="52">
        <v>49.999999999999993</v>
      </c>
      <c r="L22" s="52">
        <v>31.000000000000007</v>
      </c>
      <c r="M22" s="52">
        <v>54.000000000000007</v>
      </c>
      <c r="N22" s="52">
        <v>30.999999999999993</v>
      </c>
      <c r="O22" s="52">
        <v>31.000000000000011</v>
      </c>
      <c r="P22" s="52">
        <v>34</v>
      </c>
      <c r="Q22" s="52">
        <v>34.000000000000007</v>
      </c>
      <c r="R22" s="52">
        <v>0</v>
      </c>
      <c r="S22" s="52">
        <v>10000</v>
      </c>
      <c r="T22" s="52">
        <v>86.184615384615398</v>
      </c>
      <c r="U22" s="52">
        <v>79.825000000000003</v>
      </c>
      <c r="V22" s="52">
        <v>31.000000000000004</v>
      </c>
      <c r="W22" s="52">
        <v>31.000000000000014</v>
      </c>
      <c r="X22" s="52">
        <v>0</v>
      </c>
      <c r="Y22" s="52">
        <v>10000</v>
      </c>
      <c r="Z22" s="52">
        <v>93.727272727272663</v>
      </c>
      <c r="AA22" s="52">
        <v>76.896103896103924</v>
      </c>
      <c r="AB22" s="52">
        <v>50.000000000000007</v>
      </c>
      <c r="AC22" s="52">
        <v>49.999999999999993</v>
      </c>
      <c r="AD22" s="52">
        <v>31.000000000000004</v>
      </c>
      <c r="AE22" s="52">
        <v>67.037037037036953</v>
      </c>
      <c r="AF22" s="52">
        <v>64.529914529914535</v>
      </c>
      <c r="AG22" s="52">
        <v>31.000000000000007</v>
      </c>
      <c r="AH22" s="52">
        <v>52</v>
      </c>
      <c r="AI22" s="52">
        <v>52.000000000000007</v>
      </c>
      <c r="AJ22" s="52">
        <v>31.000000000000007</v>
      </c>
      <c r="AK22" s="52">
        <v>60.222222222222271</v>
      </c>
      <c r="AL22" s="52">
        <v>58.666666666666679</v>
      </c>
      <c r="AM22" s="52">
        <v>31.000000000000007</v>
      </c>
      <c r="AN22" s="52">
        <v>33.999999999999993</v>
      </c>
      <c r="AO22" s="52">
        <v>34.000000000000014</v>
      </c>
      <c r="AP22" s="52">
        <v>0</v>
      </c>
      <c r="AQ22" s="52">
        <v>10000</v>
      </c>
      <c r="AR22" s="52">
        <v>95.904761904761884</v>
      </c>
      <c r="AS22" s="52">
        <v>106.77777777777779</v>
      </c>
      <c r="AT22" s="52">
        <v>53.999999999999986</v>
      </c>
      <c r="AU22" s="52">
        <v>54.000000000000007</v>
      </c>
      <c r="AV22" s="52">
        <v>0</v>
      </c>
      <c r="AW22" s="52">
        <v>54</v>
      </c>
      <c r="AX22" s="52">
        <v>31.000000000000007</v>
      </c>
      <c r="AY22" s="52">
        <v>106.77777777777779</v>
      </c>
      <c r="AZ22" s="52">
        <v>54.000000000000007</v>
      </c>
      <c r="BA22" s="52">
        <v>34</v>
      </c>
      <c r="BB22" s="52">
        <v>0</v>
      </c>
      <c r="BC22" s="52">
        <v>54.000000000000007</v>
      </c>
      <c r="BD22" s="52">
        <v>31.000000000000007</v>
      </c>
      <c r="BE22" s="52">
        <v>85.25</v>
      </c>
      <c r="BF22" s="52">
        <v>52.000000000000007</v>
      </c>
      <c r="BG22" s="52">
        <v>52.000000000000014</v>
      </c>
      <c r="BH22" s="52">
        <v>29.999999999999986</v>
      </c>
      <c r="BI22" s="52">
        <v>58.888888888888857</v>
      </c>
      <c r="BJ22" s="52">
        <v>50.000000000000007</v>
      </c>
      <c r="BK22" s="52">
        <v>29.999999999999996</v>
      </c>
      <c r="BL22" s="52">
        <v>53.999999999999972</v>
      </c>
      <c r="BM22" s="52">
        <v>33.999999999999986</v>
      </c>
      <c r="BN22" s="52">
        <v>31.000000000000007</v>
      </c>
      <c r="BO22" s="52">
        <v>33.999999999999993</v>
      </c>
      <c r="BP22" s="52">
        <v>31.000000000000021</v>
      </c>
      <c r="BQ22" s="52">
        <v>30</v>
      </c>
      <c r="BR22" s="52">
        <v>51.999999999999964</v>
      </c>
      <c r="BS22" s="52">
        <v>34</v>
      </c>
      <c r="BT22" s="52">
        <v>29.999999999999986</v>
      </c>
      <c r="BU22" s="52">
        <v>56.428571428571416</v>
      </c>
      <c r="BV22" s="52">
        <v>30.999999999999993</v>
      </c>
      <c r="BW22" s="52">
        <v>29.999999999999986</v>
      </c>
    </row>
    <row r="23" spans="1:75" x14ac:dyDescent="0.3">
      <c r="A23" s="8" t="s">
        <v>89</v>
      </c>
      <c r="B23" s="8" t="s">
        <v>10</v>
      </c>
      <c r="C23" s="8" t="s">
        <v>109</v>
      </c>
      <c r="D23" s="52">
        <v>54</v>
      </c>
      <c r="E23" s="52">
        <v>50.000000000000007</v>
      </c>
      <c r="F23" s="52">
        <v>31.000000000000004</v>
      </c>
      <c r="G23" s="52">
        <v>53.999999999999993</v>
      </c>
      <c r="H23" s="52">
        <v>31.000000000000004</v>
      </c>
      <c r="I23" s="52">
        <v>31.000000000000007</v>
      </c>
      <c r="J23" s="52">
        <v>54</v>
      </c>
      <c r="K23" s="52">
        <v>49.999999999999993</v>
      </c>
      <c r="L23" s="52">
        <v>31.000000000000007</v>
      </c>
      <c r="M23" s="52">
        <v>54.000000000000007</v>
      </c>
      <c r="N23" s="52">
        <v>31.000000000000004</v>
      </c>
      <c r="O23" s="52">
        <v>31.000000000000007</v>
      </c>
      <c r="P23" s="52">
        <v>34</v>
      </c>
      <c r="Q23" s="52">
        <v>34.000000000000007</v>
      </c>
      <c r="R23" s="52">
        <v>0</v>
      </c>
      <c r="S23" s="52">
        <v>10000</v>
      </c>
      <c r="T23" s="52">
        <v>86.184615384615412</v>
      </c>
      <c r="U23" s="52">
        <v>79.825000000000003</v>
      </c>
      <c r="V23" s="52">
        <v>30.999999999999996</v>
      </c>
      <c r="W23" s="52">
        <v>30.999999999999996</v>
      </c>
      <c r="X23" s="52">
        <v>0</v>
      </c>
      <c r="Y23" s="52">
        <v>10000</v>
      </c>
      <c r="Z23" s="52">
        <v>93.727272727272663</v>
      </c>
      <c r="AA23" s="52">
        <v>76.896103896103924</v>
      </c>
      <c r="AB23" s="52">
        <v>50.000000000000007</v>
      </c>
      <c r="AC23" s="52">
        <v>49.999999999999986</v>
      </c>
      <c r="AD23" s="52">
        <v>31.000000000000004</v>
      </c>
      <c r="AE23" s="52">
        <v>67.037037037036953</v>
      </c>
      <c r="AF23" s="52">
        <v>64.529914529914535</v>
      </c>
      <c r="AG23" s="52">
        <v>31.000000000000007</v>
      </c>
      <c r="AH23" s="52">
        <v>52.000000000000007</v>
      </c>
      <c r="AI23" s="52">
        <v>52.000000000000007</v>
      </c>
      <c r="AJ23" s="52">
        <v>31.000000000000007</v>
      </c>
      <c r="AK23" s="52">
        <v>60.222222222222278</v>
      </c>
      <c r="AL23" s="52">
        <v>58.666666666666671</v>
      </c>
      <c r="AM23" s="52">
        <v>31.000000000000007</v>
      </c>
      <c r="AN23" s="52">
        <v>33.999999999999993</v>
      </c>
      <c r="AO23" s="52">
        <v>34.000000000000007</v>
      </c>
      <c r="AP23" s="52">
        <v>0</v>
      </c>
      <c r="AQ23" s="52">
        <v>10000</v>
      </c>
      <c r="AR23" s="52">
        <v>95.904761904761884</v>
      </c>
      <c r="AS23" s="52">
        <v>106.7777777777778</v>
      </c>
      <c r="AT23" s="52">
        <v>54</v>
      </c>
      <c r="AU23" s="52">
        <v>54.000000000000007</v>
      </c>
      <c r="AV23" s="52">
        <v>0</v>
      </c>
      <c r="AW23" s="52">
        <v>54</v>
      </c>
      <c r="AX23" s="52">
        <v>31.000000000000007</v>
      </c>
      <c r="AY23" s="52">
        <v>106.7777777777778</v>
      </c>
      <c r="AZ23" s="52">
        <v>54.000000000000028</v>
      </c>
      <c r="BA23" s="52">
        <v>34</v>
      </c>
      <c r="BB23" s="52">
        <v>0</v>
      </c>
      <c r="BC23" s="52">
        <v>54.000000000000021</v>
      </c>
      <c r="BD23" s="52">
        <v>31.000000000000007</v>
      </c>
      <c r="BE23" s="52">
        <v>85.25</v>
      </c>
      <c r="BF23" s="52">
        <v>52.000000000000007</v>
      </c>
      <c r="BG23" s="52">
        <v>52.000000000000007</v>
      </c>
      <c r="BH23" s="52">
        <v>29.999999999999996</v>
      </c>
      <c r="BI23" s="52">
        <v>58.888888888888886</v>
      </c>
      <c r="BJ23" s="52">
        <v>50.000000000000007</v>
      </c>
      <c r="BK23" s="52">
        <v>30</v>
      </c>
      <c r="BL23" s="52">
        <v>54</v>
      </c>
      <c r="BM23" s="52">
        <v>33.999999999999986</v>
      </c>
      <c r="BN23" s="52">
        <v>31.000000000000004</v>
      </c>
      <c r="BO23" s="52">
        <v>34</v>
      </c>
      <c r="BP23" s="52">
        <v>31.000000000000004</v>
      </c>
      <c r="BQ23" s="52">
        <v>30</v>
      </c>
      <c r="BR23" s="52">
        <v>52.000000000000014</v>
      </c>
      <c r="BS23" s="52">
        <v>34</v>
      </c>
      <c r="BT23" s="52">
        <v>30</v>
      </c>
      <c r="BU23" s="52">
        <v>56.428571428571416</v>
      </c>
      <c r="BV23" s="52">
        <v>30.999999999999993</v>
      </c>
      <c r="BW23" s="52">
        <v>29.999999999999996</v>
      </c>
    </row>
    <row r="24" spans="1:75" x14ac:dyDescent="0.3">
      <c r="A24" s="8" t="s">
        <v>89</v>
      </c>
      <c r="B24" s="8" t="s">
        <v>10</v>
      </c>
      <c r="C24" s="8" t="s">
        <v>110</v>
      </c>
      <c r="D24" s="52">
        <v>54</v>
      </c>
      <c r="E24" s="52">
        <v>50.000000000000007</v>
      </c>
      <c r="F24" s="52">
        <v>31.000000000000004</v>
      </c>
      <c r="G24" s="52">
        <v>53.999999999999993</v>
      </c>
      <c r="H24" s="52">
        <v>31.000000000000004</v>
      </c>
      <c r="I24" s="52">
        <v>31.000000000000007</v>
      </c>
      <c r="J24" s="52">
        <v>54</v>
      </c>
      <c r="K24" s="52">
        <v>49.999999999999993</v>
      </c>
      <c r="L24" s="52">
        <v>31.000000000000007</v>
      </c>
      <c r="M24" s="52">
        <v>54.000000000000021</v>
      </c>
      <c r="N24" s="52">
        <v>31.000000000000004</v>
      </c>
      <c r="O24" s="52">
        <v>31.000000000000007</v>
      </c>
      <c r="P24" s="52">
        <v>34</v>
      </c>
      <c r="Q24" s="52">
        <v>34.000000000000007</v>
      </c>
      <c r="R24" s="52">
        <v>0</v>
      </c>
      <c r="S24" s="52">
        <v>10000</v>
      </c>
      <c r="T24" s="52">
        <v>86.184615384615398</v>
      </c>
      <c r="U24" s="52">
        <v>79.825000000000003</v>
      </c>
      <c r="V24" s="52">
        <v>30.999999999999996</v>
      </c>
      <c r="W24" s="52">
        <v>30.999999999999996</v>
      </c>
      <c r="X24" s="52">
        <v>0</v>
      </c>
      <c r="Y24" s="52">
        <v>10000</v>
      </c>
      <c r="Z24" s="52">
        <v>93.727272727272663</v>
      </c>
      <c r="AA24" s="52">
        <v>76.896103896103924</v>
      </c>
      <c r="AB24" s="52">
        <v>50.000000000000007</v>
      </c>
      <c r="AC24" s="52">
        <v>49.999999999999986</v>
      </c>
      <c r="AD24" s="52">
        <v>31.000000000000004</v>
      </c>
      <c r="AE24" s="52">
        <v>67.037037037036953</v>
      </c>
      <c r="AF24" s="52">
        <v>64.529914529914535</v>
      </c>
      <c r="AG24" s="52">
        <v>31.000000000000007</v>
      </c>
      <c r="AH24" s="52">
        <v>52.000000000000007</v>
      </c>
      <c r="AI24" s="52">
        <v>52.000000000000007</v>
      </c>
      <c r="AJ24" s="52">
        <v>31.000000000000007</v>
      </c>
      <c r="AK24" s="52">
        <v>60.222222222222271</v>
      </c>
      <c r="AL24" s="52">
        <v>58.666666666666679</v>
      </c>
      <c r="AM24" s="52">
        <v>31.000000000000007</v>
      </c>
      <c r="AN24" s="52">
        <v>33.999999999999993</v>
      </c>
      <c r="AO24" s="52">
        <v>34.000000000000007</v>
      </c>
      <c r="AP24" s="52">
        <v>0</v>
      </c>
      <c r="AQ24" s="52">
        <v>10000</v>
      </c>
      <c r="AR24" s="52">
        <v>95.904761904761912</v>
      </c>
      <c r="AS24" s="52">
        <v>106.77777777777779</v>
      </c>
      <c r="AT24" s="52">
        <v>54</v>
      </c>
      <c r="AU24" s="52">
        <v>54.000000000000007</v>
      </c>
      <c r="AV24" s="52">
        <v>0</v>
      </c>
      <c r="AW24" s="52">
        <v>54</v>
      </c>
      <c r="AX24" s="52">
        <v>31.000000000000007</v>
      </c>
      <c r="AY24" s="52">
        <v>106.77777777777779</v>
      </c>
      <c r="AZ24" s="52">
        <v>54.000000000000007</v>
      </c>
      <c r="BA24" s="52">
        <v>34</v>
      </c>
      <c r="BB24" s="52">
        <v>0</v>
      </c>
      <c r="BC24" s="52">
        <v>54.000000000000007</v>
      </c>
      <c r="BD24" s="52">
        <v>31.000000000000007</v>
      </c>
      <c r="BE24" s="52">
        <v>85.249999999999986</v>
      </c>
      <c r="BF24" s="52">
        <v>52.000000000000007</v>
      </c>
      <c r="BG24" s="52">
        <v>52.000000000000007</v>
      </c>
      <c r="BH24" s="52">
        <v>29.999999999999996</v>
      </c>
      <c r="BI24" s="52">
        <v>58.888888888888857</v>
      </c>
      <c r="BJ24" s="52">
        <v>50.000000000000007</v>
      </c>
      <c r="BK24" s="52">
        <v>30</v>
      </c>
      <c r="BL24" s="52">
        <v>54</v>
      </c>
      <c r="BM24" s="52">
        <v>33.999999999999993</v>
      </c>
      <c r="BN24" s="52">
        <v>31.000000000000004</v>
      </c>
      <c r="BO24" s="52">
        <v>33.999999999999993</v>
      </c>
      <c r="BP24" s="52">
        <v>31.000000000000004</v>
      </c>
      <c r="BQ24" s="52">
        <v>30</v>
      </c>
      <c r="BR24" s="52">
        <v>52.000000000000014</v>
      </c>
      <c r="BS24" s="52">
        <v>34</v>
      </c>
      <c r="BT24" s="52">
        <v>30</v>
      </c>
      <c r="BU24" s="52">
        <v>56.428571428571416</v>
      </c>
      <c r="BV24" s="52">
        <v>30.999999999999993</v>
      </c>
      <c r="BW24" s="52">
        <v>29.999999999999996</v>
      </c>
    </row>
    <row r="25" spans="1:75" x14ac:dyDescent="0.3">
      <c r="A25" s="8" t="s">
        <v>89</v>
      </c>
      <c r="B25" s="8" t="s">
        <v>10</v>
      </c>
      <c r="C25" s="8" t="s">
        <v>111</v>
      </c>
      <c r="D25" s="52">
        <v>54.000000000000007</v>
      </c>
      <c r="E25" s="52">
        <v>49.999999999999993</v>
      </c>
      <c r="F25" s="52">
        <v>31.000000000000004</v>
      </c>
      <c r="G25" s="52">
        <v>53.999999999999972</v>
      </c>
      <c r="H25" s="52">
        <v>31.000000000000011</v>
      </c>
      <c r="I25" s="52">
        <v>31.000000000000007</v>
      </c>
      <c r="J25" s="52">
        <v>54</v>
      </c>
      <c r="K25" s="52">
        <v>49.999999999999993</v>
      </c>
      <c r="L25" s="52">
        <v>31.000000000000007</v>
      </c>
      <c r="M25" s="52">
        <v>54.000000000000043</v>
      </c>
      <c r="N25" s="52">
        <v>31.000000000000007</v>
      </c>
      <c r="O25" s="52">
        <v>31.000000000000011</v>
      </c>
      <c r="P25" s="52">
        <v>34</v>
      </c>
      <c r="Q25" s="52">
        <v>34</v>
      </c>
      <c r="R25" s="52">
        <v>0</v>
      </c>
      <c r="S25" s="52">
        <v>10000</v>
      </c>
      <c r="T25" s="52">
        <v>86.184615384615398</v>
      </c>
      <c r="U25" s="52">
        <v>79.825000000000003</v>
      </c>
      <c r="V25" s="52">
        <v>31.000000000000004</v>
      </c>
      <c r="W25" s="52">
        <v>31.000000000000007</v>
      </c>
      <c r="X25" s="52">
        <v>0</v>
      </c>
      <c r="Y25" s="52">
        <v>10000</v>
      </c>
      <c r="Z25" s="52">
        <v>93.727272727272663</v>
      </c>
      <c r="AA25" s="52">
        <v>76.896103896103924</v>
      </c>
      <c r="AB25" s="52">
        <v>50.000000000000007</v>
      </c>
      <c r="AC25" s="52">
        <v>49.999999999999993</v>
      </c>
      <c r="AD25" s="52">
        <v>31.000000000000004</v>
      </c>
      <c r="AE25" s="52">
        <v>67.037037037036953</v>
      </c>
      <c r="AF25" s="52">
        <v>64.529914529914535</v>
      </c>
      <c r="AG25" s="52">
        <v>31.000000000000007</v>
      </c>
      <c r="AH25" s="52">
        <v>52.000000000000007</v>
      </c>
      <c r="AI25" s="52">
        <v>52</v>
      </c>
      <c r="AJ25" s="52">
        <v>31.000000000000007</v>
      </c>
      <c r="AK25" s="52">
        <v>60.222222222222271</v>
      </c>
      <c r="AL25" s="52">
        <v>58.666666666666679</v>
      </c>
      <c r="AM25" s="52">
        <v>31.000000000000007</v>
      </c>
      <c r="AN25" s="52">
        <v>33.999999999999993</v>
      </c>
      <c r="AO25" s="52">
        <v>34</v>
      </c>
      <c r="AP25" s="52">
        <v>0</v>
      </c>
      <c r="AQ25" s="52">
        <v>10000</v>
      </c>
      <c r="AR25" s="52">
        <v>95.904761904761912</v>
      </c>
      <c r="AS25" s="52">
        <v>106.77777777777779</v>
      </c>
      <c r="AT25" s="52">
        <v>54.000000000000007</v>
      </c>
      <c r="AU25" s="52">
        <v>54.000000000000007</v>
      </c>
      <c r="AV25" s="52">
        <v>0</v>
      </c>
      <c r="AW25" s="52">
        <v>54</v>
      </c>
      <c r="AX25" s="52">
        <v>31.000000000000007</v>
      </c>
      <c r="AY25" s="52">
        <v>106.77777777777779</v>
      </c>
      <c r="AZ25" s="52">
        <v>54.000000000000007</v>
      </c>
      <c r="BA25" s="52">
        <v>34</v>
      </c>
      <c r="BB25" s="52">
        <v>0</v>
      </c>
      <c r="BC25" s="52">
        <v>54.000000000000007</v>
      </c>
      <c r="BD25" s="52">
        <v>31.000000000000007</v>
      </c>
      <c r="BE25" s="52">
        <v>85.249999999999986</v>
      </c>
      <c r="BF25" s="52">
        <v>52.000000000000007</v>
      </c>
      <c r="BG25" s="52">
        <v>52.000000000000007</v>
      </c>
      <c r="BH25" s="52">
        <v>30.000000000000028</v>
      </c>
      <c r="BI25" s="52">
        <v>58.888888888888857</v>
      </c>
      <c r="BJ25" s="52">
        <v>50.000000000000007</v>
      </c>
      <c r="BK25" s="52">
        <v>30.000000000000028</v>
      </c>
      <c r="BL25" s="52">
        <v>54</v>
      </c>
      <c r="BM25" s="52">
        <v>34</v>
      </c>
      <c r="BN25" s="52">
        <v>31.000000000000007</v>
      </c>
      <c r="BO25" s="52">
        <v>33.999999999999993</v>
      </c>
      <c r="BP25" s="52">
        <v>31.000000000000011</v>
      </c>
      <c r="BQ25" s="52">
        <v>30.000000000000011</v>
      </c>
      <c r="BR25" s="52">
        <v>51.999999999999986</v>
      </c>
      <c r="BS25" s="52">
        <v>34</v>
      </c>
      <c r="BT25" s="52">
        <v>30.000000000000004</v>
      </c>
      <c r="BU25" s="52">
        <v>56.428571428571416</v>
      </c>
      <c r="BV25" s="52">
        <v>30.999999999999993</v>
      </c>
      <c r="BW25" s="52">
        <v>30.000000000000004</v>
      </c>
    </row>
    <row r="26" spans="1:75" x14ac:dyDescent="0.3">
      <c r="A26" s="8" t="s">
        <v>89</v>
      </c>
      <c r="B26" s="8" t="s">
        <v>10</v>
      </c>
      <c r="C26" s="8" t="s">
        <v>112</v>
      </c>
      <c r="D26" s="52">
        <v>54.000000000000007</v>
      </c>
      <c r="E26" s="52">
        <v>49.999999999999993</v>
      </c>
      <c r="F26" s="52">
        <v>31.000000000000004</v>
      </c>
      <c r="G26" s="52">
        <v>53.999999999999972</v>
      </c>
      <c r="H26" s="52">
        <v>31.000000000000011</v>
      </c>
      <c r="I26" s="52">
        <v>31.000000000000007</v>
      </c>
      <c r="J26" s="52">
        <v>54</v>
      </c>
      <c r="K26" s="52">
        <v>49.999999999999993</v>
      </c>
      <c r="L26" s="52">
        <v>31.000000000000007</v>
      </c>
      <c r="M26" s="52">
        <v>54.000000000000043</v>
      </c>
      <c r="N26" s="52">
        <v>31.000000000000007</v>
      </c>
      <c r="O26" s="52">
        <v>31.000000000000011</v>
      </c>
      <c r="P26" s="52">
        <v>34</v>
      </c>
      <c r="Q26" s="52">
        <v>34</v>
      </c>
      <c r="R26" s="52">
        <v>0</v>
      </c>
      <c r="S26" s="52">
        <v>10000</v>
      </c>
      <c r="T26" s="52">
        <v>86.184615384615398</v>
      </c>
      <c r="U26" s="52">
        <v>79.825000000000003</v>
      </c>
      <c r="V26" s="52">
        <v>31.000000000000004</v>
      </c>
      <c r="W26" s="52">
        <v>31.000000000000007</v>
      </c>
      <c r="X26" s="52">
        <v>0</v>
      </c>
      <c r="Y26" s="52">
        <v>10000</v>
      </c>
      <c r="Z26" s="52">
        <v>93.727272727272663</v>
      </c>
      <c r="AA26" s="52">
        <v>76.896103896103924</v>
      </c>
      <c r="AB26" s="52">
        <v>50.000000000000007</v>
      </c>
      <c r="AC26" s="52">
        <v>49.999999999999993</v>
      </c>
      <c r="AD26" s="52">
        <v>31.000000000000004</v>
      </c>
      <c r="AE26" s="52">
        <v>67.037037037036953</v>
      </c>
      <c r="AF26" s="52">
        <v>64.529914529914535</v>
      </c>
      <c r="AG26" s="52">
        <v>31.000000000000007</v>
      </c>
      <c r="AH26" s="52">
        <v>52.000000000000007</v>
      </c>
      <c r="AI26" s="52">
        <v>52</v>
      </c>
      <c r="AJ26" s="52">
        <v>31.000000000000007</v>
      </c>
      <c r="AK26" s="52">
        <v>60.222222222222271</v>
      </c>
      <c r="AL26" s="52">
        <v>58.666666666666679</v>
      </c>
      <c r="AM26" s="52">
        <v>31.000000000000007</v>
      </c>
      <c r="AN26" s="52">
        <v>33.999999999999993</v>
      </c>
      <c r="AO26" s="52">
        <v>34</v>
      </c>
      <c r="AP26" s="52">
        <v>0</v>
      </c>
      <c r="AQ26" s="52">
        <v>10000</v>
      </c>
      <c r="AR26" s="52">
        <v>95.904761904761912</v>
      </c>
      <c r="AS26" s="52">
        <v>106.77777777777779</v>
      </c>
      <c r="AT26" s="52">
        <v>54.000000000000007</v>
      </c>
      <c r="AU26" s="52">
        <v>54.000000000000007</v>
      </c>
      <c r="AV26" s="52">
        <v>0</v>
      </c>
      <c r="AW26" s="52">
        <v>54</v>
      </c>
      <c r="AX26" s="52">
        <v>31.000000000000007</v>
      </c>
      <c r="AY26" s="52">
        <v>106.77777777777779</v>
      </c>
      <c r="AZ26" s="52">
        <v>54.000000000000007</v>
      </c>
      <c r="BA26" s="52">
        <v>34</v>
      </c>
      <c r="BB26" s="52">
        <v>0</v>
      </c>
      <c r="BC26" s="52">
        <v>54.000000000000007</v>
      </c>
      <c r="BD26" s="52">
        <v>31.000000000000007</v>
      </c>
      <c r="BE26" s="52">
        <v>85.249999999999986</v>
      </c>
      <c r="BF26" s="52">
        <v>52.000000000000007</v>
      </c>
      <c r="BG26" s="52">
        <v>52.000000000000007</v>
      </c>
      <c r="BH26" s="52">
        <v>30.000000000000028</v>
      </c>
      <c r="BI26" s="52">
        <v>58.888888888888857</v>
      </c>
      <c r="BJ26" s="52">
        <v>50.000000000000007</v>
      </c>
      <c r="BK26" s="52">
        <v>30.000000000000028</v>
      </c>
      <c r="BL26" s="52">
        <v>54</v>
      </c>
      <c r="BM26" s="52">
        <v>34</v>
      </c>
      <c r="BN26" s="52">
        <v>31.000000000000007</v>
      </c>
      <c r="BO26" s="52">
        <v>33.999999999999993</v>
      </c>
      <c r="BP26" s="52">
        <v>31.000000000000011</v>
      </c>
      <c r="BQ26" s="52">
        <v>30.000000000000011</v>
      </c>
      <c r="BR26" s="52">
        <v>51.999999999999986</v>
      </c>
      <c r="BS26" s="52">
        <v>34</v>
      </c>
      <c r="BT26" s="52">
        <v>30.000000000000004</v>
      </c>
      <c r="BU26" s="52">
        <v>56.428571428571416</v>
      </c>
      <c r="BV26" s="52">
        <v>30.999999999999993</v>
      </c>
      <c r="BW26" s="52">
        <v>30.000000000000004</v>
      </c>
    </row>
    <row r="27" spans="1:75" x14ac:dyDescent="0.3">
      <c r="A27" s="8" t="s">
        <v>89</v>
      </c>
      <c r="B27" s="8" t="s">
        <v>10</v>
      </c>
      <c r="C27" s="8" t="s">
        <v>115</v>
      </c>
      <c r="D27" s="52">
        <v>53.999999999999986</v>
      </c>
      <c r="E27" s="52">
        <v>50.000000000000007</v>
      </c>
      <c r="F27" s="52">
        <v>31.000000000000004</v>
      </c>
      <c r="G27" s="52">
        <v>53.999999999999993</v>
      </c>
      <c r="H27" s="52">
        <v>30.999999999999996</v>
      </c>
      <c r="I27" s="52">
        <v>31.000000000000007</v>
      </c>
      <c r="J27" s="52">
        <v>54</v>
      </c>
      <c r="K27" s="52">
        <v>49.999999999999993</v>
      </c>
      <c r="L27" s="52">
        <v>31.000000000000007</v>
      </c>
      <c r="M27" s="52">
        <v>53.999999999999993</v>
      </c>
      <c r="N27" s="52">
        <v>31.000000000000004</v>
      </c>
      <c r="O27" s="52">
        <v>31.000000000000007</v>
      </c>
      <c r="P27" s="52">
        <v>34</v>
      </c>
      <c r="Q27" s="52">
        <v>34.000000000000007</v>
      </c>
      <c r="R27" s="52">
        <v>0</v>
      </c>
      <c r="S27" s="52">
        <v>10000</v>
      </c>
      <c r="T27" s="52">
        <v>86.184615384615412</v>
      </c>
      <c r="U27" s="52">
        <v>79.825000000000003</v>
      </c>
      <c r="V27" s="52">
        <v>30.999999999999996</v>
      </c>
      <c r="W27" s="52">
        <v>30.999999999999996</v>
      </c>
      <c r="X27" s="52">
        <v>0</v>
      </c>
      <c r="Y27" s="52">
        <v>10000</v>
      </c>
      <c r="Z27" s="52">
        <v>93.727272727272663</v>
      </c>
      <c r="AA27" s="52">
        <v>76.896103896103924</v>
      </c>
      <c r="AB27" s="52">
        <v>50.000000000000007</v>
      </c>
      <c r="AC27" s="52">
        <v>49.999999999999986</v>
      </c>
      <c r="AD27" s="52">
        <v>31.000000000000004</v>
      </c>
      <c r="AE27" s="52">
        <v>67.037037037036953</v>
      </c>
      <c r="AF27" s="52">
        <v>64.529914529914535</v>
      </c>
      <c r="AG27" s="52">
        <v>31.000000000000007</v>
      </c>
      <c r="AH27" s="52">
        <v>52.000000000000007</v>
      </c>
      <c r="AI27" s="52">
        <v>52.000000000000007</v>
      </c>
      <c r="AJ27" s="52">
        <v>31.000000000000007</v>
      </c>
      <c r="AK27" s="52">
        <v>60.222222222222278</v>
      </c>
      <c r="AL27" s="52">
        <v>58.666666666666679</v>
      </c>
      <c r="AM27" s="52">
        <v>31.000000000000007</v>
      </c>
      <c r="AN27" s="52">
        <v>33.999999999999993</v>
      </c>
      <c r="AO27" s="52">
        <v>34.000000000000007</v>
      </c>
      <c r="AP27" s="52">
        <v>0</v>
      </c>
      <c r="AQ27" s="52">
        <v>10000</v>
      </c>
      <c r="AR27" s="52">
        <v>95.904761904761884</v>
      </c>
      <c r="AS27" s="52">
        <v>106.7777777777778</v>
      </c>
      <c r="AT27" s="52">
        <v>53.999999999999986</v>
      </c>
      <c r="AU27" s="52">
        <v>54.000000000000007</v>
      </c>
      <c r="AV27" s="52">
        <v>0</v>
      </c>
      <c r="AW27" s="52">
        <v>54</v>
      </c>
      <c r="AX27" s="52">
        <v>31.000000000000007</v>
      </c>
      <c r="AY27" s="52">
        <v>106.7777777777778</v>
      </c>
      <c r="AZ27" s="52">
        <v>54.000000000000028</v>
      </c>
      <c r="BA27" s="52">
        <v>34</v>
      </c>
      <c r="BB27" s="52">
        <v>0</v>
      </c>
      <c r="BC27" s="52">
        <v>54.000000000000021</v>
      </c>
      <c r="BD27" s="52">
        <v>31.000000000000007</v>
      </c>
      <c r="BE27" s="52">
        <v>85.25</v>
      </c>
      <c r="BF27" s="52">
        <v>52.000000000000007</v>
      </c>
      <c r="BG27" s="52">
        <v>52.000000000000007</v>
      </c>
      <c r="BH27" s="52">
        <v>29.999999999999986</v>
      </c>
      <c r="BI27" s="52">
        <v>58.888888888888886</v>
      </c>
      <c r="BJ27" s="52">
        <v>50.000000000000007</v>
      </c>
      <c r="BK27" s="52">
        <v>29.999999999999996</v>
      </c>
      <c r="BL27" s="52">
        <v>53.999999999999972</v>
      </c>
      <c r="BM27" s="52">
        <v>33.999999999999986</v>
      </c>
      <c r="BN27" s="52">
        <v>30.999999999999996</v>
      </c>
      <c r="BO27" s="52">
        <v>34</v>
      </c>
      <c r="BP27" s="52">
        <v>31.000000000000004</v>
      </c>
      <c r="BQ27" s="52">
        <v>30</v>
      </c>
      <c r="BR27" s="52">
        <v>52.000000000000021</v>
      </c>
      <c r="BS27" s="52">
        <v>34</v>
      </c>
      <c r="BT27" s="52">
        <v>30</v>
      </c>
      <c r="BU27" s="52">
        <v>56.428571428571416</v>
      </c>
      <c r="BV27" s="52">
        <v>31.000000000000004</v>
      </c>
      <c r="BW27" s="52">
        <v>29.999999999999996</v>
      </c>
    </row>
    <row r="28" spans="1:75" x14ac:dyDescent="0.3">
      <c r="A28" s="8" t="s">
        <v>89</v>
      </c>
      <c r="B28" s="8" t="s">
        <v>10</v>
      </c>
      <c r="C28" s="8" t="s">
        <v>116</v>
      </c>
      <c r="D28" s="52">
        <v>53.999999999999986</v>
      </c>
      <c r="E28" s="52">
        <v>50.000000000000007</v>
      </c>
      <c r="F28" s="52">
        <v>31.000000000000004</v>
      </c>
      <c r="G28" s="52">
        <v>53.999999999999993</v>
      </c>
      <c r="H28" s="52">
        <v>30.999999999999996</v>
      </c>
      <c r="I28" s="52">
        <v>31.000000000000007</v>
      </c>
      <c r="J28" s="52">
        <v>54</v>
      </c>
      <c r="K28" s="52">
        <v>49.999999999999993</v>
      </c>
      <c r="L28" s="52">
        <v>31.000000000000007</v>
      </c>
      <c r="M28" s="52">
        <v>53.999999999999993</v>
      </c>
      <c r="N28" s="52">
        <v>31.000000000000004</v>
      </c>
      <c r="O28" s="52">
        <v>31.000000000000011</v>
      </c>
      <c r="P28" s="52">
        <v>34</v>
      </c>
      <c r="Q28" s="52">
        <v>34</v>
      </c>
      <c r="R28" s="52">
        <v>0</v>
      </c>
      <c r="S28" s="52">
        <v>10000</v>
      </c>
      <c r="T28" s="52">
        <v>86.184615384615412</v>
      </c>
      <c r="U28" s="52">
        <v>79.825000000000003</v>
      </c>
      <c r="V28" s="52">
        <v>30.999999999999996</v>
      </c>
      <c r="W28" s="52">
        <v>30.999999999999996</v>
      </c>
      <c r="X28" s="52">
        <v>0</v>
      </c>
      <c r="Y28" s="52">
        <v>10000</v>
      </c>
      <c r="Z28" s="52">
        <v>93.727272727272663</v>
      </c>
      <c r="AA28" s="52">
        <v>76.896103896103924</v>
      </c>
      <c r="AB28" s="52">
        <v>50.000000000000007</v>
      </c>
      <c r="AC28" s="52">
        <v>49.999999999999986</v>
      </c>
      <c r="AD28" s="52">
        <v>31.000000000000004</v>
      </c>
      <c r="AE28" s="52">
        <v>67.037037037036953</v>
      </c>
      <c r="AF28" s="52">
        <v>64.529914529914535</v>
      </c>
      <c r="AG28" s="52">
        <v>31.000000000000007</v>
      </c>
      <c r="AH28" s="52">
        <v>52.000000000000007</v>
      </c>
      <c r="AI28" s="52">
        <v>52.000000000000007</v>
      </c>
      <c r="AJ28" s="52">
        <v>31.000000000000007</v>
      </c>
      <c r="AK28" s="52">
        <v>60.222222222222271</v>
      </c>
      <c r="AL28" s="52">
        <v>58.666666666666679</v>
      </c>
      <c r="AM28" s="52">
        <v>31.000000000000007</v>
      </c>
      <c r="AN28" s="52">
        <v>33.999999999999993</v>
      </c>
      <c r="AO28" s="52">
        <v>34</v>
      </c>
      <c r="AP28" s="52">
        <v>0</v>
      </c>
      <c r="AQ28" s="52">
        <v>10000</v>
      </c>
      <c r="AR28" s="52">
        <v>95.90476190476187</v>
      </c>
      <c r="AS28" s="52">
        <v>106.7777777777778</v>
      </c>
      <c r="AT28" s="52">
        <v>53.999999999999986</v>
      </c>
      <c r="AU28" s="52">
        <v>54</v>
      </c>
      <c r="AV28" s="52">
        <v>0</v>
      </c>
      <c r="AW28" s="52">
        <v>54</v>
      </c>
      <c r="AX28" s="52">
        <v>31.000000000000007</v>
      </c>
      <c r="AY28" s="52">
        <v>106.7777777777778</v>
      </c>
      <c r="AZ28" s="52">
        <v>54.000000000000007</v>
      </c>
      <c r="BA28" s="52">
        <v>34</v>
      </c>
      <c r="BB28" s="52">
        <v>0</v>
      </c>
      <c r="BC28" s="52">
        <v>53.999999999999993</v>
      </c>
      <c r="BD28" s="52">
        <v>31.000000000000007</v>
      </c>
      <c r="BE28" s="52">
        <v>85.25</v>
      </c>
      <c r="BF28" s="52">
        <v>52.000000000000007</v>
      </c>
      <c r="BG28" s="52">
        <v>52.000000000000007</v>
      </c>
      <c r="BH28" s="52">
        <v>29.999999999999986</v>
      </c>
      <c r="BI28" s="52">
        <v>58.888888888888864</v>
      </c>
      <c r="BJ28" s="52">
        <v>50.000000000000007</v>
      </c>
      <c r="BK28" s="52">
        <v>29.999999999999996</v>
      </c>
      <c r="BL28" s="52">
        <v>53.999999999999972</v>
      </c>
      <c r="BM28" s="52">
        <v>34</v>
      </c>
      <c r="BN28" s="52">
        <v>30.999999999999996</v>
      </c>
      <c r="BO28" s="52">
        <v>33.999999999999979</v>
      </c>
      <c r="BP28" s="52">
        <v>31.000000000000004</v>
      </c>
      <c r="BQ28" s="52">
        <v>30</v>
      </c>
      <c r="BR28" s="52">
        <v>52.000000000000021</v>
      </c>
      <c r="BS28" s="52">
        <v>34</v>
      </c>
      <c r="BT28" s="52">
        <v>30</v>
      </c>
      <c r="BU28" s="52">
        <v>56.428571428571416</v>
      </c>
      <c r="BV28" s="52">
        <v>31.000000000000004</v>
      </c>
      <c r="BW28" s="52">
        <v>29.999999999999996</v>
      </c>
    </row>
    <row r="29" spans="1:75" x14ac:dyDescent="0.3">
      <c r="A29" s="8" t="s">
        <v>89</v>
      </c>
      <c r="B29" s="8" t="s">
        <v>10</v>
      </c>
      <c r="C29" s="8" t="s">
        <v>117</v>
      </c>
      <c r="D29" s="52">
        <v>53.999999999999986</v>
      </c>
      <c r="E29" s="52">
        <v>50.000000000000007</v>
      </c>
      <c r="F29" s="52">
        <v>31.000000000000004</v>
      </c>
      <c r="G29" s="52">
        <v>53.999999999999993</v>
      </c>
      <c r="H29" s="52">
        <v>30.999999999999996</v>
      </c>
      <c r="I29" s="52">
        <v>31.000000000000007</v>
      </c>
      <c r="J29" s="52">
        <v>54</v>
      </c>
      <c r="K29" s="52">
        <v>49.999999999999993</v>
      </c>
      <c r="L29" s="52">
        <v>31.000000000000007</v>
      </c>
      <c r="M29" s="52">
        <v>53.999999999999993</v>
      </c>
      <c r="N29" s="52">
        <v>31.000000000000004</v>
      </c>
      <c r="O29" s="52">
        <v>31.000000000000011</v>
      </c>
      <c r="P29" s="52">
        <v>34</v>
      </c>
      <c r="Q29" s="52">
        <v>34</v>
      </c>
      <c r="R29" s="52">
        <v>0</v>
      </c>
      <c r="S29" s="52">
        <v>10000</v>
      </c>
      <c r="T29" s="52">
        <v>86.184615384615412</v>
      </c>
      <c r="U29" s="52">
        <v>79.825000000000003</v>
      </c>
      <c r="V29" s="52">
        <v>30.999999999999996</v>
      </c>
      <c r="W29" s="52">
        <v>30.999999999999996</v>
      </c>
      <c r="X29" s="52">
        <v>0</v>
      </c>
      <c r="Y29" s="52">
        <v>10000</v>
      </c>
      <c r="Z29" s="52">
        <v>93.727272727272663</v>
      </c>
      <c r="AA29" s="52">
        <v>76.896103896103924</v>
      </c>
      <c r="AB29" s="52">
        <v>50.000000000000007</v>
      </c>
      <c r="AC29" s="52">
        <v>49.999999999999986</v>
      </c>
      <c r="AD29" s="52">
        <v>31.000000000000004</v>
      </c>
      <c r="AE29" s="52">
        <v>67.037037037036953</v>
      </c>
      <c r="AF29" s="52">
        <v>64.529914529914535</v>
      </c>
      <c r="AG29" s="52">
        <v>31.000000000000007</v>
      </c>
      <c r="AH29" s="52">
        <v>52.000000000000007</v>
      </c>
      <c r="AI29" s="52">
        <v>52.000000000000007</v>
      </c>
      <c r="AJ29" s="52">
        <v>31.000000000000007</v>
      </c>
      <c r="AK29" s="52">
        <v>60.222222222222271</v>
      </c>
      <c r="AL29" s="52">
        <v>58.666666666666679</v>
      </c>
      <c r="AM29" s="52">
        <v>31.000000000000007</v>
      </c>
      <c r="AN29" s="52">
        <v>33.999999999999993</v>
      </c>
      <c r="AO29" s="52">
        <v>34</v>
      </c>
      <c r="AP29" s="52">
        <v>0</v>
      </c>
      <c r="AQ29" s="52">
        <v>10000</v>
      </c>
      <c r="AR29" s="52">
        <v>95.90476190476187</v>
      </c>
      <c r="AS29" s="52">
        <v>106.7777777777778</v>
      </c>
      <c r="AT29" s="52">
        <v>53.999999999999986</v>
      </c>
      <c r="AU29" s="52">
        <v>54</v>
      </c>
      <c r="AV29" s="52">
        <v>0</v>
      </c>
      <c r="AW29" s="52">
        <v>54</v>
      </c>
      <c r="AX29" s="52">
        <v>31.000000000000007</v>
      </c>
      <c r="AY29" s="52">
        <v>106.7777777777778</v>
      </c>
      <c r="AZ29" s="52">
        <v>54.000000000000007</v>
      </c>
      <c r="BA29" s="52">
        <v>34</v>
      </c>
      <c r="BB29" s="52">
        <v>0</v>
      </c>
      <c r="BC29" s="52">
        <v>53.999999999999993</v>
      </c>
      <c r="BD29" s="52">
        <v>31.000000000000007</v>
      </c>
      <c r="BE29" s="52">
        <v>85.25</v>
      </c>
      <c r="BF29" s="52">
        <v>52.000000000000007</v>
      </c>
      <c r="BG29" s="52">
        <v>52.000000000000007</v>
      </c>
      <c r="BH29" s="52">
        <v>29.999999999999986</v>
      </c>
      <c r="BI29" s="52">
        <v>58.888888888888864</v>
      </c>
      <c r="BJ29" s="52">
        <v>50.000000000000007</v>
      </c>
      <c r="BK29" s="52">
        <v>29.999999999999996</v>
      </c>
      <c r="BL29" s="52">
        <v>53.999999999999972</v>
      </c>
      <c r="BM29" s="52">
        <v>34</v>
      </c>
      <c r="BN29" s="52">
        <v>30.999999999999996</v>
      </c>
      <c r="BO29" s="52">
        <v>33.999999999999979</v>
      </c>
      <c r="BP29" s="52">
        <v>31.000000000000004</v>
      </c>
      <c r="BQ29" s="52">
        <v>30</v>
      </c>
      <c r="BR29" s="52">
        <v>52.000000000000021</v>
      </c>
      <c r="BS29" s="52">
        <v>34</v>
      </c>
      <c r="BT29" s="52">
        <v>30</v>
      </c>
      <c r="BU29" s="52">
        <v>56.428571428571416</v>
      </c>
      <c r="BV29" s="52">
        <v>31.000000000000004</v>
      </c>
      <c r="BW29" s="52">
        <v>29.999999999999996</v>
      </c>
    </row>
    <row r="30" spans="1:75" x14ac:dyDescent="0.3">
      <c r="A30" s="8" t="s">
        <v>89</v>
      </c>
      <c r="B30" s="8" t="s">
        <v>10</v>
      </c>
      <c r="C30" s="8" t="s">
        <v>118</v>
      </c>
      <c r="D30" s="52">
        <v>53.999999999999986</v>
      </c>
      <c r="E30" s="52">
        <v>50.000000000000007</v>
      </c>
      <c r="F30" s="52">
        <v>31.000000000000004</v>
      </c>
      <c r="G30" s="52">
        <v>53.999999999999993</v>
      </c>
      <c r="H30" s="52">
        <v>30.999999999999996</v>
      </c>
      <c r="I30" s="52">
        <v>31.000000000000007</v>
      </c>
      <c r="J30" s="52">
        <v>54</v>
      </c>
      <c r="K30" s="52">
        <v>49.999999999999993</v>
      </c>
      <c r="L30" s="52">
        <v>31.000000000000007</v>
      </c>
      <c r="M30" s="52">
        <v>53.999999999999993</v>
      </c>
      <c r="N30" s="52">
        <v>31.000000000000004</v>
      </c>
      <c r="O30" s="52">
        <v>31.000000000000011</v>
      </c>
      <c r="P30" s="52">
        <v>34</v>
      </c>
      <c r="Q30" s="52">
        <v>34</v>
      </c>
      <c r="R30" s="52">
        <v>0</v>
      </c>
      <c r="S30" s="52">
        <v>10000</v>
      </c>
      <c r="T30" s="52">
        <v>86.184615384615412</v>
      </c>
      <c r="U30" s="52">
        <v>79.825000000000003</v>
      </c>
      <c r="V30" s="52">
        <v>30.999999999999996</v>
      </c>
      <c r="W30" s="52">
        <v>30.999999999999996</v>
      </c>
      <c r="X30" s="52">
        <v>0</v>
      </c>
      <c r="Y30" s="52">
        <v>10000</v>
      </c>
      <c r="Z30" s="52">
        <v>93.727272727272663</v>
      </c>
      <c r="AA30" s="52">
        <v>76.896103896103924</v>
      </c>
      <c r="AB30" s="52">
        <v>50.000000000000007</v>
      </c>
      <c r="AC30" s="52">
        <v>49.999999999999986</v>
      </c>
      <c r="AD30" s="52">
        <v>31.000000000000004</v>
      </c>
      <c r="AE30" s="52">
        <v>67.037037037036953</v>
      </c>
      <c r="AF30" s="52">
        <v>64.529914529914535</v>
      </c>
      <c r="AG30" s="52">
        <v>31.000000000000007</v>
      </c>
      <c r="AH30" s="52">
        <v>52.000000000000007</v>
      </c>
      <c r="AI30" s="52">
        <v>52.000000000000007</v>
      </c>
      <c r="AJ30" s="52">
        <v>31.000000000000007</v>
      </c>
      <c r="AK30" s="52">
        <v>60.222222222222271</v>
      </c>
      <c r="AL30" s="52">
        <v>58.666666666666679</v>
      </c>
      <c r="AM30" s="52">
        <v>31.000000000000007</v>
      </c>
      <c r="AN30" s="52">
        <v>33.999999999999993</v>
      </c>
      <c r="AO30" s="52">
        <v>34</v>
      </c>
      <c r="AP30" s="52">
        <v>0</v>
      </c>
      <c r="AQ30" s="52">
        <v>10000</v>
      </c>
      <c r="AR30" s="52">
        <v>95.90476190476187</v>
      </c>
      <c r="AS30" s="52">
        <v>106.7777777777778</v>
      </c>
      <c r="AT30" s="52">
        <v>53.999999999999986</v>
      </c>
      <c r="AU30" s="52">
        <v>54</v>
      </c>
      <c r="AV30" s="52">
        <v>0</v>
      </c>
      <c r="AW30" s="52">
        <v>54</v>
      </c>
      <c r="AX30" s="52">
        <v>31.000000000000007</v>
      </c>
      <c r="AY30" s="52">
        <v>106.7777777777778</v>
      </c>
      <c r="AZ30" s="52">
        <v>54.000000000000007</v>
      </c>
      <c r="BA30" s="52">
        <v>34</v>
      </c>
      <c r="BB30" s="52">
        <v>0</v>
      </c>
      <c r="BC30" s="52">
        <v>53.999999999999993</v>
      </c>
      <c r="BD30" s="52">
        <v>31.000000000000007</v>
      </c>
      <c r="BE30" s="52">
        <v>85.25</v>
      </c>
      <c r="BF30" s="52">
        <v>52.000000000000007</v>
      </c>
      <c r="BG30" s="52">
        <v>52.000000000000007</v>
      </c>
      <c r="BH30" s="52">
        <v>29.999999999999986</v>
      </c>
      <c r="BI30" s="52">
        <v>58.888888888888864</v>
      </c>
      <c r="BJ30" s="52">
        <v>50.000000000000007</v>
      </c>
      <c r="BK30" s="52">
        <v>29.999999999999996</v>
      </c>
      <c r="BL30" s="52">
        <v>53.999999999999972</v>
      </c>
      <c r="BM30" s="52">
        <v>34</v>
      </c>
      <c r="BN30" s="52">
        <v>30.999999999999996</v>
      </c>
      <c r="BO30" s="52">
        <v>33.999999999999979</v>
      </c>
      <c r="BP30" s="52">
        <v>31.000000000000004</v>
      </c>
      <c r="BQ30" s="52">
        <v>30</v>
      </c>
      <c r="BR30" s="52">
        <v>52.000000000000021</v>
      </c>
      <c r="BS30" s="52">
        <v>34</v>
      </c>
      <c r="BT30" s="52">
        <v>30</v>
      </c>
      <c r="BU30" s="52">
        <v>56.428571428571416</v>
      </c>
      <c r="BV30" s="52">
        <v>31.000000000000004</v>
      </c>
      <c r="BW30" s="52">
        <v>29.999999999999996</v>
      </c>
    </row>
    <row r="31" spans="1:75" x14ac:dyDescent="0.3">
      <c r="A31" s="8" t="s">
        <v>102</v>
      </c>
      <c r="B31" s="8" t="s">
        <v>8</v>
      </c>
      <c r="C31" s="8" t="s">
        <v>108</v>
      </c>
      <c r="D31" s="52">
        <v>54.000000000000028</v>
      </c>
      <c r="E31" s="52">
        <v>50.000000000000014</v>
      </c>
      <c r="F31" s="52">
        <v>30.999999999999996</v>
      </c>
      <c r="G31" s="52">
        <v>53.999999999999972</v>
      </c>
      <c r="H31" s="52">
        <v>49.999999999999986</v>
      </c>
      <c r="I31" s="52">
        <v>31</v>
      </c>
      <c r="J31" s="52">
        <v>50</v>
      </c>
      <c r="K31" s="52">
        <v>50</v>
      </c>
      <c r="L31" s="52">
        <v>30.999999999999996</v>
      </c>
      <c r="M31" s="52">
        <v>63.999999999999943</v>
      </c>
      <c r="N31" s="52">
        <v>49.999999999999993</v>
      </c>
      <c r="O31" s="52">
        <v>31</v>
      </c>
      <c r="P31" s="52">
        <v>53.999999999999993</v>
      </c>
      <c r="Q31" s="52">
        <v>50.000000000000007</v>
      </c>
      <c r="R31" s="52">
        <v>30.999999999999996</v>
      </c>
      <c r="S31" s="52">
        <v>53.999999999999972</v>
      </c>
      <c r="T31" s="52">
        <v>49.999999999999993</v>
      </c>
      <c r="U31" s="52">
        <v>31</v>
      </c>
      <c r="V31" s="52">
        <v>54.000000000000036</v>
      </c>
      <c r="W31" s="52">
        <v>49.999999999999986</v>
      </c>
      <c r="X31" s="52">
        <v>30.999999999999993</v>
      </c>
      <c r="Y31" s="52">
        <v>53.999999999999943</v>
      </c>
      <c r="Z31" s="52">
        <v>50.000000000000014</v>
      </c>
      <c r="AA31" s="52">
        <v>30.999999999999993</v>
      </c>
      <c r="AB31" s="52">
        <v>50</v>
      </c>
      <c r="AC31" s="52">
        <v>50</v>
      </c>
      <c r="AD31" s="52">
        <v>30.999999999999996</v>
      </c>
      <c r="AE31" s="52">
        <v>67.037037037036953</v>
      </c>
      <c r="AF31" s="52">
        <v>64.529914529914436</v>
      </c>
      <c r="AG31" s="52">
        <v>84.8333333333333</v>
      </c>
      <c r="AH31" s="52">
        <v>53.999999999999993</v>
      </c>
      <c r="AI31" s="52">
        <v>49.999999999999993</v>
      </c>
      <c r="AJ31" s="52">
        <v>0</v>
      </c>
      <c r="AK31" s="52">
        <v>54</v>
      </c>
      <c r="AL31" s="52">
        <v>49.999999999999986</v>
      </c>
      <c r="AM31" s="52">
        <v>93</v>
      </c>
      <c r="AN31" s="52">
        <v>53.999999999999986</v>
      </c>
      <c r="AO31" s="52">
        <v>49.999999999999986</v>
      </c>
      <c r="AP31" s="52">
        <v>0</v>
      </c>
      <c r="AQ31" s="52">
        <v>49.999999999999986</v>
      </c>
      <c r="AR31" s="52">
        <v>34</v>
      </c>
      <c r="AS31" s="52">
        <v>106.77777777777777</v>
      </c>
      <c r="AT31" s="52">
        <v>54.000000000000007</v>
      </c>
      <c r="AU31" s="52">
        <v>53.999999999999993</v>
      </c>
      <c r="AV31" s="52">
        <v>0</v>
      </c>
      <c r="AW31" s="52">
        <v>53.999999999999908</v>
      </c>
      <c r="AX31" s="52">
        <v>53.999999999999986</v>
      </c>
      <c r="AY31" s="52">
        <v>117.11111111111113</v>
      </c>
      <c r="AZ31" s="52">
        <v>53.999999999999993</v>
      </c>
      <c r="BA31" s="52">
        <v>53.999999999999979</v>
      </c>
      <c r="BB31" s="52">
        <v>0</v>
      </c>
      <c r="BC31" s="52">
        <v>53.999999999999979</v>
      </c>
      <c r="BD31" s="52">
        <v>49.999999999999993</v>
      </c>
      <c r="BE31" s="52">
        <v>85.250000000000014</v>
      </c>
      <c r="BF31" s="52">
        <v>53.999999999999972</v>
      </c>
      <c r="BG31" s="52">
        <v>53.999999999999993</v>
      </c>
      <c r="BH31" s="52">
        <v>29.999999999999996</v>
      </c>
      <c r="BI31" s="52">
        <v>54</v>
      </c>
      <c r="BJ31" s="52">
        <v>49.999999999999986</v>
      </c>
      <c r="BK31" s="52">
        <v>29.999999999999996</v>
      </c>
      <c r="BL31" s="52">
        <v>53.999999999999922</v>
      </c>
      <c r="BM31" s="52">
        <v>54.000000000000043</v>
      </c>
      <c r="BN31" s="52">
        <v>30.999999999999996</v>
      </c>
      <c r="BO31" s="52">
        <v>54.000000000000014</v>
      </c>
      <c r="BP31" s="52">
        <v>34</v>
      </c>
      <c r="BQ31" s="52">
        <v>30.999999999999996</v>
      </c>
      <c r="BR31" s="52">
        <v>52.000000000000021</v>
      </c>
      <c r="BS31" s="52">
        <v>50</v>
      </c>
      <c r="BT31" s="52">
        <v>31.000000000000007</v>
      </c>
      <c r="BU31" s="52">
        <v>56.428571428571395</v>
      </c>
      <c r="BV31" s="52">
        <v>49.999999999999972</v>
      </c>
      <c r="BW31" s="52">
        <v>29.999999999999982</v>
      </c>
    </row>
    <row r="32" spans="1:75" x14ac:dyDescent="0.3">
      <c r="A32" s="8" t="s">
        <v>102</v>
      </c>
      <c r="B32" s="8" t="s">
        <v>8</v>
      </c>
      <c r="C32" s="8" t="s">
        <v>109</v>
      </c>
      <c r="D32" s="52">
        <v>54</v>
      </c>
      <c r="E32" s="52">
        <v>50.000000000000014</v>
      </c>
      <c r="F32" s="52">
        <v>30.999999999999996</v>
      </c>
      <c r="G32" s="52">
        <v>53.999999999999972</v>
      </c>
      <c r="H32" s="52">
        <v>49.999999999999986</v>
      </c>
      <c r="I32" s="52">
        <v>31</v>
      </c>
      <c r="J32" s="52">
        <v>50.000000000000007</v>
      </c>
      <c r="K32" s="52">
        <v>50</v>
      </c>
      <c r="L32" s="52">
        <v>30.999999999999996</v>
      </c>
      <c r="M32" s="52">
        <v>63.999999999999943</v>
      </c>
      <c r="N32" s="52">
        <v>49.999999999999993</v>
      </c>
      <c r="O32" s="52">
        <v>31</v>
      </c>
      <c r="P32" s="52">
        <v>53.999999999999993</v>
      </c>
      <c r="Q32" s="52">
        <v>50.000000000000021</v>
      </c>
      <c r="R32" s="52">
        <v>31</v>
      </c>
      <c r="S32" s="52">
        <v>53.999999999999972</v>
      </c>
      <c r="T32" s="52">
        <v>49.999999999999993</v>
      </c>
      <c r="U32" s="52">
        <v>31</v>
      </c>
      <c r="V32" s="52">
        <v>54</v>
      </c>
      <c r="W32" s="52">
        <v>49.999999999999986</v>
      </c>
      <c r="X32" s="52">
        <v>31</v>
      </c>
      <c r="Y32" s="52">
        <v>53.999999999999943</v>
      </c>
      <c r="Z32" s="52">
        <v>50.000000000000007</v>
      </c>
      <c r="AA32" s="52">
        <v>31</v>
      </c>
      <c r="AB32" s="52">
        <v>50.000000000000014</v>
      </c>
      <c r="AC32" s="52">
        <v>50</v>
      </c>
      <c r="AD32" s="52">
        <v>30.999999999999996</v>
      </c>
      <c r="AE32" s="52">
        <v>67.037037037036995</v>
      </c>
      <c r="AF32" s="52">
        <v>64.529914529914436</v>
      </c>
      <c r="AG32" s="52">
        <v>84.8333333333333</v>
      </c>
      <c r="AH32" s="52">
        <v>53.999999999999993</v>
      </c>
      <c r="AI32" s="52">
        <v>49.999999999999993</v>
      </c>
      <c r="AJ32" s="52">
        <v>0</v>
      </c>
      <c r="AK32" s="52">
        <v>54</v>
      </c>
      <c r="AL32" s="52">
        <v>49.999999999999993</v>
      </c>
      <c r="AM32" s="52">
        <v>93</v>
      </c>
      <c r="AN32" s="52">
        <v>53.999999999999986</v>
      </c>
      <c r="AO32" s="52">
        <v>49.999999999999986</v>
      </c>
      <c r="AP32" s="52">
        <v>0</v>
      </c>
      <c r="AQ32" s="52">
        <v>49.999999999999993</v>
      </c>
      <c r="AR32" s="52">
        <v>34</v>
      </c>
      <c r="AS32" s="52">
        <v>106.7777777777778</v>
      </c>
      <c r="AT32" s="52">
        <v>54</v>
      </c>
      <c r="AU32" s="52">
        <v>53.999999999999993</v>
      </c>
      <c r="AV32" s="52">
        <v>0</v>
      </c>
      <c r="AW32" s="52">
        <v>53.999999999999886</v>
      </c>
      <c r="AX32" s="52">
        <v>53.999999999999979</v>
      </c>
      <c r="AY32" s="52">
        <v>117.11111111111113</v>
      </c>
      <c r="AZ32" s="52">
        <v>53.999999999999993</v>
      </c>
      <c r="BA32" s="52">
        <v>53.999999999999979</v>
      </c>
      <c r="BB32" s="52">
        <v>0</v>
      </c>
      <c r="BC32" s="52">
        <v>53.999999999999979</v>
      </c>
      <c r="BD32" s="52">
        <v>49.999999999999993</v>
      </c>
      <c r="BE32" s="52">
        <v>85.250000000000014</v>
      </c>
      <c r="BF32" s="52">
        <v>53.999999999999972</v>
      </c>
      <c r="BG32" s="52">
        <v>53.999999999999993</v>
      </c>
      <c r="BH32" s="52">
        <v>30.000000000000007</v>
      </c>
      <c r="BI32" s="52">
        <v>54</v>
      </c>
      <c r="BJ32" s="52">
        <v>49.999999999999986</v>
      </c>
      <c r="BK32" s="52">
        <v>29.999999999999989</v>
      </c>
      <c r="BL32" s="52">
        <v>53.999999999999993</v>
      </c>
      <c r="BM32" s="52">
        <v>54.000000000000007</v>
      </c>
      <c r="BN32" s="52">
        <v>31.000000000000004</v>
      </c>
      <c r="BO32" s="52">
        <v>54.000000000000021</v>
      </c>
      <c r="BP32" s="52">
        <v>34</v>
      </c>
      <c r="BQ32" s="52">
        <v>31.000000000000004</v>
      </c>
      <c r="BR32" s="52">
        <v>52.000000000000007</v>
      </c>
      <c r="BS32" s="52">
        <v>50</v>
      </c>
      <c r="BT32" s="52">
        <v>31</v>
      </c>
      <c r="BU32" s="52">
        <v>56.428571428571416</v>
      </c>
      <c r="BV32" s="52">
        <v>49.999999999999972</v>
      </c>
      <c r="BW32" s="52">
        <v>30</v>
      </c>
    </row>
    <row r="33" spans="1:75" x14ac:dyDescent="0.3">
      <c r="A33" s="8" t="s">
        <v>102</v>
      </c>
      <c r="B33" s="8" t="s">
        <v>8</v>
      </c>
      <c r="C33" s="8" t="s">
        <v>110</v>
      </c>
      <c r="D33" s="52">
        <v>54.000000000000007</v>
      </c>
      <c r="E33" s="52">
        <v>50.000000000000014</v>
      </c>
      <c r="F33" s="52">
        <v>30.999999999999996</v>
      </c>
      <c r="G33" s="52">
        <v>53.999999999999972</v>
      </c>
      <c r="H33" s="52">
        <v>49.999999999999986</v>
      </c>
      <c r="I33" s="52">
        <v>31</v>
      </c>
      <c r="J33" s="52">
        <v>50.000000000000014</v>
      </c>
      <c r="K33" s="52">
        <v>50</v>
      </c>
      <c r="L33" s="52">
        <v>30.999999999999996</v>
      </c>
      <c r="M33" s="52">
        <v>63.999999999999943</v>
      </c>
      <c r="N33" s="52">
        <v>49.999999999999993</v>
      </c>
      <c r="O33" s="52">
        <v>31</v>
      </c>
      <c r="P33" s="52">
        <v>53.999999999999993</v>
      </c>
      <c r="Q33" s="52">
        <v>50.000000000000007</v>
      </c>
      <c r="R33" s="52">
        <v>31</v>
      </c>
      <c r="S33" s="52">
        <v>53.999999999999972</v>
      </c>
      <c r="T33" s="52">
        <v>49.999999999999993</v>
      </c>
      <c r="U33" s="52">
        <v>31</v>
      </c>
      <c r="V33" s="52">
        <v>54.000000000000014</v>
      </c>
      <c r="W33" s="52">
        <v>49.999999999999986</v>
      </c>
      <c r="X33" s="52">
        <v>31</v>
      </c>
      <c r="Y33" s="52">
        <v>53.999999999999943</v>
      </c>
      <c r="Z33" s="52">
        <v>50</v>
      </c>
      <c r="AA33" s="52">
        <v>31</v>
      </c>
      <c r="AB33" s="52">
        <v>50.000000000000021</v>
      </c>
      <c r="AC33" s="52">
        <v>50.000000000000007</v>
      </c>
      <c r="AD33" s="52">
        <v>30.999999999999996</v>
      </c>
      <c r="AE33" s="52">
        <v>67.037037037036953</v>
      </c>
      <c r="AF33" s="52">
        <v>64.529914529914436</v>
      </c>
      <c r="AG33" s="52">
        <v>84.8333333333333</v>
      </c>
      <c r="AH33" s="52">
        <v>53.999999999999993</v>
      </c>
      <c r="AI33" s="52">
        <v>49.999999999999993</v>
      </c>
      <c r="AJ33" s="52">
        <v>0</v>
      </c>
      <c r="AK33" s="52">
        <v>54</v>
      </c>
      <c r="AL33" s="52">
        <v>49.999999999999993</v>
      </c>
      <c r="AM33" s="52">
        <v>93</v>
      </c>
      <c r="AN33" s="52">
        <v>53.999999999999986</v>
      </c>
      <c r="AO33" s="52">
        <v>49.999999999999986</v>
      </c>
      <c r="AP33" s="52">
        <v>0</v>
      </c>
      <c r="AQ33" s="52">
        <v>49.999999999999993</v>
      </c>
      <c r="AR33" s="52">
        <v>34</v>
      </c>
      <c r="AS33" s="52">
        <v>106.77777777777777</v>
      </c>
      <c r="AT33" s="52">
        <v>54</v>
      </c>
      <c r="AU33" s="52">
        <v>53.999999999999993</v>
      </c>
      <c r="AV33" s="52">
        <v>0</v>
      </c>
      <c r="AW33" s="52">
        <v>53.999999999999886</v>
      </c>
      <c r="AX33" s="52">
        <v>53.999999999999979</v>
      </c>
      <c r="AY33" s="52">
        <v>117.11111111111113</v>
      </c>
      <c r="AZ33" s="52">
        <v>53.999999999999993</v>
      </c>
      <c r="BA33" s="52">
        <v>53.999999999999979</v>
      </c>
      <c r="BB33" s="52">
        <v>0</v>
      </c>
      <c r="BC33" s="52">
        <v>53.999999999999979</v>
      </c>
      <c r="BD33" s="52">
        <v>49.999999999999993</v>
      </c>
      <c r="BE33" s="52">
        <v>85.25</v>
      </c>
      <c r="BF33" s="52">
        <v>53.999999999999972</v>
      </c>
      <c r="BG33" s="52">
        <v>53.999999999999993</v>
      </c>
      <c r="BH33" s="52">
        <v>30.000000000000007</v>
      </c>
      <c r="BI33" s="52">
        <v>54</v>
      </c>
      <c r="BJ33" s="52">
        <v>49.999999999999986</v>
      </c>
      <c r="BK33" s="52">
        <v>29.999999999999989</v>
      </c>
      <c r="BL33" s="52">
        <v>53.999999999999993</v>
      </c>
      <c r="BM33" s="52">
        <v>54.000000000000014</v>
      </c>
      <c r="BN33" s="52">
        <v>31.000000000000004</v>
      </c>
      <c r="BO33" s="52">
        <v>54.000000000000014</v>
      </c>
      <c r="BP33" s="52">
        <v>34</v>
      </c>
      <c r="BQ33" s="52">
        <v>31.000000000000004</v>
      </c>
      <c r="BR33" s="52">
        <v>52.000000000000007</v>
      </c>
      <c r="BS33" s="52">
        <v>50</v>
      </c>
      <c r="BT33" s="52">
        <v>31</v>
      </c>
      <c r="BU33" s="52">
        <v>56.428571428571395</v>
      </c>
      <c r="BV33" s="52">
        <v>49.999999999999972</v>
      </c>
      <c r="BW33" s="52">
        <v>30</v>
      </c>
    </row>
    <row r="34" spans="1:75" x14ac:dyDescent="0.3">
      <c r="A34" s="8" t="s">
        <v>102</v>
      </c>
      <c r="B34" s="8" t="s">
        <v>8</v>
      </c>
      <c r="C34" s="8" t="s">
        <v>111</v>
      </c>
      <c r="D34" s="52">
        <v>54.000000000000028</v>
      </c>
      <c r="E34" s="52">
        <v>50.000000000000014</v>
      </c>
      <c r="F34" s="52">
        <v>30.999999999999996</v>
      </c>
      <c r="G34" s="52">
        <v>53.999999999999972</v>
      </c>
      <c r="H34" s="52">
        <v>49.999999999999986</v>
      </c>
      <c r="I34" s="52">
        <v>31</v>
      </c>
      <c r="J34" s="52">
        <v>50</v>
      </c>
      <c r="K34" s="52">
        <v>50</v>
      </c>
      <c r="L34" s="52">
        <v>30.999999999999996</v>
      </c>
      <c r="M34" s="52">
        <v>63.999999999999943</v>
      </c>
      <c r="N34" s="52">
        <v>49.999999999999993</v>
      </c>
      <c r="O34" s="52">
        <v>31</v>
      </c>
      <c r="P34" s="52">
        <v>53.999999999999993</v>
      </c>
      <c r="Q34" s="52">
        <v>50.000000000000007</v>
      </c>
      <c r="R34" s="52">
        <v>30.999999999999996</v>
      </c>
      <c r="S34" s="52">
        <v>53.999999999999972</v>
      </c>
      <c r="T34" s="52">
        <v>49.999999999999993</v>
      </c>
      <c r="U34" s="52">
        <v>31</v>
      </c>
      <c r="V34" s="52">
        <v>54.000000000000036</v>
      </c>
      <c r="W34" s="52">
        <v>49.999999999999986</v>
      </c>
      <c r="X34" s="52">
        <v>30.999999999999989</v>
      </c>
      <c r="Y34" s="52">
        <v>53.999999999999943</v>
      </c>
      <c r="Z34" s="52">
        <v>50.000000000000007</v>
      </c>
      <c r="AA34" s="52">
        <v>30.999999999999993</v>
      </c>
      <c r="AB34" s="52">
        <v>50.000000000000021</v>
      </c>
      <c r="AC34" s="52">
        <v>50</v>
      </c>
      <c r="AD34" s="52">
        <v>30.999999999999996</v>
      </c>
      <c r="AE34" s="52">
        <v>67.037037037036953</v>
      </c>
      <c r="AF34" s="52">
        <v>64.529914529914436</v>
      </c>
      <c r="AG34" s="52">
        <v>84.8333333333333</v>
      </c>
      <c r="AH34" s="52">
        <v>53.999999999999993</v>
      </c>
      <c r="AI34" s="52">
        <v>49.999999999999993</v>
      </c>
      <c r="AJ34" s="52">
        <v>0</v>
      </c>
      <c r="AK34" s="52">
        <v>54</v>
      </c>
      <c r="AL34" s="52">
        <v>49.999999999999993</v>
      </c>
      <c r="AM34" s="52">
        <v>93</v>
      </c>
      <c r="AN34" s="52">
        <v>53.999999999999986</v>
      </c>
      <c r="AO34" s="52">
        <v>49.999999999999986</v>
      </c>
      <c r="AP34" s="52">
        <v>0</v>
      </c>
      <c r="AQ34" s="52">
        <v>49.999999999999993</v>
      </c>
      <c r="AR34" s="52">
        <v>34</v>
      </c>
      <c r="AS34" s="52">
        <v>106.77777777777777</v>
      </c>
      <c r="AT34" s="52">
        <v>53.999999999999986</v>
      </c>
      <c r="AU34" s="52">
        <v>53.999999999999993</v>
      </c>
      <c r="AV34" s="52">
        <v>0</v>
      </c>
      <c r="AW34" s="52">
        <v>53.999999999999886</v>
      </c>
      <c r="AX34" s="52">
        <v>53.999999999999986</v>
      </c>
      <c r="AY34" s="52">
        <v>117.11111111111113</v>
      </c>
      <c r="AZ34" s="52">
        <v>53.999999999999993</v>
      </c>
      <c r="BA34" s="52">
        <v>53.999999999999979</v>
      </c>
      <c r="BB34" s="52">
        <v>0</v>
      </c>
      <c r="BC34" s="52">
        <v>53.999999999999979</v>
      </c>
      <c r="BD34" s="52">
        <v>49.999999999999993</v>
      </c>
      <c r="BE34" s="52">
        <v>85.25</v>
      </c>
      <c r="BF34" s="52">
        <v>53.999999999999972</v>
      </c>
      <c r="BG34" s="52">
        <v>53.999999999999993</v>
      </c>
      <c r="BH34" s="52">
        <v>30.000000000000007</v>
      </c>
      <c r="BI34" s="52">
        <v>54</v>
      </c>
      <c r="BJ34" s="52">
        <v>49.999999999999986</v>
      </c>
      <c r="BK34" s="52">
        <v>29.999999999999996</v>
      </c>
      <c r="BL34" s="52">
        <v>53.999999999999993</v>
      </c>
      <c r="BM34" s="52">
        <v>54.000000000000043</v>
      </c>
      <c r="BN34" s="52">
        <v>31.000000000000011</v>
      </c>
      <c r="BO34" s="52">
        <v>54.000000000000014</v>
      </c>
      <c r="BP34" s="52">
        <v>34</v>
      </c>
      <c r="BQ34" s="52">
        <v>31.000000000000011</v>
      </c>
      <c r="BR34" s="52">
        <v>52.000000000000007</v>
      </c>
      <c r="BS34" s="52">
        <v>50</v>
      </c>
      <c r="BT34" s="52">
        <v>31.000000000000007</v>
      </c>
      <c r="BU34" s="52">
        <v>56.428571428571395</v>
      </c>
      <c r="BV34" s="52">
        <v>49.999999999999972</v>
      </c>
      <c r="BW34" s="52">
        <v>29.999999999999996</v>
      </c>
    </row>
    <row r="35" spans="1:75" x14ac:dyDescent="0.3">
      <c r="A35" s="8" t="s">
        <v>102</v>
      </c>
      <c r="B35" s="8" t="s">
        <v>8</v>
      </c>
      <c r="C35" s="8" t="s">
        <v>112</v>
      </c>
      <c r="D35" s="52">
        <v>54.000000000000028</v>
      </c>
      <c r="E35" s="52">
        <v>50.000000000000014</v>
      </c>
      <c r="F35" s="52">
        <v>30.999999999999996</v>
      </c>
      <c r="G35" s="52">
        <v>53.999999999999972</v>
      </c>
      <c r="H35" s="52">
        <v>49.999999999999986</v>
      </c>
      <c r="I35" s="52">
        <v>31</v>
      </c>
      <c r="J35" s="52">
        <v>50</v>
      </c>
      <c r="K35" s="52">
        <v>50</v>
      </c>
      <c r="L35" s="52">
        <v>30.999999999999996</v>
      </c>
      <c r="M35" s="52">
        <v>63.999999999999943</v>
      </c>
      <c r="N35" s="52">
        <v>49.999999999999993</v>
      </c>
      <c r="O35" s="52">
        <v>31</v>
      </c>
      <c r="P35" s="52">
        <v>53.999999999999993</v>
      </c>
      <c r="Q35" s="52">
        <v>50.000000000000007</v>
      </c>
      <c r="R35" s="52">
        <v>30.999999999999996</v>
      </c>
      <c r="S35" s="52">
        <v>53.999999999999972</v>
      </c>
      <c r="T35" s="52">
        <v>49.999999999999993</v>
      </c>
      <c r="U35" s="52">
        <v>31</v>
      </c>
      <c r="V35" s="52">
        <v>54.000000000000036</v>
      </c>
      <c r="W35" s="52">
        <v>49.999999999999986</v>
      </c>
      <c r="X35" s="52">
        <v>30.999999999999989</v>
      </c>
      <c r="Y35" s="52">
        <v>53.999999999999943</v>
      </c>
      <c r="Z35" s="52">
        <v>50.000000000000007</v>
      </c>
      <c r="AA35" s="52">
        <v>30.999999999999993</v>
      </c>
      <c r="AB35" s="52">
        <v>50.000000000000021</v>
      </c>
      <c r="AC35" s="52">
        <v>50</v>
      </c>
      <c r="AD35" s="52">
        <v>30.999999999999996</v>
      </c>
      <c r="AE35" s="52">
        <v>67.037037037036953</v>
      </c>
      <c r="AF35" s="52">
        <v>64.529914529914436</v>
      </c>
      <c r="AG35" s="52">
        <v>84.8333333333333</v>
      </c>
      <c r="AH35" s="52">
        <v>53.999999999999993</v>
      </c>
      <c r="AI35" s="52">
        <v>49.999999999999993</v>
      </c>
      <c r="AJ35" s="52">
        <v>0</v>
      </c>
      <c r="AK35" s="52">
        <v>54</v>
      </c>
      <c r="AL35" s="52">
        <v>49.999999999999993</v>
      </c>
      <c r="AM35" s="52">
        <v>93</v>
      </c>
      <c r="AN35" s="52">
        <v>53.999999999999986</v>
      </c>
      <c r="AO35" s="52">
        <v>49.999999999999986</v>
      </c>
      <c r="AP35" s="52">
        <v>0</v>
      </c>
      <c r="AQ35" s="52">
        <v>49.999999999999993</v>
      </c>
      <c r="AR35" s="52">
        <v>34</v>
      </c>
      <c r="AS35" s="52">
        <v>106.77777777777777</v>
      </c>
      <c r="AT35" s="52">
        <v>53.999999999999986</v>
      </c>
      <c r="AU35" s="52">
        <v>53.999999999999993</v>
      </c>
      <c r="AV35" s="52">
        <v>0</v>
      </c>
      <c r="AW35" s="52">
        <v>53.999999999999886</v>
      </c>
      <c r="AX35" s="52">
        <v>53.999999999999986</v>
      </c>
      <c r="AY35" s="52">
        <v>117.11111111111113</v>
      </c>
      <c r="AZ35" s="52">
        <v>53.999999999999993</v>
      </c>
      <c r="BA35" s="52">
        <v>53.999999999999979</v>
      </c>
      <c r="BB35" s="52">
        <v>0</v>
      </c>
      <c r="BC35" s="52">
        <v>53.999999999999979</v>
      </c>
      <c r="BD35" s="52">
        <v>49.999999999999993</v>
      </c>
      <c r="BE35" s="52">
        <v>85.25</v>
      </c>
      <c r="BF35" s="52">
        <v>53.999999999999972</v>
      </c>
      <c r="BG35" s="52">
        <v>53.999999999999993</v>
      </c>
      <c r="BH35" s="52">
        <v>30.000000000000007</v>
      </c>
      <c r="BI35" s="52">
        <v>54</v>
      </c>
      <c r="BJ35" s="52">
        <v>49.999999999999986</v>
      </c>
      <c r="BK35" s="52">
        <v>29.999999999999996</v>
      </c>
      <c r="BL35" s="52">
        <v>53.999999999999993</v>
      </c>
      <c r="BM35" s="52">
        <v>54.000000000000043</v>
      </c>
      <c r="BN35" s="52">
        <v>31.000000000000011</v>
      </c>
      <c r="BO35" s="52">
        <v>54.000000000000014</v>
      </c>
      <c r="BP35" s="52">
        <v>34</v>
      </c>
      <c r="BQ35" s="52">
        <v>31.000000000000011</v>
      </c>
      <c r="BR35" s="52">
        <v>52.000000000000007</v>
      </c>
      <c r="BS35" s="52">
        <v>50</v>
      </c>
      <c r="BT35" s="52">
        <v>31.000000000000007</v>
      </c>
      <c r="BU35" s="52">
        <v>56.428571428571395</v>
      </c>
      <c r="BV35" s="52">
        <v>49.999999999999972</v>
      </c>
      <c r="BW35" s="52">
        <v>29.999999999999996</v>
      </c>
    </row>
    <row r="36" spans="1:75" x14ac:dyDescent="0.3">
      <c r="A36" s="8" t="s">
        <v>102</v>
      </c>
      <c r="B36" s="8" t="s">
        <v>8</v>
      </c>
      <c r="C36" s="8" t="s">
        <v>115</v>
      </c>
      <c r="D36" s="52">
        <v>53.999999999999986</v>
      </c>
      <c r="E36" s="52">
        <v>50.000000000000014</v>
      </c>
      <c r="F36" s="52">
        <v>30.999999999999996</v>
      </c>
      <c r="G36" s="52">
        <v>53.999999999999972</v>
      </c>
      <c r="H36" s="52">
        <v>49.999999999999986</v>
      </c>
      <c r="I36" s="52">
        <v>31</v>
      </c>
      <c r="J36" s="52">
        <v>50.000000000000007</v>
      </c>
      <c r="K36" s="52">
        <v>50</v>
      </c>
      <c r="L36" s="52">
        <v>30.999999999999996</v>
      </c>
      <c r="M36" s="52">
        <v>63.999999999999943</v>
      </c>
      <c r="N36" s="52">
        <v>49.999999999999993</v>
      </c>
      <c r="O36" s="52">
        <v>31</v>
      </c>
      <c r="P36" s="52">
        <v>53.999999999999993</v>
      </c>
      <c r="Q36" s="52">
        <v>50.000000000000021</v>
      </c>
      <c r="R36" s="52">
        <v>31</v>
      </c>
      <c r="S36" s="52">
        <v>53.999999999999972</v>
      </c>
      <c r="T36" s="52">
        <v>49.999999999999993</v>
      </c>
      <c r="U36" s="52">
        <v>31</v>
      </c>
      <c r="V36" s="52">
        <v>53.999999999999993</v>
      </c>
      <c r="W36" s="52">
        <v>49.999999999999986</v>
      </c>
      <c r="X36" s="52">
        <v>31</v>
      </c>
      <c r="Y36" s="52">
        <v>53.999999999999943</v>
      </c>
      <c r="Z36" s="52">
        <v>50.000000000000007</v>
      </c>
      <c r="AA36" s="52">
        <v>31</v>
      </c>
      <c r="AB36" s="52">
        <v>50.000000000000021</v>
      </c>
      <c r="AC36" s="52">
        <v>50</v>
      </c>
      <c r="AD36" s="52">
        <v>30.999999999999996</v>
      </c>
      <c r="AE36" s="52">
        <v>67.037037037036953</v>
      </c>
      <c r="AF36" s="52">
        <v>64.529914529914436</v>
      </c>
      <c r="AG36" s="52">
        <v>84.8333333333333</v>
      </c>
      <c r="AH36" s="52">
        <v>53.999999999999993</v>
      </c>
      <c r="AI36" s="52">
        <v>49.999999999999993</v>
      </c>
      <c r="AJ36" s="52">
        <v>0</v>
      </c>
      <c r="AK36" s="52">
        <v>54</v>
      </c>
      <c r="AL36" s="52">
        <v>49.999999999999993</v>
      </c>
      <c r="AM36" s="52">
        <v>93</v>
      </c>
      <c r="AN36" s="52">
        <v>53.999999999999986</v>
      </c>
      <c r="AO36" s="52">
        <v>49.999999999999986</v>
      </c>
      <c r="AP36" s="52">
        <v>0</v>
      </c>
      <c r="AQ36" s="52">
        <v>49.999999999999993</v>
      </c>
      <c r="AR36" s="52">
        <v>34</v>
      </c>
      <c r="AS36" s="52">
        <v>106.7777777777778</v>
      </c>
      <c r="AT36" s="52">
        <v>54</v>
      </c>
      <c r="AU36" s="52">
        <v>53.999999999999993</v>
      </c>
      <c r="AV36" s="52">
        <v>0</v>
      </c>
      <c r="AW36" s="52">
        <v>53.999999999999886</v>
      </c>
      <c r="AX36" s="52">
        <v>53.999999999999979</v>
      </c>
      <c r="AY36" s="52">
        <v>117.11111111111113</v>
      </c>
      <c r="AZ36" s="52">
        <v>53.999999999999993</v>
      </c>
      <c r="BA36" s="52">
        <v>53.999999999999979</v>
      </c>
      <c r="BB36" s="52">
        <v>0</v>
      </c>
      <c r="BC36" s="52">
        <v>53.999999999999979</v>
      </c>
      <c r="BD36" s="52">
        <v>49.999999999999993</v>
      </c>
      <c r="BE36" s="52">
        <v>85.250000000000014</v>
      </c>
      <c r="BF36" s="52">
        <v>53.999999999999972</v>
      </c>
      <c r="BG36" s="52">
        <v>53.999999999999993</v>
      </c>
      <c r="BH36" s="52">
        <v>30.000000000000007</v>
      </c>
      <c r="BI36" s="52">
        <v>54</v>
      </c>
      <c r="BJ36" s="52">
        <v>49.999999999999986</v>
      </c>
      <c r="BK36" s="52">
        <v>29.999999999999996</v>
      </c>
      <c r="BL36" s="52">
        <v>53.999999999999993</v>
      </c>
      <c r="BM36" s="52">
        <v>53.999999999999993</v>
      </c>
      <c r="BN36" s="52">
        <v>30.999999999999996</v>
      </c>
      <c r="BO36" s="52">
        <v>54.000000000000021</v>
      </c>
      <c r="BP36" s="52">
        <v>34</v>
      </c>
      <c r="BQ36" s="52">
        <v>30.999999999999996</v>
      </c>
      <c r="BR36" s="52">
        <v>52.000000000000007</v>
      </c>
      <c r="BS36" s="52">
        <v>50</v>
      </c>
      <c r="BT36" s="52">
        <v>31</v>
      </c>
      <c r="BU36" s="52">
        <v>56.428571428571395</v>
      </c>
      <c r="BV36" s="52">
        <v>49.999999999999972</v>
      </c>
      <c r="BW36" s="52">
        <v>30</v>
      </c>
    </row>
    <row r="37" spans="1:75" x14ac:dyDescent="0.3">
      <c r="A37" s="8" t="s">
        <v>102</v>
      </c>
      <c r="B37" s="8" t="s">
        <v>8</v>
      </c>
      <c r="C37" s="8" t="s">
        <v>116</v>
      </c>
      <c r="D37" s="52">
        <v>53.999999999999986</v>
      </c>
      <c r="E37" s="52">
        <v>50.000000000000014</v>
      </c>
      <c r="F37" s="52">
        <v>30.999999999999996</v>
      </c>
      <c r="G37" s="52">
        <v>53.999999999999972</v>
      </c>
      <c r="H37" s="52">
        <v>49.999999999999986</v>
      </c>
      <c r="I37" s="52">
        <v>31</v>
      </c>
      <c r="J37" s="52">
        <v>50.000000000000007</v>
      </c>
      <c r="K37" s="52">
        <v>50</v>
      </c>
      <c r="L37" s="52">
        <v>30.999999999999996</v>
      </c>
      <c r="M37" s="52">
        <v>63.999999999999943</v>
      </c>
      <c r="N37" s="52">
        <v>49.999999999999993</v>
      </c>
      <c r="O37" s="52">
        <v>31</v>
      </c>
      <c r="P37" s="52">
        <v>53.999999999999993</v>
      </c>
      <c r="Q37" s="52">
        <v>50.000000000000021</v>
      </c>
      <c r="R37" s="52">
        <v>31</v>
      </c>
      <c r="S37" s="52">
        <v>53.999999999999972</v>
      </c>
      <c r="T37" s="52">
        <v>49.999999999999993</v>
      </c>
      <c r="U37" s="52">
        <v>31</v>
      </c>
      <c r="V37" s="52">
        <v>53.999999999999993</v>
      </c>
      <c r="W37" s="52">
        <v>49.999999999999986</v>
      </c>
      <c r="X37" s="52">
        <v>31</v>
      </c>
      <c r="Y37" s="52">
        <v>53.999999999999943</v>
      </c>
      <c r="Z37" s="52">
        <v>50.000000000000007</v>
      </c>
      <c r="AA37" s="52">
        <v>31</v>
      </c>
      <c r="AB37" s="52">
        <v>50.000000000000021</v>
      </c>
      <c r="AC37" s="52">
        <v>50</v>
      </c>
      <c r="AD37" s="52">
        <v>30.999999999999996</v>
      </c>
      <c r="AE37" s="52">
        <v>67.037037037036953</v>
      </c>
      <c r="AF37" s="52">
        <v>64.529914529914436</v>
      </c>
      <c r="AG37" s="52">
        <v>84.8333333333333</v>
      </c>
      <c r="AH37" s="52">
        <v>53.999999999999993</v>
      </c>
      <c r="AI37" s="52">
        <v>49.999999999999993</v>
      </c>
      <c r="AJ37" s="52">
        <v>0</v>
      </c>
      <c r="AK37" s="52">
        <v>54</v>
      </c>
      <c r="AL37" s="52">
        <v>49.999999999999993</v>
      </c>
      <c r="AM37" s="52">
        <v>93</v>
      </c>
      <c r="AN37" s="52">
        <v>53.999999999999986</v>
      </c>
      <c r="AO37" s="52">
        <v>49.999999999999986</v>
      </c>
      <c r="AP37" s="52">
        <v>0</v>
      </c>
      <c r="AQ37" s="52">
        <v>49.999999999999993</v>
      </c>
      <c r="AR37" s="52">
        <v>34</v>
      </c>
      <c r="AS37" s="52">
        <v>106.77777777777777</v>
      </c>
      <c r="AT37" s="52">
        <v>54</v>
      </c>
      <c r="AU37" s="52">
        <v>53.999999999999993</v>
      </c>
      <c r="AV37" s="52">
        <v>0</v>
      </c>
      <c r="AW37" s="52">
        <v>53.999999999999886</v>
      </c>
      <c r="AX37" s="52">
        <v>53.999999999999979</v>
      </c>
      <c r="AY37" s="52">
        <v>117.11111111111113</v>
      </c>
      <c r="AZ37" s="52">
        <v>53.999999999999993</v>
      </c>
      <c r="BA37" s="52">
        <v>53.999999999999979</v>
      </c>
      <c r="BB37" s="52">
        <v>0</v>
      </c>
      <c r="BC37" s="52">
        <v>53.999999999999979</v>
      </c>
      <c r="BD37" s="52">
        <v>49.999999999999993</v>
      </c>
      <c r="BE37" s="52">
        <v>85.250000000000014</v>
      </c>
      <c r="BF37" s="52">
        <v>53.999999999999972</v>
      </c>
      <c r="BG37" s="52">
        <v>53.999999999999993</v>
      </c>
      <c r="BH37" s="52">
        <v>30.000000000000007</v>
      </c>
      <c r="BI37" s="52">
        <v>54</v>
      </c>
      <c r="BJ37" s="52">
        <v>49.999999999999986</v>
      </c>
      <c r="BK37" s="52">
        <v>29.999999999999996</v>
      </c>
      <c r="BL37" s="52">
        <v>53.999999999999993</v>
      </c>
      <c r="BM37" s="52">
        <v>53.999999999999993</v>
      </c>
      <c r="BN37" s="52">
        <v>30.999999999999996</v>
      </c>
      <c r="BO37" s="52">
        <v>54.000000000000007</v>
      </c>
      <c r="BP37" s="52">
        <v>34</v>
      </c>
      <c r="BQ37" s="52">
        <v>30.999999999999996</v>
      </c>
      <c r="BR37" s="52">
        <v>52.000000000000007</v>
      </c>
      <c r="BS37" s="52">
        <v>50</v>
      </c>
      <c r="BT37" s="52">
        <v>31</v>
      </c>
      <c r="BU37" s="52">
        <v>56.428571428571395</v>
      </c>
      <c r="BV37" s="52">
        <v>49.999999999999972</v>
      </c>
      <c r="BW37" s="52">
        <v>30</v>
      </c>
    </row>
    <row r="38" spans="1:75" x14ac:dyDescent="0.3">
      <c r="A38" s="8" t="s">
        <v>102</v>
      </c>
      <c r="B38" s="8" t="s">
        <v>8</v>
      </c>
      <c r="C38" s="8" t="s">
        <v>117</v>
      </c>
      <c r="D38" s="52">
        <v>53.999999999999986</v>
      </c>
      <c r="E38" s="52">
        <v>50.000000000000014</v>
      </c>
      <c r="F38" s="52">
        <v>30.999999999999996</v>
      </c>
      <c r="G38" s="52">
        <v>53.999999999999972</v>
      </c>
      <c r="H38" s="52">
        <v>49.999999999999986</v>
      </c>
      <c r="I38" s="52">
        <v>31</v>
      </c>
      <c r="J38" s="52">
        <v>50.000000000000007</v>
      </c>
      <c r="K38" s="52">
        <v>50</v>
      </c>
      <c r="L38" s="52">
        <v>30.999999999999996</v>
      </c>
      <c r="M38" s="52">
        <v>63.999999999999943</v>
      </c>
      <c r="N38" s="52">
        <v>49.999999999999993</v>
      </c>
      <c r="O38" s="52">
        <v>31</v>
      </c>
      <c r="P38" s="52">
        <v>53.999999999999993</v>
      </c>
      <c r="Q38" s="52">
        <v>50.000000000000021</v>
      </c>
      <c r="R38" s="52">
        <v>31</v>
      </c>
      <c r="S38" s="52">
        <v>53.999999999999972</v>
      </c>
      <c r="T38" s="52">
        <v>49.999999999999993</v>
      </c>
      <c r="U38" s="52">
        <v>31</v>
      </c>
      <c r="V38" s="52">
        <v>53.999999999999993</v>
      </c>
      <c r="W38" s="52">
        <v>49.999999999999986</v>
      </c>
      <c r="X38" s="52">
        <v>31</v>
      </c>
      <c r="Y38" s="52">
        <v>53.999999999999943</v>
      </c>
      <c r="Z38" s="52">
        <v>50.000000000000007</v>
      </c>
      <c r="AA38" s="52">
        <v>31</v>
      </c>
      <c r="AB38" s="52">
        <v>50.000000000000021</v>
      </c>
      <c r="AC38" s="52">
        <v>50</v>
      </c>
      <c r="AD38" s="52">
        <v>30.999999999999996</v>
      </c>
      <c r="AE38" s="52">
        <v>67.037037037036953</v>
      </c>
      <c r="AF38" s="52">
        <v>64.529914529914436</v>
      </c>
      <c r="AG38" s="52">
        <v>84.8333333333333</v>
      </c>
      <c r="AH38" s="52">
        <v>53.999999999999993</v>
      </c>
      <c r="AI38" s="52">
        <v>49.999999999999993</v>
      </c>
      <c r="AJ38" s="52">
        <v>0</v>
      </c>
      <c r="AK38" s="52">
        <v>54</v>
      </c>
      <c r="AL38" s="52">
        <v>49.999999999999993</v>
      </c>
      <c r="AM38" s="52">
        <v>93</v>
      </c>
      <c r="AN38" s="52">
        <v>53.999999999999986</v>
      </c>
      <c r="AO38" s="52">
        <v>49.999999999999986</v>
      </c>
      <c r="AP38" s="52">
        <v>0</v>
      </c>
      <c r="AQ38" s="52">
        <v>49.999999999999993</v>
      </c>
      <c r="AR38" s="52">
        <v>34</v>
      </c>
      <c r="AS38" s="52">
        <v>106.77777777777777</v>
      </c>
      <c r="AT38" s="52">
        <v>54</v>
      </c>
      <c r="AU38" s="52">
        <v>53.999999999999993</v>
      </c>
      <c r="AV38" s="52">
        <v>0</v>
      </c>
      <c r="AW38" s="52">
        <v>53.999999999999886</v>
      </c>
      <c r="AX38" s="52">
        <v>53.999999999999979</v>
      </c>
      <c r="AY38" s="52">
        <v>117.11111111111113</v>
      </c>
      <c r="AZ38" s="52">
        <v>53.999999999999993</v>
      </c>
      <c r="BA38" s="52">
        <v>53.999999999999979</v>
      </c>
      <c r="BB38" s="52">
        <v>0</v>
      </c>
      <c r="BC38" s="52">
        <v>53.999999999999979</v>
      </c>
      <c r="BD38" s="52">
        <v>49.999999999999993</v>
      </c>
      <c r="BE38" s="52">
        <v>85.250000000000014</v>
      </c>
      <c r="BF38" s="52">
        <v>53.999999999999972</v>
      </c>
      <c r="BG38" s="52">
        <v>53.999999999999993</v>
      </c>
      <c r="BH38" s="52">
        <v>30.000000000000007</v>
      </c>
      <c r="BI38" s="52">
        <v>54</v>
      </c>
      <c r="BJ38" s="52">
        <v>49.999999999999986</v>
      </c>
      <c r="BK38" s="52">
        <v>29.999999999999996</v>
      </c>
      <c r="BL38" s="52">
        <v>53.999999999999993</v>
      </c>
      <c r="BM38" s="52">
        <v>53.999999999999993</v>
      </c>
      <c r="BN38" s="52">
        <v>30.999999999999996</v>
      </c>
      <c r="BO38" s="52">
        <v>54.000000000000007</v>
      </c>
      <c r="BP38" s="52">
        <v>34</v>
      </c>
      <c r="BQ38" s="52">
        <v>30.999999999999996</v>
      </c>
      <c r="BR38" s="52">
        <v>52.000000000000007</v>
      </c>
      <c r="BS38" s="52">
        <v>50</v>
      </c>
      <c r="BT38" s="52">
        <v>31</v>
      </c>
      <c r="BU38" s="52">
        <v>56.428571428571395</v>
      </c>
      <c r="BV38" s="52">
        <v>49.999999999999972</v>
      </c>
      <c r="BW38" s="52">
        <v>30</v>
      </c>
    </row>
    <row r="39" spans="1:75" x14ac:dyDescent="0.3">
      <c r="A39" s="8" t="s">
        <v>102</v>
      </c>
      <c r="B39" s="8" t="s">
        <v>8</v>
      </c>
      <c r="C39" s="8" t="s">
        <v>118</v>
      </c>
      <c r="D39" s="52">
        <v>53.999999999999986</v>
      </c>
      <c r="E39" s="52">
        <v>50.000000000000014</v>
      </c>
      <c r="F39" s="52">
        <v>30.999999999999996</v>
      </c>
      <c r="G39" s="52">
        <v>53.999999999999972</v>
      </c>
      <c r="H39" s="52">
        <v>49.999999999999986</v>
      </c>
      <c r="I39" s="52">
        <v>31</v>
      </c>
      <c r="J39" s="52">
        <v>50.000000000000007</v>
      </c>
      <c r="K39" s="52">
        <v>50</v>
      </c>
      <c r="L39" s="52">
        <v>30.999999999999996</v>
      </c>
      <c r="M39" s="52">
        <v>63.999999999999943</v>
      </c>
      <c r="N39" s="52">
        <v>49.999999999999993</v>
      </c>
      <c r="O39" s="52">
        <v>31</v>
      </c>
      <c r="P39" s="52">
        <v>53.999999999999993</v>
      </c>
      <c r="Q39" s="52">
        <v>50.000000000000021</v>
      </c>
      <c r="R39" s="52">
        <v>31</v>
      </c>
      <c r="S39" s="52">
        <v>53.999999999999972</v>
      </c>
      <c r="T39" s="52">
        <v>49.999999999999993</v>
      </c>
      <c r="U39" s="52">
        <v>31</v>
      </c>
      <c r="V39" s="52">
        <v>53.999999999999993</v>
      </c>
      <c r="W39" s="52">
        <v>49.999999999999986</v>
      </c>
      <c r="X39" s="52">
        <v>31</v>
      </c>
      <c r="Y39" s="52">
        <v>53.999999999999943</v>
      </c>
      <c r="Z39" s="52">
        <v>50.000000000000007</v>
      </c>
      <c r="AA39" s="52">
        <v>31</v>
      </c>
      <c r="AB39" s="52">
        <v>50.000000000000021</v>
      </c>
      <c r="AC39" s="52">
        <v>50</v>
      </c>
      <c r="AD39" s="52">
        <v>30.999999999999996</v>
      </c>
      <c r="AE39" s="52">
        <v>67.037037037036953</v>
      </c>
      <c r="AF39" s="52">
        <v>64.529914529914436</v>
      </c>
      <c r="AG39" s="52">
        <v>84.8333333333333</v>
      </c>
      <c r="AH39" s="52">
        <v>53.999999999999993</v>
      </c>
      <c r="AI39" s="52">
        <v>49.999999999999993</v>
      </c>
      <c r="AJ39" s="52">
        <v>0</v>
      </c>
      <c r="AK39" s="52">
        <v>54</v>
      </c>
      <c r="AL39" s="52">
        <v>49.999999999999993</v>
      </c>
      <c r="AM39" s="52">
        <v>93</v>
      </c>
      <c r="AN39" s="52">
        <v>53.999999999999986</v>
      </c>
      <c r="AO39" s="52">
        <v>49.999999999999986</v>
      </c>
      <c r="AP39" s="52">
        <v>0</v>
      </c>
      <c r="AQ39" s="52">
        <v>49.999999999999993</v>
      </c>
      <c r="AR39" s="52">
        <v>34</v>
      </c>
      <c r="AS39" s="52">
        <v>106.77777777777777</v>
      </c>
      <c r="AT39" s="52">
        <v>54</v>
      </c>
      <c r="AU39" s="52">
        <v>53.999999999999993</v>
      </c>
      <c r="AV39" s="52">
        <v>0</v>
      </c>
      <c r="AW39" s="52">
        <v>53.999999999999886</v>
      </c>
      <c r="AX39" s="52">
        <v>53.999999999999979</v>
      </c>
      <c r="AY39" s="52">
        <v>117.11111111111113</v>
      </c>
      <c r="AZ39" s="52">
        <v>53.999999999999993</v>
      </c>
      <c r="BA39" s="52">
        <v>53.999999999999979</v>
      </c>
      <c r="BB39" s="52">
        <v>0</v>
      </c>
      <c r="BC39" s="52">
        <v>53.999999999999979</v>
      </c>
      <c r="BD39" s="52">
        <v>49.999999999999993</v>
      </c>
      <c r="BE39" s="52">
        <v>85.250000000000014</v>
      </c>
      <c r="BF39" s="52">
        <v>53.999999999999972</v>
      </c>
      <c r="BG39" s="52">
        <v>53.999999999999993</v>
      </c>
      <c r="BH39" s="52">
        <v>30.000000000000007</v>
      </c>
      <c r="BI39" s="52">
        <v>54</v>
      </c>
      <c r="BJ39" s="52">
        <v>49.999999999999986</v>
      </c>
      <c r="BK39" s="52">
        <v>29.999999999999996</v>
      </c>
      <c r="BL39" s="52">
        <v>53.999999999999993</v>
      </c>
      <c r="BM39" s="52">
        <v>53.999999999999993</v>
      </c>
      <c r="BN39" s="52">
        <v>30.999999999999996</v>
      </c>
      <c r="BO39" s="52">
        <v>54.000000000000007</v>
      </c>
      <c r="BP39" s="52">
        <v>34</v>
      </c>
      <c r="BQ39" s="52">
        <v>30.999999999999996</v>
      </c>
      <c r="BR39" s="52">
        <v>52.000000000000007</v>
      </c>
      <c r="BS39" s="52">
        <v>50</v>
      </c>
      <c r="BT39" s="52">
        <v>31</v>
      </c>
      <c r="BU39" s="52">
        <v>56.428571428571395</v>
      </c>
      <c r="BV39" s="52">
        <v>49.999999999999972</v>
      </c>
      <c r="BW39" s="52">
        <v>30</v>
      </c>
    </row>
    <row r="40" spans="1:75" x14ac:dyDescent="0.3">
      <c r="A40" s="8" t="s">
        <v>102</v>
      </c>
      <c r="B40" s="8" t="s">
        <v>9</v>
      </c>
      <c r="C40" s="8" t="s">
        <v>108</v>
      </c>
      <c r="D40" s="52">
        <v>52</v>
      </c>
      <c r="E40" s="52">
        <v>52</v>
      </c>
      <c r="F40" s="52">
        <v>30.999999999999986</v>
      </c>
      <c r="G40" s="52">
        <v>52.000000000000007</v>
      </c>
      <c r="H40" s="52">
        <v>52.000000000000007</v>
      </c>
      <c r="I40" s="52">
        <v>30.999999999999989</v>
      </c>
      <c r="J40" s="52">
        <v>52.000000000000007</v>
      </c>
      <c r="K40" s="52">
        <v>52.000000000000007</v>
      </c>
      <c r="L40" s="52">
        <v>30.999999999999975</v>
      </c>
      <c r="M40" s="52">
        <v>52.000000000000007</v>
      </c>
      <c r="N40" s="52">
        <v>52.000000000000007</v>
      </c>
      <c r="O40" s="52">
        <v>31.000000000000004</v>
      </c>
      <c r="P40" s="52">
        <v>52.000000000000007</v>
      </c>
      <c r="Q40" s="52">
        <v>52.000000000000014</v>
      </c>
      <c r="R40" s="52">
        <v>31.000000000000007</v>
      </c>
      <c r="S40" s="52">
        <v>52.000000000000007</v>
      </c>
      <c r="T40" s="52">
        <v>52.000000000000021</v>
      </c>
      <c r="U40" s="52">
        <v>31.000000000000004</v>
      </c>
      <c r="V40" s="52">
        <v>52</v>
      </c>
      <c r="W40" s="52">
        <v>52.000000000000007</v>
      </c>
      <c r="X40" s="52">
        <v>30.999999999999996</v>
      </c>
      <c r="Y40" s="52">
        <v>51.999999999999986</v>
      </c>
      <c r="Z40" s="52">
        <v>52.000000000000014</v>
      </c>
      <c r="AA40" s="52">
        <v>30.999999999999996</v>
      </c>
      <c r="AB40" s="52">
        <v>52</v>
      </c>
      <c r="AC40" s="52">
        <v>52.000000000000014</v>
      </c>
      <c r="AD40" s="52">
        <v>0</v>
      </c>
      <c r="AE40" s="52">
        <v>52.000000000000007</v>
      </c>
      <c r="AF40" s="52">
        <v>31.000000000000004</v>
      </c>
      <c r="AG40" s="52">
        <v>87.833333333333329</v>
      </c>
      <c r="AH40" s="52">
        <v>51.999999999999986</v>
      </c>
      <c r="AI40" s="52">
        <v>52</v>
      </c>
      <c r="AJ40" s="52">
        <v>31.000000000000004</v>
      </c>
      <c r="AK40" s="52">
        <v>52.000000000000021</v>
      </c>
      <c r="AL40" s="52">
        <v>51.999999999999986</v>
      </c>
      <c r="AM40" s="52">
        <v>40</v>
      </c>
      <c r="AN40" s="52">
        <v>52</v>
      </c>
      <c r="AO40" s="52">
        <v>52</v>
      </c>
      <c r="AP40" s="52">
        <v>0</v>
      </c>
      <c r="AQ40" s="52">
        <v>52</v>
      </c>
      <c r="AR40" s="52">
        <v>34.000000000000014</v>
      </c>
      <c r="AS40" s="52">
        <v>106.77777777777779</v>
      </c>
      <c r="AT40" s="52">
        <v>52.000000000000021</v>
      </c>
      <c r="AU40" s="52">
        <v>52.000000000000007</v>
      </c>
      <c r="AV40" s="52">
        <v>30.999999999999986</v>
      </c>
      <c r="AW40" s="52">
        <v>52</v>
      </c>
      <c r="AX40" s="52">
        <v>52</v>
      </c>
      <c r="AY40" s="52">
        <v>30.999999999999993</v>
      </c>
      <c r="AZ40" s="52">
        <v>52.000000000000014</v>
      </c>
      <c r="BA40" s="52">
        <v>52.000000000000007</v>
      </c>
      <c r="BB40" s="52">
        <v>30.999999999999996</v>
      </c>
      <c r="BC40" s="52">
        <v>52.000000000000007</v>
      </c>
      <c r="BD40" s="52">
        <v>31.000000000000004</v>
      </c>
      <c r="BE40" s="52">
        <v>30.999999999999979</v>
      </c>
      <c r="BF40" s="52">
        <v>51.999999999999986</v>
      </c>
      <c r="BG40" s="52">
        <v>52.000000000000014</v>
      </c>
      <c r="BH40" s="52">
        <v>29.999999999999996</v>
      </c>
      <c r="BI40" s="52">
        <v>52</v>
      </c>
      <c r="BJ40" s="52">
        <v>52.000000000000021</v>
      </c>
      <c r="BK40" s="52">
        <v>29.999999999999996</v>
      </c>
      <c r="BL40" s="52">
        <v>52</v>
      </c>
      <c r="BM40" s="52">
        <v>50.000000000000007</v>
      </c>
      <c r="BN40" s="52">
        <v>31.000000000000014</v>
      </c>
      <c r="BO40" s="52">
        <v>51.999999999999986</v>
      </c>
      <c r="BP40" s="52">
        <v>57.384615384615365</v>
      </c>
      <c r="BQ40" s="52">
        <v>31.000000000000014</v>
      </c>
      <c r="BR40" s="52">
        <v>52.000000000000021</v>
      </c>
      <c r="BS40" s="52">
        <v>52.000000000000014</v>
      </c>
      <c r="BT40" s="52">
        <v>30.999999999999986</v>
      </c>
      <c r="BU40" s="52">
        <v>51.999999999999972</v>
      </c>
      <c r="BV40" s="52">
        <v>51.999999999999979</v>
      </c>
      <c r="BW40" s="52">
        <v>30.999999999999993</v>
      </c>
    </row>
    <row r="41" spans="1:75" x14ac:dyDescent="0.3">
      <c r="A41" s="8" t="s">
        <v>102</v>
      </c>
      <c r="B41" s="8" t="s">
        <v>9</v>
      </c>
      <c r="C41" s="8" t="s">
        <v>109</v>
      </c>
      <c r="D41" s="52">
        <v>52.000000000000007</v>
      </c>
      <c r="E41" s="52">
        <v>52.000000000000007</v>
      </c>
      <c r="F41" s="52">
        <v>30.999999999999996</v>
      </c>
      <c r="G41" s="52">
        <v>51.999999999999943</v>
      </c>
      <c r="H41" s="52">
        <v>52.000000000000007</v>
      </c>
      <c r="I41" s="52">
        <v>31.000000000000004</v>
      </c>
      <c r="J41" s="52">
        <v>52.000000000000014</v>
      </c>
      <c r="K41" s="52">
        <v>52.000000000000007</v>
      </c>
      <c r="L41" s="52">
        <v>30.999999999999996</v>
      </c>
      <c r="M41" s="52">
        <v>52.000000000000036</v>
      </c>
      <c r="N41" s="52">
        <v>52.000000000000007</v>
      </c>
      <c r="O41" s="52">
        <v>31.000000000000004</v>
      </c>
      <c r="P41" s="52">
        <v>52</v>
      </c>
      <c r="Q41" s="52">
        <v>52.000000000000043</v>
      </c>
      <c r="R41" s="52">
        <v>31.000000000000004</v>
      </c>
      <c r="S41" s="52">
        <v>52.000000000000014</v>
      </c>
      <c r="T41" s="52">
        <v>52.000000000000014</v>
      </c>
      <c r="U41" s="52">
        <v>30.999999999999996</v>
      </c>
      <c r="V41" s="52">
        <v>51.999999999999986</v>
      </c>
      <c r="W41" s="52">
        <v>52.000000000000021</v>
      </c>
      <c r="X41" s="52">
        <v>30.999999999999996</v>
      </c>
      <c r="Y41" s="52">
        <v>52</v>
      </c>
      <c r="Z41" s="52">
        <v>52.000000000000014</v>
      </c>
      <c r="AA41" s="52">
        <v>31.000000000000004</v>
      </c>
      <c r="AB41" s="52">
        <v>52</v>
      </c>
      <c r="AC41" s="52">
        <v>52.000000000000021</v>
      </c>
      <c r="AD41" s="52">
        <v>0</v>
      </c>
      <c r="AE41" s="52">
        <v>52.000000000000021</v>
      </c>
      <c r="AF41" s="52">
        <v>31.000000000000004</v>
      </c>
      <c r="AG41" s="52">
        <v>87.833333333333329</v>
      </c>
      <c r="AH41" s="52">
        <v>51.999999999999986</v>
      </c>
      <c r="AI41" s="52">
        <v>52.000000000000014</v>
      </c>
      <c r="AJ41" s="52">
        <v>31.000000000000004</v>
      </c>
      <c r="AK41" s="52">
        <v>52.000000000000021</v>
      </c>
      <c r="AL41" s="52">
        <v>52.000000000000014</v>
      </c>
      <c r="AM41" s="52">
        <v>40</v>
      </c>
      <c r="AN41" s="52">
        <v>52.000000000000021</v>
      </c>
      <c r="AO41" s="52">
        <v>52.000000000000007</v>
      </c>
      <c r="AP41" s="52">
        <v>0</v>
      </c>
      <c r="AQ41" s="52">
        <v>52</v>
      </c>
      <c r="AR41" s="52">
        <v>34</v>
      </c>
      <c r="AS41" s="52">
        <v>106.7777777777778</v>
      </c>
      <c r="AT41" s="52">
        <v>52.000000000000021</v>
      </c>
      <c r="AU41" s="52">
        <v>52.000000000000014</v>
      </c>
      <c r="AV41" s="52">
        <v>30.999999999999996</v>
      </c>
      <c r="AW41" s="52">
        <v>52</v>
      </c>
      <c r="AX41" s="52">
        <v>51.999999999999986</v>
      </c>
      <c r="AY41" s="52">
        <v>31.000000000000004</v>
      </c>
      <c r="AZ41" s="52">
        <v>52</v>
      </c>
      <c r="BA41" s="52">
        <v>52.000000000000043</v>
      </c>
      <c r="BB41" s="52">
        <v>30.999999999999996</v>
      </c>
      <c r="BC41" s="52">
        <v>52.000000000000043</v>
      </c>
      <c r="BD41" s="52">
        <v>31.000000000000004</v>
      </c>
      <c r="BE41" s="52">
        <v>30.999999999999996</v>
      </c>
      <c r="BF41" s="52">
        <v>52</v>
      </c>
      <c r="BG41" s="52">
        <v>52</v>
      </c>
      <c r="BH41" s="52">
        <v>29.999999999999996</v>
      </c>
      <c r="BI41" s="52">
        <v>52.000000000000021</v>
      </c>
      <c r="BJ41" s="52">
        <v>52.000000000000014</v>
      </c>
      <c r="BK41" s="52">
        <v>29.999999999999996</v>
      </c>
      <c r="BL41" s="52">
        <v>52.000000000000007</v>
      </c>
      <c r="BM41" s="52">
        <v>50.000000000000014</v>
      </c>
      <c r="BN41" s="52">
        <v>31.000000000000014</v>
      </c>
      <c r="BO41" s="52">
        <v>51.999999999999986</v>
      </c>
      <c r="BP41" s="52">
        <v>57.384615384615365</v>
      </c>
      <c r="BQ41" s="52">
        <v>31.000000000000007</v>
      </c>
      <c r="BR41" s="52">
        <v>52.000000000000014</v>
      </c>
      <c r="BS41" s="52">
        <v>52.000000000000014</v>
      </c>
      <c r="BT41" s="52">
        <v>31.000000000000004</v>
      </c>
      <c r="BU41" s="52">
        <v>51.999999999999972</v>
      </c>
      <c r="BV41" s="52">
        <v>51.999999999999979</v>
      </c>
      <c r="BW41" s="52">
        <v>31.000000000000004</v>
      </c>
    </row>
    <row r="42" spans="1:75" x14ac:dyDescent="0.3">
      <c r="A42" s="8" t="s">
        <v>102</v>
      </c>
      <c r="B42" s="8" t="s">
        <v>9</v>
      </c>
      <c r="C42" s="8" t="s">
        <v>110</v>
      </c>
      <c r="D42" s="52">
        <v>52.000000000000007</v>
      </c>
      <c r="E42" s="52">
        <v>52.000000000000007</v>
      </c>
      <c r="F42" s="52">
        <v>30.999999999999996</v>
      </c>
      <c r="G42" s="52">
        <v>52.000000000000007</v>
      </c>
      <c r="H42" s="52">
        <v>52.000000000000007</v>
      </c>
      <c r="I42" s="52">
        <v>31.000000000000004</v>
      </c>
      <c r="J42" s="52">
        <v>52.000000000000007</v>
      </c>
      <c r="K42" s="52">
        <v>52.000000000000007</v>
      </c>
      <c r="L42" s="52">
        <v>30.999999999999996</v>
      </c>
      <c r="M42" s="52">
        <v>52.000000000000007</v>
      </c>
      <c r="N42" s="52">
        <v>52.000000000000007</v>
      </c>
      <c r="O42" s="52">
        <v>31.000000000000004</v>
      </c>
      <c r="P42" s="52">
        <v>52.000000000000007</v>
      </c>
      <c r="Q42" s="52">
        <v>52.000000000000014</v>
      </c>
      <c r="R42" s="52">
        <v>31.000000000000004</v>
      </c>
      <c r="S42" s="52">
        <v>52.000000000000007</v>
      </c>
      <c r="T42" s="52">
        <v>52.000000000000021</v>
      </c>
      <c r="U42" s="52">
        <v>30.999999999999996</v>
      </c>
      <c r="V42" s="52">
        <v>52</v>
      </c>
      <c r="W42" s="52">
        <v>52.000000000000007</v>
      </c>
      <c r="X42" s="52">
        <v>30.999999999999996</v>
      </c>
      <c r="Y42" s="52">
        <v>51.999999999999986</v>
      </c>
      <c r="Z42" s="52">
        <v>52.000000000000014</v>
      </c>
      <c r="AA42" s="52">
        <v>31.000000000000004</v>
      </c>
      <c r="AB42" s="52">
        <v>52</v>
      </c>
      <c r="AC42" s="52">
        <v>52.000000000000014</v>
      </c>
      <c r="AD42" s="52">
        <v>0</v>
      </c>
      <c r="AE42" s="52">
        <v>52.000000000000021</v>
      </c>
      <c r="AF42" s="52">
        <v>31.000000000000004</v>
      </c>
      <c r="AG42" s="52">
        <v>87.833333333333329</v>
      </c>
      <c r="AH42" s="52">
        <v>51.999999999999986</v>
      </c>
      <c r="AI42" s="52">
        <v>52.000000000000014</v>
      </c>
      <c r="AJ42" s="52">
        <v>31.000000000000004</v>
      </c>
      <c r="AK42" s="52">
        <v>52.000000000000021</v>
      </c>
      <c r="AL42" s="52">
        <v>52.000000000000014</v>
      </c>
      <c r="AM42" s="52">
        <v>40</v>
      </c>
      <c r="AN42" s="52">
        <v>52</v>
      </c>
      <c r="AO42" s="52">
        <v>52.000000000000007</v>
      </c>
      <c r="AP42" s="52">
        <v>0</v>
      </c>
      <c r="AQ42" s="52">
        <v>52</v>
      </c>
      <c r="AR42" s="52">
        <v>34</v>
      </c>
      <c r="AS42" s="52">
        <v>106.77777777777779</v>
      </c>
      <c r="AT42" s="52">
        <v>52.000000000000021</v>
      </c>
      <c r="AU42" s="52">
        <v>52.000000000000007</v>
      </c>
      <c r="AV42" s="52">
        <v>30.999999999999996</v>
      </c>
      <c r="AW42" s="52">
        <v>52</v>
      </c>
      <c r="AX42" s="52">
        <v>51.999999999999986</v>
      </c>
      <c r="AY42" s="52">
        <v>31.000000000000004</v>
      </c>
      <c r="AZ42" s="52">
        <v>52.000000000000014</v>
      </c>
      <c r="BA42" s="52">
        <v>52.000000000000007</v>
      </c>
      <c r="BB42" s="52">
        <v>30.999999999999996</v>
      </c>
      <c r="BC42" s="52">
        <v>52.000000000000007</v>
      </c>
      <c r="BD42" s="52">
        <v>31.000000000000004</v>
      </c>
      <c r="BE42" s="52">
        <v>30.999999999999996</v>
      </c>
      <c r="BF42" s="52">
        <v>51.999999999999986</v>
      </c>
      <c r="BG42" s="52">
        <v>52.000000000000014</v>
      </c>
      <c r="BH42" s="52">
        <v>29.999999999999996</v>
      </c>
      <c r="BI42" s="52">
        <v>52</v>
      </c>
      <c r="BJ42" s="52">
        <v>52.000000000000021</v>
      </c>
      <c r="BK42" s="52">
        <v>29.999999999999996</v>
      </c>
      <c r="BL42" s="52">
        <v>52.000000000000007</v>
      </c>
      <c r="BM42" s="52">
        <v>50.000000000000014</v>
      </c>
      <c r="BN42" s="52">
        <v>31.000000000000014</v>
      </c>
      <c r="BO42" s="52">
        <v>51.999999999999986</v>
      </c>
      <c r="BP42" s="52">
        <v>57.384615384615365</v>
      </c>
      <c r="BQ42" s="52">
        <v>30.999999999999975</v>
      </c>
      <c r="BR42" s="52">
        <v>52.000000000000007</v>
      </c>
      <c r="BS42" s="52">
        <v>52.000000000000014</v>
      </c>
      <c r="BT42" s="52">
        <v>31.000000000000004</v>
      </c>
      <c r="BU42" s="52">
        <v>51.999999999999972</v>
      </c>
      <c r="BV42" s="52">
        <v>51.999999999999979</v>
      </c>
      <c r="BW42" s="52">
        <v>31.000000000000004</v>
      </c>
    </row>
    <row r="43" spans="1:75" x14ac:dyDescent="0.3">
      <c r="A43" s="8" t="s">
        <v>102</v>
      </c>
      <c r="B43" s="8" t="s">
        <v>9</v>
      </c>
      <c r="C43" s="8" t="s">
        <v>111</v>
      </c>
      <c r="D43" s="52">
        <v>52</v>
      </c>
      <c r="E43" s="52">
        <v>52</v>
      </c>
      <c r="F43" s="52">
        <v>30.999999999999996</v>
      </c>
      <c r="G43" s="52">
        <v>52.000000000000007</v>
      </c>
      <c r="H43" s="52">
        <v>52.000000000000007</v>
      </c>
      <c r="I43" s="52">
        <v>30.999999999999996</v>
      </c>
      <c r="J43" s="52">
        <v>52.000000000000007</v>
      </c>
      <c r="K43" s="52">
        <v>52.000000000000007</v>
      </c>
      <c r="L43" s="52">
        <v>30.999999999999989</v>
      </c>
      <c r="M43" s="52">
        <v>52.000000000000007</v>
      </c>
      <c r="N43" s="52">
        <v>52.000000000000007</v>
      </c>
      <c r="O43" s="52">
        <v>31.000000000000004</v>
      </c>
      <c r="P43" s="52">
        <v>52.000000000000007</v>
      </c>
      <c r="Q43" s="52">
        <v>52.000000000000014</v>
      </c>
      <c r="R43" s="52">
        <v>31.000000000000004</v>
      </c>
      <c r="S43" s="52">
        <v>52.000000000000007</v>
      </c>
      <c r="T43" s="52">
        <v>52.000000000000021</v>
      </c>
      <c r="U43" s="52">
        <v>30.999999999999993</v>
      </c>
      <c r="V43" s="52">
        <v>52</v>
      </c>
      <c r="W43" s="52">
        <v>52.000000000000007</v>
      </c>
      <c r="X43" s="52">
        <v>30.999999999999993</v>
      </c>
      <c r="Y43" s="52">
        <v>51.999999999999986</v>
      </c>
      <c r="Z43" s="52">
        <v>52.000000000000014</v>
      </c>
      <c r="AA43" s="52">
        <v>30.999999999999996</v>
      </c>
      <c r="AB43" s="52">
        <v>52</v>
      </c>
      <c r="AC43" s="52">
        <v>52.000000000000014</v>
      </c>
      <c r="AD43" s="52">
        <v>0</v>
      </c>
      <c r="AE43" s="52">
        <v>52.000000000000007</v>
      </c>
      <c r="AF43" s="52">
        <v>31.000000000000004</v>
      </c>
      <c r="AG43" s="52">
        <v>87.833333333333329</v>
      </c>
      <c r="AH43" s="52">
        <v>51.999999999999986</v>
      </c>
      <c r="AI43" s="52">
        <v>52.000000000000021</v>
      </c>
      <c r="AJ43" s="52">
        <v>31.000000000000004</v>
      </c>
      <c r="AK43" s="52">
        <v>52.000000000000021</v>
      </c>
      <c r="AL43" s="52">
        <v>52.000000000000014</v>
      </c>
      <c r="AM43" s="52">
        <v>40</v>
      </c>
      <c r="AN43" s="52">
        <v>52</v>
      </c>
      <c r="AO43" s="52">
        <v>52.000000000000007</v>
      </c>
      <c r="AP43" s="52">
        <v>0</v>
      </c>
      <c r="AQ43" s="52">
        <v>52.000000000000007</v>
      </c>
      <c r="AR43" s="52">
        <v>34</v>
      </c>
      <c r="AS43" s="52">
        <v>106.77777777777779</v>
      </c>
      <c r="AT43" s="52">
        <v>52.000000000000021</v>
      </c>
      <c r="AU43" s="52">
        <v>52.000000000000007</v>
      </c>
      <c r="AV43" s="52">
        <v>30.999999999999993</v>
      </c>
      <c r="AW43" s="52">
        <v>52</v>
      </c>
      <c r="AX43" s="52">
        <v>52</v>
      </c>
      <c r="AY43" s="52">
        <v>31.000000000000004</v>
      </c>
      <c r="AZ43" s="52">
        <v>52.000000000000014</v>
      </c>
      <c r="BA43" s="52">
        <v>52.000000000000007</v>
      </c>
      <c r="BB43" s="52">
        <v>30.999999999999993</v>
      </c>
      <c r="BC43" s="52">
        <v>52.000000000000007</v>
      </c>
      <c r="BD43" s="52">
        <v>31.000000000000004</v>
      </c>
      <c r="BE43" s="52">
        <v>30.999999999999993</v>
      </c>
      <c r="BF43" s="52">
        <v>51.999999999999986</v>
      </c>
      <c r="BG43" s="52">
        <v>52.000000000000014</v>
      </c>
      <c r="BH43" s="52">
        <v>29.999999999999996</v>
      </c>
      <c r="BI43" s="52">
        <v>52</v>
      </c>
      <c r="BJ43" s="52">
        <v>52.000000000000021</v>
      </c>
      <c r="BK43" s="52">
        <v>30</v>
      </c>
      <c r="BL43" s="52">
        <v>52.000000000000007</v>
      </c>
      <c r="BM43" s="52">
        <v>50.000000000000007</v>
      </c>
      <c r="BN43" s="52">
        <v>31.000000000000014</v>
      </c>
      <c r="BO43" s="52">
        <v>51.999999999999986</v>
      </c>
      <c r="BP43" s="52">
        <v>57.384615384615365</v>
      </c>
      <c r="BQ43" s="52">
        <v>31.000000000000004</v>
      </c>
      <c r="BR43" s="52">
        <v>52.000000000000014</v>
      </c>
      <c r="BS43" s="52">
        <v>52.000000000000014</v>
      </c>
      <c r="BT43" s="52">
        <v>30.999999999999996</v>
      </c>
      <c r="BU43" s="52">
        <v>51.999999999999972</v>
      </c>
      <c r="BV43" s="52">
        <v>51.999999999999979</v>
      </c>
      <c r="BW43" s="52">
        <v>30.999999999999993</v>
      </c>
    </row>
    <row r="44" spans="1:75" x14ac:dyDescent="0.3">
      <c r="A44" s="8" t="s">
        <v>102</v>
      </c>
      <c r="B44" s="8" t="s">
        <v>9</v>
      </c>
      <c r="C44" s="8" t="s">
        <v>112</v>
      </c>
      <c r="D44" s="52">
        <v>52</v>
      </c>
      <c r="E44" s="52">
        <v>52</v>
      </c>
      <c r="F44" s="52">
        <v>30.999999999999996</v>
      </c>
      <c r="G44" s="52">
        <v>52.000000000000007</v>
      </c>
      <c r="H44" s="52">
        <v>52.000000000000007</v>
      </c>
      <c r="I44" s="52">
        <v>30.999999999999996</v>
      </c>
      <c r="J44" s="52">
        <v>52.000000000000007</v>
      </c>
      <c r="K44" s="52">
        <v>52.000000000000007</v>
      </c>
      <c r="L44" s="52">
        <v>30.999999999999989</v>
      </c>
      <c r="M44" s="52">
        <v>52.000000000000007</v>
      </c>
      <c r="N44" s="52">
        <v>52.000000000000007</v>
      </c>
      <c r="O44" s="52">
        <v>31.000000000000004</v>
      </c>
      <c r="P44" s="52">
        <v>52.000000000000007</v>
      </c>
      <c r="Q44" s="52">
        <v>52.000000000000014</v>
      </c>
      <c r="R44" s="52">
        <v>31.000000000000004</v>
      </c>
      <c r="S44" s="52">
        <v>52.000000000000007</v>
      </c>
      <c r="T44" s="52">
        <v>52.000000000000021</v>
      </c>
      <c r="U44" s="52">
        <v>30.999999999999993</v>
      </c>
      <c r="V44" s="52">
        <v>52</v>
      </c>
      <c r="W44" s="52">
        <v>52.000000000000007</v>
      </c>
      <c r="X44" s="52">
        <v>30.999999999999993</v>
      </c>
      <c r="Y44" s="52">
        <v>51.999999999999986</v>
      </c>
      <c r="Z44" s="52">
        <v>52.000000000000014</v>
      </c>
      <c r="AA44" s="52">
        <v>30.999999999999996</v>
      </c>
      <c r="AB44" s="52">
        <v>52</v>
      </c>
      <c r="AC44" s="52">
        <v>52.000000000000014</v>
      </c>
      <c r="AD44" s="52">
        <v>0</v>
      </c>
      <c r="AE44" s="52">
        <v>52.000000000000007</v>
      </c>
      <c r="AF44" s="52">
        <v>31.000000000000004</v>
      </c>
      <c r="AG44" s="52">
        <v>87.833333333333329</v>
      </c>
      <c r="AH44" s="52">
        <v>51.999999999999986</v>
      </c>
      <c r="AI44" s="52">
        <v>52.000000000000021</v>
      </c>
      <c r="AJ44" s="52">
        <v>31.000000000000004</v>
      </c>
      <c r="AK44" s="52">
        <v>52.000000000000021</v>
      </c>
      <c r="AL44" s="52">
        <v>52.000000000000014</v>
      </c>
      <c r="AM44" s="52">
        <v>40</v>
      </c>
      <c r="AN44" s="52">
        <v>52</v>
      </c>
      <c r="AO44" s="52">
        <v>52.000000000000007</v>
      </c>
      <c r="AP44" s="52">
        <v>0</v>
      </c>
      <c r="AQ44" s="52">
        <v>52.000000000000007</v>
      </c>
      <c r="AR44" s="52">
        <v>34</v>
      </c>
      <c r="AS44" s="52">
        <v>106.77777777777779</v>
      </c>
      <c r="AT44" s="52">
        <v>52.000000000000021</v>
      </c>
      <c r="AU44" s="52">
        <v>52.000000000000007</v>
      </c>
      <c r="AV44" s="52">
        <v>30.999999999999993</v>
      </c>
      <c r="AW44" s="52">
        <v>52</v>
      </c>
      <c r="AX44" s="52">
        <v>52</v>
      </c>
      <c r="AY44" s="52">
        <v>31.000000000000004</v>
      </c>
      <c r="AZ44" s="52">
        <v>52.000000000000014</v>
      </c>
      <c r="BA44" s="52">
        <v>52.000000000000007</v>
      </c>
      <c r="BB44" s="52">
        <v>30.999999999999993</v>
      </c>
      <c r="BC44" s="52">
        <v>52.000000000000007</v>
      </c>
      <c r="BD44" s="52">
        <v>31.000000000000004</v>
      </c>
      <c r="BE44" s="52">
        <v>30.999999999999993</v>
      </c>
      <c r="BF44" s="52">
        <v>51.999999999999986</v>
      </c>
      <c r="BG44" s="52">
        <v>52.000000000000014</v>
      </c>
      <c r="BH44" s="52">
        <v>29.999999999999996</v>
      </c>
      <c r="BI44" s="52">
        <v>52</v>
      </c>
      <c r="BJ44" s="52">
        <v>52.000000000000021</v>
      </c>
      <c r="BK44" s="52">
        <v>30</v>
      </c>
      <c r="BL44" s="52">
        <v>52.000000000000007</v>
      </c>
      <c r="BM44" s="52">
        <v>50.000000000000007</v>
      </c>
      <c r="BN44" s="52">
        <v>31.000000000000014</v>
      </c>
      <c r="BO44" s="52">
        <v>51.999999999999986</v>
      </c>
      <c r="BP44" s="52">
        <v>57.384615384615365</v>
      </c>
      <c r="BQ44" s="52">
        <v>31.000000000000004</v>
      </c>
      <c r="BR44" s="52">
        <v>52.000000000000014</v>
      </c>
      <c r="BS44" s="52">
        <v>52.000000000000014</v>
      </c>
      <c r="BT44" s="52">
        <v>30.999999999999996</v>
      </c>
      <c r="BU44" s="52">
        <v>51.999999999999972</v>
      </c>
      <c r="BV44" s="52">
        <v>51.999999999999979</v>
      </c>
      <c r="BW44" s="52">
        <v>30.999999999999993</v>
      </c>
    </row>
    <row r="45" spans="1:75" x14ac:dyDescent="0.3">
      <c r="A45" s="8" t="s">
        <v>102</v>
      </c>
      <c r="B45" s="8" t="s">
        <v>9</v>
      </c>
      <c r="C45" s="8" t="s">
        <v>115</v>
      </c>
      <c r="D45" s="52">
        <v>52.000000000000021</v>
      </c>
      <c r="E45" s="52">
        <v>52.000000000000014</v>
      </c>
      <c r="F45" s="52">
        <v>31.000000000000007</v>
      </c>
      <c r="G45" s="52">
        <v>51.999999999999943</v>
      </c>
      <c r="H45" s="52">
        <v>52.000000000000007</v>
      </c>
      <c r="I45" s="52">
        <v>31.000000000000007</v>
      </c>
      <c r="J45" s="52">
        <v>52.000000000000014</v>
      </c>
      <c r="K45" s="52">
        <v>52.000000000000007</v>
      </c>
      <c r="L45" s="52">
        <v>31.000000000000004</v>
      </c>
      <c r="M45" s="52">
        <v>52.000000000000036</v>
      </c>
      <c r="N45" s="52">
        <v>52.000000000000007</v>
      </c>
      <c r="O45" s="52">
        <v>31.000000000000007</v>
      </c>
      <c r="P45" s="52">
        <v>52</v>
      </c>
      <c r="Q45" s="52">
        <v>52.000000000000043</v>
      </c>
      <c r="R45" s="52">
        <v>31.000000000000007</v>
      </c>
      <c r="S45" s="52">
        <v>52.000000000000014</v>
      </c>
      <c r="T45" s="52">
        <v>52.000000000000014</v>
      </c>
      <c r="U45" s="52">
        <v>31.000000000000004</v>
      </c>
      <c r="V45" s="52">
        <v>51.999999999999986</v>
      </c>
      <c r="W45" s="52">
        <v>52.000000000000021</v>
      </c>
      <c r="X45" s="52">
        <v>31.000000000000004</v>
      </c>
      <c r="Y45" s="52">
        <v>52</v>
      </c>
      <c r="Z45" s="52">
        <v>52.000000000000014</v>
      </c>
      <c r="AA45" s="52">
        <v>31.000000000000004</v>
      </c>
      <c r="AB45" s="52">
        <v>52</v>
      </c>
      <c r="AC45" s="52">
        <v>52.000000000000021</v>
      </c>
      <c r="AD45" s="52">
        <v>0</v>
      </c>
      <c r="AE45" s="52">
        <v>52.000000000000021</v>
      </c>
      <c r="AF45" s="52">
        <v>31.000000000000007</v>
      </c>
      <c r="AG45" s="52">
        <v>87.833333333333329</v>
      </c>
      <c r="AH45" s="52">
        <v>51.999999999999986</v>
      </c>
      <c r="AI45" s="52">
        <v>52.000000000000014</v>
      </c>
      <c r="AJ45" s="52">
        <v>31.000000000000004</v>
      </c>
      <c r="AK45" s="52">
        <v>52.000000000000021</v>
      </c>
      <c r="AL45" s="52">
        <v>52.000000000000014</v>
      </c>
      <c r="AM45" s="52">
        <v>40</v>
      </c>
      <c r="AN45" s="52">
        <v>52.000000000000021</v>
      </c>
      <c r="AO45" s="52">
        <v>52.000000000000007</v>
      </c>
      <c r="AP45" s="52">
        <v>0</v>
      </c>
      <c r="AQ45" s="52">
        <v>52</v>
      </c>
      <c r="AR45" s="52">
        <v>34</v>
      </c>
      <c r="AS45" s="52">
        <v>106.7777777777778</v>
      </c>
      <c r="AT45" s="52">
        <v>52.000000000000021</v>
      </c>
      <c r="AU45" s="52">
        <v>52.000000000000014</v>
      </c>
      <c r="AV45" s="52">
        <v>30.999999999999996</v>
      </c>
      <c r="AW45" s="52">
        <v>52</v>
      </c>
      <c r="AX45" s="52">
        <v>51.999999999999986</v>
      </c>
      <c r="AY45" s="52">
        <v>31.000000000000007</v>
      </c>
      <c r="AZ45" s="52">
        <v>52</v>
      </c>
      <c r="BA45" s="52">
        <v>52.000000000000043</v>
      </c>
      <c r="BB45" s="52">
        <v>31.000000000000007</v>
      </c>
      <c r="BC45" s="52">
        <v>52.000000000000043</v>
      </c>
      <c r="BD45" s="52">
        <v>31.000000000000004</v>
      </c>
      <c r="BE45" s="52">
        <v>31.000000000000004</v>
      </c>
      <c r="BF45" s="52">
        <v>52</v>
      </c>
      <c r="BG45" s="52">
        <v>52</v>
      </c>
      <c r="BH45" s="52">
        <v>29.999999999999996</v>
      </c>
      <c r="BI45" s="52">
        <v>52.000000000000021</v>
      </c>
      <c r="BJ45" s="52">
        <v>52.000000000000014</v>
      </c>
      <c r="BK45" s="52">
        <v>29.999999999999996</v>
      </c>
      <c r="BL45" s="52">
        <v>52.000000000000007</v>
      </c>
      <c r="BM45" s="52">
        <v>50.000000000000014</v>
      </c>
      <c r="BN45" s="52">
        <v>31.000000000000014</v>
      </c>
      <c r="BO45" s="52">
        <v>51.999999999999986</v>
      </c>
      <c r="BP45" s="52">
        <v>57.384615384615365</v>
      </c>
      <c r="BQ45" s="52">
        <v>31.000000000000007</v>
      </c>
      <c r="BR45" s="52">
        <v>52.000000000000014</v>
      </c>
      <c r="BS45" s="52">
        <v>52.000000000000014</v>
      </c>
      <c r="BT45" s="52">
        <v>31.000000000000007</v>
      </c>
      <c r="BU45" s="52">
        <v>51.999999999999972</v>
      </c>
      <c r="BV45" s="52">
        <v>51.999999999999979</v>
      </c>
      <c r="BW45" s="52">
        <v>31.000000000000004</v>
      </c>
    </row>
    <row r="46" spans="1:75" x14ac:dyDescent="0.3">
      <c r="A46" s="8" t="s">
        <v>102</v>
      </c>
      <c r="B46" s="8" t="s">
        <v>9</v>
      </c>
      <c r="C46" s="8" t="s">
        <v>116</v>
      </c>
      <c r="D46" s="52">
        <v>52.000000000000021</v>
      </c>
      <c r="E46" s="52">
        <v>52.000000000000007</v>
      </c>
      <c r="F46" s="52">
        <v>31.000000000000007</v>
      </c>
      <c r="G46" s="52">
        <v>51.999999999999943</v>
      </c>
      <c r="H46" s="52">
        <v>52.000000000000007</v>
      </c>
      <c r="I46" s="52">
        <v>31.000000000000007</v>
      </c>
      <c r="J46" s="52">
        <v>52.000000000000014</v>
      </c>
      <c r="K46" s="52">
        <v>52.000000000000007</v>
      </c>
      <c r="L46" s="52">
        <v>31.000000000000004</v>
      </c>
      <c r="M46" s="52">
        <v>52.000000000000036</v>
      </c>
      <c r="N46" s="52">
        <v>52.000000000000007</v>
      </c>
      <c r="O46" s="52">
        <v>31.000000000000007</v>
      </c>
      <c r="P46" s="52">
        <v>52</v>
      </c>
      <c r="Q46" s="52">
        <v>52.000000000000043</v>
      </c>
      <c r="R46" s="52">
        <v>31.000000000000007</v>
      </c>
      <c r="S46" s="52">
        <v>52.000000000000014</v>
      </c>
      <c r="T46" s="52">
        <v>52.000000000000014</v>
      </c>
      <c r="U46" s="52">
        <v>31.000000000000004</v>
      </c>
      <c r="V46" s="52">
        <v>51.999999999999986</v>
      </c>
      <c r="W46" s="52">
        <v>52.000000000000021</v>
      </c>
      <c r="X46" s="52">
        <v>31.000000000000004</v>
      </c>
      <c r="Y46" s="52">
        <v>52</v>
      </c>
      <c r="Z46" s="52">
        <v>52.000000000000014</v>
      </c>
      <c r="AA46" s="52">
        <v>31.000000000000004</v>
      </c>
      <c r="AB46" s="52">
        <v>52</v>
      </c>
      <c r="AC46" s="52">
        <v>52.000000000000021</v>
      </c>
      <c r="AD46" s="52">
        <v>0</v>
      </c>
      <c r="AE46" s="52">
        <v>52.000000000000021</v>
      </c>
      <c r="AF46" s="52">
        <v>31.000000000000007</v>
      </c>
      <c r="AG46" s="52">
        <v>87.833333333333329</v>
      </c>
      <c r="AH46" s="52">
        <v>51.999999999999986</v>
      </c>
      <c r="AI46" s="52">
        <v>52.000000000000014</v>
      </c>
      <c r="AJ46" s="52">
        <v>31.000000000000004</v>
      </c>
      <c r="AK46" s="52">
        <v>52.000000000000021</v>
      </c>
      <c r="AL46" s="52">
        <v>52.000000000000014</v>
      </c>
      <c r="AM46" s="52">
        <v>40</v>
      </c>
      <c r="AN46" s="52">
        <v>52.000000000000021</v>
      </c>
      <c r="AO46" s="52">
        <v>52.000000000000007</v>
      </c>
      <c r="AP46" s="52">
        <v>0</v>
      </c>
      <c r="AQ46" s="52">
        <v>52</v>
      </c>
      <c r="AR46" s="52">
        <v>34</v>
      </c>
      <c r="AS46" s="52">
        <v>106.7777777777778</v>
      </c>
      <c r="AT46" s="52">
        <v>52.000000000000021</v>
      </c>
      <c r="AU46" s="52">
        <v>52.000000000000007</v>
      </c>
      <c r="AV46" s="52">
        <v>30.999999999999996</v>
      </c>
      <c r="AW46" s="52">
        <v>52</v>
      </c>
      <c r="AX46" s="52">
        <v>51.999999999999986</v>
      </c>
      <c r="AY46" s="52">
        <v>31.000000000000007</v>
      </c>
      <c r="AZ46" s="52">
        <v>52</v>
      </c>
      <c r="BA46" s="52">
        <v>52.000000000000043</v>
      </c>
      <c r="BB46" s="52">
        <v>31.000000000000007</v>
      </c>
      <c r="BC46" s="52">
        <v>52.000000000000043</v>
      </c>
      <c r="BD46" s="52">
        <v>31.000000000000004</v>
      </c>
      <c r="BE46" s="52">
        <v>31.000000000000004</v>
      </c>
      <c r="BF46" s="52">
        <v>52</v>
      </c>
      <c r="BG46" s="52">
        <v>52</v>
      </c>
      <c r="BH46" s="52">
        <v>29.999999999999996</v>
      </c>
      <c r="BI46" s="52">
        <v>52.000000000000021</v>
      </c>
      <c r="BJ46" s="52">
        <v>52.000000000000014</v>
      </c>
      <c r="BK46" s="52">
        <v>29.999999999999996</v>
      </c>
      <c r="BL46" s="52">
        <v>52.000000000000007</v>
      </c>
      <c r="BM46" s="52">
        <v>50.000000000000014</v>
      </c>
      <c r="BN46" s="52">
        <v>31.000000000000014</v>
      </c>
      <c r="BO46" s="52">
        <v>51.999999999999986</v>
      </c>
      <c r="BP46" s="52">
        <v>57.384615384615365</v>
      </c>
      <c r="BQ46" s="52">
        <v>31.000000000000007</v>
      </c>
      <c r="BR46" s="52">
        <v>52.000000000000014</v>
      </c>
      <c r="BS46" s="52">
        <v>52.000000000000014</v>
      </c>
      <c r="BT46" s="52">
        <v>31.000000000000007</v>
      </c>
      <c r="BU46" s="52">
        <v>51.999999999999972</v>
      </c>
      <c r="BV46" s="52">
        <v>51.999999999999979</v>
      </c>
      <c r="BW46" s="52">
        <v>31.000000000000004</v>
      </c>
    </row>
    <row r="47" spans="1:75" x14ac:dyDescent="0.3">
      <c r="A47" s="8" t="s">
        <v>102</v>
      </c>
      <c r="B47" s="8" t="s">
        <v>9</v>
      </c>
      <c r="C47" s="8" t="s">
        <v>117</v>
      </c>
      <c r="D47" s="52">
        <v>52.000000000000021</v>
      </c>
      <c r="E47" s="52">
        <v>52.000000000000007</v>
      </c>
      <c r="F47" s="52">
        <v>31.000000000000007</v>
      </c>
      <c r="G47" s="52">
        <v>51.999999999999943</v>
      </c>
      <c r="H47" s="52">
        <v>52.000000000000007</v>
      </c>
      <c r="I47" s="52">
        <v>31.000000000000007</v>
      </c>
      <c r="J47" s="52">
        <v>52.000000000000014</v>
      </c>
      <c r="K47" s="52">
        <v>52.000000000000007</v>
      </c>
      <c r="L47" s="52">
        <v>31.000000000000004</v>
      </c>
      <c r="M47" s="52">
        <v>52.000000000000036</v>
      </c>
      <c r="N47" s="52">
        <v>52.000000000000007</v>
      </c>
      <c r="O47" s="52">
        <v>31.000000000000007</v>
      </c>
      <c r="P47" s="52">
        <v>52</v>
      </c>
      <c r="Q47" s="52">
        <v>52.000000000000043</v>
      </c>
      <c r="R47" s="52">
        <v>31.000000000000007</v>
      </c>
      <c r="S47" s="52">
        <v>52.000000000000014</v>
      </c>
      <c r="T47" s="52">
        <v>52.000000000000014</v>
      </c>
      <c r="U47" s="52">
        <v>31.000000000000004</v>
      </c>
      <c r="V47" s="52">
        <v>51.999999999999986</v>
      </c>
      <c r="W47" s="52">
        <v>52.000000000000021</v>
      </c>
      <c r="X47" s="52">
        <v>31.000000000000004</v>
      </c>
      <c r="Y47" s="52">
        <v>52</v>
      </c>
      <c r="Z47" s="52">
        <v>52.000000000000014</v>
      </c>
      <c r="AA47" s="52">
        <v>31.000000000000004</v>
      </c>
      <c r="AB47" s="52">
        <v>52</v>
      </c>
      <c r="AC47" s="52">
        <v>52.000000000000021</v>
      </c>
      <c r="AD47" s="52">
        <v>0</v>
      </c>
      <c r="AE47" s="52">
        <v>52.000000000000021</v>
      </c>
      <c r="AF47" s="52">
        <v>31.000000000000007</v>
      </c>
      <c r="AG47" s="52">
        <v>87.833333333333329</v>
      </c>
      <c r="AH47" s="52">
        <v>51.999999999999986</v>
      </c>
      <c r="AI47" s="52">
        <v>52.000000000000014</v>
      </c>
      <c r="AJ47" s="52">
        <v>31.000000000000004</v>
      </c>
      <c r="AK47" s="52">
        <v>52.000000000000021</v>
      </c>
      <c r="AL47" s="52">
        <v>52.000000000000014</v>
      </c>
      <c r="AM47" s="52">
        <v>40</v>
      </c>
      <c r="AN47" s="52">
        <v>52.000000000000021</v>
      </c>
      <c r="AO47" s="52">
        <v>52.000000000000007</v>
      </c>
      <c r="AP47" s="52">
        <v>0</v>
      </c>
      <c r="AQ47" s="52">
        <v>52</v>
      </c>
      <c r="AR47" s="52">
        <v>34</v>
      </c>
      <c r="AS47" s="52">
        <v>106.7777777777778</v>
      </c>
      <c r="AT47" s="52">
        <v>52.000000000000021</v>
      </c>
      <c r="AU47" s="52">
        <v>52.000000000000007</v>
      </c>
      <c r="AV47" s="52">
        <v>30.999999999999996</v>
      </c>
      <c r="AW47" s="52">
        <v>52</v>
      </c>
      <c r="AX47" s="52">
        <v>51.999999999999986</v>
      </c>
      <c r="AY47" s="52">
        <v>31.000000000000007</v>
      </c>
      <c r="AZ47" s="52">
        <v>52</v>
      </c>
      <c r="BA47" s="52">
        <v>52.000000000000043</v>
      </c>
      <c r="BB47" s="52">
        <v>31.000000000000007</v>
      </c>
      <c r="BC47" s="52">
        <v>52.000000000000043</v>
      </c>
      <c r="BD47" s="52">
        <v>31.000000000000004</v>
      </c>
      <c r="BE47" s="52">
        <v>31.000000000000004</v>
      </c>
      <c r="BF47" s="52">
        <v>52</v>
      </c>
      <c r="BG47" s="52">
        <v>52</v>
      </c>
      <c r="BH47" s="52">
        <v>29.999999999999996</v>
      </c>
      <c r="BI47" s="52">
        <v>52.000000000000021</v>
      </c>
      <c r="BJ47" s="52">
        <v>52.000000000000014</v>
      </c>
      <c r="BK47" s="52">
        <v>29.999999999999996</v>
      </c>
      <c r="BL47" s="52">
        <v>52.000000000000007</v>
      </c>
      <c r="BM47" s="52">
        <v>50.000000000000014</v>
      </c>
      <c r="BN47" s="52">
        <v>31.000000000000014</v>
      </c>
      <c r="BO47" s="52">
        <v>51.999999999999986</v>
      </c>
      <c r="BP47" s="52">
        <v>57.384615384615365</v>
      </c>
      <c r="BQ47" s="52">
        <v>31.000000000000007</v>
      </c>
      <c r="BR47" s="52">
        <v>52.000000000000014</v>
      </c>
      <c r="BS47" s="52">
        <v>52.000000000000014</v>
      </c>
      <c r="BT47" s="52">
        <v>31.000000000000007</v>
      </c>
      <c r="BU47" s="52">
        <v>51.999999999999972</v>
      </c>
      <c r="BV47" s="52">
        <v>51.999999999999979</v>
      </c>
      <c r="BW47" s="52">
        <v>31.000000000000004</v>
      </c>
    </row>
    <row r="48" spans="1:75" x14ac:dyDescent="0.3">
      <c r="A48" s="8" t="s">
        <v>102</v>
      </c>
      <c r="B48" s="8" t="s">
        <v>9</v>
      </c>
      <c r="C48" s="8" t="s">
        <v>118</v>
      </c>
      <c r="D48" s="52">
        <v>52.000000000000021</v>
      </c>
      <c r="E48" s="52">
        <v>52.000000000000007</v>
      </c>
      <c r="F48" s="52">
        <v>31.000000000000007</v>
      </c>
      <c r="G48" s="52">
        <v>51.999999999999943</v>
      </c>
      <c r="H48" s="52">
        <v>52.000000000000007</v>
      </c>
      <c r="I48" s="52">
        <v>31.000000000000007</v>
      </c>
      <c r="J48" s="52">
        <v>52.000000000000014</v>
      </c>
      <c r="K48" s="52">
        <v>52.000000000000007</v>
      </c>
      <c r="L48" s="52">
        <v>31.000000000000004</v>
      </c>
      <c r="M48" s="52">
        <v>52.000000000000036</v>
      </c>
      <c r="N48" s="52">
        <v>52.000000000000007</v>
      </c>
      <c r="O48" s="52">
        <v>31.000000000000007</v>
      </c>
      <c r="P48" s="52">
        <v>52</v>
      </c>
      <c r="Q48" s="52">
        <v>52.000000000000043</v>
      </c>
      <c r="R48" s="52">
        <v>31.000000000000007</v>
      </c>
      <c r="S48" s="52">
        <v>52.000000000000014</v>
      </c>
      <c r="T48" s="52">
        <v>52.000000000000014</v>
      </c>
      <c r="U48" s="52">
        <v>31.000000000000004</v>
      </c>
      <c r="V48" s="52">
        <v>51.999999999999986</v>
      </c>
      <c r="W48" s="52">
        <v>52.000000000000021</v>
      </c>
      <c r="X48" s="52">
        <v>31.000000000000004</v>
      </c>
      <c r="Y48" s="52">
        <v>52</v>
      </c>
      <c r="Z48" s="52">
        <v>52.000000000000014</v>
      </c>
      <c r="AA48" s="52">
        <v>31.000000000000004</v>
      </c>
      <c r="AB48" s="52">
        <v>52</v>
      </c>
      <c r="AC48" s="52">
        <v>52.000000000000021</v>
      </c>
      <c r="AD48" s="52">
        <v>0</v>
      </c>
      <c r="AE48" s="52">
        <v>52.000000000000021</v>
      </c>
      <c r="AF48" s="52">
        <v>31.000000000000007</v>
      </c>
      <c r="AG48" s="52">
        <v>87.833333333333329</v>
      </c>
      <c r="AH48" s="52">
        <v>51.999999999999986</v>
      </c>
      <c r="AI48" s="52">
        <v>52.000000000000014</v>
      </c>
      <c r="AJ48" s="52">
        <v>31.000000000000004</v>
      </c>
      <c r="AK48" s="52">
        <v>52.000000000000021</v>
      </c>
      <c r="AL48" s="52">
        <v>52.000000000000014</v>
      </c>
      <c r="AM48" s="52">
        <v>40</v>
      </c>
      <c r="AN48" s="52">
        <v>52.000000000000021</v>
      </c>
      <c r="AO48" s="52">
        <v>52.000000000000007</v>
      </c>
      <c r="AP48" s="52">
        <v>0</v>
      </c>
      <c r="AQ48" s="52">
        <v>52</v>
      </c>
      <c r="AR48" s="52">
        <v>34</v>
      </c>
      <c r="AS48" s="52">
        <v>106.7777777777778</v>
      </c>
      <c r="AT48" s="52">
        <v>52.000000000000021</v>
      </c>
      <c r="AU48" s="52">
        <v>52.000000000000007</v>
      </c>
      <c r="AV48" s="52">
        <v>30.999999999999996</v>
      </c>
      <c r="AW48" s="52">
        <v>52</v>
      </c>
      <c r="AX48" s="52">
        <v>51.999999999999986</v>
      </c>
      <c r="AY48" s="52">
        <v>31.000000000000007</v>
      </c>
      <c r="AZ48" s="52">
        <v>52</v>
      </c>
      <c r="BA48" s="52">
        <v>52.000000000000043</v>
      </c>
      <c r="BB48" s="52">
        <v>31.000000000000007</v>
      </c>
      <c r="BC48" s="52">
        <v>52.000000000000043</v>
      </c>
      <c r="BD48" s="52">
        <v>31.000000000000004</v>
      </c>
      <c r="BE48" s="52">
        <v>31.000000000000004</v>
      </c>
      <c r="BF48" s="52">
        <v>52</v>
      </c>
      <c r="BG48" s="52">
        <v>52</v>
      </c>
      <c r="BH48" s="52">
        <v>29.999999999999996</v>
      </c>
      <c r="BI48" s="52">
        <v>52.000000000000021</v>
      </c>
      <c r="BJ48" s="52">
        <v>52.000000000000014</v>
      </c>
      <c r="BK48" s="52">
        <v>29.999999999999996</v>
      </c>
      <c r="BL48" s="52">
        <v>52.000000000000007</v>
      </c>
      <c r="BM48" s="52">
        <v>50.000000000000014</v>
      </c>
      <c r="BN48" s="52">
        <v>31.000000000000014</v>
      </c>
      <c r="BO48" s="52">
        <v>51.999999999999986</v>
      </c>
      <c r="BP48" s="52">
        <v>57.384615384615365</v>
      </c>
      <c r="BQ48" s="52">
        <v>31.000000000000007</v>
      </c>
      <c r="BR48" s="52">
        <v>52.000000000000014</v>
      </c>
      <c r="BS48" s="52">
        <v>52.000000000000014</v>
      </c>
      <c r="BT48" s="52">
        <v>31.000000000000007</v>
      </c>
      <c r="BU48" s="52">
        <v>51.999999999999972</v>
      </c>
      <c r="BV48" s="52">
        <v>51.999999999999979</v>
      </c>
      <c r="BW48" s="52">
        <v>31.000000000000004</v>
      </c>
    </row>
    <row r="49" spans="1:75" x14ac:dyDescent="0.3">
      <c r="A49" s="8" t="s">
        <v>102</v>
      </c>
      <c r="B49" s="8" t="s">
        <v>10</v>
      </c>
      <c r="C49" s="8" t="s">
        <v>108</v>
      </c>
      <c r="D49" s="52">
        <v>52.000000000000021</v>
      </c>
      <c r="E49" s="52">
        <v>34</v>
      </c>
      <c r="F49" s="52">
        <v>30.999999999999993</v>
      </c>
      <c r="G49" s="52">
        <v>58.888888888888829</v>
      </c>
      <c r="H49" s="52">
        <v>30.999999999999993</v>
      </c>
      <c r="I49" s="52">
        <v>30.999999999999996</v>
      </c>
      <c r="J49" s="52">
        <v>50.000000000000007</v>
      </c>
      <c r="K49" s="52">
        <v>34</v>
      </c>
      <c r="L49" s="52">
        <v>30.999999999999993</v>
      </c>
      <c r="M49" s="52">
        <v>63.999999999999986</v>
      </c>
      <c r="N49" s="52">
        <v>30.999999999999979</v>
      </c>
      <c r="O49" s="52">
        <v>30.999999999999996</v>
      </c>
      <c r="P49" s="52">
        <v>54</v>
      </c>
      <c r="Q49" s="52">
        <v>34</v>
      </c>
      <c r="R49" s="52">
        <v>30.999999999999989</v>
      </c>
      <c r="S49" s="52">
        <v>54.000000000000007</v>
      </c>
      <c r="T49" s="52">
        <v>30.999999999999979</v>
      </c>
      <c r="U49" s="52">
        <v>29.999999999999986</v>
      </c>
      <c r="V49" s="52">
        <v>31.000000000000014</v>
      </c>
      <c r="W49" s="52">
        <v>49.999999999999993</v>
      </c>
      <c r="X49" s="52">
        <v>30.999999999999993</v>
      </c>
      <c r="Y49" s="52">
        <v>106.96969696969698</v>
      </c>
      <c r="Z49" s="52">
        <v>60.909090909090921</v>
      </c>
      <c r="AA49" s="52">
        <v>30.999999999999989</v>
      </c>
      <c r="AB49" s="52">
        <v>50.000000000000007</v>
      </c>
      <c r="AC49" s="52">
        <v>49.999999999999993</v>
      </c>
      <c r="AD49" s="52">
        <v>30.999999999999993</v>
      </c>
      <c r="AE49" s="52">
        <v>67.037037037037038</v>
      </c>
      <c r="AF49" s="52">
        <v>64.529914529914549</v>
      </c>
      <c r="AG49" s="52">
        <v>30.999999999999996</v>
      </c>
      <c r="AH49" s="52">
        <v>34</v>
      </c>
      <c r="AI49" s="52">
        <v>34</v>
      </c>
      <c r="AJ49" s="52">
        <v>30.999999999999993</v>
      </c>
      <c r="AK49" s="52">
        <v>116.22222222222224</v>
      </c>
      <c r="AL49" s="52">
        <v>100.66666666666669</v>
      </c>
      <c r="AM49" s="52">
        <v>30.999999999999993</v>
      </c>
      <c r="AN49" s="52">
        <v>53.999999999999993</v>
      </c>
      <c r="AO49" s="52">
        <v>50.000000000000007</v>
      </c>
      <c r="AP49" s="52">
        <v>31.000000000000004</v>
      </c>
      <c r="AQ49" s="52">
        <v>53.999999999999972</v>
      </c>
      <c r="AR49" s="52">
        <v>50.000000000000007</v>
      </c>
      <c r="AS49" s="52">
        <v>31.000000000000007</v>
      </c>
      <c r="AT49" s="52">
        <v>53.999999999999993</v>
      </c>
      <c r="AU49" s="52">
        <v>54</v>
      </c>
      <c r="AV49" s="52">
        <v>0</v>
      </c>
      <c r="AW49" s="52">
        <v>53.999999999999993</v>
      </c>
      <c r="AX49" s="52">
        <v>51.999999999999979</v>
      </c>
      <c r="AY49" s="52">
        <v>106.77777777777779</v>
      </c>
      <c r="AZ49" s="52">
        <v>54</v>
      </c>
      <c r="BA49" s="52">
        <v>53.999999999999993</v>
      </c>
      <c r="BB49" s="52">
        <v>0</v>
      </c>
      <c r="BC49" s="52">
        <v>53.999999999999993</v>
      </c>
      <c r="BD49" s="52">
        <v>31.000000000000007</v>
      </c>
      <c r="BE49" s="52">
        <v>85.25</v>
      </c>
      <c r="BF49" s="52">
        <v>53.999999999999993</v>
      </c>
      <c r="BG49" s="52">
        <v>54</v>
      </c>
      <c r="BH49" s="52">
        <v>29.999999999999996</v>
      </c>
      <c r="BI49" s="52">
        <v>53.999999999999993</v>
      </c>
      <c r="BJ49" s="52">
        <v>50.000000000000007</v>
      </c>
      <c r="BK49" s="52">
        <v>29.999999999999996</v>
      </c>
      <c r="BL49" s="52">
        <v>53.999999999999972</v>
      </c>
      <c r="BM49" s="52">
        <v>33.999999999999986</v>
      </c>
      <c r="BN49" s="52">
        <v>30.999999999999996</v>
      </c>
      <c r="BO49" s="52">
        <v>33.999999999999993</v>
      </c>
      <c r="BP49" s="52">
        <v>30.999999999999996</v>
      </c>
      <c r="BQ49" s="52">
        <v>30</v>
      </c>
      <c r="BR49" s="52">
        <v>52.000000000000014</v>
      </c>
      <c r="BS49" s="52">
        <v>34</v>
      </c>
      <c r="BT49" s="52">
        <v>29.999999999999986</v>
      </c>
      <c r="BU49" s="52">
        <v>56.428571428571381</v>
      </c>
      <c r="BV49" s="52">
        <v>30.999999999999993</v>
      </c>
      <c r="BW49" s="52">
        <v>29.999999999999986</v>
      </c>
    </row>
    <row r="50" spans="1:75" x14ac:dyDescent="0.3">
      <c r="A50" s="8" t="s">
        <v>102</v>
      </c>
      <c r="B50" s="8" t="s">
        <v>10</v>
      </c>
      <c r="C50" s="8" t="s">
        <v>109</v>
      </c>
      <c r="D50" s="52">
        <v>52.000000000000007</v>
      </c>
      <c r="E50" s="52">
        <v>34</v>
      </c>
      <c r="F50" s="52">
        <v>30.999999999999993</v>
      </c>
      <c r="G50" s="52">
        <v>58.888888888888857</v>
      </c>
      <c r="H50" s="52">
        <v>31.000000000000004</v>
      </c>
      <c r="I50" s="52">
        <v>30.999999999999996</v>
      </c>
      <c r="J50" s="52">
        <v>50.000000000000014</v>
      </c>
      <c r="K50" s="52">
        <v>34</v>
      </c>
      <c r="L50" s="52">
        <v>30.999999999999993</v>
      </c>
      <c r="M50" s="52">
        <v>63.999999999999986</v>
      </c>
      <c r="N50" s="52">
        <v>31.000000000000004</v>
      </c>
      <c r="O50" s="52">
        <v>30.999999999999993</v>
      </c>
      <c r="P50" s="52">
        <v>54</v>
      </c>
      <c r="Q50" s="52">
        <v>34.000000000000007</v>
      </c>
      <c r="R50" s="52">
        <v>30.999999999999989</v>
      </c>
      <c r="S50" s="52">
        <v>54.000000000000007</v>
      </c>
      <c r="T50" s="52">
        <v>31.000000000000004</v>
      </c>
      <c r="U50" s="52">
        <v>30</v>
      </c>
      <c r="V50" s="52">
        <v>30.999999999999996</v>
      </c>
      <c r="W50" s="52">
        <v>50.000000000000007</v>
      </c>
      <c r="X50" s="52">
        <v>30.999999999999993</v>
      </c>
      <c r="Y50" s="52">
        <v>106.96969696969698</v>
      </c>
      <c r="Z50" s="52">
        <v>60.909090909090921</v>
      </c>
      <c r="AA50" s="52">
        <v>30.999999999999996</v>
      </c>
      <c r="AB50" s="52">
        <v>49.999999999999993</v>
      </c>
      <c r="AC50" s="52">
        <v>50.000000000000007</v>
      </c>
      <c r="AD50" s="52">
        <v>30.999999999999993</v>
      </c>
      <c r="AE50" s="52">
        <v>67.037037037037038</v>
      </c>
      <c r="AF50" s="52">
        <v>64.529914529914549</v>
      </c>
      <c r="AG50" s="52">
        <v>30.999999999999996</v>
      </c>
      <c r="AH50" s="52">
        <v>33.999999999999986</v>
      </c>
      <c r="AI50" s="52">
        <v>34</v>
      </c>
      <c r="AJ50" s="52">
        <v>30.999999999999993</v>
      </c>
      <c r="AK50" s="52">
        <v>116.22222222222224</v>
      </c>
      <c r="AL50" s="52">
        <v>100.66666666666669</v>
      </c>
      <c r="AM50" s="52">
        <v>30.999999999999993</v>
      </c>
      <c r="AN50" s="52">
        <v>53.999999999999993</v>
      </c>
      <c r="AO50" s="52">
        <v>50.000000000000007</v>
      </c>
      <c r="AP50" s="52">
        <v>31.000000000000004</v>
      </c>
      <c r="AQ50" s="52">
        <v>53.999999999999972</v>
      </c>
      <c r="AR50" s="52">
        <v>50.000000000000007</v>
      </c>
      <c r="AS50" s="52">
        <v>31.000000000000007</v>
      </c>
      <c r="AT50" s="52">
        <v>53.999999999999993</v>
      </c>
      <c r="AU50" s="52">
        <v>54</v>
      </c>
      <c r="AV50" s="52">
        <v>0</v>
      </c>
      <c r="AW50" s="52">
        <v>53.999999999999993</v>
      </c>
      <c r="AX50" s="52">
        <v>52.000000000000007</v>
      </c>
      <c r="AY50" s="52">
        <v>106.7777777777778</v>
      </c>
      <c r="AZ50" s="52">
        <v>54</v>
      </c>
      <c r="BA50" s="52">
        <v>53.999999999999993</v>
      </c>
      <c r="BB50" s="52">
        <v>0</v>
      </c>
      <c r="BC50" s="52">
        <v>53.999999999999993</v>
      </c>
      <c r="BD50" s="52">
        <v>31.000000000000007</v>
      </c>
      <c r="BE50" s="52">
        <v>85.25</v>
      </c>
      <c r="BF50" s="52">
        <v>53.999999999999993</v>
      </c>
      <c r="BG50" s="52">
        <v>54</v>
      </c>
      <c r="BH50" s="52">
        <v>29.999999999999996</v>
      </c>
      <c r="BI50" s="52">
        <v>53.999999999999993</v>
      </c>
      <c r="BJ50" s="52">
        <v>50.000000000000007</v>
      </c>
      <c r="BK50" s="52">
        <v>29.999999999999996</v>
      </c>
      <c r="BL50" s="52">
        <v>54</v>
      </c>
      <c r="BM50" s="52">
        <v>33.999999999999986</v>
      </c>
      <c r="BN50" s="52">
        <v>31.000000000000004</v>
      </c>
      <c r="BO50" s="52">
        <v>34</v>
      </c>
      <c r="BP50" s="52">
        <v>30.999999999999996</v>
      </c>
      <c r="BQ50" s="52">
        <v>30</v>
      </c>
      <c r="BR50" s="52">
        <v>52.000000000000014</v>
      </c>
      <c r="BS50" s="52">
        <v>34</v>
      </c>
      <c r="BT50" s="52">
        <v>30</v>
      </c>
      <c r="BU50" s="52">
        <v>56.428571428571409</v>
      </c>
      <c r="BV50" s="52">
        <v>30.999999999999993</v>
      </c>
      <c r="BW50" s="52">
        <v>29.999999999999996</v>
      </c>
    </row>
    <row r="51" spans="1:75" x14ac:dyDescent="0.3">
      <c r="A51" s="8" t="s">
        <v>102</v>
      </c>
      <c r="B51" s="8" t="s">
        <v>10</v>
      </c>
      <c r="C51" s="8" t="s">
        <v>110</v>
      </c>
      <c r="D51" s="52">
        <v>52.000000000000007</v>
      </c>
      <c r="E51" s="52">
        <v>34</v>
      </c>
      <c r="F51" s="52">
        <v>30.999999999999993</v>
      </c>
      <c r="G51" s="52">
        <v>58.888888888888829</v>
      </c>
      <c r="H51" s="52">
        <v>31.000000000000004</v>
      </c>
      <c r="I51" s="52">
        <v>30.999999999999996</v>
      </c>
      <c r="J51" s="52">
        <v>50.000000000000014</v>
      </c>
      <c r="K51" s="52">
        <v>34</v>
      </c>
      <c r="L51" s="52">
        <v>30.999999999999993</v>
      </c>
      <c r="M51" s="52">
        <v>63.999999999999986</v>
      </c>
      <c r="N51" s="52">
        <v>31.000000000000004</v>
      </c>
      <c r="O51" s="52">
        <v>30.999999999999993</v>
      </c>
      <c r="P51" s="52">
        <v>54</v>
      </c>
      <c r="Q51" s="52">
        <v>34</v>
      </c>
      <c r="R51" s="52">
        <v>30.999999999999989</v>
      </c>
      <c r="S51" s="52">
        <v>54.000000000000007</v>
      </c>
      <c r="T51" s="52">
        <v>31.000000000000004</v>
      </c>
      <c r="U51" s="52">
        <v>30</v>
      </c>
      <c r="V51" s="52">
        <v>30.999999999999996</v>
      </c>
      <c r="W51" s="52">
        <v>50.000000000000007</v>
      </c>
      <c r="X51" s="52">
        <v>30.999999999999993</v>
      </c>
      <c r="Y51" s="52">
        <v>106.96969696969698</v>
      </c>
      <c r="Z51" s="52">
        <v>60.909090909090921</v>
      </c>
      <c r="AA51" s="52">
        <v>30.999999999999996</v>
      </c>
      <c r="AB51" s="52">
        <v>49.999999999999993</v>
      </c>
      <c r="AC51" s="52">
        <v>50.000000000000007</v>
      </c>
      <c r="AD51" s="52">
        <v>30.999999999999993</v>
      </c>
      <c r="AE51" s="52">
        <v>67.037037037037038</v>
      </c>
      <c r="AF51" s="52">
        <v>64.529914529914549</v>
      </c>
      <c r="AG51" s="52">
        <v>30.999999999999996</v>
      </c>
      <c r="AH51" s="52">
        <v>34</v>
      </c>
      <c r="AI51" s="52">
        <v>34</v>
      </c>
      <c r="AJ51" s="52">
        <v>30.999999999999993</v>
      </c>
      <c r="AK51" s="52">
        <v>116.22222222222224</v>
      </c>
      <c r="AL51" s="52">
        <v>100.66666666666669</v>
      </c>
      <c r="AM51" s="52">
        <v>30.999999999999993</v>
      </c>
      <c r="AN51" s="52">
        <v>53.999999999999993</v>
      </c>
      <c r="AO51" s="52">
        <v>50.000000000000007</v>
      </c>
      <c r="AP51" s="52">
        <v>31.000000000000004</v>
      </c>
      <c r="AQ51" s="52">
        <v>53.999999999999972</v>
      </c>
      <c r="AR51" s="52">
        <v>50.000000000000007</v>
      </c>
      <c r="AS51" s="52">
        <v>31.000000000000004</v>
      </c>
      <c r="AT51" s="52">
        <v>53.999999999999993</v>
      </c>
      <c r="AU51" s="52">
        <v>54</v>
      </c>
      <c r="AV51" s="52">
        <v>0</v>
      </c>
      <c r="AW51" s="52">
        <v>53.999999999999993</v>
      </c>
      <c r="AX51" s="52">
        <v>52.000000000000007</v>
      </c>
      <c r="AY51" s="52">
        <v>106.77777777777779</v>
      </c>
      <c r="AZ51" s="52">
        <v>54</v>
      </c>
      <c r="BA51" s="52">
        <v>53.999999999999993</v>
      </c>
      <c r="BB51" s="52">
        <v>0</v>
      </c>
      <c r="BC51" s="52">
        <v>53.999999999999993</v>
      </c>
      <c r="BD51" s="52">
        <v>31.000000000000007</v>
      </c>
      <c r="BE51" s="52">
        <v>85.249999999999986</v>
      </c>
      <c r="BF51" s="52">
        <v>53.999999999999993</v>
      </c>
      <c r="BG51" s="52">
        <v>54</v>
      </c>
      <c r="BH51" s="52">
        <v>29.999999999999996</v>
      </c>
      <c r="BI51" s="52">
        <v>53.999999999999993</v>
      </c>
      <c r="BJ51" s="52">
        <v>50.000000000000007</v>
      </c>
      <c r="BK51" s="52">
        <v>29.999999999999996</v>
      </c>
      <c r="BL51" s="52">
        <v>54</v>
      </c>
      <c r="BM51" s="52">
        <v>33.999999999999993</v>
      </c>
      <c r="BN51" s="52">
        <v>31.000000000000004</v>
      </c>
      <c r="BO51" s="52">
        <v>33.999999999999993</v>
      </c>
      <c r="BP51" s="52">
        <v>30.999999999999996</v>
      </c>
      <c r="BQ51" s="52">
        <v>30</v>
      </c>
      <c r="BR51" s="52">
        <v>52.000000000000014</v>
      </c>
      <c r="BS51" s="52">
        <v>34</v>
      </c>
      <c r="BT51" s="52">
        <v>30</v>
      </c>
      <c r="BU51" s="52">
        <v>56.428571428571381</v>
      </c>
      <c r="BV51" s="52">
        <v>30.999999999999993</v>
      </c>
      <c r="BW51" s="52">
        <v>29.999999999999996</v>
      </c>
    </row>
    <row r="52" spans="1:75" x14ac:dyDescent="0.3">
      <c r="A52" s="8" t="s">
        <v>102</v>
      </c>
      <c r="B52" s="8" t="s">
        <v>10</v>
      </c>
      <c r="C52" s="8" t="s">
        <v>111</v>
      </c>
      <c r="D52" s="52">
        <v>52.000000000000007</v>
      </c>
      <c r="E52" s="52">
        <v>34</v>
      </c>
      <c r="F52" s="52">
        <v>30.999999999999993</v>
      </c>
      <c r="G52" s="52">
        <v>58.888888888888829</v>
      </c>
      <c r="H52" s="52">
        <v>31.000000000000004</v>
      </c>
      <c r="I52" s="52">
        <v>30.999999999999996</v>
      </c>
      <c r="J52" s="52">
        <v>50.000000000000007</v>
      </c>
      <c r="K52" s="52">
        <v>34</v>
      </c>
      <c r="L52" s="52">
        <v>30.999999999999993</v>
      </c>
      <c r="M52" s="52">
        <v>63.999999999999986</v>
      </c>
      <c r="N52" s="52">
        <v>30.999999999999993</v>
      </c>
      <c r="O52" s="52">
        <v>30.999999999999996</v>
      </c>
      <c r="P52" s="52">
        <v>54</v>
      </c>
      <c r="Q52" s="52">
        <v>34</v>
      </c>
      <c r="R52" s="52">
        <v>30.999999999999989</v>
      </c>
      <c r="S52" s="52">
        <v>54.000000000000007</v>
      </c>
      <c r="T52" s="52">
        <v>30.999999999999993</v>
      </c>
      <c r="U52" s="52">
        <v>30</v>
      </c>
      <c r="V52" s="52">
        <v>31.000000000000004</v>
      </c>
      <c r="W52" s="52">
        <v>49.999999999999993</v>
      </c>
      <c r="X52" s="52">
        <v>30.999999999999993</v>
      </c>
      <c r="Y52" s="52">
        <v>106.96969696969698</v>
      </c>
      <c r="Z52" s="52">
        <v>60.909090909090921</v>
      </c>
      <c r="AA52" s="52">
        <v>30.999999999999993</v>
      </c>
      <c r="AB52" s="52">
        <v>50.000000000000007</v>
      </c>
      <c r="AC52" s="52">
        <v>49.999999999999993</v>
      </c>
      <c r="AD52" s="52">
        <v>30.999999999999993</v>
      </c>
      <c r="AE52" s="52">
        <v>67.037037037037038</v>
      </c>
      <c r="AF52" s="52">
        <v>64.529914529914549</v>
      </c>
      <c r="AG52" s="52">
        <v>30.999999999999996</v>
      </c>
      <c r="AH52" s="52">
        <v>34</v>
      </c>
      <c r="AI52" s="52">
        <v>34</v>
      </c>
      <c r="AJ52" s="52">
        <v>30.999999999999993</v>
      </c>
      <c r="AK52" s="52">
        <v>116.22222222222224</v>
      </c>
      <c r="AL52" s="52">
        <v>100.66666666666669</v>
      </c>
      <c r="AM52" s="52">
        <v>30.999999999999993</v>
      </c>
      <c r="AN52" s="52">
        <v>53.999999999999993</v>
      </c>
      <c r="AO52" s="52">
        <v>50.000000000000007</v>
      </c>
      <c r="AP52" s="52">
        <v>31.000000000000004</v>
      </c>
      <c r="AQ52" s="52">
        <v>53.999999999999972</v>
      </c>
      <c r="AR52" s="52">
        <v>50.000000000000007</v>
      </c>
      <c r="AS52" s="52">
        <v>31.000000000000007</v>
      </c>
      <c r="AT52" s="52">
        <v>53.999999999999993</v>
      </c>
      <c r="AU52" s="52">
        <v>54</v>
      </c>
      <c r="AV52" s="52">
        <v>0</v>
      </c>
      <c r="AW52" s="52">
        <v>53.999999999999993</v>
      </c>
      <c r="AX52" s="52">
        <v>52</v>
      </c>
      <c r="AY52" s="52">
        <v>106.77777777777779</v>
      </c>
      <c r="AZ52" s="52">
        <v>54</v>
      </c>
      <c r="BA52" s="52">
        <v>53.999999999999993</v>
      </c>
      <c r="BB52" s="52">
        <v>0</v>
      </c>
      <c r="BC52" s="52">
        <v>53.999999999999993</v>
      </c>
      <c r="BD52" s="52">
        <v>31.000000000000007</v>
      </c>
      <c r="BE52" s="52">
        <v>85.249999999999986</v>
      </c>
      <c r="BF52" s="52">
        <v>53.999999999999993</v>
      </c>
      <c r="BG52" s="52">
        <v>54</v>
      </c>
      <c r="BH52" s="52">
        <v>29.999999999999996</v>
      </c>
      <c r="BI52" s="52">
        <v>53.999999999999993</v>
      </c>
      <c r="BJ52" s="52">
        <v>50.000000000000007</v>
      </c>
      <c r="BK52" s="52">
        <v>30</v>
      </c>
      <c r="BL52" s="52">
        <v>54</v>
      </c>
      <c r="BM52" s="52">
        <v>34</v>
      </c>
      <c r="BN52" s="52">
        <v>30.999999999999996</v>
      </c>
      <c r="BO52" s="52">
        <v>33.999999999999993</v>
      </c>
      <c r="BP52" s="52">
        <v>30.999999999999996</v>
      </c>
      <c r="BQ52" s="52">
        <v>30.000000000000011</v>
      </c>
      <c r="BR52" s="52">
        <v>52.000000000000014</v>
      </c>
      <c r="BS52" s="52">
        <v>34</v>
      </c>
      <c r="BT52" s="52">
        <v>30.000000000000004</v>
      </c>
      <c r="BU52" s="52">
        <v>56.428571428571381</v>
      </c>
      <c r="BV52" s="52">
        <v>30.999999999999993</v>
      </c>
      <c r="BW52" s="52">
        <v>30.000000000000004</v>
      </c>
    </row>
    <row r="53" spans="1:75" x14ac:dyDescent="0.3">
      <c r="A53" s="8" t="s">
        <v>102</v>
      </c>
      <c r="B53" s="8" t="s">
        <v>10</v>
      </c>
      <c r="C53" s="8" t="s">
        <v>112</v>
      </c>
      <c r="D53" s="52">
        <v>52.000000000000007</v>
      </c>
      <c r="E53" s="52">
        <v>34</v>
      </c>
      <c r="F53" s="52">
        <v>30.999999999999993</v>
      </c>
      <c r="G53" s="52">
        <v>58.888888888888829</v>
      </c>
      <c r="H53" s="52">
        <v>31.000000000000004</v>
      </c>
      <c r="I53" s="52">
        <v>30.999999999999996</v>
      </c>
      <c r="J53" s="52">
        <v>50.000000000000007</v>
      </c>
      <c r="K53" s="52">
        <v>34</v>
      </c>
      <c r="L53" s="52">
        <v>30.999999999999993</v>
      </c>
      <c r="M53" s="52">
        <v>63.999999999999986</v>
      </c>
      <c r="N53" s="52">
        <v>30.999999999999993</v>
      </c>
      <c r="O53" s="52">
        <v>30.999999999999996</v>
      </c>
      <c r="P53" s="52">
        <v>54</v>
      </c>
      <c r="Q53" s="52">
        <v>34</v>
      </c>
      <c r="R53" s="52">
        <v>30.999999999999989</v>
      </c>
      <c r="S53" s="52">
        <v>54.000000000000007</v>
      </c>
      <c r="T53" s="52">
        <v>30.999999999999993</v>
      </c>
      <c r="U53" s="52">
        <v>30</v>
      </c>
      <c r="V53" s="52">
        <v>31.000000000000004</v>
      </c>
      <c r="W53" s="52">
        <v>49.999999999999993</v>
      </c>
      <c r="X53" s="52">
        <v>30.999999999999993</v>
      </c>
      <c r="Y53" s="52">
        <v>106.96969696969698</v>
      </c>
      <c r="Z53" s="52">
        <v>60.909090909090921</v>
      </c>
      <c r="AA53" s="52">
        <v>30.999999999999993</v>
      </c>
      <c r="AB53" s="52">
        <v>50.000000000000007</v>
      </c>
      <c r="AC53" s="52">
        <v>49.999999999999993</v>
      </c>
      <c r="AD53" s="52">
        <v>30.999999999999993</v>
      </c>
      <c r="AE53" s="52">
        <v>67.037037037037038</v>
      </c>
      <c r="AF53" s="52">
        <v>64.529914529914549</v>
      </c>
      <c r="AG53" s="52">
        <v>30.999999999999996</v>
      </c>
      <c r="AH53" s="52">
        <v>34</v>
      </c>
      <c r="AI53" s="52">
        <v>34</v>
      </c>
      <c r="AJ53" s="52">
        <v>30.999999999999993</v>
      </c>
      <c r="AK53" s="52">
        <v>116.22222222222224</v>
      </c>
      <c r="AL53" s="52">
        <v>100.66666666666669</v>
      </c>
      <c r="AM53" s="52">
        <v>30.999999999999993</v>
      </c>
      <c r="AN53" s="52">
        <v>53.999999999999993</v>
      </c>
      <c r="AO53" s="52">
        <v>50.000000000000007</v>
      </c>
      <c r="AP53" s="52">
        <v>31.000000000000004</v>
      </c>
      <c r="AQ53" s="52">
        <v>53.999999999999972</v>
      </c>
      <c r="AR53" s="52">
        <v>50.000000000000007</v>
      </c>
      <c r="AS53" s="52">
        <v>31.000000000000007</v>
      </c>
      <c r="AT53" s="52">
        <v>53.999999999999993</v>
      </c>
      <c r="AU53" s="52">
        <v>54</v>
      </c>
      <c r="AV53" s="52">
        <v>0</v>
      </c>
      <c r="AW53" s="52">
        <v>53.999999999999993</v>
      </c>
      <c r="AX53" s="52">
        <v>52</v>
      </c>
      <c r="AY53" s="52">
        <v>106.77777777777779</v>
      </c>
      <c r="AZ53" s="52">
        <v>54</v>
      </c>
      <c r="BA53" s="52">
        <v>53.999999999999993</v>
      </c>
      <c r="BB53" s="52">
        <v>0</v>
      </c>
      <c r="BC53" s="52">
        <v>53.999999999999993</v>
      </c>
      <c r="BD53" s="52">
        <v>31.000000000000007</v>
      </c>
      <c r="BE53" s="52">
        <v>85.249999999999986</v>
      </c>
      <c r="BF53" s="52">
        <v>53.999999999999993</v>
      </c>
      <c r="BG53" s="52">
        <v>54</v>
      </c>
      <c r="BH53" s="52">
        <v>29.999999999999996</v>
      </c>
      <c r="BI53" s="52">
        <v>53.999999999999993</v>
      </c>
      <c r="BJ53" s="52">
        <v>50.000000000000007</v>
      </c>
      <c r="BK53" s="52">
        <v>30</v>
      </c>
      <c r="BL53" s="52">
        <v>54</v>
      </c>
      <c r="BM53" s="52">
        <v>34</v>
      </c>
      <c r="BN53" s="52">
        <v>30.999999999999996</v>
      </c>
      <c r="BO53" s="52">
        <v>33.999999999999993</v>
      </c>
      <c r="BP53" s="52">
        <v>30.999999999999996</v>
      </c>
      <c r="BQ53" s="52">
        <v>30.000000000000011</v>
      </c>
      <c r="BR53" s="52">
        <v>52.000000000000014</v>
      </c>
      <c r="BS53" s="52">
        <v>34</v>
      </c>
      <c r="BT53" s="52">
        <v>30.000000000000004</v>
      </c>
      <c r="BU53" s="52">
        <v>56.428571428571381</v>
      </c>
      <c r="BV53" s="52">
        <v>30.999999999999993</v>
      </c>
      <c r="BW53" s="52">
        <v>30.000000000000004</v>
      </c>
    </row>
    <row r="54" spans="1:75" x14ac:dyDescent="0.3">
      <c r="A54" s="8" t="s">
        <v>102</v>
      </c>
      <c r="B54" s="8" t="s">
        <v>10</v>
      </c>
      <c r="C54" s="8" t="s">
        <v>115</v>
      </c>
      <c r="D54" s="52">
        <v>52.000000000000007</v>
      </c>
      <c r="E54" s="52">
        <v>34</v>
      </c>
      <c r="F54" s="52">
        <v>30.999999999999993</v>
      </c>
      <c r="G54" s="52">
        <v>58.888888888888829</v>
      </c>
      <c r="H54" s="52">
        <v>31.000000000000007</v>
      </c>
      <c r="I54" s="52">
        <v>30.999999999999996</v>
      </c>
      <c r="J54" s="52">
        <v>50.000000000000014</v>
      </c>
      <c r="K54" s="52">
        <v>34</v>
      </c>
      <c r="L54" s="52">
        <v>30.999999999999993</v>
      </c>
      <c r="M54" s="52">
        <v>63.999999999999986</v>
      </c>
      <c r="N54" s="52">
        <v>31.000000000000007</v>
      </c>
      <c r="O54" s="52">
        <v>30.999999999999993</v>
      </c>
      <c r="P54" s="52">
        <v>54</v>
      </c>
      <c r="Q54" s="52">
        <v>34.000000000000007</v>
      </c>
      <c r="R54" s="52">
        <v>30.999999999999989</v>
      </c>
      <c r="S54" s="52">
        <v>54.000000000000007</v>
      </c>
      <c r="T54" s="52">
        <v>31.000000000000007</v>
      </c>
      <c r="U54" s="52">
        <v>29.999999999999993</v>
      </c>
      <c r="V54" s="52">
        <v>30.999999999999993</v>
      </c>
      <c r="W54" s="52">
        <v>50.000000000000007</v>
      </c>
      <c r="X54" s="52">
        <v>30.999999999999993</v>
      </c>
      <c r="Y54" s="52">
        <v>106.96969696969698</v>
      </c>
      <c r="Z54" s="52">
        <v>60.909090909090921</v>
      </c>
      <c r="AA54" s="52">
        <v>30.999999999999996</v>
      </c>
      <c r="AB54" s="52">
        <v>49.999999999999993</v>
      </c>
      <c r="AC54" s="52">
        <v>50.000000000000007</v>
      </c>
      <c r="AD54" s="52">
        <v>30.999999999999993</v>
      </c>
      <c r="AE54" s="52">
        <v>67.037037037037038</v>
      </c>
      <c r="AF54" s="52">
        <v>64.529914529914549</v>
      </c>
      <c r="AG54" s="52">
        <v>30.999999999999996</v>
      </c>
      <c r="AH54" s="52">
        <v>34</v>
      </c>
      <c r="AI54" s="52">
        <v>34</v>
      </c>
      <c r="AJ54" s="52">
        <v>30.999999999999993</v>
      </c>
      <c r="AK54" s="52">
        <v>116.22222222222224</v>
      </c>
      <c r="AL54" s="52">
        <v>100.66666666666669</v>
      </c>
      <c r="AM54" s="52">
        <v>30.999999999999993</v>
      </c>
      <c r="AN54" s="52">
        <v>53.999999999999993</v>
      </c>
      <c r="AO54" s="52">
        <v>50.000000000000007</v>
      </c>
      <c r="AP54" s="52">
        <v>31.000000000000004</v>
      </c>
      <c r="AQ54" s="52">
        <v>53.999999999999972</v>
      </c>
      <c r="AR54" s="52">
        <v>50.000000000000007</v>
      </c>
      <c r="AS54" s="52">
        <v>31.000000000000007</v>
      </c>
      <c r="AT54" s="52">
        <v>53.999999999999993</v>
      </c>
      <c r="AU54" s="52">
        <v>54</v>
      </c>
      <c r="AV54" s="52">
        <v>0</v>
      </c>
      <c r="AW54" s="52">
        <v>53.999999999999993</v>
      </c>
      <c r="AX54" s="52">
        <v>52.000000000000014</v>
      </c>
      <c r="AY54" s="52">
        <v>106.7777777777778</v>
      </c>
      <c r="AZ54" s="52">
        <v>54</v>
      </c>
      <c r="BA54" s="52">
        <v>53.999999999999993</v>
      </c>
      <c r="BB54" s="52">
        <v>0</v>
      </c>
      <c r="BC54" s="52">
        <v>53.999999999999993</v>
      </c>
      <c r="BD54" s="52">
        <v>31.000000000000007</v>
      </c>
      <c r="BE54" s="52">
        <v>85.25</v>
      </c>
      <c r="BF54" s="52">
        <v>53.999999999999993</v>
      </c>
      <c r="BG54" s="52">
        <v>54</v>
      </c>
      <c r="BH54" s="52">
        <v>29.999999999999996</v>
      </c>
      <c r="BI54" s="52">
        <v>53.999999999999993</v>
      </c>
      <c r="BJ54" s="52">
        <v>50.000000000000007</v>
      </c>
      <c r="BK54" s="52">
        <v>29.999999999999996</v>
      </c>
      <c r="BL54" s="52">
        <v>53.999999999999972</v>
      </c>
      <c r="BM54" s="52">
        <v>33.999999999999986</v>
      </c>
      <c r="BN54" s="52">
        <v>31.000000000000004</v>
      </c>
      <c r="BO54" s="52">
        <v>34</v>
      </c>
      <c r="BP54" s="52">
        <v>30.999999999999996</v>
      </c>
      <c r="BQ54" s="52">
        <v>30</v>
      </c>
      <c r="BR54" s="52">
        <v>52.000000000000014</v>
      </c>
      <c r="BS54" s="52">
        <v>34</v>
      </c>
      <c r="BT54" s="52">
        <v>30</v>
      </c>
      <c r="BU54" s="52">
        <v>56.428571428571381</v>
      </c>
      <c r="BV54" s="52">
        <v>31.000000000000004</v>
      </c>
      <c r="BW54" s="52">
        <v>29.999999999999996</v>
      </c>
    </row>
    <row r="55" spans="1:75" x14ac:dyDescent="0.3">
      <c r="A55" s="8" t="s">
        <v>102</v>
      </c>
      <c r="B55" s="8" t="s">
        <v>10</v>
      </c>
      <c r="C55" s="8" t="s">
        <v>116</v>
      </c>
      <c r="D55" s="52">
        <v>52.000000000000007</v>
      </c>
      <c r="E55" s="52">
        <v>34</v>
      </c>
      <c r="F55" s="52">
        <v>30.999999999999993</v>
      </c>
      <c r="G55" s="52">
        <v>58.888888888888829</v>
      </c>
      <c r="H55" s="52">
        <v>31.000000000000007</v>
      </c>
      <c r="I55" s="52">
        <v>30.999999999999996</v>
      </c>
      <c r="J55" s="52">
        <v>50.000000000000014</v>
      </c>
      <c r="K55" s="52">
        <v>34</v>
      </c>
      <c r="L55" s="52">
        <v>30.999999999999993</v>
      </c>
      <c r="M55" s="52">
        <v>63.999999999999986</v>
      </c>
      <c r="N55" s="52">
        <v>31.000000000000007</v>
      </c>
      <c r="O55" s="52">
        <v>30.999999999999996</v>
      </c>
      <c r="P55" s="52">
        <v>54</v>
      </c>
      <c r="Q55" s="52">
        <v>34.000000000000007</v>
      </c>
      <c r="R55" s="52">
        <v>30.999999999999989</v>
      </c>
      <c r="S55" s="52">
        <v>54.000000000000007</v>
      </c>
      <c r="T55" s="52">
        <v>31.000000000000007</v>
      </c>
      <c r="U55" s="52">
        <v>29.999999999999993</v>
      </c>
      <c r="V55" s="52">
        <v>30.999999999999993</v>
      </c>
      <c r="W55" s="52">
        <v>50.000000000000007</v>
      </c>
      <c r="X55" s="52">
        <v>30.999999999999993</v>
      </c>
      <c r="Y55" s="52">
        <v>106.96969696969698</v>
      </c>
      <c r="Z55" s="52">
        <v>60.909090909090921</v>
      </c>
      <c r="AA55" s="52">
        <v>30.999999999999996</v>
      </c>
      <c r="AB55" s="52">
        <v>49.999999999999993</v>
      </c>
      <c r="AC55" s="52">
        <v>50.000000000000007</v>
      </c>
      <c r="AD55" s="52">
        <v>30.999999999999993</v>
      </c>
      <c r="AE55" s="52">
        <v>67.037037037037038</v>
      </c>
      <c r="AF55" s="52">
        <v>64.529914529914549</v>
      </c>
      <c r="AG55" s="52">
        <v>30.999999999999996</v>
      </c>
      <c r="AH55" s="52">
        <v>34</v>
      </c>
      <c r="AI55" s="52">
        <v>34</v>
      </c>
      <c r="AJ55" s="52">
        <v>30.999999999999993</v>
      </c>
      <c r="AK55" s="52">
        <v>116.22222222222224</v>
      </c>
      <c r="AL55" s="52">
        <v>100.66666666666669</v>
      </c>
      <c r="AM55" s="52">
        <v>30.999999999999993</v>
      </c>
      <c r="AN55" s="52">
        <v>53.999999999999993</v>
      </c>
      <c r="AO55" s="52">
        <v>50.000000000000007</v>
      </c>
      <c r="AP55" s="52">
        <v>31.000000000000004</v>
      </c>
      <c r="AQ55" s="52">
        <v>53.999999999999972</v>
      </c>
      <c r="AR55" s="52">
        <v>50.000000000000007</v>
      </c>
      <c r="AS55" s="52">
        <v>31.000000000000007</v>
      </c>
      <c r="AT55" s="52">
        <v>53.999999999999993</v>
      </c>
      <c r="AU55" s="52">
        <v>54</v>
      </c>
      <c r="AV55" s="52">
        <v>0</v>
      </c>
      <c r="AW55" s="52">
        <v>53.999999999999993</v>
      </c>
      <c r="AX55" s="52">
        <v>52.000000000000014</v>
      </c>
      <c r="AY55" s="52">
        <v>106.7777777777778</v>
      </c>
      <c r="AZ55" s="52">
        <v>54</v>
      </c>
      <c r="BA55" s="52">
        <v>53.999999999999993</v>
      </c>
      <c r="BB55" s="52">
        <v>0</v>
      </c>
      <c r="BC55" s="52">
        <v>53.999999999999993</v>
      </c>
      <c r="BD55" s="52">
        <v>31.000000000000007</v>
      </c>
      <c r="BE55" s="52">
        <v>85.25</v>
      </c>
      <c r="BF55" s="52">
        <v>53.999999999999993</v>
      </c>
      <c r="BG55" s="52">
        <v>54</v>
      </c>
      <c r="BH55" s="52">
        <v>29.999999999999996</v>
      </c>
      <c r="BI55" s="52">
        <v>53.999999999999993</v>
      </c>
      <c r="BJ55" s="52">
        <v>50.000000000000007</v>
      </c>
      <c r="BK55" s="52">
        <v>29.999999999999996</v>
      </c>
      <c r="BL55" s="52">
        <v>53.999999999999972</v>
      </c>
      <c r="BM55" s="52">
        <v>34</v>
      </c>
      <c r="BN55" s="52">
        <v>31.000000000000004</v>
      </c>
      <c r="BO55" s="52">
        <v>33.999999999999979</v>
      </c>
      <c r="BP55" s="52">
        <v>30.999999999999996</v>
      </c>
      <c r="BQ55" s="52">
        <v>30</v>
      </c>
      <c r="BR55" s="52">
        <v>52.000000000000014</v>
      </c>
      <c r="BS55" s="52">
        <v>34</v>
      </c>
      <c r="BT55" s="52">
        <v>30</v>
      </c>
      <c r="BU55" s="52">
        <v>56.428571428571381</v>
      </c>
      <c r="BV55" s="52">
        <v>31.000000000000004</v>
      </c>
      <c r="BW55" s="52">
        <v>29.999999999999996</v>
      </c>
    </row>
    <row r="56" spans="1:75" x14ac:dyDescent="0.3">
      <c r="A56" s="8" t="s">
        <v>102</v>
      </c>
      <c r="B56" s="8" t="s">
        <v>10</v>
      </c>
      <c r="C56" s="8" t="s">
        <v>117</v>
      </c>
      <c r="D56" s="52">
        <v>52.000000000000007</v>
      </c>
      <c r="E56" s="52">
        <v>34</v>
      </c>
      <c r="F56" s="52">
        <v>30.999999999999993</v>
      </c>
      <c r="G56" s="52">
        <v>58.888888888888829</v>
      </c>
      <c r="H56" s="52">
        <v>31.000000000000007</v>
      </c>
      <c r="I56" s="52">
        <v>30.999999999999996</v>
      </c>
      <c r="J56" s="52">
        <v>50.000000000000014</v>
      </c>
      <c r="K56" s="52">
        <v>34</v>
      </c>
      <c r="L56" s="52">
        <v>30.999999999999993</v>
      </c>
      <c r="M56" s="52">
        <v>63.999999999999986</v>
      </c>
      <c r="N56" s="52">
        <v>31.000000000000007</v>
      </c>
      <c r="O56" s="52">
        <v>30.999999999999996</v>
      </c>
      <c r="P56" s="52">
        <v>54</v>
      </c>
      <c r="Q56" s="52">
        <v>34.000000000000007</v>
      </c>
      <c r="R56" s="52">
        <v>30.999999999999989</v>
      </c>
      <c r="S56" s="52">
        <v>54.000000000000007</v>
      </c>
      <c r="T56" s="52">
        <v>31.000000000000007</v>
      </c>
      <c r="U56" s="52">
        <v>29.999999999999993</v>
      </c>
      <c r="V56" s="52">
        <v>30.999999999999993</v>
      </c>
      <c r="W56" s="52">
        <v>50.000000000000007</v>
      </c>
      <c r="X56" s="52">
        <v>30.999999999999993</v>
      </c>
      <c r="Y56" s="52">
        <v>106.96969696969698</v>
      </c>
      <c r="Z56" s="52">
        <v>60.909090909090921</v>
      </c>
      <c r="AA56" s="52">
        <v>30.999999999999996</v>
      </c>
      <c r="AB56" s="52">
        <v>49.999999999999993</v>
      </c>
      <c r="AC56" s="52">
        <v>50.000000000000007</v>
      </c>
      <c r="AD56" s="52">
        <v>30.999999999999993</v>
      </c>
      <c r="AE56" s="52">
        <v>67.037037037037038</v>
      </c>
      <c r="AF56" s="52">
        <v>64.529914529914549</v>
      </c>
      <c r="AG56" s="52">
        <v>30.999999999999996</v>
      </c>
      <c r="AH56" s="52">
        <v>34</v>
      </c>
      <c r="AI56" s="52">
        <v>34</v>
      </c>
      <c r="AJ56" s="52">
        <v>30.999999999999993</v>
      </c>
      <c r="AK56" s="52">
        <v>116.22222222222224</v>
      </c>
      <c r="AL56" s="52">
        <v>100.66666666666669</v>
      </c>
      <c r="AM56" s="52">
        <v>30.999999999999993</v>
      </c>
      <c r="AN56" s="52">
        <v>53.999999999999993</v>
      </c>
      <c r="AO56" s="52">
        <v>50.000000000000007</v>
      </c>
      <c r="AP56" s="52">
        <v>31.000000000000004</v>
      </c>
      <c r="AQ56" s="52">
        <v>53.999999999999972</v>
      </c>
      <c r="AR56" s="52">
        <v>50.000000000000007</v>
      </c>
      <c r="AS56" s="52">
        <v>31.000000000000007</v>
      </c>
      <c r="AT56" s="52">
        <v>53.999999999999993</v>
      </c>
      <c r="AU56" s="52">
        <v>54</v>
      </c>
      <c r="AV56" s="52">
        <v>0</v>
      </c>
      <c r="AW56" s="52">
        <v>53.999999999999993</v>
      </c>
      <c r="AX56" s="52">
        <v>52.000000000000014</v>
      </c>
      <c r="AY56" s="52">
        <v>106.7777777777778</v>
      </c>
      <c r="AZ56" s="52">
        <v>54</v>
      </c>
      <c r="BA56" s="52">
        <v>53.999999999999993</v>
      </c>
      <c r="BB56" s="52">
        <v>0</v>
      </c>
      <c r="BC56" s="52">
        <v>53.999999999999993</v>
      </c>
      <c r="BD56" s="52">
        <v>31.000000000000007</v>
      </c>
      <c r="BE56" s="52">
        <v>85.25</v>
      </c>
      <c r="BF56" s="52">
        <v>53.999999999999993</v>
      </c>
      <c r="BG56" s="52">
        <v>54</v>
      </c>
      <c r="BH56" s="52">
        <v>29.999999999999996</v>
      </c>
      <c r="BI56" s="52">
        <v>53.999999999999993</v>
      </c>
      <c r="BJ56" s="52">
        <v>50.000000000000007</v>
      </c>
      <c r="BK56" s="52">
        <v>29.999999999999996</v>
      </c>
      <c r="BL56" s="52">
        <v>53.999999999999972</v>
      </c>
      <c r="BM56" s="52">
        <v>34</v>
      </c>
      <c r="BN56" s="52">
        <v>31.000000000000004</v>
      </c>
      <c r="BO56" s="52">
        <v>33.999999999999979</v>
      </c>
      <c r="BP56" s="52">
        <v>30.999999999999996</v>
      </c>
      <c r="BQ56" s="52">
        <v>30</v>
      </c>
      <c r="BR56" s="52">
        <v>52.000000000000014</v>
      </c>
      <c r="BS56" s="52">
        <v>34</v>
      </c>
      <c r="BT56" s="52">
        <v>30</v>
      </c>
      <c r="BU56" s="52">
        <v>56.428571428571381</v>
      </c>
      <c r="BV56" s="52">
        <v>31.000000000000004</v>
      </c>
      <c r="BW56" s="52">
        <v>29.999999999999996</v>
      </c>
    </row>
    <row r="57" spans="1:75" x14ac:dyDescent="0.3">
      <c r="A57" s="8" t="s">
        <v>102</v>
      </c>
      <c r="B57" s="8" t="s">
        <v>10</v>
      </c>
      <c r="C57" s="8" t="s">
        <v>118</v>
      </c>
      <c r="D57" s="52">
        <v>52.000000000000007</v>
      </c>
      <c r="E57" s="52">
        <v>34</v>
      </c>
      <c r="F57" s="52">
        <v>30.999999999999993</v>
      </c>
      <c r="G57" s="52">
        <v>58.888888888888829</v>
      </c>
      <c r="H57" s="52">
        <v>31.000000000000007</v>
      </c>
      <c r="I57" s="52">
        <v>30.999999999999996</v>
      </c>
      <c r="J57" s="52">
        <v>50.000000000000014</v>
      </c>
      <c r="K57" s="52">
        <v>34</v>
      </c>
      <c r="L57" s="52">
        <v>30.999999999999993</v>
      </c>
      <c r="M57" s="52">
        <v>63.999999999999986</v>
      </c>
      <c r="N57" s="52">
        <v>31.000000000000007</v>
      </c>
      <c r="O57" s="52">
        <v>30.999999999999996</v>
      </c>
      <c r="P57" s="52">
        <v>54</v>
      </c>
      <c r="Q57" s="52">
        <v>34.000000000000007</v>
      </c>
      <c r="R57" s="52">
        <v>30.999999999999989</v>
      </c>
      <c r="S57" s="52">
        <v>54.000000000000007</v>
      </c>
      <c r="T57" s="52">
        <v>31.000000000000007</v>
      </c>
      <c r="U57" s="52">
        <v>29.999999999999993</v>
      </c>
      <c r="V57" s="52">
        <v>30.999999999999993</v>
      </c>
      <c r="W57" s="52">
        <v>50.000000000000007</v>
      </c>
      <c r="X57" s="52">
        <v>30.999999999999993</v>
      </c>
      <c r="Y57" s="52">
        <v>106.96969696969698</v>
      </c>
      <c r="Z57" s="52">
        <v>60.909090909090921</v>
      </c>
      <c r="AA57" s="52">
        <v>30.999999999999996</v>
      </c>
      <c r="AB57" s="52">
        <v>49.999999999999993</v>
      </c>
      <c r="AC57" s="52">
        <v>50.000000000000007</v>
      </c>
      <c r="AD57" s="52">
        <v>30.999999999999993</v>
      </c>
      <c r="AE57" s="52">
        <v>67.037037037037038</v>
      </c>
      <c r="AF57" s="52">
        <v>64.529914529914549</v>
      </c>
      <c r="AG57" s="52">
        <v>30.999999999999996</v>
      </c>
      <c r="AH57" s="52">
        <v>34</v>
      </c>
      <c r="AI57" s="52">
        <v>34</v>
      </c>
      <c r="AJ57" s="52">
        <v>30.999999999999993</v>
      </c>
      <c r="AK57" s="52">
        <v>116.22222222222224</v>
      </c>
      <c r="AL57" s="52">
        <v>100.66666666666669</v>
      </c>
      <c r="AM57" s="52">
        <v>30.999999999999993</v>
      </c>
      <c r="AN57" s="52">
        <v>53.999999999999993</v>
      </c>
      <c r="AO57" s="52">
        <v>50.000000000000007</v>
      </c>
      <c r="AP57" s="52">
        <v>31.000000000000004</v>
      </c>
      <c r="AQ57" s="52">
        <v>53.999999999999972</v>
      </c>
      <c r="AR57" s="52">
        <v>50.000000000000007</v>
      </c>
      <c r="AS57" s="52">
        <v>31.000000000000007</v>
      </c>
      <c r="AT57" s="52">
        <v>53.999999999999993</v>
      </c>
      <c r="AU57" s="52">
        <v>54</v>
      </c>
      <c r="AV57" s="52">
        <v>0</v>
      </c>
      <c r="AW57" s="52">
        <v>53.999999999999993</v>
      </c>
      <c r="AX57" s="52">
        <v>52.000000000000014</v>
      </c>
      <c r="AY57" s="52">
        <v>106.7777777777778</v>
      </c>
      <c r="AZ57" s="52">
        <v>54</v>
      </c>
      <c r="BA57" s="52">
        <v>53.999999999999993</v>
      </c>
      <c r="BB57" s="52">
        <v>0</v>
      </c>
      <c r="BC57" s="52">
        <v>53.999999999999993</v>
      </c>
      <c r="BD57" s="52">
        <v>31.000000000000007</v>
      </c>
      <c r="BE57" s="52">
        <v>85.25</v>
      </c>
      <c r="BF57" s="52">
        <v>53.999999999999993</v>
      </c>
      <c r="BG57" s="52">
        <v>54</v>
      </c>
      <c r="BH57" s="52">
        <v>29.999999999999996</v>
      </c>
      <c r="BI57" s="52">
        <v>53.999999999999993</v>
      </c>
      <c r="BJ57" s="52">
        <v>50.000000000000007</v>
      </c>
      <c r="BK57" s="52">
        <v>29.999999999999996</v>
      </c>
      <c r="BL57" s="52">
        <v>53.999999999999972</v>
      </c>
      <c r="BM57" s="52">
        <v>34</v>
      </c>
      <c r="BN57" s="52">
        <v>31.000000000000004</v>
      </c>
      <c r="BO57" s="52">
        <v>33.999999999999979</v>
      </c>
      <c r="BP57" s="52">
        <v>30.999999999999996</v>
      </c>
      <c r="BQ57" s="52">
        <v>30</v>
      </c>
      <c r="BR57" s="52">
        <v>52.000000000000014</v>
      </c>
      <c r="BS57" s="52">
        <v>34</v>
      </c>
      <c r="BT57" s="52">
        <v>30</v>
      </c>
      <c r="BU57" s="52">
        <v>56.428571428571381</v>
      </c>
      <c r="BV57" s="52">
        <v>31.000000000000004</v>
      </c>
      <c r="BW57" s="52">
        <v>29.999999999999996</v>
      </c>
    </row>
    <row r="58" spans="1:75" x14ac:dyDescent="0.3">
      <c r="A58" s="8" t="s">
        <v>103</v>
      </c>
      <c r="B58" s="8" t="s">
        <v>8</v>
      </c>
      <c r="C58" s="8" t="s">
        <v>108</v>
      </c>
      <c r="D58" s="52">
        <v>52.000000000000007</v>
      </c>
      <c r="E58" s="52">
        <v>51.999999999999964</v>
      </c>
      <c r="F58" s="52">
        <v>30.999999999999975</v>
      </c>
      <c r="G58" s="52">
        <v>58.888888888888864</v>
      </c>
      <c r="H58" s="52">
        <v>49.999999999999993</v>
      </c>
      <c r="I58" s="52">
        <v>30.999999999999982</v>
      </c>
      <c r="J58" s="52">
        <v>53.999999999999986</v>
      </c>
      <c r="K58" s="52">
        <v>50</v>
      </c>
      <c r="L58" s="52">
        <v>30.999999999999989</v>
      </c>
      <c r="M58" s="52">
        <v>53.999999999999986</v>
      </c>
      <c r="N58" s="52">
        <v>49.999999999999993</v>
      </c>
      <c r="O58" s="52">
        <v>30.999999999999982</v>
      </c>
      <c r="P58" s="52">
        <v>53.999999999999986</v>
      </c>
      <c r="Q58" s="52">
        <v>52</v>
      </c>
      <c r="R58" s="52">
        <v>31.000000000000004</v>
      </c>
      <c r="S58" s="52">
        <v>54.000000000000036</v>
      </c>
      <c r="T58" s="52">
        <v>49.999999999999993</v>
      </c>
      <c r="U58" s="52">
        <v>31.000000000000007</v>
      </c>
      <c r="V58" s="52">
        <v>30.999999999999993</v>
      </c>
      <c r="W58" s="52">
        <v>50</v>
      </c>
      <c r="X58" s="52">
        <v>30.000000000000004</v>
      </c>
      <c r="Y58" s="52">
        <v>106.96969696969698</v>
      </c>
      <c r="Z58" s="52">
        <v>55.454545454545475</v>
      </c>
      <c r="AA58" s="52">
        <v>30.000000000000004</v>
      </c>
      <c r="AB58" s="52">
        <v>50</v>
      </c>
      <c r="AC58" s="52">
        <v>50</v>
      </c>
      <c r="AD58" s="52">
        <v>0</v>
      </c>
      <c r="AE58" s="52">
        <v>58.518518518518519</v>
      </c>
      <c r="AF58" s="52">
        <v>49.999999999999993</v>
      </c>
      <c r="AG58" s="52">
        <v>87.833333333333329</v>
      </c>
      <c r="AH58" s="52">
        <v>54.000000000000007</v>
      </c>
      <c r="AI58" s="52">
        <v>52.000000000000021</v>
      </c>
      <c r="AJ58" s="52">
        <v>30.999999999999996</v>
      </c>
      <c r="AK58" s="52">
        <v>53.999999999999993</v>
      </c>
      <c r="AL58" s="52">
        <v>49.999999999999993</v>
      </c>
      <c r="AM58" s="52">
        <v>30.999999999999996</v>
      </c>
      <c r="AN58" s="52">
        <v>53.999999999999993</v>
      </c>
      <c r="AO58" s="52">
        <v>52.000000000000014</v>
      </c>
      <c r="AP58" s="52">
        <v>0</v>
      </c>
      <c r="AQ58" s="52">
        <v>52.000000000000007</v>
      </c>
      <c r="AR58" s="52">
        <v>49.999999999999993</v>
      </c>
      <c r="AS58" s="52">
        <v>106.77777777777777</v>
      </c>
      <c r="AT58" s="52">
        <v>31.000000000000007</v>
      </c>
      <c r="AU58" s="52">
        <v>52.000000000000007</v>
      </c>
      <c r="AV58" s="52">
        <v>31.000000000000007</v>
      </c>
      <c r="AW58" s="52">
        <v>128.96296296296296</v>
      </c>
      <c r="AX58" s="52">
        <v>58.539682539682573</v>
      </c>
      <c r="AY58" s="52">
        <v>96.444444444444443</v>
      </c>
      <c r="AZ58" s="52">
        <v>66.999999999999972</v>
      </c>
      <c r="BA58" s="52">
        <v>54.000000000000007</v>
      </c>
      <c r="BB58" s="52">
        <v>31.000000000000007</v>
      </c>
      <c r="BC58" s="52">
        <v>54.000000000000007</v>
      </c>
      <c r="BD58" s="52">
        <v>50</v>
      </c>
      <c r="BE58" s="52">
        <v>39.250000000000007</v>
      </c>
      <c r="BF58" s="52">
        <v>51.999999999999986</v>
      </c>
      <c r="BG58" s="52">
        <v>54.000000000000007</v>
      </c>
      <c r="BH58" s="52">
        <v>29.999999999999996</v>
      </c>
      <c r="BI58" s="52">
        <v>58.88888888888885</v>
      </c>
      <c r="BJ58" s="52">
        <v>50</v>
      </c>
      <c r="BK58" s="52">
        <v>29.999999999999996</v>
      </c>
      <c r="BL58" s="52">
        <v>52.000000000000028</v>
      </c>
      <c r="BM58" s="52">
        <v>50.000000000000014</v>
      </c>
      <c r="BN58" s="52">
        <v>30.999999999999986</v>
      </c>
      <c r="BO58" s="52">
        <v>57.111111111111072</v>
      </c>
      <c r="BP58" s="52">
        <v>50.000000000000007</v>
      </c>
      <c r="BQ58" s="52">
        <v>31.000000000000004</v>
      </c>
      <c r="BR58" s="52">
        <v>52.000000000000007</v>
      </c>
      <c r="BS58" s="52">
        <v>50</v>
      </c>
      <c r="BT58" s="52">
        <v>30.999999999999989</v>
      </c>
      <c r="BU58" s="52">
        <v>56.428571428571381</v>
      </c>
      <c r="BV58" s="52">
        <v>50.000000000000014</v>
      </c>
      <c r="BW58" s="52">
        <v>30.999999999999986</v>
      </c>
    </row>
    <row r="59" spans="1:75" x14ac:dyDescent="0.3">
      <c r="A59" s="8" t="s">
        <v>103</v>
      </c>
      <c r="B59" s="8" t="s">
        <v>8</v>
      </c>
      <c r="C59" s="8" t="s">
        <v>109</v>
      </c>
      <c r="D59" s="52">
        <v>52.000000000000007</v>
      </c>
      <c r="E59" s="52">
        <v>52.000000000000007</v>
      </c>
      <c r="F59" s="52">
        <v>30.999999999999996</v>
      </c>
      <c r="G59" s="52">
        <v>58.888888888888864</v>
      </c>
      <c r="H59" s="52">
        <v>49.999999999999993</v>
      </c>
      <c r="I59" s="52">
        <v>31</v>
      </c>
      <c r="J59" s="52">
        <v>53.999999999999986</v>
      </c>
      <c r="K59" s="52">
        <v>49.999999999999993</v>
      </c>
      <c r="L59" s="52">
        <v>30.999999999999996</v>
      </c>
      <c r="M59" s="52">
        <v>53.999999999999986</v>
      </c>
      <c r="N59" s="52">
        <v>49.999999999999993</v>
      </c>
      <c r="O59" s="52">
        <v>31</v>
      </c>
      <c r="P59" s="52">
        <v>53.999999999999986</v>
      </c>
      <c r="Q59" s="52">
        <v>52.000000000000007</v>
      </c>
      <c r="R59" s="52">
        <v>31.000000000000004</v>
      </c>
      <c r="S59" s="52">
        <v>54.000000000000036</v>
      </c>
      <c r="T59" s="52">
        <v>49.999999999999993</v>
      </c>
      <c r="U59" s="52">
        <v>31.000000000000007</v>
      </c>
      <c r="V59" s="52">
        <v>31</v>
      </c>
      <c r="W59" s="52">
        <v>50</v>
      </c>
      <c r="X59" s="52">
        <v>30.000000000000004</v>
      </c>
      <c r="Y59" s="52">
        <v>106.96969696969698</v>
      </c>
      <c r="Z59" s="52">
        <v>55.454545454545475</v>
      </c>
      <c r="AA59" s="52">
        <v>30.000000000000004</v>
      </c>
      <c r="AB59" s="52">
        <v>50</v>
      </c>
      <c r="AC59" s="52">
        <v>50</v>
      </c>
      <c r="AD59" s="52">
        <v>0</v>
      </c>
      <c r="AE59" s="52">
        <v>58.518518518518519</v>
      </c>
      <c r="AF59" s="52">
        <v>49.999999999999993</v>
      </c>
      <c r="AG59" s="52">
        <v>87.833333333333343</v>
      </c>
      <c r="AH59" s="52">
        <v>54.000000000000007</v>
      </c>
      <c r="AI59" s="52">
        <v>52.000000000000007</v>
      </c>
      <c r="AJ59" s="52">
        <v>31</v>
      </c>
      <c r="AK59" s="52">
        <v>53.999999999999993</v>
      </c>
      <c r="AL59" s="52">
        <v>49.999999999999993</v>
      </c>
      <c r="AM59" s="52">
        <v>31</v>
      </c>
      <c r="AN59" s="52">
        <v>53.999999999999993</v>
      </c>
      <c r="AO59" s="52">
        <v>52.000000000000007</v>
      </c>
      <c r="AP59" s="52">
        <v>0</v>
      </c>
      <c r="AQ59" s="52">
        <v>52.000000000000014</v>
      </c>
      <c r="AR59" s="52">
        <v>49.999999999999993</v>
      </c>
      <c r="AS59" s="52">
        <v>106.7777777777778</v>
      </c>
      <c r="AT59" s="52">
        <v>30.999999999999996</v>
      </c>
      <c r="AU59" s="52">
        <v>51.999999999999993</v>
      </c>
      <c r="AV59" s="52">
        <v>31</v>
      </c>
      <c r="AW59" s="52">
        <v>128.96296296296299</v>
      </c>
      <c r="AX59" s="52">
        <v>58.539682539682552</v>
      </c>
      <c r="AY59" s="52">
        <v>96.444444444444443</v>
      </c>
      <c r="AZ59" s="52">
        <v>67</v>
      </c>
      <c r="BA59" s="52">
        <v>54.000000000000007</v>
      </c>
      <c r="BB59" s="52">
        <v>31</v>
      </c>
      <c r="BC59" s="52">
        <v>54.000000000000007</v>
      </c>
      <c r="BD59" s="52">
        <v>49.999999999999993</v>
      </c>
      <c r="BE59" s="52">
        <v>39.250000000000007</v>
      </c>
      <c r="BF59" s="52">
        <v>52.000000000000007</v>
      </c>
      <c r="BG59" s="52">
        <v>54.000000000000014</v>
      </c>
      <c r="BH59" s="52">
        <v>30.000000000000007</v>
      </c>
      <c r="BI59" s="52">
        <v>58.888888888888857</v>
      </c>
      <c r="BJ59" s="52">
        <v>50</v>
      </c>
      <c r="BK59" s="52">
        <v>29.999999999999989</v>
      </c>
      <c r="BL59" s="52">
        <v>52.000000000000014</v>
      </c>
      <c r="BM59" s="52">
        <v>50</v>
      </c>
      <c r="BN59" s="52">
        <v>31.000000000000004</v>
      </c>
      <c r="BO59" s="52">
        <v>57.111111111111086</v>
      </c>
      <c r="BP59" s="52">
        <v>50.000000000000007</v>
      </c>
      <c r="BQ59" s="52">
        <v>31.000000000000004</v>
      </c>
      <c r="BR59" s="52">
        <v>52.000000000000007</v>
      </c>
      <c r="BS59" s="52">
        <v>50</v>
      </c>
      <c r="BT59" s="52">
        <v>31</v>
      </c>
      <c r="BU59" s="52">
        <v>56.428571428571431</v>
      </c>
      <c r="BV59" s="52">
        <v>50.000000000000014</v>
      </c>
      <c r="BW59" s="52">
        <v>31</v>
      </c>
    </row>
    <row r="60" spans="1:75" x14ac:dyDescent="0.3">
      <c r="A60" s="8" t="s">
        <v>103</v>
      </c>
      <c r="B60" s="8" t="s">
        <v>8</v>
      </c>
      <c r="C60" s="8" t="s">
        <v>110</v>
      </c>
      <c r="D60" s="52">
        <v>52.000000000000007</v>
      </c>
      <c r="E60" s="52">
        <v>52.000000000000007</v>
      </c>
      <c r="F60" s="52">
        <v>30.999999999999996</v>
      </c>
      <c r="G60" s="52">
        <v>58.888888888888864</v>
      </c>
      <c r="H60" s="52">
        <v>49.999999999999993</v>
      </c>
      <c r="I60" s="52">
        <v>31</v>
      </c>
      <c r="J60" s="52">
        <v>53.999999999999986</v>
      </c>
      <c r="K60" s="52">
        <v>49.999999999999993</v>
      </c>
      <c r="L60" s="52">
        <v>30.999999999999996</v>
      </c>
      <c r="M60" s="52">
        <v>53.999999999999986</v>
      </c>
      <c r="N60" s="52">
        <v>49.999999999999993</v>
      </c>
      <c r="O60" s="52">
        <v>31</v>
      </c>
      <c r="P60" s="52">
        <v>53.999999999999986</v>
      </c>
      <c r="Q60" s="52">
        <v>52.000000000000007</v>
      </c>
      <c r="R60" s="52">
        <v>31.000000000000004</v>
      </c>
      <c r="S60" s="52">
        <v>54.000000000000036</v>
      </c>
      <c r="T60" s="52">
        <v>49.999999999999993</v>
      </c>
      <c r="U60" s="52">
        <v>30.999999999999993</v>
      </c>
      <c r="V60" s="52">
        <v>31</v>
      </c>
      <c r="W60" s="52">
        <v>50</v>
      </c>
      <c r="X60" s="52">
        <v>30.000000000000004</v>
      </c>
      <c r="Y60" s="52">
        <v>106.96969696969698</v>
      </c>
      <c r="Z60" s="52">
        <v>55.454545454545475</v>
      </c>
      <c r="AA60" s="52">
        <v>30.000000000000004</v>
      </c>
      <c r="AB60" s="52">
        <v>50</v>
      </c>
      <c r="AC60" s="52">
        <v>50</v>
      </c>
      <c r="AD60" s="52">
        <v>0</v>
      </c>
      <c r="AE60" s="52">
        <v>58.518518518518519</v>
      </c>
      <c r="AF60" s="52">
        <v>49.999999999999993</v>
      </c>
      <c r="AG60" s="52">
        <v>87.833333333333329</v>
      </c>
      <c r="AH60" s="52">
        <v>54.000000000000007</v>
      </c>
      <c r="AI60" s="52">
        <v>52.000000000000007</v>
      </c>
      <c r="AJ60" s="52">
        <v>31</v>
      </c>
      <c r="AK60" s="52">
        <v>53.999999999999993</v>
      </c>
      <c r="AL60" s="52">
        <v>49.999999999999993</v>
      </c>
      <c r="AM60" s="52">
        <v>31</v>
      </c>
      <c r="AN60" s="52">
        <v>53.999999999999993</v>
      </c>
      <c r="AO60" s="52">
        <v>52.000000000000007</v>
      </c>
      <c r="AP60" s="52">
        <v>0</v>
      </c>
      <c r="AQ60" s="52">
        <v>52.000000000000014</v>
      </c>
      <c r="AR60" s="52">
        <v>49.999999999999993</v>
      </c>
      <c r="AS60" s="52">
        <v>106.77777777777777</v>
      </c>
      <c r="AT60" s="52">
        <v>30.999999999999996</v>
      </c>
      <c r="AU60" s="52">
        <v>52</v>
      </c>
      <c r="AV60" s="52">
        <v>31</v>
      </c>
      <c r="AW60" s="52">
        <v>128.96296296296299</v>
      </c>
      <c r="AX60" s="52">
        <v>58.539682539682552</v>
      </c>
      <c r="AY60" s="52">
        <v>96.444444444444443</v>
      </c>
      <c r="AZ60" s="52">
        <v>67</v>
      </c>
      <c r="BA60" s="52">
        <v>54.000000000000007</v>
      </c>
      <c r="BB60" s="52">
        <v>31</v>
      </c>
      <c r="BC60" s="52">
        <v>54.000000000000007</v>
      </c>
      <c r="BD60" s="52">
        <v>49.999999999999993</v>
      </c>
      <c r="BE60" s="52">
        <v>39.250000000000007</v>
      </c>
      <c r="BF60" s="52">
        <v>52.000000000000007</v>
      </c>
      <c r="BG60" s="52">
        <v>54.000000000000007</v>
      </c>
      <c r="BH60" s="52">
        <v>30.000000000000007</v>
      </c>
      <c r="BI60" s="52">
        <v>58.88888888888885</v>
      </c>
      <c r="BJ60" s="52">
        <v>50</v>
      </c>
      <c r="BK60" s="52">
        <v>29.999999999999989</v>
      </c>
      <c r="BL60" s="52">
        <v>52.000000000000007</v>
      </c>
      <c r="BM60" s="52">
        <v>50.000000000000014</v>
      </c>
      <c r="BN60" s="52">
        <v>31.000000000000004</v>
      </c>
      <c r="BO60" s="52">
        <v>57.111111111111072</v>
      </c>
      <c r="BP60" s="52">
        <v>50.000000000000007</v>
      </c>
      <c r="BQ60" s="52">
        <v>31.000000000000004</v>
      </c>
      <c r="BR60" s="52">
        <v>52.000000000000007</v>
      </c>
      <c r="BS60" s="52">
        <v>50.000000000000007</v>
      </c>
      <c r="BT60" s="52">
        <v>31</v>
      </c>
      <c r="BU60" s="52">
        <v>56.428571428571381</v>
      </c>
      <c r="BV60" s="52">
        <v>50.000000000000014</v>
      </c>
      <c r="BW60" s="52">
        <v>31</v>
      </c>
    </row>
    <row r="61" spans="1:75" x14ac:dyDescent="0.3">
      <c r="A61" s="8" t="s">
        <v>103</v>
      </c>
      <c r="B61" s="8" t="s">
        <v>8</v>
      </c>
      <c r="C61" s="8" t="s">
        <v>111</v>
      </c>
      <c r="D61" s="52">
        <v>52.000000000000007</v>
      </c>
      <c r="E61" s="52">
        <v>52</v>
      </c>
      <c r="F61" s="52">
        <v>30.999999999999989</v>
      </c>
      <c r="G61" s="52">
        <v>58.888888888888864</v>
      </c>
      <c r="H61" s="52">
        <v>49.999999999999993</v>
      </c>
      <c r="I61" s="52">
        <v>30.999999999999989</v>
      </c>
      <c r="J61" s="52">
        <v>53.999999999999986</v>
      </c>
      <c r="K61" s="52">
        <v>50</v>
      </c>
      <c r="L61" s="52">
        <v>30.999999999999989</v>
      </c>
      <c r="M61" s="52">
        <v>53.999999999999986</v>
      </c>
      <c r="N61" s="52">
        <v>49.999999999999993</v>
      </c>
      <c r="O61" s="52">
        <v>30.999999999999993</v>
      </c>
      <c r="P61" s="52">
        <v>53.999999999999986</v>
      </c>
      <c r="Q61" s="52">
        <v>52</v>
      </c>
      <c r="R61" s="52">
        <v>31.000000000000004</v>
      </c>
      <c r="S61" s="52">
        <v>54.000000000000036</v>
      </c>
      <c r="T61" s="52">
        <v>49.999999999999993</v>
      </c>
      <c r="U61" s="52">
        <v>31.000000000000007</v>
      </c>
      <c r="V61" s="52">
        <v>30.999999999999993</v>
      </c>
      <c r="W61" s="52">
        <v>50</v>
      </c>
      <c r="X61" s="52">
        <v>30</v>
      </c>
      <c r="Y61" s="52">
        <v>106.96969696969698</v>
      </c>
      <c r="Z61" s="52">
        <v>55.454545454545475</v>
      </c>
      <c r="AA61" s="52">
        <v>30.000000000000021</v>
      </c>
      <c r="AB61" s="52">
        <v>50</v>
      </c>
      <c r="AC61" s="52">
        <v>50</v>
      </c>
      <c r="AD61" s="52">
        <v>0</v>
      </c>
      <c r="AE61" s="52">
        <v>58.518518518518519</v>
      </c>
      <c r="AF61" s="52">
        <v>49.999999999999993</v>
      </c>
      <c r="AG61" s="52">
        <v>87.833333333333329</v>
      </c>
      <c r="AH61" s="52">
        <v>54.000000000000007</v>
      </c>
      <c r="AI61" s="52">
        <v>52.000000000000007</v>
      </c>
      <c r="AJ61" s="52">
        <v>30.999999999999996</v>
      </c>
      <c r="AK61" s="52">
        <v>53.999999999999993</v>
      </c>
      <c r="AL61" s="52">
        <v>49.999999999999993</v>
      </c>
      <c r="AM61" s="52">
        <v>30.999999999999996</v>
      </c>
      <c r="AN61" s="52">
        <v>53.999999999999993</v>
      </c>
      <c r="AO61" s="52">
        <v>52.000000000000007</v>
      </c>
      <c r="AP61" s="52">
        <v>0</v>
      </c>
      <c r="AQ61" s="52">
        <v>52.000000000000014</v>
      </c>
      <c r="AR61" s="52">
        <v>49.999999999999993</v>
      </c>
      <c r="AS61" s="52">
        <v>106.77777777777777</v>
      </c>
      <c r="AT61" s="52">
        <v>30.999999999999986</v>
      </c>
      <c r="AU61" s="52">
        <v>52.000000000000007</v>
      </c>
      <c r="AV61" s="52">
        <v>31.000000000000007</v>
      </c>
      <c r="AW61" s="52">
        <v>128.96296296296299</v>
      </c>
      <c r="AX61" s="52">
        <v>58.539682539682566</v>
      </c>
      <c r="AY61" s="52">
        <v>96.444444444444443</v>
      </c>
      <c r="AZ61" s="52">
        <v>66.999999999999986</v>
      </c>
      <c r="BA61" s="52">
        <v>54.000000000000007</v>
      </c>
      <c r="BB61" s="52">
        <v>31</v>
      </c>
      <c r="BC61" s="52">
        <v>54.000000000000007</v>
      </c>
      <c r="BD61" s="52">
        <v>50</v>
      </c>
      <c r="BE61" s="52">
        <v>39.250000000000007</v>
      </c>
      <c r="BF61" s="52">
        <v>52.000000000000007</v>
      </c>
      <c r="BG61" s="52">
        <v>54.000000000000007</v>
      </c>
      <c r="BH61" s="52">
        <v>30.000000000000007</v>
      </c>
      <c r="BI61" s="52">
        <v>58.88888888888885</v>
      </c>
      <c r="BJ61" s="52">
        <v>50</v>
      </c>
      <c r="BK61" s="52">
        <v>29.999999999999996</v>
      </c>
      <c r="BL61" s="52">
        <v>52.000000000000007</v>
      </c>
      <c r="BM61" s="52">
        <v>50.000000000000014</v>
      </c>
      <c r="BN61" s="52">
        <v>30.999999999999996</v>
      </c>
      <c r="BO61" s="52">
        <v>57.111111111111072</v>
      </c>
      <c r="BP61" s="52">
        <v>50.000000000000007</v>
      </c>
      <c r="BQ61" s="52">
        <v>31.000000000000004</v>
      </c>
      <c r="BR61" s="52">
        <v>52.000000000000007</v>
      </c>
      <c r="BS61" s="52">
        <v>50</v>
      </c>
      <c r="BT61" s="52">
        <v>31</v>
      </c>
      <c r="BU61" s="52">
        <v>56.428571428571381</v>
      </c>
      <c r="BV61" s="52">
        <v>50.000000000000014</v>
      </c>
      <c r="BW61" s="52">
        <v>30.999999999999993</v>
      </c>
    </row>
    <row r="62" spans="1:75" x14ac:dyDescent="0.3">
      <c r="A62" s="8" t="s">
        <v>103</v>
      </c>
      <c r="B62" s="8" t="s">
        <v>8</v>
      </c>
      <c r="C62" s="8" t="s">
        <v>112</v>
      </c>
      <c r="D62" s="52">
        <v>52.000000000000007</v>
      </c>
      <c r="E62" s="52">
        <v>52</v>
      </c>
      <c r="F62" s="52">
        <v>30.999999999999989</v>
      </c>
      <c r="G62" s="52">
        <v>58.888888888888864</v>
      </c>
      <c r="H62" s="52">
        <v>49.999999999999993</v>
      </c>
      <c r="I62" s="52">
        <v>30.999999999999989</v>
      </c>
      <c r="J62" s="52">
        <v>53.999999999999986</v>
      </c>
      <c r="K62" s="52">
        <v>50</v>
      </c>
      <c r="L62" s="52">
        <v>30.999999999999989</v>
      </c>
      <c r="M62" s="52">
        <v>53.999999999999986</v>
      </c>
      <c r="N62" s="52">
        <v>49.999999999999993</v>
      </c>
      <c r="O62" s="52">
        <v>30.999999999999993</v>
      </c>
      <c r="P62" s="52">
        <v>53.999999999999986</v>
      </c>
      <c r="Q62" s="52">
        <v>52</v>
      </c>
      <c r="R62" s="52">
        <v>31.000000000000004</v>
      </c>
      <c r="S62" s="52">
        <v>54.000000000000036</v>
      </c>
      <c r="T62" s="52">
        <v>49.999999999999993</v>
      </c>
      <c r="U62" s="52">
        <v>31.000000000000007</v>
      </c>
      <c r="V62" s="52">
        <v>30.999999999999993</v>
      </c>
      <c r="W62" s="52">
        <v>50</v>
      </c>
      <c r="X62" s="52">
        <v>30</v>
      </c>
      <c r="Y62" s="52">
        <v>106.96969696969698</v>
      </c>
      <c r="Z62" s="52">
        <v>55.454545454545475</v>
      </c>
      <c r="AA62" s="52">
        <v>30.000000000000021</v>
      </c>
      <c r="AB62" s="52">
        <v>50</v>
      </c>
      <c r="AC62" s="52">
        <v>50</v>
      </c>
      <c r="AD62" s="52">
        <v>0</v>
      </c>
      <c r="AE62" s="52">
        <v>58.518518518518519</v>
      </c>
      <c r="AF62" s="52">
        <v>49.999999999999993</v>
      </c>
      <c r="AG62" s="52">
        <v>87.833333333333329</v>
      </c>
      <c r="AH62" s="52">
        <v>54.000000000000007</v>
      </c>
      <c r="AI62" s="52">
        <v>52.000000000000007</v>
      </c>
      <c r="AJ62" s="52">
        <v>30.999999999999996</v>
      </c>
      <c r="AK62" s="52">
        <v>53.999999999999993</v>
      </c>
      <c r="AL62" s="52">
        <v>49.999999999999993</v>
      </c>
      <c r="AM62" s="52">
        <v>30.999999999999996</v>
      </c>
      <c r="AN62" s="52">
        <v>53.999999999999993</v>
      </c>
      <c r="AO62" s="52">
        <v>52.000000000000007</v>
      </c>
      <c r="AP62" s="52">
        <v>0</v>
      </c>
      <c r="AQ62" s="52">
        <v>52.000000000000014</v>
      </c>
      <c r="AR62" s="52">
        <v>49.999999999999993</v>
      </c>
      <c r="AS62" s="52">
        <v>106.77777777777777</v>
      </c>
      <c r="AT62" s="52">
        <v>30.999999999999986</v>
      </c>
      <c r="AU62" s="52">
        <v>52.000000000000007</v>
      </c>
      <c r="AV62" s="52">
        <v>31.000000000000007</v>
      </c>
      <c r="AW62" s="52">
        <v>128.96296296296299</v>
      </c>
      <c r="AX62" s="52">
        <v>58.539682539682566</v>
      </c>
      <c r="AY62" s="52">
        <v>96.444444444444443</v>
      </c>
      <c r="AZ62" s="52">
        <v>66.999999999999986</v>
      </c>
      <c r="BA62" s="52">
        <v>54.000000000000007</v>
      </c>
      <c r="BB62" s="52">
        <v>31</v>
      </c>
      <c r="BC62" s="52">
        <v>54.000000000000007</v>
      </c>
      <c r="BD62" s="52">
        <v>50</v>
      </c>
      <c r="BE62" s="52">
        <v>39.250000000000007</v>
      </c>
      <c r="BF62" s="52">
        <v>52.000000000000007</v>
      </c>
      <c r="BG62" s="52">
        <v>54.000000000000007</v>
      </c>
      <c r="BH62" s="52">
        <v>30.000000000000007</v>
      </c>
      <c r="BI62" s="52">
        <v>58.88888888888885</v>
      </c>
      <c r="BJ62" s="52">
        <v>50</v>
      </c>
      <c r="BK62" s="52">
        <v>29.999999999999996</v>
      </c>
      <c r="BL62" s="52">
        <v>52.000000000000007</v>
      </c>
      <c r="BM62" s="52">
        <v>50.000000000000014</v>
      </c>
      <c r="BN62" s="52">
        <v>30.999999999999996</v>
      </c>
      <c r="BO62" s="52">
        <v>57.111111111111072</v>
      </c>
      <c r="BP62" s="52">
        <v>50.000000000000007</v>
      </c>
      <c r="BQ62" s="52">
        <v>31.000000000000004</v>
      </c>
      <c r="BR62" s="52">
        <v>52.000000000000007</v>
      </c>
      <c r="BS62" s="52">
        <v>50</v>
      </c>
      <c r="BT62" s="52">
        <v>31</v>
      </c>
      <c r="BU62" s="52">
        <v>56.428571428571381</v>
      </c>
      <c r="BV62" s="52">
        <v>50.000000000000014</v>
      </c>
      <c r="BW62" s="52">
        <v>30.999999999999993</v>
      </c>
    </row>
    <row r="63" spans="1:75" x14ac:dyDescent="0.3">
      <c r="A63" s="8" t="s">
        <v>103</v>
      </c>
      <c r="B63" s="8" t="s">
        <v>8</v>
      </c>
      <c r="C63" s="8" t="s">
        <v>115</v>
      </c>
      <c r="D63" s="52">
        <v>52.000000000000007</v>
      </c>
      <c r="E63" s="52">
        <v>52.000000000000021</v>
      </c>
      <c r="F63" s="52">
        <v>31.000000000000004</v>
      </c>
      <c r="G63" s="52">
        <v>58.888888888888864</v>
      </c>
      <c r="H63" s="52">
        <v>49.999999999999993</v>
      </c>
      <c r="I63" s="52">
        <v>31.000000000000004</v>
      </c>
      <c r="J63" s="52">
        <v>53.999999999999986</v>
      </c>
      <c r="K63" s="52">
        <v>49.999999999999993</v>
      </c>
      <c r="L63" s="52">
        <v>31.000000000000004</v>
      </c>
      <c r="M63" s="52">
        <v>53.999999999999986</v>
      </c>
      <c r="N63" s="52">
        <v>49.999999999999993</v>
      </c>
      <c r="O63" s="52">
        <v>31.000000000000004</v>
      </c>
      <c r="P63" s="52">
        <v>53.999999999999986</v>
      </c>
      <c r="Q63" s="52">
        <v>52.000000000000014</v>
      </c>
      <c r="R63" s="52">
        <v>31.000000000000004</v>
      </c>
      <c r="S63" s="52">
        <v>54.000000000000036</v>
      </c>
      <c r="T63" s="52">
        <v>49.999999999999993</v>
      </c>
      <c r="U63" s="52">
        <v>31.000000000000007</v>
      </c>
      <c r="V63" s="52">
        <v>31</v>
      </c>
      <c r="W63" s="52">
        <v>50</v>
      </c>
      <c r="X63" s="52">
        <v>30.000000000000004</v>
      </c>
      <c r="Y63" s="52">
        <v>106.96969696969698</v>
      </c>
      <c r="Z63" s="52">
        <v>55.454545454545475</v>
      </c>
      <c r="AA63" s="52">
        <v>29.999999999999996</v>
      </c>
      <c r="AB63" s="52">
        <v>50</v>
      </c>
      <c r="AC63" s="52">
        <v>50</v>
      </c>
      <c r="AD63" s="52">
        <v>0</v>
      </c>
      <c r="AE63" s="52">
        <v>58.518518518518519</v>
      </c>
      <c r="AF63" s="52">
        <v>49.999999999999993</v>
      </c>
      <c r="AG63" s="52">
        <v>87.833333333333343</v>
      </c>
      <c r="AH63" s="52">
        <v>54.000000000000007</v>
      </c>
      <c r="AI63" s="52">
        <v>52.000000000000007</v>
      </c>
      <c r="AJ63" s="52">
        <v>31</v>
      </c>
      <c r="AK63" s="52">
        <v>53.999999999999993</v>
      </c>
      <c r="AL63" s="52">
        <v>49.999999999999993</v>
      </c>
      <c r="AM63" s="52">
        <v>31</v>
      </c>
      <c r="AN63" s="52">
        <v>53.999999999999993</v>
      </c>
      <c r="AO63" s="52">
        <v>52.000000000000021</v>
      </c>
      <c r="AP63" s="52">
        <v>0</v>
      </c>
      <c r="AQ63" s="52">
        <v>52.000000000000014</v>
      </c>
      <c r="AR63" s="52">
        <v>49.999999999999993</v>
      </c>
      <c r="AS63" s="52">
        <v>106.7777777777778</v>
      </c>
      <c r="AT63" s="52">
        <v>31.000000000000004</v>
      </c>
      <c r="AU63" s="52">
        <v>51.999999999999993</v>
      </c>
      <c r="AV63" s="52">
        <v>31</v>
      </c>
      <c r="AW63" s="52">
        <v>128.96296296296299</v>
      </c>
      <c r="AX63" s="52">
        <v>58.539682539682552</v>
      </c>
      <c r="AY63" s="52">
        <v>96.444444444444443</v>
      </c>
      <c r="AZ63" s="52">
        <v>67</v>
      </c>
      <c r="BA63" s="52">
        <v>54.000000000000007</v>
      </c>
      <c r="BB63" s="52">
        <v>31.000000000000007</v>
      </c>
      <c r="BC63" s="52">
        <v>54.000000000000007</v>
      </c>
      <c r="BD63" s="52">
        <v>49.999999999999993</v>
      </c>
      <c r="BE63" s="52">
        <v>39.250000000000007</v>
      </c>
      <c r="BF63" s="52">
        <v>52.000000000000021</v>
      </c>
      <c r="BG63" s="52">
        <v>54.000000000000014</v>
      </c>
      <c r="BH63" s="52">
        <v>30.000000000000007</v>
      </c>
      <c r="BI63" s="52">
        <v>58.888888888888857</v>
      </c>
      <c r="BJ63" s="52">
        <v>50</v>
      </c>
      <c r="BK63" s="52">
        <v>29.999999999999996</v>
      </c>
      <c r="BL63" s="52">
        <v>52.000000000000014</v>
      </c>
      <c r="BM63" s="52">
        <v>50</v>
      </c>
      <c r="BN63" s="52">
        <v>31.000000000000004</v>
      </c>
      <c r="BO63" s="52">
        <v>57.111111111111086</v>
      </c>
      <c r="BP63" s="52">
        <v>50.000000000000007</v>
      </c>
      <c r="BQ63" s="52">
        <v>31.000000000000004</v>
      </c>
      <c r="BR63" s="52">
        <v>52.000000000000021</v>
      </c>
      <c r="BS63" s="52">
        <v>50</v>
      </c>
      <c r="BT63" s="52">
        <v>31.000000000000004</v>
      </c>
      <c r="BU63" s="52">
        <v>56.428571428571431</v>
      </c>
      <c r="BV63" s="52">
        <v>50.000000000000014</v>
      </c>
      <c r="BW63" s="52">
        <v>31.000000000000004</v>
      </c>
    </row>
    <row r="64" spans="1:75" x14ac:dyDescent="0.3">
      <c r="A64" s="8" t="s">
        <v>103</v>
      </c>
      <c r="B64" s="8" t="s">
        <v>8</v>
      </c>
      <c r="C64" s="8" t="s">
        <v>116</v>
      </c>
      <c r="D64" s="52">
        <v>52.000000000000007</v>
      </c>
      <c r="E64" s="52">
        <v>52.000000000000021</v>
      </c>
      <c r="F64" s="52">
        <v>31.000000000000004</v>
      </c>
      <c r="G64" s="52">
        <v>58.888888888888864</v>
      </c>
      <c r="H64" s="52">
        <v>49.999999999999993</v>
      </c>
      <c r="I64" s="52">
        <v>31.000000000000004</v>
      </c>
      <c r="J64" s="52">
        <v>53.999999999999986</v>
      </c>
      <c r="K64" s="52">
        <v>49.999999999999993</v>
      </c>
      <c r="L64" s="52">
        <v>31.000000000000004</v>
      </c>
      <c r="M64" s="52">
        <v>53.999999999999986</v>
      </c>
      <c r="N64" s="52">
        <v>49.999999999999993</v>
      </c>
      <c r="O64" s="52">
        <v>31.000000000000004</v>
      </c>
      <c r="P64" s="52">
        <v>53.999999999999986</v>
      </c>
      <c r="Q64" s="52">
        <v>52.000000000000014</v>
      </c>
      <c r="R64" s="52">
        <v>31.000000000000004</v>
      </c>
      <c r="S64" s="52">
        <v>54.000000000000036</v>
      </c>
      <c r="T64" s="52">
        <v>49.999999999999993</v>
      </c>
      <c r="U64" s="52">
        <v>31.000000000000007</v>
      </c>
      <c r="V64" s="52">
        <v>31</v>
      </c>
      <c r="W64" s="52">
        <v>50</v>
      </c>
      <c r="X64" s="52">
        <v>30.000000000000004</v>
      </c>
      <c r="Y64" s="52">
        <v>106.96969696969698</v>
      </c>
      <c r="Z64" s="52">
        <v>55.454545454545475</v>
      </c>
      <c r="AA64" s="52">
        <v>29.999999999999996</v>
      </c>
      <c r="AB64" s="52">
        <v>50</v>
      </c>
      <c r="AC64" s="52">
        <v>50</v>
      </c>
      <c r="AD64" s="52">
        <v>0</v>
      </c>
      <c r="AE64" s="52">
        <v>58.518518518518519</v>
      </c>
      <c r="AF64" s="52">
        <v>49.999999999999993</v>
      </c>
      <c r="AG64" s="52">
        <v>87.833333333333329</v>
      </c>
      <c r="AH64" s="52">
        <v>53.999999999999993</v>
      </c>
      <c r="AI64" s="52">
        <v>52.000000000000007</v>
      </c>
      <c r="AJ64" s="52">
        <v>31</v>
      </c>
      <c r="AK64" s="52">
        <v>53.999999999999993</v>
      </c>
      <c r="AL64" s="52">
        <v>49.999999999999993</v>
      </c>
      <c r="AM64" s="52">
        <v>31</v>
      </c>
      <c r="AN64" s="52">
        <v>53.999999999999993</v>
      </c>
      <c r="AO64" s="52">
        <v>52.000000000000021</v>
      </c>
      <c r="AP64" s="52">
        <v>0</v>
      </c>
      <c r="AQ64" s="52">
        <v>52.000000000000014</v>
      </c>
      <c r="AR64" s="52">
        <v>49.999999999999993</v>
      </c>
      <c r="AS64" s="52">
        <v>106.7777777777778</v>
      </c>
      <c r="AT64" s="52">
        <v>31.000000000000004</v>
      </c>
      <c r="AU64" s="52">
        <v>52.000000000000007</v>
      </c>
      <c r="AV64" s="52">
        <v>31</v>
      </c>
      <c r="AW64" s="52">
        <v>128.96296296296299</v>
      </c>
      <c r="AX64" s="52">
        <v>58.539682539682467</v>
      </c>
      <c r="AY64" s="52">
        <v>96.444444444444443</v>
      </c>
      <c r="AZ64" s="52">
        <v>67</v>
      </c>
      <c r="BA64" s="52">
        <v>53.999999999999986</v>
      </c>
      <c r="BB64" s="52">
        <v>31.000000000000007</v>
      </c>
      <c r="BC64" s="52">
        <v>53.999999999999986</v>
      </c>
      <c r="BD64" s="52">
        <v>49.999999999999993</v>
      </c>
      <c r="BE64" s="52">
        <v>39.250000000000007</v>
      </c>
      <c r="BF64" s="52">
        <v>52.000000000000021</v>
      </c>
      <c r="BG64" s="52">
        <v>53.999999999999993</v>
      </c>
      <c r="BH64" s="52">
        <v>30.000000000000007</v>
      </c>
      <c r="BI64" s="52">
        <v>58.88888888888885</v>
      </c>
      <c r="BJ64" s="52">
        <v>50</v>
      </c>
      <c r="BK64" s="52">
        <v>29.999999999999996</v>
      </c>
      <c r="BL64" s="52">
        <v>52.000000000000007</v>
      </c>
      <c r="BM64" s="52">
        <v>50</v>
      </c>
      <c r="BN64" s="52">
        <v>31.000000000000004</v>
      </c>
      <c r="BO64" s="52">
        <v>57.111111111111086</v>
      </c>
      <c r="BP64" s="52">
        <v>50.000000000000007</v>
      </c>
      <c r="BQ64" s="52">
        <v>31.000000000000004</v>
      </c>
      <c r="BR64" s="52">
        <v>52.000000000000021</v>
      </c>
      <c r="BS64" s="52">
        <v>50</v>
      </c>
      <c r="BT64" s="52">
        <v>31.000000000000004</v>
      </c>
      <c r="BU64" s="52">
        <v>56.428571428571431</v>
      </c>
      <c r="BV64" s="52">
        <v>50.000000000000014</v>
      </c>
      <c r="BW64" s="52">
        <v>31.000000000000004</v>
      </c>
    </row>
    <row r="65" spans="1:75" x14ac:dyDescent="0.3">
      <c r="A65" s="8" t="s">
        <v>103</v>
      </c>
      <c r="B65" s="8" t="s">
        <v>8</v>
      </c>
      <c r="C65" s="8" t="s">
        <v>117</v>
      </c>
      <c r="D65" s="52">
        <v>52.000000000000007</v>
      </c>
      <c r="E65" s="52">
        <v>52.000000000000021</v>
      </c>
      <c r="F65" s="52">
        <v>31.000000000000004</v>
      </c>
      <c r="G65" s="52">
        <v>58.888888888888864</v>
      </c>
      <c r="H65" s="52">
        <v>49.999999999999993</v>
      </c>
      <c r="I65" s="52">
        <v>31.000000000000004</v>
      </c>
      <c r="J65" s="52">
        <v>53.999999999999986</v>
      </c>
      <c r="K65" s="52">
        <v>49.999999999999993</v>
      </c>
      <c r="L65" s="52">
        <v>31.000000000000004</v>
      </c>
      <c r="M65" s="52">
        <v>53.999999999999986</v>
      </c>
      <c r="N65" s="52">
        <v>49.999999999999993</v>
      </c>
      <c r="O65" s="52">
        <v>31.000000000000004</v>
      </c>
      <c r="P65" s="52">
        <v>53.999999999999986</v>
      </c>
      <c r="Q65" s="52">
        <v>52.000000000000014</v>
      </c>
      <c r="R65" s="52">
        <v>31.000000000000004</v>
      </c>
      <c r="S65" s="52">
        <v>54.000000000000036</v>
      </c>
      <c r="T65" s="52">
        <v>49.999999999999993</v>
      </c>
      <c r="U65" s="52">
        <v>31.000000000000007</v>
      </c>
      <c r="V65" s="52">
        <v>31</v>
      </c>
      <c r="W65" s="52">
        <v>50</v>
      </c>
      <c r="X65" s="52">
        <v>30.000000000000004</v>
      </c>
      <c r="Y65" s="52">
        <v>106.96969696969698</v>
      </c>
      <c r="Z65" s="52">
        <v>55.454545454545475</v>
      </c>
      <c r="AA65" s="52">
        <v>29.999999999999996</v>
      </c>
      <c r="AB65" s="52">
        <v>50</v>
      </c>
      <c r="AC65" s="52">
        <v>50</v>
      </c>
      <c r="AD65" s="52">
        <v>0</v>
      </c>
      <c r="AE65" s="52">
        <v>58.518518518518519</v>
      </c>
      <c r="AF65" s="52">
        <v>49.999999999999993</v>
      </c>
      <c r="AG65" s="52">
        <v>87.833333333333329</v>
      </c>
      <c r="AH65" s="52">
        <v>53.999999999999993</v>
      </c>
      <c r="AI65" s="52">
        <v>52.000000000000007</v>
      </c>
      <c r="AJ65" s="52">
        <v>31</v>
      </c>
      <c r="AK65" s="52">
        <v>53.999999999999993</v>
      </c>
      <c r="AL65" s="52">
        <v>49.999999999999993</v>
      </c>
      <c r="AM65" s="52">
        <v>31</v>
      </c>
      <c r="AN65" s="52">
        <v>53.999999999999993</v>
      </c>
      <c r="AO65" s="52">
        <v>52.000000000000021</v>
      </c>
      <c r="AP65" s="52">
        <v>0</v>
      </c>
      <c r="AQ65" s="52">
        <v>52.000000000000014</v>
      </c>
      <c r="AR65" s="52">
        <v>49.999999999999993</v>
      </c>
      <c r="AS65" s="52">
        <v>106.7777777777778</v>
      </c>
      <c r="AT65" s="52">
        <v>31.000000000000004</v>
      </c>
      <c r="AU65" s="52">
        <v>52.000000000000007</v>
      </c>
      <c r="AV65" s="52">
        <v>31</v>
      </c>
      <c r="AW65" s="52">
        <v>128.96296296296299</v>
      </c>
      <c r="AX65" s="52">
        <v>58.539682539682467</v>
      </c>
      <c r="AY65" s="52">
        <v>96.444444444444443</v>
      </c>
      <c r="AZ65" s="52">
        <v>67</v>
      </c>
      <c r="BA65" s="52">
        <v>53.999999999999986</v>
      </c>
      <c r="BB65" s="52">
        <v>31.000000000000007</v>
      </c>
      <c r="BC65" s="52">
        <v>53.999999999999986</v>
      </c>
      <c r="BD65" s="52">
        <v>49.999999999999993</v>
      </c>
      <c r="BE65" s="52">
        <v>39.250000000000007</v>
      </c>
      <c r="BF65" s="52">
        <v>52.000000000000021</v>
      </c>
      <c r="BG65" s="52">
        <v>53.999999999999993</v>
      </c>
      <c r="BH65" s="52">
        <v>30.000000000000007</v>
      </c>
      <c r="BI65" s="52">
        <v>58.88888888888885</v>
      </c>
      <c r="BJ65" s="52">
        <v>50</v>
      </c>
      <c r="BK65" s="52">
        <v>29.999999999999996</v>
      </c>
      <c r="BL65" s="52">
        <v>52.000000000000007</v>
      </c>
      <c r="BM65" s="52">
        <v>50</v>
      </c>
      <c r="BN65" s="52">
        <v>31.000000000000004</v>
      </c>
      <c r="BO65" s="52">
        <v>57.111111111111086</v>
      </c>
      <c r="BP65" s="52">
        <v>50.000000000000007</v>
      </c>
      <c r="BQ65" s="52">
        <v>31.000000000000004</v>
      </c>
      <c r="BR65" s="52">
        <v>52.000000000000021</v>
      </c>
      <c r="BS65" s="52">
        <v>50</v>
      </c>
      <c r="BT65" s="52">
        <v>31.000000000000004</v>
      </c>
      <c r="BU65" s="52">
        <v>56.428571428571431</v>
      </c>
      <c r="BV65" s="52">
        <v>50.000000000000014</v>
      </c>
      <c r="BW65" s="52">
        <v>31.000000000000004</v>
      </c>
    </row>
    <row r="66" spans="1:75" x14ac:dyDescent="0.3">
      <c r="A66" s="8" t="s">
        <v>103</v>
      </c>
      <c r="B66" s="8" t="s">
        <v>8</v>
      </c>
      <c r="C66" s="8" t="s">
        <v>118</v>
      </c>
      <c r="D66" s="52">
        <v>52.000000000000007</v>
      </c>
      <c r="E66" s="52">
        <v>52.000000000000021</v>
      </c>
      <c r="F66" s="52">
        <v>31.000000000000004</v>
      </c>
      <c r="G66" s="52">
        <v>58.888888888888864</v>
      </c>
      <c r="H66" s="52">
        <v>49.999999999999993</v>
      </c>
      <c r="I66" s="52">
        <v>31.000000000000004</v>
      </c>
      <c r="J66" s="52">
        <v>53.999999999999986</v>
      </c>
      <c r="K66" s="52">
        <v>49.999999999999993</v>
      </c>
      <c r="L66" s="52">
        <v>31.000000000000004</v>
      </c>
      <c r="M66" s="52">
        <v>53.999999999999986</v>
      </c>
      <c r="N66" s="52">
        <v>49.999999999999993</v>
      </c>
      <c r="O66" s="52">
        <v>31.000000000000004</v>
      </c>
      <c r="P66" s="52">
        <v>53.999999999999986</v>
      </c>
      <c r="Q66" s="52">
        <v>52.000000000000014</v>
      </c>
      <c r="R66" s="52">
        <v>31.000000000000004</v>
      </c>
      <c r="S66" s="52">
        <v>54.000000000000036</v>
      </c>
      <c r="T66" s="52">
        <v>49.999999999999993</v>
      </c>
      <c r="U66" s="52">
        <v>31.000000000000007</v>
      </c>
      <c r="V66" s="52">
        <v>31</v>
      </c>
      <c r="W66" s="52">
        <v>50</v>
      </c>
      <c r="X66" s="52">
        <v>30.000000000000004</v>
      </c>
      <c r="Y66" s="52">
        <v>106.96969696969698</v>
      </c>
      <c r="Z66" s="52">
        <v>55.454545454545475</v>
      </c>
      <c r="AA66" s="52">
        <v>29.999999999999996</v>
      </c>
      <c r="AB66" s="52">
        <v>50</v>
      </c>
      <c r="AC66" s="52">
        <v>50</v>
      </c>
      <c r="AD66" s="52">
        <v>0</v>
      </c>
      <c r="AE66" s="52">
        <v>58.518518518518519</v>
      </c>
      <c r="AF66" s="52">
        <v>49.999999999999993</v>
      </c>
      <c r="AG66" s="52">
        <v>87.833333333333329</v>
      </c>
      <c r="AH66" s="52">
        <v>53.999999999999993</v>
      </c>
      <c r="AI66" s="52">
        <v>52.000000000000007</v>
      </c>
      <c r="AJ66" s="52">
        <v>31</v>
      </c>
      <c r="AK66" s="52">
        <v>53.999999999999993</v>
      </c>
      <c r="AL66" s="52">
        <v>49.999999999999993</v>
      </c>
      <c r="AM66" s="52">
        <v>31</v>
      </c>
      <c r="AN66" s="52">
        <v>53.999999999999993</v>
      </c>
      <c r="AO66" s="52">
        <v>52.000000000000021</v>
      </c>
      <c r="AP66" s="52">
        <v>0</v>
      </c>
      <c r="AQ66" s="52">
        <v>52.000000000000014</v>
      </c>
      <c r="AR66" s="52">
        <v>49.999999999999993</v>
      </c>
      <c r="AS66" s="52">
        <v>106.7777777777778</v>
      </c>
      <c r="AT66" s="52">
        <v>31.000000000000004</v>
      </c>
      <c r="AU66" s="52">
        <v>52.000000000000007</v>
      </c>
      <c r="AV66" s="52">
        <v>31</v>
      </c>
      <c r="AW66" s="52">
        <v>128.96296296296299</v>
      </c>
      <c r="AX66" s="52">
        <v>58.539682539682467</v>
      </c>
      <c r="AY66" s="52">
        <v>96.444444444444443</v>
      </c>
      <c r="AZ66" s="52">
        <v>67</v>
      </c>
      <c r="BA66" s="52">
        <v>53.999999999999986</v>
      </c>
      <c r="BB66" s="52">
        <v>31.000000000000007</v>
      </c>
      <c r="BC66" s="52">
        <v>53.999999999999986</v>
      </c>
      <c r="BD66" s="52">
        <v>49.999999999999993</v>
      </c>
      <c r="BE66" s="52">
        <v>39.250000000000007</v>
      </c>
      <c r="BF66" s="52">
        <v>52.000000000000021</v>
      </c>
      <c r="BG66" s="52">
        <v>53.999999999999993</v>
      </c>
      <c r="BH66" s="52">
        <v>30.000000000000007</v>
      </c>
      <c r="BI66" s="52">
        <v>58.88888888888885</v>
      </c>
      <c r="BJ66" s="52">
        <v>50</v>
      </c>
      <c r="BK66" s="52">
        <v>29.999999999999996</v>
      </c>
      <c r="BL66" s="52">
        <v>52.000000000000007</v>
      </c>
      <c r="BM66" s="52">
        <v>50</v>
      </c>
      <c r="BN66" s="52">
        <v>31.000000000000004</v>
      </c>
      <c r="BO66" s="52">
        <v>57.111111111111086</v>
      </c>
      <c r="BP66" s="52">
        <v>50.000000000000007</v>
      </c>
      <c r="BQ66" s="52">
        <v>31.000000000000004</v>
      </c>
      <c r="BR66" s="52">
        <v>52.000000000000021</v>
      </c>
      <c r="BS66" s="52">
        <v>50</v>
      </c>
      <c r="BT66" s="52">
        <v>31.000000000000004</v>
      </c>
      <c r="BU66" s="52">
        <v>56.428571428571431</v>
      </c>
      <c r="BV66" s="52">
        <v>50.000000000000014</v>
      </c>
      <c r="BW66" s="52">
        <v>31.000000000000004</v>
      </c>
    </row>
    <row r="67" spans="1:75" x14ac:dyDescent="0.3">
      <c r="A67" s="8" t="s">
        <v>103</v>
      </c>
      <c r="B67" s="8" t="s">
        <v>9</v>
      </c>
      <c r="C67" s="8" t="s">
        <v>108</v>
      </c>
      <c r="D67" s="52">
        <v>51.99999999999995</v>
      </c>
      <c r="E67" s="52">
        <v>49.999999999999979</v>
      </c>
      <c r="F67" s="52">
        <v>31.000000000000007</v>
      </c>
      <c r="G67" s="52">
        <v>58.888888888888843</v>
      </c>
      <c r="H67" s="52">
        <v>50.000000000000007</v>
      </c>
      <c r="I67" s="52">
        <v>31.000000000000007</v>
      </c>
      <c r="J67" s="52">
        <v>54</v>
      </c>
      <c r="K67" s="52">
        <v>49.999999999999993</v>
      </c>
      <c r="L67" s="52">
        <v>30.999999999999989</v>
      </c>
      <c r="M67" s="52">
        <v>54.000000000000021</v>
      </c>
      <c r="N67" s="52">
        <v>49.999999999999993</v>
      </c>
      <c r="O67" s="52">
        <v>31.000000000000004</v>
      </c>
      <c r="P67" s="52">
        <v>49.999999999999993</v>
      </c>
      <c r="Q67" s="52">
        <v>50.000000000000007</v>
      </c>
      <c r="R67" s="52">
        <v>31.000000000000007</v>
      </c>
      <c r="S67" s="52">
        <v>65.199999999999946</v>
      </c>
      <c r="T67" s="52">
        <v>49.999999999999922</v>
      </c>
      <c r="U67" s="52">
        <v>31.000000000000007</v>
      </c>
      <c r="V67" s="52">
        <v>50.000000000000007</v>
      </c>
      <c r="W67" s="52">
        <v>49.999999999999993</v>
      </c>
      <c r="X67" s="52">
        <v>30.999999999999993</v>
      </c>
      <c r="Y67" s="52">
        <v>49.999999999999908</v>
      </c>
      <c r="Z67" s="52">
        <v>30.999999999999993</v>
      </c>
      <c r="AA67" s="52">
        <v>30.999999999999986</v>
      </c>
      <c r="AB67" s="52">
        <v>50.000000000000007</v>
      </c>
      <c r="AC67" s="52">
        <v>49.999999999999993</v>
      </c>
      <c r="AD67" s="52">
        <v>30.999999999999986</v>
      </c>
      <c r="AE67" s="52">
        <v>49.999999999999993</v>
      </c>
      <c r="AF67" s="52">
        <v>31.000000000000004</v>
      </c>
      <c r="AG67" s="52">
        <v>30.999999999999989</v>
      </c>
      <c r="AH67" s="52">
        <v>51.999999999999986</v>
      </c>
      <c r="AI67" s="52">
        <v>52</v>
      </c>
      <c r="AJ67" s="52">
        <v>0</v>
      </c>
      <c r="AK67" s="52">
        <v>52.000000000000043</v>
      </c>
      <c r="AL67" s="52">
        <v>52</v>
      </c>
      <c r="AM67" s="52">
        <v>102.00000000000001</v>
      </c>
      <c r="AN67" s="52">
        <v>52.000000000000014</v>
      </c>
      <c r="AO67" s="52">
        <v>52.000000000000007</v>
      </c>
      <c r="AP67" s="52">
        <v>0</v>
      </c>
      <c r="AQ67" s="52">
        <v>52.000000000000007</v>
      </c>
      <c r="AR67" s="52">
        <v>52.000000000000007</v>
      </c>
      <c r="AS67" s="52">
        <v>106.77777777777779</v>
      </c>
      <c r="AT67" s="52">
        <v>31.000000000000011</v>
      </c>
      <c r="AU67" s="52">
        <v>52.000000000000007</v>
      </c>
      <c r="AV67" s="52">
        <v>30.999999999999993</v>
      </c>
      <c r="AW67" s="52">
        <v>120.44444444444461</v>
      </c>
      <c r="AX67" s="52">
        <v>52.000000000000178</v>
      </c>
      <c r="AY67" s="52">
        <v>96.444444444444443</v>
      </c>
      <c r="AZ67" s="52">
        <v>52.000000000000021</v>
      </c>
      <c r="BA67" s="52">
        <v>52.000000000000043</v>
      </c>
      <c r="BB67" s="52">
        <v>0</v>
      </c>
      <c r="BC67" s="52">
        <v>52.000000000000014</v>
      </c>
      <c r="BD67" s="52">
        <v>49.999999999999993</v>
      </c>
      <c r="BE67" s="52">
        <v>85.249999999999986</v>
      </c>
      <c r="BF67" s="52">
        <v>52.000000000000021</v>
      </c>
      <c r="BG67" s="52">
        <v>52.000000000000036</v>
      </c>
      <c r="BH67" s="52">
        <v>30.999999999999993</v>
      </c>
      <c r="BI67" s="52">
        <v>51.999999999999979</v>
      </c>
      <c r="BJ67" s="52">
        <v>52</v>
      </c>
      <c r="BK67" s="52">
        <v>30.999999999999993</v>
      </c>
      <c r="BL67" s="52">
        <v>52</v>
      </c>
      <c r="BM67" s="52">
        <v>50.000000000000007</v>
      </c>
      <c r="BN67" s="52">
        <v>31.000000000000014</v>
      </c>
      <c r="BO67" s="52">
        <v>52.000000000000078</v>
      </c>
      <c r="BP67" s="52">
        <v>57.384615384615323</v>
      </c>
      <c r="BQ67" s="52">
        <v>31.000000000000014</v>
      </c>
      <c r="BR67" s="52">
        <v>52.000000000000021</v>
      </c>
      <c r="BS67" s="52">
        <v>51.999999999999979</v>
      </c>
      <c r="BT67" s="52">
        <v>31.000000000000007</v>
      </c>
      <c r="BU67" s="52">
        <v>52.000000000000021</v>
      </c>
      <c r="BV67" s="52">
        <v>52</v>
      </c>
      <c r="BW67" s="52">
        <v>31.000000000000004</v>
      </c>
    </row>
    <row r="68" spans="1:75" x14ac:dyDescent="0.3">
      <c r="A68" s="8" t="s">
        <v>103</v>
      </c>
      <c r="B68" s="8" t="s">
        <v>9</v>
      </c>
      <c r="C68" s="8" t="s">
        <v>109</v>
      </c>
      <c r="D68" s="52">
        <v>52.000000000000007</v>
      </c>
      <c r="E68" s="52">
        <v>49.999999999999979</v>
      </c>
      <c r="F68" s="52">
        <v>30.999999999999996</v>
      </c>
      <c r="G68" s="52">
        <v>58.888888888888857</v>
      </c>
      <c r="H68" s="52">
        <v>50.000000000000007</v>
      </c>
      <c r="I68" s="52">
        <v>31.000000000000007</v>
      </c>
      <c r="J68" s="52">
        <v>54</v>
      </c>
      <c r="K68" s="52">
        <v>49.999999999999993</v>
      </c>
      <c r="L68" s="52">
        <v>30.999999999999996</v>
      </c>
      <c r="M68" s="52">
        <v>54.000000000000021</v>
      </c>
      <c r="N68" s="52">
        <v>49.999999999999993</v>
      </c>
      <c r="O68" s="52">
        <v>31.000000000000004</v>
      </c>
      <c r="P68" s="52">
        <v>49.999999999999993</v>
      </c>
      <c r="Q68" s="52">
        <v>50.000000000000014</v>
      </c>
      <c r="R68" s="52">
        <v>31.000000000000007</v>
      </c>
      <c r="S68" s="52">
        <v>65.199999999999932</v>
      </c>
      <c r="T68" s="52">
        <v>49.999999999999957</v>
      </c>
      <c r="U68" s="52">
        <v>31.000000000000004</v>
      </c>
      <c r="V68" s="52">
        <v>50.000000000000014</v>
      </c>
      <c r="W68" s="52">
        <v>49.999999999999993</v>
      </c>
      <c r="X68" s="52">
        <v>30.999999999999996</v>
      </c>
      <c r="Y68" s="52">
        <v>49.999999999999908</v>
      </c>
      <c r="Z68" s="52">
        <v>30.999999999999993</v>
      </c>
      <c r="AA68" s="52">
        <v>30.999999999999996</v>
      </c>
      <c r="AB68" s="52">
        <v>50.000000000000007</v>
      </c>
      <c r="AC68" s="52">
        <v>49.999999999999986</v>
      </c>
      <c r="AD68" s="52">
        <v>30.999999999999996</v>
      </c>
      <c r="AE68" s="52">
        <v>49.999999999999993</v>
      </c>
      <c r="AF68" s="52">
        <v>31.000000000000004</v>
      </c>
      <c r="AG68" s="52">
        <v>31.000000000000004</v>
      </c>
      <c r="AH68" s="52">
        <v>52.000000000000007</v>
      </c>
      <c r="AI68" s="52">
        <v>52</v>
      </c>
      <c r="AJ68" s="52">
        <v>0</v>
      </c>
      <c r="AK68" s="52">
        <v>52.000000000000036</v>
      </c>
      <c r="AL68" s="52">
        <v>52</v>
      </c>
      <c r="AM68" s="52">
        <v>102.00000000000001</v>
      </c>
      <c r="AN68" s="52">
        <v>52.000000000000021</v>
      </c>
      <c r="AO68" s="52">
        <v>52.000000000000007</v>
      </c>
      <c r="AP68" s="52">
        <v>0</v>
      </c>
      <c r="AQ68" s="52">
        <v>52.000000000000036</v>
      </c>
      <c r="AR68" s="52">
        <v>52.000000000000007</v>
      </c>
      <c r="AS68" s="52">
        <v>106.7777777777778</v>
      </c>
      <c r="AT68" s="52">
        <v>31.000000000000004</v>
      </c>
      <c r="AU68" s="52">
        <v>52.000000000000014</v>
      </c>
      <c r="AV68" s="52">
        <v>30.999999999999996</v>
      </c>
      <c r="AW68" s="52">
        <v>120.44444444444461</v>
      </c>
      <c r="AX68" s="52">
        <v>52.000000000000121</v>
      </c>
      <c r="AY68" s="52">
        <v>96.444444444444457</v>
      </c>
      <c r="AZ68" s="52">
        <v>52.000000000000036</v>
      </c>
      <c r="BA68" s="52">
        <v>52</v>
      </c>
      <c r="BB68" s="52">
        <v>0</v>
      </c>
      <c r="BC68" s="52">
        <v>52.000000000000014</v>
      </c>
      <c r="BD68" s="52">
        <v>49.999999999999986</v>
      </c>
      <c r="BE68" s="52">
        <v>85.25</v>
      </c>
      <c r="BF68" s="52">
        <v>52.000000000000007</v>
      </c>
      <c r="BG68" s="52">
        <v>52.000000000000043</v>
      </c>
      <c r="BH68" s="52">
        <v>30.999999999999996</v>
      </c>
      <c r="BI68" s="52">
        <v>51.999999999999972</v>
      </c>
      <c r="BJ68" s="52">
        <v>52</v>
      </c>
      <c r="BK68" s="52">
        <v>31.000000000000004</v>
      </c>
      <c r="BL68" s="52">
        <v>52.000000000000007</v>
      </c>
      <c r="BM68" s="52">
        <v>50.000000000000007</v>
      </c>
      <c r="BN68" s="52">
        <v>31.000000000000014</v>
      </c>
      <c r="BO68" s="52">
        <v>52.000000000000099</v>
      </c>
      <c r="BP68" s="52">
        <v>57.384615384615323</v>
      </c>
      <c r="BQ68" s="52">
        <v>31.000000000000007</v>
      </c>
      <c r="BR68" s="52">
        <v>52.000000000000014</v>
      </c>
      <c r="BS68" s="52">
        <v>51.999999999999986</v>
      </c>
      <c r="BT68" s="52">
        <v>31.000000000000004</v>
      </c>
      <c r="BU68" s="52">
        <v>52.000000000000036</v>
      </c>
      <c r="BV68" s="52">
        <v>52</v>
      </c>
      <c r="BW68" s="52">
        <v>31.000000000000004</v>
      </c>
    </row>
    <row r="69" spans="1:75" x14ac:dyDescent="0.3">
      <c r="A69" s="8" t="s">
        <v>103</v>
      </c>
      <c r="B69" s="8" t="s">
        <v>9</v>
      </c>
      <c r="C69" s="8" t="s">
        <v>110</v>
      </c>
      <c r="D69" s="52">
        <v>52.000000000000007</v>
      </c>
      <c r="E69" s="52">
        <v>49.999999999999979</v>
      </c>
      <c r="F69" s="52">
        <v>30.999999999999996</v>
      </c>
      <c r="G69" s="52">
        <v>58.888888888888843</v>
      </c>
      <c r="H69" s="52">
        <v>50.000000000000007</v>
      </c>
      <c r="I69" s="52">
        <v>31.000000000000007</v>
      </c>
      <c r="J69" s="52">
        <v>54</v>
      </c>
      <c r="K69" s="52">
        <v>49.999999999999993</v>
      </c>
      <c r="L69" s="52">
        <v>30.999999999999996</v>
      </c>
      <c r="M69" s="52">
        <v>54.000000000000021</v>
      </c>
      <c r="N69" s="52">
        <v>49.999999999999993</v>
      </c>
      <c r="O69" s="52">
        <v>31.000000000000004</v>
      </c>
      <c r="P69" s="52">
        <v>49.999999999999993</v>
      </c>
      <c r="Q69" s="52">
        <v>50.000000000000014</v>
      </c>
      <c r="R69" s="52">
        <v>31.000000000000007</v>
      </c>
      <c r="S69" s="52">
        <v>65.199999999999946</v>
      </c>
      <c r="T69" s="52">
        <v>49.999999999999922</v>
      </c>
      <c r="U69" s="52">
        <v>30.999999999999993</v>
      </c>
      <c r="V69" s="52">
        <v>50.000000000000014</v>
      </c>
      <c r="W69" s="52">
        <v>49.999999999999993</v>
      </c>
      <c r="X69" s="52">
        <v>30.999999999999996</v>
      </c>
      <c r="Y69" s="52">
        <v>49.999999999999908</v>
      </c>
      <c r="Z69" s="52">
        <v>30.999999999999993</v>
      </c>
      <c r="AA69" s="52">
        <v>30.999999999999996</v>
      </c>
      <c r="AB69" s="52">
        <v>50.000000000000007</v>
      </c>
      <c r="AC69" s="52">
        <v>49.999999999999986</v>
      </c>
      <c r="AD69" s="52">
        <v>30.999999999999996</v>
      </c>
      <c r="AE69" s="52">
        <v>49.999999999999993</v>
      </c>
      <c r="AF69" s="52">
        <v>31.000000000000004</v>
      </c>
      <c r="AG69" s="52">
        <v>31.000000000000004</v>
      </c>
      <c r="AH69" s="52">
        <v>51.999999999999986</v>
      </c>
      <c r="AI69" s="52">
        <v>52</v>
      </c>
      <c r="AJ69" s="52">
        <v>0</v>
      </c>
      <c r="AK69" s="52">
        <v>52.000000000000043</v>
      </c>
      <c r="AL69" s="52">
        <v>52.000000000000007</v>
      </c>
      <c r="AM69" s="52">
        <v>102.00000000000001</v>
      </c>
      <c r="AN69" s="52">
        <v>52.000000000000014</v>
      </c>
      <c r="AO69" s="52">
        <v>52.000000000000007</v>
      </c>
      <c r="AP69" s="52">
        <v>0</v>
      </c>
      <c r="AQ69" s="52">
        <v>52.000000000000021</v>
      </c>
      <c r="AR69" s="52">
        <v>52.000000000000007</v>
      </c>
      <c r="AS69" s="52">
        <v>106.77777777777779</v>
      </c>
      <c r="AT69" s="52">
        <v>31.000000000000004</v>
      </c>
      <c r="AU69" s="52">
        <v>52.000000000000007</v>
      </c>
      <c r="AV69" s="52">
        <v>30.999999999999996</v>
      </c>
      <c r="AW69" s="52">
        <v>120.44444444444461</v>
      </c>
      <c r="AX69" s="52">
        <v>52.000000000000107</v>
      </c>
      <c r="AY69" s="52">
        <v>96.444444444444457</v>
      </c>
      <c r="AZ69" s="52">
        <v>52.000000000000021</v>
      </c>
      <c r="BA69" s="52">
        <v>52.000000000000014</v>
      </c>
      <c r="BB69" s="52">
        <v>0</v>
      </c>
      <c r="BC69" s="52">
        <v>52.000000000000014</v>
      </c>
      <c r="BD69" s="52">
        <v>49.999999999999986</v>
      </c>
      <c r="BE69" s="52">
        <v>85.249999999999986</v>
      </c>
      <c r="BF69" s="52">
        <v>52.000000000000007</v>
      </c>
      <c r="BG69" s="52">
        <v>52.000000000000036</v>
      </c>
      <c r="BH69" s="52">
        <v>30.999999999999996</v>
      </c>
      <c r="BI69" s="52">
        <v>51.999999999999979</v>
      </c>
      <c r="BJ69" s="52">
        <v>52</v>
      </c>
      <c r="BK69" s="52">
        <v>31.000000000000004</v>
      </c>
      <c r="BL69" s="52">
        <v>52.000000000000007</v>
      </c>
      <c r="BM69" s="52">
        <v>50.000000000000007</v>
      </c>
      <c r="BN69" s="52">
        <v>31.000000000000014</v>
      </c>
      <c r="BO69" s="52">
        <v>52.000000000000078</v>
      </c>
      <c r="BP69" s="52">
        <v>57.384615384615323</v>
      </c>
      <c r="BQ69" s="52">
        <v>30.999999999999975</v>
      </c>
      <c r="BR69" s="52">
        <v>52.000000000000007</v>
      </c>
      <c r="BS69" s="52">
        <v>52</v>
      </c>
      <c r="BT69" s="52">
        <v>31.000000000000004</v>
      </c>
      <c r="BU69" s="52">
        <v>52.000000000000021</v>
      </c>
      <c r="BV69" s="52">
        <v>52</v>
      </c>
      <c r="BW69" s="52">
        <v>31.000000000000004</v>
      </c>
    </row>
    <row r="70" spans="1:75" x14ac:dyDescent="0.3">
      <c r="A70" s="8" t="s">
        <v>103</v>
      </c>
      <c r="B70" s="8" t="s">
        <v>9</v>
      </c>
      <c r="C70" s="8" t="s">
        <v>111</v>
      </c>
      <c r="D70" s="52">
        <v>51.999999999999972</v>
      </c>
      <c r="E70" s="52">
        <v>49.999999999999979</v>
      </c>
      <c r="F70" s="52">
        <v>30.999999999999996</v>
      </c>
      <c r="G70" s="52">
        <v>58.888888888888843</v>
      </c>
      <c r="H70" s="52">
        <v>50.000000000000007</v>
      </c>
      <c r="I70" s="52">
        <v>31.000000000000007</v>
      </c>
      <c r="J70" s="52">
        <v>54</v>
      </c>
      <c r="K70" s="52">
        <v>49.999999999999993</v>
      </c>
      <c r="L70" s="52">
        <v>30.999999999999996</v>
      </c>
      <c r="M70" s="52">
        <v>54.000000000000021</v>
      </c>
      <c r="N70" s="52">
        <v>49.999999999999993</v>
      </c>
      <c r="O70" s="52">
        <v>31.000000000000004</v>
      </c>
      <c r="P70" s="52">
        <v>49.999999999999993</v>
      </c>
      <c r="Q70" s="52">
        <v>50.000000000000007</v>
      </c>
      <c r="R70" s="52">
        <v>31.000000000000007</v>
      </c>
      <c r="S70" s="52">
        <v>65.199999999999946</v>
      </c>
      <c r="T70" s="52">
        <v>49.999999999999922</v>
      </c>
      <c r="U70" s="52">
        <v>31.000000000000004</v>
      </c>
      <c r="V70" s="52">
        <v>50.000000000000007</v>
      </c>
      <c r="W70" s="52">
        <v>49.999999999999993</v>
      </c>
      <c r="X70" s="52">
        <v>30.999999999999993</v>
      </c>
      <c r="Y70" s="52">
        <v>49.999999999999908</v>
      </c>
      <c r="Z70" s="52">
        <v>30.999999999999993</v>
      </c>
      <c r="AA70" s="52">
        <v>30.999999999999993</v>
      </c>
      <c r="AB70" s="52">
        <v>50.000000000000007</v>
      </c>
      <c r="AC70" s="52">
        <v>49.999999999999993</v>
      </c>
      <c r="AD70" s="52">
        <v>30.999999999999996</v>
      </c>
      <c r="AE70" s="52">
        <v>49.999999999999993</v>
      </c>
      <c r="AF70" s="52">
        <v>31.000000000000004</v>
      </c>
      <c r="AG70" s="52">
        <v>31.000000000000004</v>
      </c>
      <c r="AH70" s="52">
        <v>51.999999999999986</v>
      </c>
      <c r="AI70" s="52">
        <v>52</v>
      </c>
      <c r="AJ70" s="52">
        <v>0</v>
      </c>
      <c r="AK70" s="52">
        <v>52.000000000000043</v>
      </c>
      <c r="AL70" s="52">
        <v>52.000000000000007</v>
      </c>
      <c r="AM70" s="52">
        <v>102.00000000000001</v>
      </c>
      <c r="AN70" s="52">
        <v>52.000000000000014</v>
      </c>
      <c r="AO70" s="52">
        <v>52.000000000000007</v>
      </c>
      <c r="AP70" s="52">
        <v>0</v>
      </c>
      <c r="AQ70" s="52">
        <v>52.000000000000007</v>
      </c>
      <c r="AR70" s="52">
        <v>52.000000000000007</v>
      </c>
      <c r="AS70" s="52">
        <v>106.77777777777779</v>
      </c>
      <c r="AT70" s="52">
        <v>31.000000000000004</v>
      </c>
      <c r="AU70" s="52">
        <v>52.000000000000007</v>
      </c>
      <c r="AV70" s="52">
        <v>30.999999999999993</v>
      </c>
      <c r="AW70" s="52">
        <v>120.44444444444464</v>
      </c>
      <c r="AX70" s="52">
        <v>52.000000000000121</v>
      </c>
      <c r="AY70" s="52">
        <v>96.444444444444457</v>
      </c>
      <c r="AZ70" s="52">
        <v>52.000000000000021</v>
      </c>
      <c r="BA70" s="52">
        <v>52.000000000000043</v>
      </c>
      <c r="BB70" s="52">
        <v>0</v>
      </c>
      <c r="BC70" s="52">
        <v>52.000000000000014</v>
      </c>
      <c r="BD70" s="52">
        <v>49.999999999999993</v>
      </c>
      <c r="BE70" s="52">
        <v>85.249999999999986</v>
      </c>
      <c r="BF70" s="52">
        <v>52.000000000000021</v>
      </c>
      <c r="BG70" s="52">
        <v>52.000000000000036</v>
      </c>
      <c r="BH70" s="52">
        <v>30.999999999999993</v>
      </c>
      <c r="BI70" s="52">
        <v>51.999999999999979</v>
      </c>
      <c r="BJ70" s="52">
        <v>52</v>
      </c>
      <c r="BK70" s="52">
        <v>30.999999999999993</v>
      </c>
      <c r="BL70" s="52">
        <v>52.000000000000007</v>
      </c>
      <c r="BM70" s="52">
        <v>50.000000000000007</v>
      </c>
      <c r="BN70" s="52">
        <v>31.000000000000014</v>
      </c>
      <c r="BO70" s="52">
        <v>52.000000000000078</v>
      </c>
      <c r="BP70" s="52">
        <v>57.384615384615323</v>
      </c>
      <c r="BQ70" s="52">
        <v>31.000000000000004</v>
      </c>
      <c r="BR70" s="52">
        <v>52.000000000000014</v>
      </c>
      <c r="BS70" s="52">
        <v>51.999999999999979</v>
      </c>
      <c r="BT70" s="52">
        <v>30.999999999999996</v>
      </c>
      <c r="BU70" s="52">
        <v>52.000000000000021</v>
      </c>
      <c r="BV70" s="52">
        <v>52</v>
      </c>
      <c r="BW70" s="52">
        <v>30.999999999999993</v>
      </c>
    </row>
    <row r="71" spans="1:75" x14ac:dyDescent="0.3">
      <c r="A71" s="8" t="s">
        <v>103</v>
      </c>
      <c r="B71" s="8" t="s">
        <v>9</v>
      </c>
      <c r="C71" s="8" t="s">
        <v>112</v>
      </c>
      <c r="D71" s="52">
        <v>51.999999999999972</v>
      </c>
      <c r="E71" s="52">
        <v>49.999999999999979</v>
      </c>
      <c r="F71" s="52">
        <v>30.999999999999996</v>
      </c>
      <c r="G71" s="52">
        <v>58.888888888888843</v>
      </c>
      <c r="H71" s="52">
        <v>50.000000000000007</v>
      </c>
      <c r="I71" s="52">
        <v>31.000000000000007</v>
      </c>
      <c r="J71" s="52">
        <v>54</v>
      </c>
      <c r="K71" s="52">
        <v>49.999999999999993</v>
      </c>
      <c r="L71" s="52">
        <v>30.999999999999996</v>
      </c>
      <c r="M71" s="52">
        <v>54.000000000000021</v>
      </c>
      <c r="N71" s="52">
        <v>49.999999999999993</v>
      </c>
      <c r="O71" s="52">
        <v>31.000000000000004</v>
      </c>
      <c r="P71" s="52">
        <v>49.999999999999993</v>
      </c>
      <c r="Q71" s="52">
        <v>50.000000000000007</v>
      </c>
      <c r="R71" s="52">
        <v>31.000000000000007</v>
      </c>
      <c r="S71" s="52">
        <v>65.199999999999946</v>
      </c>
      <c r="T71" s="52">
        <v>49.999999999999922</v>
      </c>
      <c r="U71" s="52">
        <v>31.000000000000004</v>
      </c>
      <c r="V71" s="52">
        <v>50.000000000000007</v>
      </c>
      <c r="W71" s="52">
        <v>49.999999999999993</v>
      </c>
      <c r="X71" s="52">
        <v>30.999999999999993</v>
      </c>
      <c r="Y71" s="52">
        <v>49.999999999999908</v>
      </c>
      <c r="Z71" s="52">
        <v>30.999999999999993</v>
      </c>
      <c r="AA71" s="52">
        <v>30.999999999999993</v>
      </c>
      <c r="AB71" s="52">
        <v>50.000000000000007</v>
      </c>
      <c r="AC71" s="52">
        <v>49.999999999999993</v>
      </c>
      <c r="AD71" s="52">
        <v>30.999999999999996</v>
      </c>
      <c r="AE71" s="52">
        <v>49.999999999999993</v>
      </c>
      <c r="AF71" s="52">
        <v>31.000000000000004</v>
      </c>
      <c r="AG71" s="52">
        <v>31.000000000000004</v>
      </c>
      <c r="AH71" s="52">
        <v>51.999999999999986</v>
      </c>
      <c r="AI71" s="52">
        <v>52</v>
      </c>
      <c r="AJ71" s="52">
        <v>0</v>
      </c>
      <c r="AK71" s="52">
        <v>52.000000000000043</v>
      </c>
      <c r="AL71" s="52">
        <v>52.000000000000007</v>
      </c>
      <c r="AM71" s="52">
        <v>102.00000000000001</v>
      </c>
      <c r="AN71" s="52">
        <v>52.000000000000014</v>
      </c>
      <c r="AO71" s="52">
        <v>52.000000000000007</v>
      </c>
      <c r="AP71" s="52">
        <v>0</v>
      </c>
      <c r="AQ71" s="52">
        <v>52.000000000000007</v>
      </c>
      <c r="AR71" s="52">
        <v>52.000000000000007</v>
      </c>
      <c r="AS71" s="52">
        <v>106.77777777777779</v>
      </c>
      <c r="AT71" s="52">
        <v>31.000000000000004</v>
      </c>
      <c r="AU71" s="52">
        <v>52.000000000000007</v>
      </c>
      <c r="AV71" s="52">
        <v>30.999999999999993</v>
      </c>
      <c r="AW71" s="52">
        <v>120.44444444444464</v>
      </c>
      <c r="AX71" s="52">
        <v>52.000000000000121</v>
      </c>
      <c r="AY71" s="52">
        <v>96.444444444444457</v>
      </c>
      <c r="AZ71" s="52">
        <v>52.000000000000021</v>
      </c>
      <c r="BA71" s="52">
        <v>52.000000000000043</v>
      </c>
      <c r="BB71" s="52">
        <v>0</v>
      </c>
      <c r="BC71" s="52">
        <v>52.000000000000014</v>
      </c>
      <c r="BD71" s="52">
        <v>49.999999999999993</v>
      </c>
      <c r="BE71" s="52">
        <v>85.249999999999986</v>
      </c>
      <c r="BF71" s="52">
        <v>52.000000000000021</v>
      </c>
      <c r="BG71" s="52">
        <v>52.000000000000036</v>
      </c>
      <c r="BH71" s="52">
        <v>30.999999999999993</v>
      </c>
      <c r="BI71" s="52">
        <v>51.999999999999979</v>
      </c>
      <c r="BJ71" s="52">
        <v>52</v>
      </c>
      <c r="BK71" s="52">
        <v>30.999999999999993</v>
      </c>
      <c r="BL71" s="52">
        <v>52.000000000000007</v>
      </c>
      <c r="BM71" s="52">
        <v>50.000000000000007</v>
      </c>
      <c r="BN71" s="52">
        <v>31.000000000000014</v>
      </c>
      <c r="BO71" s="52">
        <v>52.000000000000078</v>
      </c>
      <c r="BP71" s="52">
        <v>57.384615384615323</v>
      </c>
      <c r="BQ71" s="52">
        <v>31.000000000000004</v>
      </c>
      <c r="BR71" s="52">
        <v>52.000000000000014</v>
      </c>
      <c r="BS71" s="52">
        <v>51.999999999999979</v>
      </c>
      <c r="BT71" s="52">
        <v>30.999999999999996</v>
      </c>
      <c r="BU71" s="52">
        <v>52.000000000000021</v>
      </c>
      <c r="BV71" s="52">
        <v>52</v>
      </c>
      <c r="BW71" s="52">
        <v>30.999999999999993</v>
      </c>
    </row>
    <row r="72" spans="1:75" x14ac:dyDescent="0.3">
      <c r="A72" s="8" t="s">
        <v>103</v>
      </c>
      <c r="B72" s="8" t="s">
        <v>9</v>
      </c>
      <c r="C72" s="8" t="s">
        <v>115</v>
      </c>
      <c r="D72" s="52">
        <v>52.000000000000036</v>
      </c>
      <c r="E72" s="52">
        <v>49.999999999999979</v>
      </c>
      <c r="F72" s="52">
        <v>31.000000000000007</v>
      </c>
      <c r="G72" s="52">
        <v>58.888888888888843</v>
      </c>
      <c r="H72" s="52">
        <v>50.000000000000007</v>
      </c>
      <c r="I72" s="52">
        <v>31.000000000000007</v>
      </c>
      <c r="J72" s="52">
        <v>54</v>
      </c>
      <c r="K72" s="52">
        <v>49.999999999999993</v>
      </c>
      <c r="L72" s="52">
        <v>30.999999999999996</v>
      </c>
      <c r="M72" s="52">
        <v>54.000000000000021</v>
      </c>
      <c r="N72" s="52">
        <v>49.999999999999993</v>
      </c>
      <c r="O72" s="52">
        <v>31.000000000000007</v>
      </c>
      <c r="P72" s="52">
        <v>49.999999999999993</v>
      </c>
      <c r="Q72" s="52">
        <v>50.000000000000014</v>
      </c>
      <c r="R72" s="52">
        <v>31.000000000000007</v>
      </c>
      <c r="S72" s="52">
        <v>65.199999999999932</v>
      </c>
      <c r="T72" s="52">
        <v>49.999999999999957</v>
      </c>
      <c r="U72" s="52">
        <v>31.000000000000004</v>
      </c>
      <c r="V72" s="52">
        <v>50.000000000000014</v>
      </c>
      <c r="W72" s="52">
        <v>49.999999999999993</v>
      </c>
      <c r="X72" s="52">
        <v>31.000000000000004</v>
      </c>
      <c r="Y72" s="52">
        <v>49.999999999999908</v>
      </c>
      <c r="Z72" s="52">
        <v>30.999999999999993</v>
      </c>
      <c r="AA72" s="52">
        <v>30.999999999999996</v>
      </c>
      <c r="AB72" s="52">
        <v>50.000000000000007</v>
      </c>
      <c r="AC72" s="52">
        <v>49.999999999999986</v>
      </c>
      <c r="AD72" s="52">
        <v>31.000000000000007</v>
      </c>
      <c r="AE72" s="52">
        <v>49.999999999999993</v>
      </c>
      <c r="AF72" s="52">
        <v>31.000000000000007</v>
      </c>
      <c r="AG72" s="52">
        <v>31.000000000000004</v>
      </c>
      <c r="AH72" s="52">
        <v>52.000000000000007</v>
      </c>
      <c r="AI72" s="52">
        <v>52</v>
      </c>
      <c r="AJ72" s="52">
        <v>0</v>
      </c>
      <c r="AK72" s="52">
        <v>52.000000000000036</v>
      </c>
      <c r="AL72" s="52">
        <v>52</v>
      </c>
      <c r="AM72" s="52">
        <v>102.00000000000001</v>
      </c>
      <c r="AN72" s="52">
        <v>52.000000000000021</v>
      </c>
      <c r="AO72" s="52">
        <v>52.000000000000007</v>
      </c>
      <c r="AP72" s="52">
        <v>0</v>
      </c>
      <c r="AQ72" s="52">
        <v>52.000000000000036</v>
      </c>
      <c r="AR72" s="52">
        <v>52.000000000000007</v>
      </c>
      <c r="AS72" s="52">
        <v>106.7777777777778</v>
      </c>
      <c r="AT72" s="52">
        <v>31.000000000000011</v>
      </c>
      <c r="AU72" s="52">
        <v>52.000000000000014</v>
      </c>
      <c r="AV72" s="52">
        <v>30.999999999999996</v>
      </c>
      <c r="AW72" s="52">
        <v>120.44444444444461</v>
      </c>
      <c r="AX72" s="52">
        <v>52.000000000000121</v>
      </c>
      <c r="AY72" s="52">
        <v>96.444444444444457</v>
      </c>
      <c r="AZ72" s="52">
        <v>52.000000000000036</v>
      </c>
      <c r="BA72" s="52">
        <v>52</v>
      </c>
      <c r="BB72" s="52">
        <v>0</v>
      </c>
      <c r="BC72" s="52">
        <v>52.000000000000014</v>
      </c>
      <c r="BD72" s="52">
        <v>49.999999999999986</v>
      </c>
      <c r="BE72" s="52">
        <v>85.25</v>
      </c>
      <c r="BF72" s="52">
        <v>52</v>
      </c>
      <c r="BG72" s="52">
        <v>52.000000000000043</v>
      </c>
      <c r="BH72" s="52">
        <v>30.999999999999996</v>
      </c>
      <c r="BI72" s="52">
        <v>51.999999999999972</v>
      </c>
      <c r="BJ72" s="52">
        <v>52</v>
      </c>
      <c r="BK72" s="52">
        <v>31.000000000000004</v>
      </c>
      <c r="BL72" s="52">
        <v>52.000000000000007</v>
      </c>
      <c r="BM72" s="52">
        <v>50.000000000000007</v>
      </c>
      <c r="BN72" s="52">
        <v>31.000000000000014</v>
      </c>
      <c r="BO72" s="52">
        <v>52.000000000000099</v>
      </c>
      <c r="BP72" s="52">
        <v>57.384615384615323</v>
      </c>
      <c r="BQ72" s="52">
        <v>31.000000000000007</v>
      </c>
      <c r="BR72" s="52">
        <v>52.000000000000014</v>
      </c>
      <c r="BS72" s="52">
        <v>51.999999999999986</v>
      </c>
      <c r="BT72" s="52">
        <v>31.000000000000007</v>
      </c>
      <c r="BU72" s="52">
        <v>52.000000000000036</v>
      </c>
      <c r="BV72" s="52">
        <v>52</v>
      </c>
      <c r="BW72" s="52">
        <v>31.000000000000004</v>
      </c>
    </row>
    <row r="73" spans="1:75" x14ac:dyDescent="0.3">
      <c r="A73" s="8" t="s">
        <v>103</v>
      </c>
      <c r="B73" s="8" t="s">
        <v>9</v>
      </c>
      <c r="C73" s="8" t="s">
        <v>116</v>
      </c>
      <c r="D73" s="52">
        <v>52.000000000000036</v>
      </c>
      <c r="E73" s="52">
        <v>49.999999999999979</v>
      </c>
      <c r="F73" s="52">
        <v>31.000000000000007</v>
      </c>
      <c r="G73" s="52">
        <v>58.888888888888843</v>
      </c>
      <c r="H73" s="52">
        <v>50.000000000000007</v>
      </c>
      <c r="I73" s="52">
        <v>31.000000000000007</v>
      </c>
      <c r="J73" s="52">
        <v>54</v>
      </c>
      <c r="K73" s="52">
        <v>49.999999999999993</v>
      </c>
      <c r="L73" s="52">
        <v>30.999999999999996</v>
      </c>
      <c r="M73" s="52">
        <v>54.000000000000021</v>
      </c>
      <c r="N73" s="52">
        <v>49.999999999999993</v>
      </c>
      <c r="O73" s="52">
        <v>31.000000000000007</v>
      </c>
      <c r="P73" s="52">
        <v>49.999999999999993</v>
      </c>
      <c r="Q73" s="52">
        <v>50.000000000000014</v>
      </c>
      <c r="R73" s="52">
        <v>31.000000000000007</v>
      </c>
      <c r="S73" s="52">
        <v>65.199999999999932</v>
      </c>
      <c r="T73" s="52">
        <v>49.999999999999957</v>
      </c>
      <c r="U73" s="52">
        <v>31.000000000000004</v>
      </c>
      <c r="V73" s="52">
        <v>50.000000000000014</v>
      </c>
      <c r="W73" s="52">
        <v>49.999999999999993</v>
      </c>
      <c r="X73" s="52">
        <v>31.000000000000004</v>
      </c>
      <c r="Y73" s="52">
        <v>49.999999999999908</v>
      </c>
      <c r="Z73" s="52">
        <v>30.999999999999993</v>
      </c>
      <c r="AA73" s="52">
        <v>30.999999999999996</v>
      </c>
      <c r="AB73" s="52">
        <v>50.000000000000007</v>
      </c>
      <c r="AC73" s="52">
        <v>49.999999999999986</v>
      </c>
      <c r="AD73" s="52">
        <v>31.000000000000007</v>
      </c>
      <c r="AE73" s="52">
        <v>49.999999999999993</v>
      </c>
      <c r="AF73" s="52">
        <v>31.000000000000007</v>
      </c>
      <c r="AG73" s="52">
        <v>31.000000000000004</v>
      </c>
      <c r="AH73" s="52">
        <v>52</v>
      </c>
      <c r="AI73" s="52">
        <v>52</v>
      </c>
      <c r="AJ73" s="52">
        <v>0</v>
      </c>
      <c r="AK73" s="52">
        <v>52.000000000000036</v>
      </c>
      <c r="AL73" s="52">
        <v>52</v>
      </c>
      <c r="AM73" s="52">
        <v>102.00000000000001</v>
      </c>
      <c r="AN73" s="52">
        <v>52.000000000000014</v>
      </c>
      <c r="AO73" s="52">
        <v>52.000000000000007</v>
      </c>
      <c r="AP73" s="52">
        <v>0</v>
      </c>
      <c r="AQ73" s="52">
        <v>52.000000000000036</v>
      </c>
      <c r="AR73" s="52">
        <v>52.000000000000007</v>
      </c>
      <c r="AS73" s="52">
        <v>106.7777777777778</v>
      </c>
      <c r="AT73" s="52">
        <v>31.000000000000011</v>
      </c>
      <c r="AU73" s="52">
        <v>52.000000000000007</v>
      </c>
      <c r="AV73" s="52">
        <v>30.999999999999996</v>
      </c>
      <c r="AW73" s="52">
        <v>120.44444444444461</v>
      </c>
      <c r="AX73" s="52">
        <v>52.000000000000043</v>
      </c>
      <c r="AY73" s="52">
        <v>96.444444444444457</v>
      </c>
      <c r="AZ73" s="52">
        <v>52.000000000000014</v>
      </c>
      <c r="BA73" s="52">
        <v>52.000000000000341</v>
      </c>
      <c r="BB73" s="52">
        <v>0</v>
      </c>
      <c r="BC73" s="52">
        <v>52.000000000000014</v>
      </c>
      <c r="BD73" s="52">
        <v>49.999999999999986</v>
      </c>
      <c r="BE73" s="52">
        <v>85.25</v>
      </c>
      <c r="BF73" s="52">
        <v>52</v>
      </c>
      <c r="BG73" s="52">
        <v>52.000000000000021</v>
      </c>
      <c r="BH73" s="52">
        <v>30.999999999999996</v>
      </c>
      <c r="BI73" s="52">
        <v>51.999999999999972</v>
      </c>
      <c r="BJ73" s="52">
        <v>52</v>
      </c>
      <c r="BK73" s="52">
        <v>31.000000000000004</v>
      </c>
      <c r="BL73" s="52">
        <v>52.000000000000007</v>
      </c>
      <c r="BM73" s="52">
        <v>50.000000000000007</v>
      </c>
      <c r="BN73" s="52">
        <v>31.000000000000014</v>
      </c>
      <c r="BO73" s="52">
        <v>52.000000000000078</v>
      </c>
      <c r="BP73" s="52">
        <v>57.384615384615323</v>
      </c>
      <c r="BQ73" s="52">
        <v>31.000000000000007</v>
      </c>
      <c r="BR73" s="52">
        <v>52.000000000000014</v>
      </c>
      <c r="BS73" s="52">
        <v>51.999999999999986</v>
      </c>
      <c r="BT73" s="52">
        <v>31.000000000000007</v>
      </c>
      <c r="BU73" s="52">
        <v>52.000000000000036</v>
      </c>
      <c r="BV73" s="52">
        <v>52</v>
      </c>
      <c r="BW73" s="52">
        <v>31.000000000000004</v>
      </c>
    </row>
    <row r="74" spans="1:75" x14ac:dyDescent="0.3">
      <c r="A74" s="8" t="s">
        <v>103</v>
      </c>
      <c r="B74" s="8" t="s">
        <v>9</v>
      </c>
      <c r="C74" s="8" t="s">
        <v>117</v>
      </c>
      <c r="D74" s="52">
        <v>52.000000000000036</v>
      </c>
      <c r="E74" s="52">
        <v>49.999999999999979</v>
      </c>
      <c r="F74" s="52">
        <v>31.000000000000007</v>
      </c>
      <c r="G74" s="52">
        <v>58.888888888888843</v>
      </c>
      <c r="H74" s="52">
        <v>50.000000000000007</v>
      </c>
      <c r="I74" s="52">
        <v>31.000000000000007</v>
      </c>
      <c r="J74" s="52">
        <v>54</v>
      </c>
      <c r="K74" s="52">
        <v>49.999999999999993</v>
      </c>
      <c r="L74" s="52">
        <v>30.999999999999996</v>
      </c>
      <c r="M74" s="52">
        <v>54.000000000000021</v>
      </c>
      <c r="N74" s="52">
        <v>49.999999999999993</v>
      </c>
      <c r="O74" s="52">
        <v>31.000000000000007</v>
      </c>
      <c r="P74" s="52">
        <v>49.999999999999993</v>
      </c>
      <c r="Q74" s="52">
        <v>50.000000000000014</v>
      </c>
      <c r="R74" s="52">
        <v>31.000000000000007</v>
      </c>
      <c r="S74" s="52">
        <v>65.199999999999932</v>
      </c>
      <c r="T74" s="52">
        <v>49.999999999999957</v>
      </c>
      <c r="U74" s="52">
        <v>31.000000000000004</v>
      </c>
      <c r="V74" s="52">
        <v>50.000000000000014</v>
      </c>
      <c r="W74" s="52">
        <v>49.999999999999993</v>
      </c>
      <c r="X74" s="52">
        <v>31.000000000000004</v>
      </c>
      <c r="Y74" s="52">
        <v>49.999999999999908</v>
      </c>
      <c r="Z74" s="52">
        <v>30.999999999999993</v>
      </c>
      <c r="AA74" s="52">
        <v>30.999999999999996</v>
      </c>
      <c r="AB74" s="52">
        <v>50.000000000000007</v>
      </c>
      <c r="AC74" s="52">
        <v>49.999999999999986</v>
      </c>
      <c r="AD74" s="52">
        <v>31.000000000000007</v>
      </c>
      <c r="AE74" s="52">
        <v>49.999999999999993</v>
      </c>
      <c r="AF74" s="52">
        <v>31.000000000000007</v>
      </c>
      <c r="AG74" s="52">
        <v>31.000000000000004</v>
      </c>
      <c r="AH74" s="52">
        <v>52</v>
      </c>
      <c r="AI74" s="52">
        <v>52</v>
      </c>
      <c r="AJ74" s="52">
        <v>0</v>
      </c>
      <c r="AK74" s="52">
        <v>52.000000000000036</v>
      </c>
      <c r="AL74" s="52">
        <v>52</v>
      </c>
      <c r="AM74" s="52">
        <v>102.00000000000001</v>
      </c>
      <c r="AN74" s="52">
        <v>52.000000000000014</v>
      </c>
      <c r="AO74" s="52">
        <v>52.000000000000007</v>
      </c>
      <c r="AP74" s="52">
        <v>0</v>
      </c>
      <c r="AQ74" s="52">
        <v>52.000000000000036</v>
      </c>
      <c r="AR74" s="52">
        <v>52.000000000000007</v>
      </c>
      <c r="AS74" s="52">
        <v>106.7777777777778</v>
      </c>
      <c r="AT74" s="52">
        <v>31.000000000000011</v>
      </c>
      <c r="AU74" s="52">
        <v>52.000000000000007</v>
      </c>
      <c r="AV74" s="52">
        <v>30.999999999999996</v>
      </c>
      <c r="AW74" s="52">
        <v>120.44444444444461</v>
      </c>
      <c r="AX74" s="52">
        <v>52.000000000000043</v>
      </c>
      <c r="AY74" s="52">
        <v>96.444444444444457</v>
      </c>
      <c r="AZ74" s="52">
        <v>52.000000000000014</v>
      </c>
      <c r="BA74" s="52">
        <v>52.000000000000043</v>
      </c>
      <c r="BB74" s="52">
        <v>0</v>
      </c>
      <c r="BC74" s="52">
        <v>52.000000000000014</v>
      </c>
      <c r="BD74" s="52">
        <v>49.999999999999986</v>
      </c>
      <c r="BE74" s="52">
        <v>85.25</v>
      </c>
      <c r="BF74" s="52">
        <v>52</v>
      </c>
      <c r="BG74" s="52">
        <v>52.000000000000021</v>
      </c>
      <c r="BH74" s="52">
        <v>30.999999999999996</v>
      </c>
      <c r="BI74" s="52">
        <v>51.999999999999972</v>
      </c>
      <c r="BJ74" s="52">
        <v>52</v>
      </c>
      <c r="BK74" s="52">
        <v>31.000000000000004</v>
      </c>
      <c r="BL74" s="52">
        <v>52.000000000000007</v>
      </c>
      <c r="BM74" s="52">
        <v>50.000000000000007</v>
      </c>
      <c r="BN74" s="52">
        <v>31.000000000000014</v>
      </c>
      <c r="BO74" s="52">
        <v>52.000000000000078</v>
      </c>
      <c r="BP74" s="52">
        <v>57.384615384615323</v>
      </c>
      <c r="BQ74" s="52">
        <v>31.000000000000007</v>
      </c>
      <c r="BR74" s="52">
        <v>52.000000000000014</v>
      </c>
      <c r="BS74" s="52">
        <v>51.999999999999986</v>
      </c>
      <c r="BT74" s="52">
        <v>31.000000000000007</v>
      </c>
      <c r="BU74" s="52">
        <v>52.000000000000036</v>
      </c>
      <c r="BV74" s="52">
        <v>52</v>
      </c>
      <c r="BW74" s="52">
        <v>31.000000000000004</v>
      </c>
    </row>
    <row r="75" spans="1:75" x14ac:dyDescent="0.3">
      <c r="A75" s="8" t="s">
        <v>103</v>
      </c>
      <c r="B75" s="8" t="s">
        <v>9</v>
      </c>
      <c r="C75" s="8" t="s">
        <v>118</v>
      </c>
      <c r="D75" s="52">
        <v>52.000000000000036</v>
      </c>
      <c r="E75" s="52">
        <v>49.999999999999979</v>
      </c>
      <c r="F75" s="52">
        <v>31.000000000000007</v>
      </c>
      <c r="G75" s="52">
        <v>58.888888888888843</v>
      </c>
      <c r="H75" s="52">
        <v>50.000000000000007</v>
      </c>
      <c r="I75" s="52">
        <v>31.000000000000007</v>
      </c>
      <c r="J75" s="52">
        <v>54</v>
      </c>
      <c r="K75" s="52">
        <v>49.999999999999993</v>
      </c>
      <c r="L75" s="52">
        <v>30.999999999999996</v>
      </c>
      <c r="M75" s="52">
        <v>54.000000000000021</v>
      </c>
      <c r="N75" s="52">
        <v>49.999999999999993</v>
      </c>
      <c r="O75" s="52">
        <v>31.000000000000007</v>
      </c>
      <c r="P75" s="52">
        <v>49.999999999999993</v>
      </c>
      <c r="Q75" s="52">
        <v>50.000000000000014</v>
      </c>
      <c r="R75" s="52">
        <v>31.000000000000007</v>
      </c>
      <c r="S75" s="52">
        <v>65.199999999999932</v>
      </c>
      <c r="T75" s="52">
        <v>49.999999999999957</v>
      </c>
      <c r="U75" s="52">
        <v>31.000000000000004</v>
      </c>
      <c r="V75" s="52">
        <v>50.000000000000014</v>
      </c>
      <c r="W75" s="52">
        <v>49.999999999999993</v>
      </c>
      <c r="X75" s="52">
        <v>31.000000000000004</v>
      </c>
      <c r="Y75" s="52">
        <v>49.999999999999908</v>
      </c>
      <c r="Z75" s="52">
        <v>30.999999999999993</v>
      </c>
      <c r="AA75" s="52">
        <v>30.999999999999996</v>
      </c>
      <c r="AB75" s="52">
        <v>50.000000000000007</v>
      </c>
      <c r="AC75" s="52">
        <v>49.999999999999986</v>
      </c>
      <c r="AD75" s="52">
        <v>31.000000000000007</v>
      </c>
      <c r="AE75" s="52">
        <v>49.999999999999993</v>
      </c>
      <c r="AF75" s="52">
        <v>31.000000000000007</v>
      </c>
      <c r="AG75" s="52">
        <v>31.000000000000004</v>
      </c>
      <c r="AH75" s="52">
        <v>52</v>
      </c>
      <c r="AI75" s="52">
        <v>52</v>
      </c>
      <c r="AJ75" s="52">
        <v>0</v>
      </c>
      <c r="AK75" s="52">
        <v>52.000000000000036</v>
      </c>
      <c r="AL75" s="52">
        <v>52</v>
      </c>
      <c r="AM75" s="52">
        <v>102.00000000000001</v>
      </c>
      <c r="AN75" s="52">
        <v>52.000000000000014</v>
      </c>
      <c r="AO75" s="52">
        <v>52.000000000000007</v>
      </c>
      <c r="AP75" s="52">
        <v>0</v>
      </c>
      <c r="AQ75" s="52">
        <v>52.000000000000036</v>
      </c>
      <c r="AR75" s="52">
        <v>52.000000000000007</v>
      </c>
      <c r="AS75" s="52">
        <v>106.7777777777778</v>
      </c>
      <c r="AT75" s="52">
        <v>31.000000000000011</v>
      </c>
      <c r="AU75" s="52">
        <v>52.000000000000007</v>
      </c>
      <c r="AV75" s="52">
        <v>30.999999999999996</v>
      </c>
      <c r="AW75" s="52">
        <v>120.44444444444461</v>
      </c>
      <c r="AX75" s="52">
        <v>52.000000000000043</v>
      </c>
      <c r="AY75" s="52">
        <v>96.444444444444457</v>
      </c>
      <c r="AZ75" s="52">
        <v>52.000000000000014</v>
      </c>
      <c r="BA75" s="52">
        <v>52.000000000000043</v>
      </c>
      <c r="BB75" s="52">
        <v>0</v>
      </c>
      <c r="BC75" s="52">
        <v>52.000000000000014</v>
      </c>
      <c r="BD75" s="52">
        <v>49.999999999999986</v>
      </c>
      <c r="BE75" s="52">
        <v>85.25</v>
      </c>
      <c r="BF75" s="52">
        <v>52</v>
      </c>
      <c r="BG75" s="52">
        <v>52.000000000000021</v>
      </c>
      <c r="BH75" s="52">
        <v>30.999999999999996</v>
      </c>
      <c r="BI75" s="52">
        <v>51.999999999999972</v>
      </c>
      <c r="BJ75" s="52">
        <v>52</v>
      </c>
      <c r="BK75" s="52">
        <v>31.000000000000004</v>
      </c>
      <c r="BL75" s="52">
        <v>52.000000000000007</v>
      </c>
      <c r="BM75" s="52">
        <v>50.000000000000007</v>
      </c>
      <c r="BN75" s="52">
        <v>31.000000000000014</v>
      </c>
      <c r="BO75" s="52">
        <v>52.000000000000078</v>
      </c>
      <c r="BP75" s="52">
        <v>57.384615384615323</v>
      </c>
      <c r="BQ75" s="52">
        <v>31.000000000000007</v>
      </c>
      <c r="BR75" s="52">
        <v>52.000000000000014</v>
      </c>
      <c r="BS75" s="52">
        <v>51.999999999999986</v>
      </c>
      <c r="BT75" s="52">
        <v>31.000000000000007</v>
      </c>
      <c r="BU75" s="52">
        <v>52.000000000000036</v>
      </c>
      <c r="BV75" s="52">
        <v>52</v>
      </c>
      <c r="BW75" s="52">
        <v>31.000000000000004</v>
      </c>
    </row>
    <row r="76" spans="1:75" x14ac:dyDescent="0.3">
      <c r="A76" s="8" t="s">
        <v>103</v>
      </c>
      <c r="B76" s="8" t="s">
        <v>10</v>
      </c>
      <c r="C76" s="8" t="s">
        <v>108</v>
      </c>
      <c r="D76" s="52">
        <v>52</v>
      </c>
      <c r="E76" s="52">
        <v>49.999999999999993</v>
      </c>
      <c r="F76" s="52">
        <v>31.000000000000007</v>
      </c>
      <c r="G76" s="52">
        <v>51.999999999999979</v>
      </c>
      <c r="H76" s="52">
        <v>30.999999999999993</v>
      </c>
      <c r="I76" s="52">
        <v>31.000000000000014</v>
      </c>
      <c r="J76" s="52">
        <v>51.999999999999972</v>
      </c>
      <c r="K76" s="52">
        <v>49.999999999999993</v>
      </c>
      <c r="L76" s="52">
        <v>31.000000000000007</v>
      </c>
      <c r="M76" s="52">
        <v>51.999999999999986</v>
      </c>
      <c r="N76" s="52">
        <v>30.999999999999979</v>
      </c>
      <c r="O76" s="52">
        <v>30.000000000000011</v>
      </c>
      <c r="P76" s="52">
        <v>52</v>
      </c>
      <c r="Q76" s="52">
        <v>51.999999999999979</v>
      </c>
      <c r="R76" s="52">
        <v>31.000000000000011</v>
      </c>
      <c r="S76" s="52">
        <v>51.999999999999986</v>
      </c>
      <c r="T76" s="52">
        <v>30.999999999999979</v>
      </c>
      <c r="U76" s="52">
        <v>29.999999999999986</v>
      </c>
      <c r="V76" s="52">
        <v>30.999999999999986</v>
      </c>
      <c r="W76" s="52">
        <v>49.999999999999993</v>
      </c>
      <c r="X76" s="52">
        <v>29.999999999999996</v>
      </c>
      <c r="Y76" s="52">
        <v>100.36363636363635</v>
      </c>
      <c r="Z76" s="52">
        <v>50.000000000000014</v>
      </c>
      <c r="AA76" s="52">
        <v>29.999999999999993</v>
      </c>
      <c r="AB76" s="52">
        <v>51.99999999999995</v>
      </c>
      <c r="AC76" s="52">
        <v>50.000000000000014</v>
      </c>
      <c r="AD76" s="52">
        <v>31.000000000000004</v>
      </c>
      <c r="AE76" s="52">
        <v>50.000000000000021</v>
      </c>
      <c r="AF76" s="52">
        <v>31.000000000000004</v>
      </c>
      <c r="AG76" s="52">
        <v>31.000000000000007</v>
      </c>
      <c r="AH76" s="52">
        <v>52</v>
      </c>
      <c r="AI76" s="52">
        <v>50.000000000000014</v>
      </c>
      <c r="AJ76" s="52">
        <v>0</v>
      </c>
      <c r="AK76" s="52">
        <v>52</v>
      </c>
      <c r="AL76" s="52">
        <v>50.000000000000007</v>
      </c>
      <c r="AM76" s="52">
        <v>93</v>
      </c>
      <c r="AN76" s="52">
        <v>51.999999999999986</v>
      </c>
      <c r="AO76" s="52">
        <v>51.999999999999979</v>
      </c>
      <c r="AP76" s="52">
        <v>30.999999999999986</v>
      </c>
      <c r="AQ76" s="52">
        <v>51.999999999999979</v>
      </c>
      <c r="AR76" s="52">
        <v>51.999999999999979</v>
      </c>
      <c r="AS76" s="52">
        <v>31.000000000000004</v>
      </c>
      <c r="AT76" s="52">
        <v>31.000000000000011</v>
      </c>
      <c r="AU76" s="52">
        <v>52.000000000000007</v>
      </c>
      <c r="AV76" s="52">
        <v>30.999999999999975</v>
      </c>
      <c r="AW76" s="52">
        <v>120.44444444444443</v>
      </c>
      <c r="AX76" s="52">
        <v>52.000000000000007</v>
      </c>
      <c r="AY76" s="52">
        <v>31.000000000000039</v>
      </c>
      <c r="AZ76" s="52">
        <v>51.999999999999943</v>
      </c>
      <c r="BA76" s="52">
        <v>51.999999999999986</v>
      </c>
      <c r="BB76" s="52">
        <v>31.000000000000004</v>
      </c>
      <c r="BC76" s="52">
        <v>60.666666666666679</v>
      </c>
      <c r="BD76" s="52">
        <v>52.000000000000014</v>
      </c>
      <c r="BE76" s="52">
        <v>31.000000000000028</v>
      </c>
      <c r="BF76" s="52">
        <v>51.999999999999964</v>
      </c>
      <c r="BG76" s="52">
        <v>51.999999999999979</v>
      </c>
      <c r="BH76" s="52">
        <v>29.999999999999986</v>
      </c>
      <c r="BI76" s="52">
        <v>51.999999999999915</v>
      </c>
      <c r="BJ76" s="52">
        <v>50.000000000000007</v>
      </c>
      <c r="BK76" s="52">
        <v>30</v>
      </c>
      <c r="BL76" s="52">
        <v>53.99999999999995</v>
      </c>
      <c r="BM76" s="52">
        <v>52</v>
      </c>
      <c r="BN76" s="52">
        <v>30.999999999999989</v>
      </c>
      <c r="BO76" s="52">
        <v>52</v>
      </c>
      <c r="BP76" s="52">
        <v>31.000000000000004</v>
      </c>
      <c r="BQ76" s="52">
        <v>30.999999999999989</v>
      </c>
      <c r="BR76" s="52">
        <v>52.000000000000014</v>
      </c>
      <c r="BS76" s="52">
        <v>34</v>
      </c>
      <c r="BT76" s="52">
        <v>29.999999999999986</v>
      </c>
      <c r="BU76" s="52">
        <v>56.428571428571381</v>
      </c>
      <c r="BV76" s="52">
        <v>30.999999999999993</v>
      </c>
      <c r="BW76" s="52">
        <v>29.999999999999986</v>
      </c>
    </row>
    <row r="77" spans="1:75" x14ac:dyDescent="0.3">
      <c r="A77" s="8" t="s">
        <v>103</v>
      </c>
      <c r="B77" s="8" t="s">
        <v>10</v>
      </c>
      <c r="C77" s="8" t="s">
        <v>109</v>
      </c>
      <c r="D77" s="52">
        <v>52.000000000000007</v>
      </c>
      <c r="E77" s="52">
        <v>49.999999999999986</v>
      </c>
      <c r="F77" s="52">
        <v>31.000000000000007</v>
      </c>
      <c r="G77" s="52">
        <v>52</v>
      </c>
      <c r="H77" s="52">
        <v>31.000000000000004</v>
      </c>
      <c r="I77" s="52">
        <v>31.000000000000014</v>
      </c>
      <c r="J77" s="52">
        <v>51.999999999999986</v>
      </c>
      <c r="K77" s="52">
        <v>49.999999999999993</v>
      </c>
      <c r="L77" s="52">
        <v>31.000000000000007</v>
      </c>
      <c r="M77" s="52">
        <v>51.999999999999986</v>
      </c>
      <c r="N77" s="52">
        <v>31.000000000000004</v>
      </c>
      <c r="O77" s="52">
        <v>30</v>
      </c>
      <c r="P77" s="52">
        <v>51.999999999999986</v>
      </c>
      <c r="Q77" s="52">
        <v>52.000000000000007</v>
      </c>
      <c r="R77" s="52">
        <v>31.000000000000011</v>
      </c>
      <c r="S77" s="52">
        <v>51.999999999999986</v>
      </c>
      <c r="T77" s="52">
        <v>31.000000000000004</v>
      </c>
      <c r="U77" s="52">
        <v>30</v>
      </c>
      <c r="V77" s="52">
        <v>30.999999999999996</v>
      </c>
      <c r="W77" s="52">
        <v>50.000000000000007</v>
      </c>
      <c r="X77" s="52">
        <v>29.999999999999996</v>
      </c>
      <c r="Y77" s="52">
        <v>100.36363636363632</v>
      </c>
      <c r="Z77" s="52">
        <v>50.000000000000014</v>
      </c>
      <c r="AA77" s="52">
        <v>29.999999999999996</v>
      </c>
      <c r="AB77" s="52">
        <v>51.999999999999986</v>
      </c>
      <c r="AC77" s="52">
        <v>50.000000000000014</v>
      </c>
      <c r="AD77" s="52">
        <v>31.000000000000007</v>
      </c>
      <c r="AE77" s="52">
        <v>50.000000000000021</v>
      </c>
      <c r="AF77" s="52">
        <v>31.000000000000004</v>
      </c>
      <c r="AG77" s="52">
        <v>31.000000000000011</v>
      </c>
      <c r="AH77" s="52">
        <v>51.999999999999986</v>
      </c>
      <c r="AI77" s="52">
        <v>50.000000000000014</v>
      </c>
      <c r="AJ77" s="52">
        <v>0</v>
      </c>
      <c r="AK77" s="52">
        <v>52</v>
      </c>
      <c r="AL77" s="52">
        <v>50.000000000000007</v>
      </c>
      <c r="AM77" s="52">
        <v>93.000000000000028</v>
      </c>
      <c r="AN77" s="52">
        <v>51.999999999999986</v>
      </c>
      <c r="AO77" s="52">
        <v>51.999999999999979</v>
      </c>
      <c r="AP77" s="52">
        <v>30.999999999999996</v>
      </c>
      <c r="AQ77" s="52">
        <v>52.000000000000007</v>
      </c>
      <c r="AR77" s="52">
        <v>51.999999999999979</v>
      </c>
      <c r="AS77" s="52">
        <v>31.000000000000004</v>
      </c>
      <c r="AT77" s="52">
        <v>31.000000000000004</v>
      </c>
      <c r="AU77" s="52">
        <v>52.000000000000014</v>
      </c>
      <c r="AV77" s="52">
        <v>30.999999999999996</v>
      </c>
      <c r="AW77" s="52">
        <v>120.44444444444444</v>
      </c>
      <c r="AX77" s="52">
        <v>51.999999999999972</v>
      </c>
      <c r="AY77" s="52">
        <v>31.000000000000039</v>
      </c>
      <c r="AZ77" s="52">
        <v>52</v>
      </c>
      <c r="BA77" s="52">
        <v>52.000000000000007</v>
      </c>
      <c r="BB77" s="52">
        <v>30.999999999999996</v>
      </c>
      <c r="BC77" s="52">
        <v>60.666666666666679</v>
      </c>
      <c r="BD77" s="52">
        <v>52</v>
      </c>
      <c r="BE77" s="52">
        <v>31.000000000000028</v>
      </c>
      <c r="BF77" s="52">
        <v>52.000000000000007</v>
      </c>
      <c r="BG77" s="52">
        <v>52.000000000000007</v>
      </c>
      <c r="BH77" s="52">
        <v>29.999999999999996</v>
      </c>
      <c r="BI77" s="52">
        <v>51.999999999999929</v>
      </c>
      <c r="BJ77" s="52">
        <v>50.000000000000007</v>
      </c>
      <c r="BK77" s="52">
        <v>30</v>
      </c>
      <c r="BL77" s="52">
        <v>54</v>
      </c>
      <c r="BM77" s="52">
        <v>52</v>
      </c>
      <c r="BN77" s="52">
        <v>31.000000000000004</v>
      </c>
      <c r="BO77" s="52">
        <v>52.000000000000007</v>
      </c>
      <c r="BP77" s="52">
        <v>31.000000000000004</v>
      </c>
      <c r="BQ77" s="52">
        <v>31.000000000000004</v>
      </c>
      <c r="BR77" s="52">
        <v>52.000000000000014</v>
      </c>
      <c r="BS77" s="52">
        <v>34</v>
      </c>
      <c r="BT77" s="52">
        <v>30</v>
      </c>
      <c r="BU77" s="52">
        <v>56.428571428571409</v>
      </c>
      <c r="BV77" s="52">
        <v>30.999999999999993</v>
      </c>
      <c r="BW77" s="52">
        <v>29.999999999999996</v>
      </c>
    </row>
    <row r="78" spans="1:75" x14ac:dyDescent="0.3">
      <c r="A78" s="8" t="s">
        <v>103</v>
      </c>
      <c r="B78" s="8" t="s">
        <v>10</v>
      </c>
      <c r="C78" s="8" t="s">
        <v>110</v>
      </c>
      <c r="D78" s="52">
        <v>52.000000000000007</v>
      </c>
      <c r="E78" s="52">
        <v>49.999999999999986</v>
      </c>
      <c r="F78" s="52">
        <v>31.000000000000007</v>
      </c>
      <c r="G78" s="52">
        <v>52</v>
      </c>
      <c r="H78" s="52">
        <v>31.000000000000004</v>
      </c>
      <c r="I78" s="52">
        <v>31.000000000000014</v>
      </c>
      <c r="J78" s="52">
        <v>51.999999999999986</v>
      </c>
      <c r="K78" s="52">
        <v>49.999999999999993</v>
      </c>
      <c r="L78" s="52">
        <v>31.000000000000007</v>
      </c>
      <c r="M78" s="52">
        <v>51.999999999999986</v>
      </c>
      <c r="N78" s="52">
        <v>31.000000000000004</v>
      </c>
      <c r="O78" s="52">
        <v>30</v>
      </c>
      <c r="P78" s="52">
        <v>51.999999999999986</v>
      </c>
      <c r="Q78" s="52">
        <v>52.000000000000007</v>
      </c>
      <c r="R78" s="52">
        <v>31.000000000000011</v>
      </c>
      <c r="S78" s="52">
        <v>51.999999999999986</v>
      </c>
      <c r="T78" s="52">
        <v>31.000000000000004</v>
      </c>
      <c r="U78" s="52">
        <v>30</v>
      </c>
      <c r="V78" s="52">
        <v>30.999999999999996</v>
      </c>
      <c r="W78" s="52">
        <v>50.000000000000007</v>
      </c>
      <c r="X78" s="52">
        <v>29.999999999999996</v>
      </c>
      <c r="Y78" s="52">
        <v>100.36363636363632</v>
      </c>
      <c r="Z78" s="52">
        <v>50.000000000000014</v>
      </c>
      <c r="AA78" s="52">
        <v>29.999999999999996</v>
      </c>
      <c r="AB78" s="52">
        <v>51.999999999999986</v>
      </c>
      <c r="AC78" s="52">
        <v>50.000000000000014</v>
      </c>
      <c r="AD78" s="52">
        <v>31.000000000000007</v>
      </c>
      <c r="AE78" s="52">
        <v>50.000000000000021</v>
      </c>
      <c r="AF78" s="52">
        <v>31.000000000000004</v>
      </c>
      <c r="AG78" s="52">
        <v>31.000000000000011</v>
      </c>
      <c r="AH78" s="52">
        <v>51.999999999999986</v>
      </c>
      <c r="AI78" s="52">
        <v>50.000000000000014</v>
      </c>
      <c r="AJ78" s="52">
        <v>0</v>
      </c>
      <c r="AK78" s="52">
        <v>52</v>
      </c>
      <c r="AL78" s="52">
        <v>50.000000000000007</v>
      </c>
      <c r="AM78" s="52">
        <v>93</v>
      </c>
      <c r="AN78" s="52">
        <v>51.999999999999986</v>
      </c>
      <c r="AO78" s="52">
        <v>51.999999999999979</v>
      </c>
      <c r="AP78" s="52">
        <v>30.999999999999996</v>
      </c>
      <c r="AQ78" s="52">
        <v>52.000000000000036</v>
      </c>
      <c r="AR78" s="52">
        <v>51.999999999999979</v>
      </c>
      <c r="AS78" s="52">
        <v>31.000000000000004</v>
      </c>
      <c r="AT78" s="52">
        <v>31.000000000000004</v>
      </c>
      <c r="AU78" s="52">
        <v>52.000000000000007</v>
      </c>
      <c r="AV78" s="52">
        <v>30.999999999999996</v>
      </c>
      <c r="AW78" s="52">
        <v>120.44444444444444</v>
      </c>
      <c r="AX78" s="52">
        <v>51.999999999999964</v>
      </c>
      <c r="AY78" s="52">
        <v>31.000000000000039</v>
      </c>
      <c r="AZ78" s="52">
        <v>52</v>
      </c>
      <c r="BA78" s="52">
        <v>52.000000000000007</v>
      </c>
      <c r="BB78" s="52">
        <v>30.999999999999996</v>
      </c>
      <c r="BC78" s="52">
        <v>60.666666666666679</v>
      </c>
      <c r="BD78" s="52">
        <v>52</v>
      </c>
      <c r="BE78" s="52">
        <v>31.000000000000028</v>
      </c>
      <c r="BF78" s="52">
        <v>52.000000000000007</v>
      </c>
      <c r="BG78" s="52">
        <v>52.000000000000007</v>
      </c>
      <c r="BH78" s="52">
        <v>29.999999999999996</v>
      </c>
      <c r="BI78" s="52">
        <v>51.999999999999929</v>
      </c>
      <c r="BJ78" s="52">
        <v>50.000000000000007</v>
      </c>
      <c r="BK78" s="52">
        <v>30</v>
      </c>
      <c r="BL78" s="52">
        <v>54</v>
      </c>
      <c r="BM78" s="52">
        <v>52</v>
      </c>
      <c r="BN78" s="52">
        <v>31.000000000000004</v>
      </c>
      <c r="BO78" s="52">
        <v>52</v>
      </c>
      <c r="BP78" s="52">
        <v>31.000000000000004</v>
      </c>
      <c r="BQ78" s="52">
        <v>31.000000000000004</v>
      </c>
      <c r="BR78" s="52">
        <v>52.000000000000014</v>
      </c>
      <c r="BS78" s="52">
        <v>34</v>
      </c>
      <c r="BT78" s="52">
        <v>30</v>
      </c>
      <c r="BU78" s="52">
        <v>56.428571428571381</v>
      </c>
      <c r="BV78" s="52">
        <v>30.999999999999993</v>
      </c>
      <c r="BW78" s="52">
        <v>29.999999999999996</v>
      </c>
    </row>
    <row r="79" spans="1:75" x14ac:dyDescent="0.3">
      <c r="A79" s="8" t="s">
        <v>103</v>
      </c>
      <c r="B79" s="8" t="s">
        <v>10</v>
      </c>
      <c r="C79" s="8" t="s">
        <v>111</v>
      </c>
      <c r="D79" s="52">
        <v>52</v>
      </c>
      <c r="E79" s="52">
        <v>49.999999999999993</v>
      </c>
      <c r="F79" s="52">
        <v>31.000000000000007</v>
      </c>
      <c r="G79" s="52">
        <v>51.999999999999979</v>
      </c>
      <c r="H79" s="52">
        <v>31.000000000000004</v>
      </c>
      <c r="I79" s="52">
        <v>31.000000000000014</v>
      </c>
      <c r="J79" s="52">
        <v>51.999999999999986</v>
      </c>
      <c r="K79" s="52">
        <v>49.999999999999993</v>
      </c>
      <c r="L79" s="52">
        <v>31.000000000000007</v>
      </c>
      <c r="M79" s="52">
        <v>51.999999999999986</v>
      </c>
      <c r="N79" s="52">
        <v>30.999999999999993</v>
      </c>
      <c r="O79" s="52">
        <v>30.000000000000011</v>
      </c>
      <c r="P79" s="52">
        <v>52</v>
      </c>
      <c r="Q79" s="52">
        <v>52</v>
      </c>
      <c r="R79" s="52">
        <v>31.000000000000011</v>
      </c>
      <c r="S79" s="52">
        <v>51.999999999999986</v>
      </c>
      <c r="T79" s="52">
        <v>30.999999999999993</v>
      </c>
      <c r="U79" s="52">
        <v>30</v>
      </c>
      <c r="V79" s="52">
        <v>30.999999999999996</v>
      </c>
      <c r="W79" s="52">
        <v>49.999999999999993</v>
      </c>
      <c r="X79" s="52">
        <v>30.000000000000011</v>
      </c>
      <c r="Y79" s="52">
        <v>100.36363636363635</v>
      </c>
      <c r="Z79" s="52">
        <v>50.000000000000014</v>
      </c>
      <c r="AA79" s="52">
        <v>30.000000000000014</v>
      </c>
      <c r="AB79" s="52">
        <v>51.999999999999972</v>
      </c>
      <c r="AC79" s="52">
        <v>50.000000000000014</v>
      </c>
      <c r="AD79" s="52">
        <v>31.000000000000007</v>
      </c>
      <c r="AE79" s="52">
        <v>50.000000000000021</v>
      </c>
      <c r="AF79" s="52">
        <v>31.000000000000004</v>
      </c>
      <c r="AG79" s="52">
        <v>31.000000000000007</v>
      </c>
      <c r="AH79" s="52">
        <v>52</v>
      </c>
      <c r="AI79" s="52">
        <v>50.000000000000014</v>
      </c>
      <c r="AJ79" s="52">
        <v>0</v>
      </c>
      <c r="AK79" s="52">
        <v>52</v>
      </c>
      <c r="AL79" s="52">
        <v>50.000000000000007</v>
      </c>
      <c r="AM79" s="52">
        <v>93</v>
      </c>
      <c r="AN79" s="52">
        <v>51.999999999999986</v>
      </c>
      <c r="AO79" s="52">
        <v>51.999999999999986</v>
      </c>
      <c r="AP79" s="52">
        <v>30.999999999999993</v>
      </c>
      <c r="AQ79" s="52">
        <v>52</v>
      </c>
      <c r="AR79" s="52">
        <v>51.999999999999979</v>
      </c>
      <c r="AS79" s="52">
        <v>31.000000000000004</v>
      </c>
      <c r="AT79" s="52">
        <v>31.000000000000004</v>
      </c>
      <c r="AU79" s="52">
        <v>52.000000000000007</v>
      </c>
      <c r="AV79" s="52">
        <v>30.999999999999989</v>
      </c>
      <c r="AW79" s="52">
        <v>120.44444444444443</v>
      </c>
      <c r="AX79" s="52">
        <v>51.999999999999964</v>
      </c>
      <c r="AY79" s="52">
        <v>31.000000000000039</v>
      </c>
      <c r="AZ79" s="52">
        <v>51.999999999999979</v>
      </c>
      <c r="BA79" s="52">
        <v>51.999999999999986</v>
      </c>
      <c r="BB79" s="52">
        <v>31.000000000000004</v>
      </c>
      <c r="BC79" s="52">
        <v>60.666666666666679</v>
      </c>
      <c r="BD79" s="52">
        <v>52</v>
      </c>
      <c r="BE79" s="52">
        <v>31.000000000000011</v>
      </c>
      <c r="BF79" s="52">
        <v>51.999999999999986</v>
      </c>
      <c r="BG79" s="52">
        <v>52</v>
      </c>
      <c r="BH79" s="52">
        <v>29.999999999999996</v>
      </c>
      <c r="BI79" s="52">
        <v>51.999999999999915</v>
      </c>
      <c r="BJ79" s="52">
        <v>50.000000000000007</v>
      </c>
      <c r="BK79" s="52">
        <v>30.000000000000011</v>
      </c>
      <c r="BL79" s="52">
        <v>54</v>
      </c>
      <c r="BM79" s="52">
        <v>52</v>
      </c>
      <c r="BN79" s="52">
        <v>30.999999999999996</v>
      </c>
      <c r="BO79" s="52">
        <v>52</v>
      </c>
      <c r="BP79" s="52">
        <v>31.000000000000004</v>
      </c>
      <c r="BQ79" s="52">
        <v>31.000000000000004</v>
      </c>
      <c r="BR79" s="52">
        <v>52.000000000000014</v>
      </c>
      <c r="BS79" s="52">
        <v>34</v>
      </c>
      <c r="BT79" s="52">
        <v>30.000000000000004</v>
      </c>
      <c r="BU79" s="52">
        <v>56.428571428571381</v>
      </c>
      <c r="BV79" s="52">
        <v>30.999999999999993</v>
      </c>
      <c r="BW79" s="52">
        <v>30.000000000000004</v>
      </c>
    </row>
    <row r="80" spans="1:75" x14ac:dyDescent="0.3">
      <c r="A80" s="8" t="s">
        <v>103</v>
      </c>
      <c r="B80" s="8" t="s">
        <v>10</v>
      </c>
      <c r="C80" s="8" t="s">
        <v>112</v>
      </c>
      <c r="D80" s="52">
        <v>52</v>
      </c>
      <c r="E80" s="52">
        <v>49.999999999999993</v>
      </c>
      <c r="F80" s="52">
        <v>31.000000000000007</v>
      </c>
      <c r="G80" s="52">
        <v>51.999999999999979</v>
      </c>
      <c r="H80" s="52">
        <v>31.000000000000004</v>
      </c>
      <c r="I80" s="52">
        <v>31.000000000000014</v>
      </c>
      <c r="J80" s="52">
        <v>51.999999999999986</v>
      </c>
      <c r="K80" s="52">
        <v>49.999999999999993</v>
      </c>
      <c r="L80" s="52">
        <v>31.000000000000007</v>
      </c>
      <c r="M80" s="52">
        <v>51.999999999999986</v>
      </c>
      <c r="N80" s="52">
        <v>30.999999999999993</v>
      </c>
      <c r="O80" s="52">
        <v>30.000000000000011</v>
      </c>
      <c r="P80" s="52">
        <v>52</v>
      </c>
      <c r="Q80" s="52">
        <v>52</v>
      </c>
      <c r="R80" s="52">
        <v>31.000000000000011</v>
      </c>
      <c r="S80" s="52">
        <v>51.999999999999986</v>
      </c>
      <c r="T80" s="52">
        <v>30.999999999999993</v>
      </c>
      <c r="U80" s="52">
        <v>30</v>
      </c>
      <c r="V80" s="52">
        <v>30.999999999999996</v>
      </c>
      <c r="W80" s="52">
        <v>49.999999999999993</v>
      </c>
      <c r="X80" s="52">
        <v>30.000000000000011</v>
      </c>
      <c r="Y80" s="52">
        <v>100.36363636363635</v>
      </c>
      <c r="Z80" s="52">
        <v>50.000000000000014</v>
      </c>
      <c r="AA80" s="52">
        <v>30.000000000000014</v>
      </c>
      <c r="AB80" s="52">
        <v>51.999999999999972</v>
      </c>
      <c r="AC80" s="52">
        <v>50.000000000000014</v>
      </c>
      <c r="AD80" s="52">
        <v>31.000000000000007</v>
      </c>
      <c r="AE80" s="52">
        <v>50.000000000000021</v>
      </c>
      <c r="AF80" s="52">
        <v>31.000000000000004</v>
      </c>
      <c r="AG80" s="52">
        <v>31.000000000000007</v>
      </c>
      <c r="AH80" s="52">
        <v>52</v>
      </c>
      <c r="AI80" s="52">
        <v>50.000000000000014</v>
      </c>
      <c r="AJ80" s="52">
        <v>0</v>
      </c>
      <c r="AK80" s="52">
        <v>52</v>
      </c>
      <c r="AL80" s="52">
        <v>50.000000000000007</v>
      </c>
      <c r="AM80" s="52">
        <v>93</v>
      </c>
      <c r="AN80" s="52">
        <v>51.999999999999986</v>
      </c>
      <c r="AO80" s="52">
        <v>51.999999999999986</v>
      </c>
      <c r="AP80" s="52">
        <v>30.999999999999993</v>
      </c>
      <c r="AQ80" s="52">
        <v>52</v>
      </c>
      <c r="AR80" s="52">
        <v>51.999999999999979</v>
      </c>
      <c r="AS80" s="52">
        <v>31.000000000000004</v>
      </c>
      <c r="AT80" s="52">
        <v>31.000000000000004</v>
      </c>
      <c r="AU80" s="52">
        <v>52.000000000000007</v>
      </c>
      <c r="AV80" s="52">
        <v>30.999999999999989</v>
      </c>
      <c r="AW80" s="52">
        <v>120.44444444444443</v>
      </c>
      <c r="AX80" s="52">
        <v>51.999999999999964</v>
      </c>
      <c r="AY80" s="52">
        <v>31.000000000000039</v>
      </c>
      <c r="AZ80" s="52">
        <v>51.999999999999979</v>
      </c>
      <c r="BA80" s="52">
        <v>51.999999999999986</v>
      </c>
      <c r="BB80" s="52">
        <v>31.000000000000004</v>
      </c>
      <c r="BC80" s="52">
        <v>60.666666666666679</v>
      </c>
      <c r="BD80" s="52">
        <v>52</v>
      </c>
      <c r="BE80" s="52">
        <v>31.000000000000011</v>
      </c>
      <c r="BF80" s="52">
        <v>51.999999999999986</v>
      </c>
      <c r="BG80" s="52">
        <v>52</v>
      </c>
      <c r="BH80" s="52">
        <v>29.999999999999996</v>
      </c>
      <c r="BI80" s="52">
        <v>51.999999999999915</v>
      </c>
      <c r="BJ80" s="52">
        <v>50.000000000000007</v>
      </c>
      <c r="BK80" s="52">
        <v>30.000000000000011</v>
      </c>
      <c r="BL80" s="52">
        <v>54</v>
      </c>
      <c r="BM80" s="52">
        <v>52</v>
      </c>
      <c r="BN80" s="52">
        <v>30.999999999999996</v>
      </c>
      <c r="BO80" s="52">
        <v>52</v>
      </c>
      <c r="BP80" s="52">
        <v>31.000000000000004</v>
      </c>
      <c r="BQ80" s="52">
        <v>31.000000000000004</v>
      </c>
      <c r="BR80" s="52">
        <v>52.000000000000014</v>
      </c>
      <c r="BS80" s="52">
        <v>34</v>
      </c>
      <c r="BT80" s="52">
        <v>30.000000000000004</v>
      </c>
      <c r="BU80" s="52">
        <v>56.428571428571381</v>
      </c>
      <c r="BV80" s="52">
        <v>30.999999999999993</v>
      </c>
      <c r="BW80" s="52">
        <v>30.000000000000004</v>
      </c>
    </row>
    <row r="81" spans="1:75" x14ac:dyDescent="0.3">
      <c r="A81" s="8" t="s">
        <v>103</v>
      </c>
      <c r="B81" s="8" t="s">
        <v>10</v>
      </c>
      <c r="C81" s="8" t="s">
        <v>115</v>
      </c>
      <c r="D81" s="52">
        <v>52.000000000000021</v>
      </c>
      <c r="E81" s="52">
        <v>49.999999999999986</v>
      </c>
      <c r="F81" s="52">
        <v>31.000000000000007</v>
      </c>
      <c r="G81" s="52">
        <v>52</v>
      </c>
      <c r="H81" s="52">
        <v>31.000000000000007</v>
      </c>
      <c r="I81" s="52">
        <v>31.000000000000014</v>
      </c>
      <c r="J81" s="52">
        <v>51.999999999999986</v>
      </c>
      <c r="K81" s="52">
        <v>49.999999999999993</v>
      </c>
      <c r="L81" s="52">
        <v>31.000000000000007</v>
      </c>
      <c r="M81" s="52">
        <v>51.999999999999986</v>
      </c>
      <c r="N81" s="52">
        <v>31.000000000000007</v>
      </c>
      <c r="O81" s="52">
        <v>29.999999999999996</v>
      </c>
      <c r="P81" s="52">
        <v>52.000000000000007</v>
      </c>
      <c r="Q81" s="52">
        <v>52.000000000000014</v>
      </c>
      <c r="R81" s="52">
        <v>31.000000000000011</v>
      </c>
      <c r="S81" s="52">
        <v>51.999999999999986</v>
      </c>
      <c r="T81" s="52">
        <v>31.000000000000007</v>
      </c>
      <c r="U81" s="52">
        <v>29.999999999999993</v>
      </c>
      <c r="V81" s="52">
        <v>31.000000000000004</v>
      </c>
      <c r="W81" s="52">
        <v>50.000000000000007</v>
      </c>
      <c r="X81" s="52">
        <v>29.999999999999996</v>
      </c>
      <c r="Y81" s="52">
        <v>100.36363636363635</v>
      </c>
      <c r="Z81" s="52">
        <v>50.000000000000014</v>
      </c>
      <c r="AA81" s="52">
        <v>29.999999999999993</v>
      </c>
      <c r="AB81" s="52">
        <v>51.999999999999986</v>
      </c>
      <c r="AC81" s="52">
        <v>50.000000000000014</v>
      </c>
      <c r="AD81" s="52">
        <v>31.000000000000007</v>
      </c>
      <c r="AE81" s="52">
        <v>50.000000000000021</v>
      </c>
      <c r="AF81" s="52">
        <v>31.000000000000007</v>
      </c>
      <c r="AG81" s="52">
        <v>31.000000000000011</v>
      </c>
      <c r="AH81" s="52">
        <v>52.000000000000007</v>
      </c>
      <c r="AI81" s="52">
        <v>50.000000000000014</v>
      </c>
      <c r="AJ81" s="52">
        <v>0</v>
      </c>
      <c r="AK81" s="52">
        <v>52</v>
      </c>
      <c r="AL81" s="52">
        <v>50.000000000000007</v>
      </c>
      <c r="AM81" s="52">
        <v>93.000000000000028</v>
      </c>
      <c r="AN81" s="52">
        <v>51.999999999999986</v>
      </c>
      <c r="AO81" s="52">
        <v>51.999999999999979</v>
      </c>
      <c r="AP81" s="52">
        <v>30.999999999999996</v>
      </c>
      <c r="AQ81" s="52">
        <v>52.000000000000007</v>
      </c>
      <c r="AR81" s="52">
        <v>51.999999999999979</v>
      </c>
      <c r="AS81" s="52">
        <v>31.000000000000007</v>
      </c>
      <c r="AT81" s="52">
        <v>31.000000000000011</v>
      </c>
      <c r="AU81" s="52">
        <v>52.000000000000014</v>
      </c>
      <c r="AV81" s="52">
        <v>31.000000000000004</v>
      </c>
      <c r="AW81" s="52">
        <v>120.44444444444444</v>
      </c>
      <c r="AX81" s="52">
        <v>51.999999999999972</v>
      </c>
      <c r="AY81" s="52">
        <v>31.000000000000039</v>
      </c>
      <c r="AZ81" s="52">
        <v>52.000000000000014</v>
      </c>
      <c r="BA81" s="52">
        <v>52.000000000000007</v>
      </c>
      <c r="BB81" s="52">
        <v>31.000000000000004</v>
      </c>
      <c r="BC81" s="52">
        <v>60.666666666666679</v>
      </c>
      <c r="BD81" s="52">
        <v>51.999999999999986</v>
      </c>
      <c r="BE81" s="52">
        <v>31.000000000000028</v>
      </c>
      <c r="BF81" s="52">
        <v>52.000000000000014</v>
      </c>
      <c r="BG81" s="52">
        <v>52.000000000000014</v>
      </c>
      <c r="BH81" s="52">
        <v>29.999999999999986</v>
      </c>
      <c r="BI81" s="52">
        <v>51.999999999999929</v>
      </c>
      <c r="BJ81" s="52">
        <v>50.000000000000007</v>
      </c>
      <c r="BK81" s="52">
        <v>30</v>
      </c>
      <c r="BL81" s="52">
        <v>53.999999999999993</v>
      </c>
      <c r="BM81" s="52">
        <v>52</v>
      </c>
      <c r="BN81" s="52">
        <v>31.000000000000007</v>
      </c>
      <c r="BO81" s="52">
        <v>52.000000000000007</v>
      </c>
      <c r="BP81" s="52">
        <v>31.000000000000007</v>
      </c>
      <c r="BQ81" s="52">
        <v>31.000000000000004</v>
      </c>
      <c r="BR81" s="52">
        <v>52.000000000000014</v>
      </c>
      <c r="BS81" s="52">
        <v>34</v>
      </c>
      <c r="BT81" s="52">
        <v>30</v>
      </c>
      <c r="BU81" s="52">
        <v>56.428571428571381</v>
      </c>
      <c r="BV81" s="52">
        <v>31.000000000000004</v>
      </c>
      <c r="BW81" s="52">
        <v>29.999999999999996</v>
      </c>
    </row>
    <row r="82" spans="1:75" x14ac:dyDescent="0.3">
      <c r="A82" s="8" t="s">
        <v>103</v>
      </c>
      <c r="B82" s="8" t="s">
        <v>10</v>
      </c>
      <c r="C82" s="8" t="s">
        <v>116</v>
      </c>
      <c r="D82" s="52">
        <v>52.000000000000021</v>
      </c>
      <c r="E82" s="52">
        <v>49.999999999999986</v>
      </c>
      <c r="F82" s="52">
        <v>31.000000000000007</v>
      </c>
      <c r="G82" s="52">
        <v>52</v>
      </c>
      <c r="H82" s="52">
        <v>31.000000000000007</v>
      </c>
      <c r="I82" s="52">
        <v>31.000000000000014</v>
      </c>
      <c r="J82" s="52">
        <v>51.999999999999986</v>
      </c>
      <c r="K82" s="52">
        <v>49.999999999999993</v>
      </c>
      <c r="L82" s="52">
        <v>31.000000000000007</v>
      </c>
      <c r="M82" s="52">
        <v>51.999999999999986</v>
      </c>
      <c r="N82" s="52">
        <v>31.000000000000007</v>
      </c>
      <c r="O82" s="52">
        <v>29.999999999999996</v>
      </c>
      <c r="P82" s="52">
        <v>52.000000000000007</v>
      </c>
      <c r="Q82" s="52">
        <v>52.000000000000014</v>
      </c>
      <c r="R82" s="52">
        <v>31.000000000000011</v>
      </c>
      <c r="S82" s="52">
        <v>51.999999999999986</v>
      </c>
      <c r="T82" s="52">
        <v>31.000000000000007</v>
      </c>
      <c r="U82" s="52">
        <v>29.999999999999993</v>
      </c>
      <c r="V82" s="52">
        <v>31.000000000000004</v>
      </c>
      <c r="W82" s="52">
        <v>50.000000000000007</v>
      </c>
      <c r="X82" s="52">
        <v>29.999999999999996</v>
      </c>
      <c r="Y82" s="52">
        <v>100.36363636363635</v>
      </c>
      <c r="Z82" s="52">
        <v>50.000000000000014</v>
      </c>
      <c r="AA82" s="52">
        <v>29.999999999999993</v>
      </c>
      <c r="AB82" s="52">
        <v>51.999999999999986</v>
      </c>
      <c r="AC82" s="52">
        <v>50.000000000000014</v>
      </c>
      <c r="AD82" s="52">
        <v>31.000000000000007</v>
      </c>
      <c r="AE82" s="52">
        <v>50.000000000000021</v>
      </c>
      <c r="AF82" s="52">
        <v>31.000000000000007</v>
      </c>
      <c r="AG82" s="52">
        <v>31.000000000000011</v>
      </c>
      <c r="AH82" s="52">
        <v>52.000000000000007</v>
      </c>
      <c r="AI82" s="52">
        <v>50.000000000000014</v>
      </c>
      <c r="AJ82" s="52">
        <v>0</v>
      </c>
      <c r="AK82" s="52">
        <v>52</v>
      </c>
      <c r="AL82" s="52">
        <v>50.000000000000007</v>
      </c>
      <c r="AM82" s="52">
        <v>93.000000000000028</v>
      </c>
      <c r="AN82" s="52">
        <v>51.999999999999986</v>
      </c>
      <c r="AO82" s="52">
        <v>51.999999999999979</v>
      </c>
      <c r="AP82" s="52">
        <v>30.999999999999996</v>
      </c>
      <c r="AQ82" s="52">
        <v>52.000000000000007</v>
      </c>
      <c r="AR82" s="52">
        <v>51.999999999999979</v>
      </c>
      <c r="AS82" s="52">
        <v>31.000000000000007</v>
      </c>
      <c r="AT82" s="52">
        <v>31.000000000000011</v>
      </c>
      <c r="AU82" s="52">
        <v>52.000000000000007</v>
      </c>
      <c r="AV82" s="52">
        <v>31.000000000000004</v>
      </c>
      <c r="AW82" s="52">
        <v>120.44444444444444</v>
      </c>
      <c r="AX82" s="52">
        <v>51.999999999999908</v>
      </c>
      <c r="AY82" s="52">
        <v>31.000000000000039</v>
      </c>
      <c r="AZ82" s="52">
        <v>52.000000000000014</v>
      </c>
      <c r="BA82" s="52">
        <v>52.000000000000007</v>
      </c>
      <c r="BB82" s="52">
        <v>31.000000000000004</v>
      </c>
      <c r="BC82" s="52">
        <v>60.666666666666679</v>
      </c>
      <c r="BD82" s="52">
        <v>51.999999999999986</v>
      </c>
      <c r="BE82" s="52">
        <v>31.000000000000011</v>
      </c>
      <c r="BF82" s="52">
        <v>52.000000000000014</v>
      </c>
      <c r="BG82" s="52">
        <v>52.000000000000014</v>
      </c>
      <c r="BH82" s="52">
        <v>29.999999999999986</v>
      </c>
      <c r="BI82" s="52">
        <v>51.999999999999929</v>
      </c>
      <c r="BJ82" s="52">
        <v>50.000000000000007</v>
      </c>
      <c r="BK82" s="52">
        <v>30</v>
      </c>
      <c r="BL82" s="52">
        <v>53.999999999999993</v>
      </c>
      <c r="BM82" s="52">
        <v>52</v>
      </c>
      <c r="BN82" s="52">
        <v>31.000000000000007</v>
      </c>
      <c r="BO82" s="52">
        <v>52.000000000000007</v>
      </c>
      <c r="BP82" s="52">
        <v>31.000000000000007</v>
      </c>
      <c r="BQ82" s="52">
        <v>31.000000000000004</v>
      </c>
      <c r="BR82" s="52">
        <v>52.000000000000014</v>
      </c>
      <c r="BS82" s="52">
        <v>34</v>
      </c>
      <c r="BT82" s="52">
        <v>30</v>
      </c>
      <c r="BU82" s="52">
        <v>56.428571428571381</v>
      </c>
      <c r="BV82" s="52">
        <v>31.000000000000004</v>
      </c>
      <c r="BW82" s="52">
        <v>29.999999999999996</v>
      </c>
    </row>
    <row r="83" spans="1:75" x14ac:dyDescent="0.3">
      <c r="A83" s="8" t="s">
        <v>103</v>
      </c>
      <c r="B83" s="8" t="s">
        <v>10</v>
      </c>
      <c r="C83" s="8" t="s">
        <v>117</v>
      </c>
      <c r="D83" s="52">
        <v>52.000000000000021</v>
      </c>
      <c r="E83" s="52">
        <v>49.999999999999986</v>
      </c>
      <c r="F83" s="52">
        <v>31.000000000000007</v>
      </c>
      <c r="G83" s="52">
        <v>52</v>
      </c>
      <c r="H83" s="52">
        <v>31.000000000000007</v>
      </c>
      <c r="I83" s="52">
        <v>31.000000000000014</v>
      </c>
      <c r="J83" s="52">
        <v>51.999999999999986</v>
      </c>
      <c r="K83" s="52">
        <v>49.999999999999993</v>
      </c>
      <c r="L83" s="52">
        <v>31.000000000000007</v>
      </c>
      <c r="M83" s="52">
        <v>51.999999999999986</v>
      </c>
      <c r="N83" s="52">
        <v>31.000000000000007</v>
      </c>
      <c r="O83" s="52">
        <v>29.999999999999996</v>
      </c>
      <c r="P83" s="52">
        <v>52.000000000000007</v>
      </c>
      <c r="Q83" s="52">
        <v>52.000000000000014</v>
      </c>
      <c r="R83" s="52">
        <v>31.000000000000011</v>
      </c>
      <c r="S83" s="52">
        <v>51.999999999999986</v>
      </c>
      <c r="T83" s="52">
        <v>31.000000000000007</v>
      </c>
      <c r="U83" s="52">
        <v>29.999999999999993</v>
      </c>
      <c r="V83" s="52">
        <v>31.000000000000004</v>
      </c>
      <c r="W83" s="52">
        <v>50.000000000000007</v>
      </c>
      <c r="X83" s="52">
        <v>29.999999999999996</v>
      </c>
      <c r="Y83" s="52">
        <v>100.36363636363635</v>
      </c>
      <c r="Z83" s="52">
        <v>50.000000000000014</v>
      </c>
      <c r="AA83" s="52">
        <v>29.999999999999993</v>
      </c>
      <c r="AB83" s="52">
        <v>51.999999999999986</v>
      </c>
      <c r="AC83" s="52">
        <v>50.000000000000014</v>
      </c>
      <c r="AD83" s="52">
        <v>31.000000000000007</v>
      </c>
      <c r="AE83" s="52">
        <v>50.000000000000021</v>
      </c>
      <c r="AF83" s="52">
        <v>31.000000000000007</v>
      </c>
      <c r="AG83" s="52">
        <v>31.000000000000011</v>
      </c>
      <c r="AH83" s="52">
        <v>52.000000000000007</v>
      </c>
      <c r="AI83" s="52">
        <v>50.000000000000014</v>
      </c>
      <c r="AJ83" s="52">
        <v>0</v>
      </c>
      <c r="AK83" s="52">
        <v>52</v>
      </c>
      <c r="AL83" s="52">
        <v>50.000000000000007</v>
      </c>
      <c r="AM83" s="52">
        <v>93.000000000000028</v>
      </c>
      <c r="AN83" s="52">
        <v>51.999999999999986</v>
      </c>
      <c r="AO83" s="52">
        <v>51.999999999999979</v>
      </c>
      <c r="AP83" s="52">
        <v>30.999999999999996</v>
      </c>
      <c r="AQ83" s="52">
        <v>52.000000000000007</v>
      </c>
      <c r="AR83" s="52">
        <v>51.999999999999979</v>
      </c>
      <c r="AS83" s="52">
        <v>31.000000000000007</v>
      </c>
      <c r="AT83" s="52">
        <v>31.000000000000011</v>
      </c>
      <c r="AU83" s="52">
        <v>52.000000000000007</v>
      </c>
      <c r="AV83" s="52">
        <v>31.000000000000004</v>
      </c>
      <c r="AW83" s="52">
        <v>120.44444444444444</v>
      </c>
      <c r="AX83" s="52">
        <v>51.999999999999908</v>
      </c>
      <c r="AY83" s="52">
        <v>31.000000000000039</v>
      </c>
      <c r="AZ83" s="52">
        <v>52.000000000000014</v>
      </c>
      <c r="BA83" s="52">
        <v>52.000000000000007</v>
      </c>
      <c r="BB83" s="52">
        <v>31.000000000000004</v>
      </c>
      <c r="BC83" s="52">
        <v>60.666666666666679</v>
      </c>
      <c r="BD83" s="52">
        <v>51.999999999999986</v>
      </c>
      <c r="BE83" s="52">
        <v>31.000000000000011</v>
      </c>
      <c r="BF83" s="52">
        <v>52.000000000000014</v>
      </c>
      <c r="BG83" s="52">
        <v>52.000000000000014</v>
      </c>
      <c r="BH83" s="52">
        <v>29.999999999999986</v>
      </c>
      <c r="BI83" s="52">
        <v>51.999999999999929</v>
      </c>
      <c r="BJ83" s="52">
        <v>50.000000000000007</v>
      </c>
      <c r="BK83" s="52">
        <v>30</v>
      </c>
      <c r="BL83" s="52">
        <v>53.999999999999993</v>
      </c>
      <c r="BM83" s="52">
        <v>52</v>
      </c>
      <c r="BN83" s="52">
        <v>31.000000000000007</v>
      </c>
      <c r="BO83" s="52">
        <v>52.000000000000007</v>
      </c>
      <c r="BP83" s="52">
        <v>31.000000000000007</v>
      </c>
      <c r="BQ83" s="52">
        <v>31.000000000000004</v>
      </c>
      <c r="BR83" s="52">
        <v>52.000000000000014</v>
      </c>
      <c r="BS83" s="52">
        <v>34</v>
      </c>
      <c r="BT83" s="52">
        <v>30</v>
      </c>
      <c r="BU83" s="52">
        <v>56.428571428571381</v>
      </c>
      <c r="BV83" s="52">
        <v>31.000000000000004</v>
      </c>
      <c r="BW83" s="52">
        <v>29.999999999999996</v>
      </c>
    </row>
    <row r="84" spans="1:75" x14ac:dyDescent="0.3">
      <c r="A84" s="8" t="s">
        <v>103</v>
      </c>
      <c r="B84" s="8" t="s">
        <v>10</v>
      </c>
      <c r="C84" s="8" t="s">
        <v>118</v>
      </c>
      <c r="D84" s="52">
        <v>52.000000000000021</v>
      </c>
      <c r="E84" s="52">
        <v>49.999999999999986</v>
      </c>
      <c r="F84" s="52">
        <v>31.000000000000007</v>
      </c>
      <c r="G84" s="52">
        <v>52</v>
      </c>
      <c r="H84" s="52">
        <v>31.000000000000007</v>
      </c>
      <c r="I84" s="52">
        <v>31.000000000000014</v>
      </c>
      <c r="J84" s="52">
        <v>51.999999999999986</v>
      </c>
      <c r="K84" s="52">
        <v>49.999999999999993</v>
      </c>
      <c r="L84" s="52">
        <v>31.000000000000007</v>
      </c>
      <c r="M84" s="52">
        <v>51.999999999999986</v>
      </c>
      <c r="N84" s="52">
        <v>31.000000000000007</v>
      </c>
      <c r="O84" s="52">
        <v>29.999999999999996</v>
      </c>
      <c r="P84" s="52">
        <v>52.000000000000007</v>
      </c>
      <c r="Q84" s="52">
        <v>52.000000000000014</v>
      </c>
      <c r="R84" s="52">
        <v>31.000000000000011</v>
      </c>
      <c r="S84" s="52">
        <v>51.999999999999986</v>
      </c>
      <c r="T84" s="52">
        <v>31.000000000000007</v>
      </c>
      <c r="U84" s="52">
        <v>29.999999999999993</v>
      </c>
      <c r="V84" s="52">
        <v>31.000000000000004</v>
      </c>
      <c r="W84" s="52">
        <v>50.000000000000007</v>
      </c>
      <c r="X84" s="52">
        <v>29.999999999999996</v>
      </c>
      <c r="Y84" s="52">
        <v>100.36363636363635</v>
      </c>
      <c r="Z84" s="52">
        <v>50.000000000000014</v>
      </c>
      <c r="AA84" s="52">
        <v>29.999999999999993</v>
      </c>
      <c r="AB84" s="52">
        <v>51.999999999999986</v>
      </c>
      <c r="AC84" s="52">
        <v>50.000000000000014</v>
      </c>
      <c r="AD84" s="52">
        <v>31.000000000000007</v>
      </c>
      <c r="AE84" s="52">
        <v>50.000000000000021</v>
      </c>
      <c r="AF84" s="52">
        <v>31.000000000000007</v>
      </c>
      <c r="AG84" s="52">
        <v>31.000000000000011</v>
      </c>
      <c r="AH84" s="52">
        <v>52.000000000000007</v>
      </c>
      <c r="AI84" s="52">
        <v>50.000000000000014</v>
      </c>
      <c r="AJ84" s="52">
        <v>0</v>
      </c>
      <c r="AK84" s="52">
        <v>52</v>
      </c>
      <c r="AL84" s="52">
        <v>50.000000000000007</v>
      </c>
      <c r="AM84" s="52">
        <v>93.000000000000028</v>
      </c>
      <c r="AN84" s="52">
        <v>51.999999999999986</v>
      </c>
      <c r="AO84" s="52">
        <v>51.999999999999979</v>
      </c>
      <c r="AP84" s="52">
        <v>30.999999999999996</v>
      </c>
      <c r="AQ84" s="52">
        <v>52.000000000000007</v>
      </c>
      <c r="AR84" s="52">
        <v>51.999999999999979</v>
      </c>
      <c r="AS84" s="52">
        <v>31.000000000000007</v>
      </c>
      <c r="AT84" s="52">
        <v>31.000000000000011</v>
      </c>
      <c r="AU84" s="52">
        <v>52.000000000000007</v>
      </c>
      <c r="AV84" s="52">
        <v>31.000000000000004</v>
      </c>
      <c r="AW84" s="52">
        <v>120.44444444444444</v>
      </c>
      <c r="AX84" s="52">
        <v>51.999999999999908</v>
      </c>
      <c r="AY84" s="52">
        <v>31.000000000000039</v>
      </c>
      <c r="AZ84" s="52">
        <v>52.000000000000014</v>
      </c>
      <c r="BA84" s="52">
        <v>52.000000000000007</v>
      </c>
      <c r="BB84" s="52">
        <v>31.000000000000004</v>
      </c>
      <c r="BC84" s="52">
        <v>60.666666666666679</v>
      </c>
      <c r="BD84" s="52">
        <v>51.999999999999986</v>
      </c>
      <c r="BE84" s="52">
        <v>31.000000000000011</v>
      </c>
      <c r="BF84" s="52">
        <v>52.000000000000014</v>
      </c>
      <c r="BG84" s="52">
        <v>52.000000000000014</v>
      </c>
      <c r="BH84" s="52">
        <v>29.999999999999986</v>
      </c>
      <c r="BI84" s="52">
        <v>51.999999999999929</v>
      </c>
      <c r="BJ84" s="52">
        <v>50.000000000000007</v>
      </c>
      <c r="BK84" s="52">
        <v>30</v>
      </c>
      <c r="BL84" s="52">
        <v>53.999999999999993</v>
      </c>
      <c r="BM84" s="52">
        <v>52</v>
      </c>
      <c r="BN84" s="52">
        <v>31.000000000000007</v>
      </c>
      <c r="BO84" s="52">
        <v>52.000000000000007</v>
      </c>
      <c r="BP84" s="52">
        <v>31.000000000000007</v>
      </c>
      <c r="BQ84" s="52">
        <v>31.000000000000004</v>
      </c>
      <c r="BR84" s="52">
        <v>52.000000000000014</v>
      </c>
      <c r="BS84" s="52">
        <v>34</v>
      </c>
      <c r="BT84" s="52">
        <v>30</v>
      </c>
      <c r="BU84" s="52">
        <v>56.428571428571381</v>
      </c>
      <c r="BV84" s="52">
        <v>31.000000000000004</v>
      </c>
      <c r="BW84" s="52">
        <v>29.999999999999996</v>
      </c>
    </row>
    <row r="85" spans="1:75" x14ac:dyDescent="0.3">
      <c r="A85" s="8" t="s">
        <v>104</v>
      </c>
      <c r="B85" s="8" t="s">
        <v>8</v>
      </c>
      <c r="C85" s="8" t="s">
        <v>108</v>
      </c>
      <c r="D85" s="52">
        <v>54.000000000000028</v>
      </c>
      <c r="E85" s="52">
        <v>54.000000000000007</v>
      </c>
      <c r="F85" s="52">
        <v>31.000000000000004</v>
      </c>
      <c r="G85" s="52">
        <v>53.999999999999829</v>
      </c>
      <c r="H85" s="52">
        <v>34</v>
      </c>
      <c r="I85" s="52">
        <v>31.000000000000004</v>
      </c>
      <c r="J85" s="52">
        <v>52.000000000000021</v>
      </c>
      <c r="K85" s="52">
        <v>50</v>
      </c>
      <c r="L85" s="52">
        <v>30.999999999999996</v>
      </c>
      <c r="M85" s="52">
        <v>51.999999999999822</v>
      </c>
      <c r="N85" s="52">
        <v>50</v>
      </c>
      <c r="O85" s="52">
        <v>31</v>
      </c>
      <c r="P85" s="52">
        <v>50</v>
      </c>
      <c r="Q85" s="52">
        <v>50</v>
      </c>
      <c r="R85" s="52">
        <v>31</v>
      </c>
      <c r="S85" s="52">
        <v>57.59999999999981</v>
      </c>
      <c r="T85" s="52">
        <v>50.000000000000014</v>
      </c>
      <c r="U85" s="52">
        <v>31</v>
      </c>
      <c r="V85" s="52">
        <v>30.999999999999982</v>
      </c>
      <c r="W85" s="52">
        <v>52.000000000000021</v>
      </c>
      <c r="X85" s="52">
        <v>30.999999999999993</v>
      </c>
      <c r="Y85" s="52">
        <v>106.96969696969698</v>
      </c>
      <c r="Z85" s="52">
        <v>52.000000000000021</v>
      </c>
      <c r="AA85" s="52">
        <v>30.999999999999993</v>
      </c>
      <c r="AB85" s="52">
        <v>51.999999999999979</v>
      </c>
      <c r="AC85" s="52">
        <v>51.999999999999986</v>
      </c>
      <c r="AD85" s="52">
        <v>0</v>
      </c>
      <c r="AE85" s="52">
        <v>51.999999999999972</v>
      </c>
      <c r="AF85" s="52">
        <v>31</v>
      </c>
      <c r="AG85" s="52">
        <v>87.833333333333329</v>
      </c>
      <c r="AH85" s="52">
        <v>51.999999999999964</v>
      </c>
      <c r="AI85" s="52">
        <v>50.000000000000007</v>
      </c>
      <c r="AJ85" s="52">
        <v>30.999999999999986</v>
      </c>
      <c r="AK85" s="52">
        <v>52.000000000000021</v>
      </c>
      <c r="AL85" s="52">
        <v>50</v>
      </c>
      <c r="AM85" s="52">
        <v>30.999999999999986</v>
      </c>
      <c r="AN85" s="52">
        <v>51.999999999999964</v>
      </c>
      <c r="AO85" s="52">
        <v>50.000000000000014</v>
      </c>
      <c r="AP85" s="52">
        <v>30.999999999999982</v>
      </c>
      <c r="AQ85" s="52">
        <v>52.000000000000021</v>
      </c>
      <c r="AR85" s="52">
        <v>50.000000000000007</v>
      </c>
      <c r="AS85" s="52">
        <v>30.999999999999986</v>
      </c>
      <c r="AT85" s="52">
        <v>31.000000000000007</v>
      </c>
      <c r="AU85" s="52">
        <v>52.000000000000007</v>
      </c>
      <c r="AV85" s="52">
        <v>31</v>
      </c>
      <c r="AW85" s="52">
        <v>128.96296296296296</v>
      </c>
      <c r="AX85" s="52">
        <v>52</v>
      </c>
      <c r="AY85" s="52">
        <v>96.444444444444471</v>
      </c>
      <c r="AZ85" s="52">
        <v>33.999999999999993</v>
      </c>
      <c r="BA85" s="52">
        <v>50</v>
      </c>
      <c r="BB85" s="52">
        <v>0</v>
      </c>
      <c r="BC85" s="52">
        <v>112.0000000000001</v>
      </c>
      <c r="BD85" s="52">
        <v>55.692307692307708</v>
      </c>
      <c r="BE85" s="52">
        <v>85.250000000000014</v>
      </c>
      <c r="BF85" s="52">
        <v>51.999999999999972</v>
      </c>
      <c r="BG85" s="52">
        <v>50.000000000000014</v>
      </c>
      <c r="BH85" s="52">
        <v>31</v>
      </c>
      <c r="BI85" s="52">
        <v>52.000000000000021</v>
      </c>
      <c r="BJ85" s="52">
        <v>31</v>
      </c>
      <c r="BK85" s="52">
        <v>30.999999999999996</v>
      </c>
      <c r="BL85" s="52">
        <v>52.000000000000007</v>
      </c>
      <c r="BM85" s="52">
        <v>50</v>
      </c>
      <c r="BN85" s="52">
        <v>30.999999999999986</v>
      </c>
      <c r="BO85" s="52">
        <v>51.999999999999972</v>
      </c>
      <c r="BP85" s="52">
        <v>49.999999999999972</v>
      </c>
      <c r="BQ85" s="52">
        <v>31.000000000000004</v>
      </c>
      <c r="BR85" s="52">
        <v>55.999999999999972</v>
      </c>
      <c r="BS85" s="52">
        <v>54.000000000000014</v>
      </c>
      <c r="BT85" s="52">
        <v>30.999999999999989</v>
      </c>
      <c r="BU85" s="52">
        <v>53.999999999999957</v>
      </c>
      <c r="BV85" s="52">
        <v>49.999999999999993</v>
      </c>
      <c r="BW85" s="52">
        <v>30.999999999999986</v>
      </c>
    </row>
    <row r="86" spans="1:75" x14ac:dyDescent="0.3">
      <c r="A86" s="8" t="s">
        <v>104</v>
      </c>
      <c r="B86" s="8" t="s">
        <v>8</v>
      </c>
      <c r="C86" s="8" t="s">
        <v>109</v>
      </c>
      <c r="D86" s="52">
        <v>54</v>
      </c>
      <c r="E86" s="52">
        <v>54.000000000000007</v>
      </c>
      <c r="F86" s="52">
        <v>30.999999999999996</v>
      </c>
      <c r="G86" s="52">
        <v>53.999999999999829</v>
      </c>
      <c r="H86" s="52">
        <v>34</v>
      </c>
      <c r="I86" s="52">
        <v>31</v>
      </c>
      <c r="J86" s="52">
        <v>52.000000000000021</v>
      </c>
      <c r="K86" s="52">
        <v>50</v>
      </c>
      <c r="L86" s="52">
        <v>30.999999999999996</v>
      </c>
      <c r="M86" s="52">
        <v>51.999999999999822</v>
      </c>
      <c r="N86" s="52">
        <v>50.000000000000007</v>
      </c>
      <c r="O86" s="52">
        <v>31</v>
      </c>
      <c r="P86" s="52">
        <v>50</v>
      </c>
      <c r="Q86" s="52">
        <v>50</v>
      </c>
      <c r="R86" s="52">
        <v>31</v>
      </c>
      <c r="S86" s="52">
        <v>57.599999999999753</v>
      </c>
      <c r="T86" s="52">
        <v>50.000000000000007</v>
      </c>
      <c r="U86" s="52">
        <v>31</v>
      </c>
      <c r="V86" s="52">
        <v>31</v>
      </c>
      <c r="W86" s="52">
        <v>52.000000000000007</v>
      </c>
      <c r="X86" s="52">
        <v>31</v>
      </c>
      <c r="Y86" s="52">
        <v>106.96969696969698</v>
      </c>
      <c r="Z86" s="52">
        <v>52.000000000000007</v>
      </c>
      <c r="AA86" s="52">
        <v>31</v>
      </c>
      <c r="AB86" s="52">
        <v>51.999999999999986</v>
      </c>
      <c r="AC86" s="52">
        <v>51.999999999999972</v>
      </c>
      <c r="AD86" s="52">
        <v>0</v>
      </c>
      <c r="AE86" s="52">
        <v>51.999999999999972</v>
      </c>
      <c r="AF86" s="52">
        <v>31</v>
      </c>
      <c r="AG86" s="52">
        <v>87.833333333333343</v>
      </c>
      <c r="AH86" s="52">
        <v>51.999999999999972</v>
      </c>
      <c r="AI86" s="52">
        <v>49.999999999999986</v>
      </c>
      <c r="AJ86" s="52">
        <v>31</v>
      </c>
      <c r="AK86" s="52">
        <v>52.000000000000036</v>
      </c>
      <c r="AL86" s="52">
        <v>50.00000000000005</v>
      </c>
      <c r="AM86" s="52">
        <v>31</v>
      </c>
      <c r="AN86" s="52">
        <v>51.999999999999986</v>
      </c>
      <c r="AO86" s="52">
        <v>50.000000000000021</v>
      </c>
      <c r="AP86" s="52">
        <v>31</v>
      </c>
      <c r="AQ86" s="52">
        <v>52.000000000000036</v>
      </c>
      <c r="AR86" s="52">
        <v>50.000000000000007</v>
      </c>
      <c r="AS86" s="52">
        <v>31</v>
      </c>
      <c r="AT86" s="52">
        <v>30.999999999999996</v>
      </c>
      <c r="AU86" s="52">
        <v>52</v>
      </c>
      <c r="AV86" s="52">
        <v>31</v>
      </c>
      <c r="AW86" s="52">
        <v>128.96296296296296</v>
      </c>
      <c r="AX86" s="52">
        <v>52.000000000000043</v>
      </c>
      <c r="AY86" s="52">
        <v>96.444444444444471</v>
      </c>
      <c r="AZ86" s="52">
        <v>33.999999999999986</v>
      </c>
      <c r="BA86" s="52">
        <v>50.000000000000007</v>
      </c>
      <c r="BB86" s="52">
        <v>0</v>
      </c>
      <c r="BC86" s="52">
        <v>112.00000000000016</v>
      </c>
      <c r="BD86" s="52">
        <v>55.692307692307708</v>
      </c>
      <c r="BE86" s="52">
        <v>85.250000000000014</v>
      </c>
      <c r="BF86" s="52">
        <v>51.99999999999995</v>
      </c>
      <c r="BG86" s="52">
        <v>50.000000000000007</v>
      </c>
      <c r="BH86" s="52">
        <v>31</v>
      </c>
      <c r="BI86" s="52">
        <v>52.000000000000036</v>
      </c>
      <c r="BJ86" s="52">
        <v>31</v>
      </c>
      <c r="BK86" s="52">
        <v>31.000000000000004</v>
      </c>
      <c r="BL86" s="52">
        <v>52.000000000000007</v>
      </c>
      <c r="BM86" s="52">
        <v>50</v>
      </c>
      <c r="BN86" s="52">
        <v>31.000000000000004</v>
      </c>
      <c r="BO86" s="52">
        <v>51.999999999999972</v>
      </c>
      <c r="BP86" s="52">
        <v>49.999999999999993</v>
      </c>
      <c r="BQ86" s="52">
        <v>31.000000000000004</v>
      </c>
      <c r="BR86" s="52">
        <v>55.999999999999972</v>
      </c>
      <c r="BS86" s="52">
        <v>54</v>
      </c>
      <c r="BT86" s="52">
        <v>31</v>
      </c>
      <c r="BU86" s="52">
        <v>54</v>
      </c>
      <c r="BV86" s="52">
        <v>49.999999999999993</v>
      </c>
      <c r="BW86" s="52">
        <v>31</v>
      </c>
    </row>
    <row r="87" spans="1:75" x14ac:dyDescent="0.3">
      <c r="A87" s="8" t="s">
        <v>104</v>
      </c>
      <c r="B87" s="8" t="s">
        <v>8</v>
      </c>
      <c r="C87" s="8" t="s">
        <v>110</v>
      </c>
      <c r="D87" s="52">
        <v>54.000000000000007</v>
      </c>
      <c r="E87" s="52">
        <v>54.000000000000007</v>
      </c>
      <c r="F87" s="52">
        <v>30.999999999999996</v>
      </c>
      <c r="G87" s="52">
        <v>53.999999999999829</v>
      </c>
      <c r="H87" s="52">
        <v>34</v>
      </c>
      <c r="I87" s="52">
        <v>31</v>
      </c>
      <c r="J87" s="52">
        <v>52.000000000000014</v>
      </c>
      <c r="K87" s="52">
        <v>50</v>
      </c>
      <c r="L87" s="52">
        <v>30.999999999999996</v>
      </c>
      <c r="M87" s="52">
        <v>51.999999999999822</v>
      </c>
      <c r="N87" s="52">
        <v>50.000000000000007</v>
      </c>
      <c r="O87" s="52">
        <v>31</v>
      </c>
      <c r="P87" s="52">
        <v>50.000000000000007</v>
      </c>
      <c r="Q87" s="52">
        <v>50</v>
      </c>
      <c r="R87" s="52">
        <v>31</v>
      </c>
      <c r="S87" s="52">
        <v>57.59999999999981</v>
      </c>
      <c r="T87" s="52">
        <v>50.000000000000014</v>
      </c>
      <c r="U87" s="52">
        <v>31</v>
      </c>
      <c r="V87" s="52">
        <v>31</v>
      </c>
      <c r="W87" s="52">
        <v>52.000000000000007</v>
      </c>
      <c r="X87" s="52">
        <v>31</v>
      </c>
      <c r="Y87" s="52">
        <v>106.96969696969698</v>
      </c>
      <c r="Z87" s="52">
        <v>52.000000000000007</v>
      </c>
      <c r="AA87" s="52">
        <v>31</v>
      </c>
      <c r="AB87" s="52">
        <v>51.999999999999979</v>
      </c>
      <c r="AC87" s="52">
        <v>51.999999999999986</v>
      </c>
      <c r="AD87" s="52">
        <v>0</v>
      </c>
      <c r="AE87" s="52">
        <v>51.999999999999972</v>
      </c>
      <c r="AF87" s="52">
        <v>31</v>
      </c>
      <c r="AG87" s="52">
        <v>87.833333333333329</v>
      </c>
      <c r="AH87" s="52">
        <v>51.999999999999964</v>
      </c>
      <c r="AI87" s="52">
        <v>49.999999999999986</v>
      </c>
      <c r="AJ87" s="52">
        <v>31</v>
      </c>
      <c r="AK87" s="52">
        <v>52.000000000000021</v>
      </c>
      <c r="AL87" s="52">
        <v>50.00000000000005</v>
      </c>
      <c r="AM87" s="52">
        <v>31</v>
      </c>
      <c r="AN87" s="52">
        <v>51.999999999999964</v>
      </c>
      <c r="AO87" s="52">
        <v>50.000000000000021</v>
      </c>
      <c r="AP87" s="52">
        <v>31</v>
      </c>
      <c r="AQ87" s="52">
        <v>52.000000000000021</v>
      </c>
      <c r="AR87" s="52">
        <v>50.000000000000014</v>
      </c>
      <c r="AS87" s="52">
        <v>31</v>
      </c>
      <c r="AT87" s="52">
        <v>30.999999999999996</v>
      </c>
      <c r="AU87" s="52">
        <v>52</v>
      </c>
      <c r="AV87" s="52">
        <v>31</v>
      </c>
      <c r="AW87" s="52">
        <v>128.96296296296296</v>
      </c>
      <c r="AX87" s="52">
        <v>52.00000000000005</v>
      </c>
      <c r="AY87" s="52">
        <v>96.444444444444471</v>
      </c>
      <c r="AZ87" s="52">
        <v>34</v>
      </c>
      <c r="BA87" s="52">
        <v>50.000000000000014</v>
      </c>
      <c r="BB87" s="52">
        <v>0</v>
      </c>
      <c r="BC87" s="52">
        <v>112.00000000000009</v>
      </c>
      <c r="BD87" s="52">
        <v>55.692307692307708</v>
      </c>
      <c r="BE87" s="52">
        <v>85.25</v>
      </c>
      <c r="BF87" s="52">
        <v>51.999999999999972</v>
      </c>
      <c r="BG87" s="52">
        <v>50.000000000000007</v>
      </c>
      <c r="BH87" s="52">
        <v>31</v>
      </c>
      <c r="BI87" s="52">
        <v>52.000000000000021</v>
      </c>
      <c r="BJ87" s="52">
        <v>31</v>
      </c>
      <c r="BK87" s="52">
        <v>31.000000000000004</v>
      </c>
      <c r="BL87" s="52">
        <v>52.000000000000007</v>
      </c>
      <c r="BM87" s="52">
        <v>50.000000000000007</v>
      </c>
      <c r="BN87" s="52">
        <v>31.000000000000004</v>
      </c>
      <c r="BO87" s="52">
        <v>51.999999999999972</v>
      </c>
      <c r="BP87" s="52">
        <v>49.999999999999972</v>
      </c>
      <c r="BQ87" s="52">
        <v>31.000000000000004</v>
      </c>
      <c r="BR87" s="52">
        <v>55.999999999999972</v>
      </c>
      <c r="BS87" s="52">
        <v>54.000000000000007</v>
      </c>
      <c r="BT87" s="52">
        <v>31</v>
      </c>
      <c r="BU87" s="52">
        <v>54</v>
      </c>
      <c r="BV87" s="52">
        <v>49.999999999999993</v>
      </c>
      <c r="BW87" s="52">
        <v>31</v>
      </c>
    </row>
    <row r="88" spans="1:75" x14ac:dyDescent="0.3">
      <c r="A88" s="8" t="s">
        <v>104</v>
      </c>
      <c r="B88" s="8" t="s">
        <v>8</v>
      </c>
      <c r="C88" s="8" t="s">
        <v>111</v>
      </c>
      <c r="D88" s="52">
        <v>54.000000000000028</v>
      </c>
      <c r="E88" s="52">
        <v>54.000000000000007</v>
      </c>
      <c r="F88" s="52">
        <v>30.999999999999989</v>
      </c>
      <c r="G88" s="52">
        <v>53.999999999999829</v>
      </c>
      <c r="H88" s="52">
        <v>34</v>
      </c>
      <c r="I88" s="52">
        <v>30.999999999999989</v>
      </c>
      <c r="J88" s="52">
        <v>52.000000000000007</v>
      </c>
      <c r="K88" s="52">
        <v>50</v>
      </c>
      <c r="L88" s="52">
        <v>30.999999999999996</v>
      </c>
      <c r="M88" s="52">
        <v>51.999999999999822</v>
      </c>
      <c r="N88" s="52">
        <v>49.999999999999972</v>
      </c>
      <c r="O88" s="52">
        <v>31</v>
      </c>
      <c r="P88" s="52">
        <v>50</v>
      </c>
      <c r="Q88" s="52">
        <v>50</v>
      </c>
      <c r="R88" s="52">
        <v>30.999999999999996</v>
      </c>
      <c r="S88" s="52">
        <v>57.59999999999981</v>
      </c>
      <c r="T88" s="52">
        <v>50.000000000000014</v>
      </c>
      <c r="U88" s="52">
        <v>31</v>
      </c>
      <c r="V88" s="52">
        <v>30.999999999999993</v>
      </c>
      <c r="W88" s="52">
        <v>52.000000000000021</v>
      </c>
      <c r="X88" s="52">
        <v>30.999999999999989</v>
      </c>
      <c r="Y88" s="52">
        <v>106.96969696969698</v>
      </c>
      <c r="Z88" s="52">
        <v>52.000000000000021</v>
      </c>
      <c r="AA88" s="52">
        <v>30.999999999999993</v>
      </c>
      <c r="AB88" s="52">
        <v>51.999999999999979</v>
      </c>
      <c r="AC88" s="52">
        <v>52.000000000000007</v>
      </c>
      <c r="AD88" s="52">
        <v>0</v>
      </c>
      <c r="AE88" s="52">
        <v>51.999999999999972</v>
      </c>
      <c r="AF88" s="52">
        <v>31</v>
      </c>
      <c r="AG88" s="52">
        <v>87.833333333333329</v>
      </c>
      <c r="AH88" s="52">
        <v>51.999999999999964</v>
      </c>
      <c r="AI88" s="52">
        <v>49.999999999999993</v>
      </c>
      <c r="AJ88" s="52">
        <v>30.999999999999996</v>
      </c>
      <c r="AK88" s="52">
        <v>52.000000000000021</v>
      </c>
      <c r="AL88" s="52">
        <v>50.00000000000005</v>
      </c>
      <c r="AM88" s="52">
        <v>30.999999999999996</v>
      </c>
      <c r="AN88" s="52">
        <v>51.999999999999964</v>
      </c>
      <c r="AO88" s="52">
        <v>50.000000000000021</v>
      </c>
      <c r="AP88" s="52">
        <v>30.999999999999993</v>
      </c>
      <c r="AQ88" s="52">
        <v>52.000000000000021</v>
      </c>
      <c r="AR88" s="52">
        <v>50.000000000000014</v>
      </c>
      <c r="AS88" s="52">
        <v>30.999999999999996</v>
      </c>
      <c r="AT88" s="52">
        <v>30.999999999999996</v>
      </c>
      <c r="AU88" s="52">
        <v>52.000000000000007</v>
      </c>
      <c r="AV88" s="52">
        <v>30.999999999999993</v>
      </c>
      <c r="AW88" s="52">
        <v>128.96296296296296</v>
      </c>
      <c r="AX88" s="52">
        <v>52.000000000000036</v>
      </c>
      <c r="AY88" s="52">
        <v>96.444444444444485</v>
      </c>
      <c r="AZ88" s="52">
        <v>34</v>
      </c>
      <c r="BA88" s="52">
        <v>50</v>
      </c>
      <c r="BB88" s="52">
        <v>0</v>
      </c>
      <c r="BC88" s="52">
        <v>112.0000000000001</v>
      </c>
      <c r="BD88" s="52">
        <v>55.692307692307708</v>
      </c>
      <c r="BE88" s="52">
        <v>85.25</v>
      </c>
      <c r="BF88" s="52">
        <v>51.999999999999972</v>
      </c>
      <c r="BG88" s="52">
        <v>50.000000000000014</v>
      </c>
      <c r="BH88" s="52">
        <v>30.999999999999993</v>
      </c>
      <c r="BI88" s="52">
        <v>52.000000000000021</v>
      </c>
      <c r="BJ88" s="52">
        <v>31</v>
      </c>
      <c r="BK88" s="52">
        <v>30.999999999999996</v>
      </c>
      <c r="BL88" s="52">
        <v>52.000000000000007</v>
      </c>
      <c r="BM88" s="52">
        <v>50</v>
      </c>
      <c r="BN88" s="52">
        <v>30.999999999999996</v>
      </c>
      <c r="BO88" s="52">
        <v>51.999999999999972</v>
      </c>
      <c r="BP88" s="52">
        <v>49.999999999999972</v>
      </c>
      <c r="BQ88" s="52">
        <v>31.000000000000004</v>
      </c>
      <c r="BR88" s="52">
        <v>55.999999999999972</v>
      </c>
      <c r="BS88" s="52">
        <v>54.000000000000014</v>
      </c>
      <c r="BT88" s="52">
        <v>31</v>
      </c>
      <c r="BU88" s="52">
        <v>54.000000000000014</v>
      </c>
      <c r="BV88" s="52">
        <v>49.999999999999993</v>
      </c>
      <c r="BW88" s="52">
        <v>30.999999999999993</v>
      </c>
    </row>
    <row r="89" spans="1:75" x14ac:dyDescent="0.3">
      <c r="A89" s="8" t="s">
        <v>104</v>
      </c>
      <c r="B89" s="8" t="s">
        <v>8</v>
      </c>
      <c r="C89" s="8" t="s">
        <v>112</v>
      </c>
      <c r="D89" s="52">
        <v>54.000000000000028</v>
      </c>
      <c r="E89" s="52">
        <v>54.000000000000007</v>
      </c>
      <c r="F89" s="52">
        <v>30.999999999999989</v>
      </c>
      <c r="G89" s="52">
        <v>53.999999999999829</v>
      </c>
      <c r="H89" s="52">
        <v>34</v>
      </c>
      <c r="I89" s="52">
        <v>30.999999999999989</v>
      </c>
      <c r="J89" s="52">
        <v>52.000000000000007</v>
      </c>
      <c r="K89" s="52">
        <v>50</v>
      </c>
      <c r="L89" s="52">
        <v>30.999999999999996</v>
      </c>
      <c r="M89" s="52">
        <v>51.999999999999822</v>
      </c>
      <c r="N89" s="52">
        <v>49.999999999999972</v>
      </c>
      <c r="O89" s="52">
        <v>31</v>
      </c>
      <c r="P89" s="52">
        <v>50</v>
      </c>
      <c r="Q89" s="52">
        <v>50</v>
      </c>
      <c r="R89" s="52">
        <v>30.999999999999996</v>
      </c>
      <c r="S89" s="52">
        <v>57.59999999999981</v>
      </c>
      <c r="T89" s="52">
        <v>50.000000000000014</v>
      </c>
      <c r="U89" s="52">
        <v>31</v>
      </c>
      <c r="V89" s="52">
        <v>30.999999999999993</v>
      </c>
      <c r="W89" s="52">
        <v>52.000000000000021</v>
      </c>
      <c r="X89" s="52">
        <v>30.999999999999989</v>
      </c>
      <c r="Y89" s="52">
        <v>106.96969696969698</v>
      </c>
      <c r="Z89" s="52">
        <v>52.000000000000021</v>
      </c>
      <c r="AA89" s="52">
        <v>30.999999999999993</v>
      </c>
      <c r="AB89" s="52">
        <v>51.999999999999979</v>
      </c>
      <c r="AC89" s="52">
        <v>52.000000000000007</v>
      </c>
      <c r="AD89" s="52">
        <v>0</v>
      </c>
      <c r="AE89" s="52">
        <v>51.999999999999972</v>
      </c>
      <c r="AF89" s="52">
        <v>31</v>
      </c>
      <c r="AG89" s="52">
        <v>87.833333333333329</v>
      </c>
      <c r="AH89" s="52">
        <v>51.999999999999964</v>
      </c>
      <c r="AI89" s="52">
        <v>49.999999999999993</v>
      </c>
      <c r="AJ89" s="52">
        <v>30.999999999999996</v>
      </c>
      <c r="AK89" s="52">
        <v>52.000000000000021</v>
      </c>
      <c r="AL89" s="52">
        <v>50.00000000000005</v>
      </c>
      <c r="AM89" s="52">
        <v>30.999999999999996</v>
      </c>
      <c r="AN89" s="52">
        <v>51.999999999999964</v>
      </c>
      <c r="AO89" s="52">
        <v>50.000000000000021</v>
      </c>
      <c r="AP89" s="52">
        <v>30.999999999999993</v>
      </c>
      <c r="AQ89" s="52">
        <v>52.000000000000021</v>
      </c>
      <c r="AR89" s="52">
        <v>50.000000000000014</v>
      </c>
      <c r="AS89" s="52">
        <v>30.999999999999996</v>
      </c>
      <c r="AT89" s="52">
        <v>30.999999999999996</v>
      </c>
      <c r="AU89" s="52">
        <v>52.000000000000007</v>
      </c>
      <c r="AV89" s="52">
        <v>30.999999999999993</v>
      </c>
      <c r="AW89" s="52">
        <v>128.96296296296296</v>
      </c>
      <c r="AX89" s="52">
        <v>52.000000000000036</v>
      </c>
      <c r="AY89" s="52">
        <v>96.444444444444485</v>
      </c>
      <c r="AZ89" s="52">
        <v>34</v>
      </c>
      <c r="BA89" s="52">
        <v>50</v>
      </c>
      <c r="BB89" s="52">
        <v>0</v>
      </c>
      <c r="BC89" s="52">
        <v>112.0000000000001</v>
      </c>
      <c r="BD89" s="52">
        <v>55.692307692307708</v>
      </c>
      <c r="BE89" s="52">
        <v>85.25</v>
      </c>
      <c r="BF89" s="52">
        <v>51.999999999999972</v>
      </c>
      <c r="BG89" s="52">
        <v>50.000000000000014</v>
      </c>
      <c r="BH89" s="52">
        <v>30.999999999999993</v>
      </c>
      <c r="BI89" s="52">
        <v>52.000000000000021</v>
      </c>
      <c r="BJ89" s="52">
        <v>31</v>
      </c>
      <c r="BK89" s="52">
        <v>30.999999999999996</v>
      </c>
      <c r="BL89" s="52">
        <v>52.000000000000007</v>
      </c>
      <c r="BM89" s="52">
        <v>50</v>
      </c>
      <c r="BN89" s="52">
        <v>30.999999999999996</v>
      </c>
      <c r="BO89" s="52">
        <v>51.999999999999972</v>
      </c>
      <c r="BP89" s="52">
        <v>49.999999999999972</v>
      </c>
      <c r="BQ89" s="52">
        <v>31.000000000000004</v>
      </c>
      <c r="BR89" s="52">
        <v>55.999999999999972</v>
      </c>
      <c r="BS89" s="52">
        <v>54.000000000000014</v>
      </c>
      <c r="BT89" s="52">
        <v>31</v>
      </c>
      <c r="BU89" s="52">
        <v>54.000000000000014</v>
      </c>
      <c r="BV89" s="52">
        <v>49.999999999999993</v>
      </c>
      <c r="BW89" s="52">
        <v>30.999999999999993</v>
      </c>
    </row>
    <row r="90" spans="1:75" x14ac:dyDescent="0.3">
      <c r="A90" s="8" t="s">
        <v>104</v>
      </c>
      <c r="B90" s="8" t="s">
        <v>8</v>
      </c>
      <c r="C90" s="8" t="s">
        <v>115</v>
      </c>
      <c r="D90" s="52">
        <v>53.999999999999986</v>
      </c>
      <c r="E90" s="52">
        <v>54.000000000000007</v>
      </c>
      <c r="F90" s="52">
        <v>31.000000000000004</v>
      </c>
      <c r="G90" s="52">
        <v>53.999999999999829</v>
      </c>
      <c r="H90" s="52">
        <v>34</v>
      </c>
      <c r="I90" s="52">
        <v>31.000000000000004</v>
      </c>
      <c r="J90" s="52">
        <v>52.000000000000021</v>
      </c>
      <c r="K90" s="52">
        <v>50</v>
      </c>
      <c r="L90" s="52">
        <v>30.999999999999996</v>
      </c>
      <c r="M90" s="52">
        <v>51.999999999999822</v>
      </c>
      <c r="N90" s="52">
        <v>50.000000000000007</v>
      </c>
      <c r="O90" s="52">
        <v>31</v>
      </c>
      <c r="P90" s="52">
        <v>50</v>
      </c>
      <c r="Q90" s="52">
        <v>50</v>
      </c>
      <c r="R90" s="52">
        <v>31</v>
      </c>
      <c r="S90" s="52">
        <v>57.599999999999753</v>
      </c>
      <c r="T90" s="52">
        <v>50.000000000000007</v>
      </c>
      <c r="U90" s="52">
        <v>31</v>
      </c>
      <c r="V90" s="52">
        <v>31.000000000000004</v>
      </c>
      <c r="W90" s="52">
        <v>52.000000000000014</v>
      </c>
      <c r="X90" s="52">
        <v>31</v>
      </c>
      <c r="Y90" s="52">
        <v>106.96969696969698</v>
      </c>
      <c r="Z90" s="52">
        <v>52.000000000000007</v>
      </c>
      <c r="AA90" s="52">
        <v>31</v>
      </c>
      <c r="AB90" s="52">
        <v>51.999999999999986</v>
      </c>
      <c r="AC90" s="52">
        <v>51.999999999999972</v>
      </c>
      <c r="AD90" s="52">
        <v>0</v>
      </c>
      <c r="AE90" s="52">
        <v>51.999999999999972</v>
      </c>
      <c r="AF90" s="52">
        <v>31.000000000000004</v>
      </c>
      <c r="AG90" s="52">
        <v>87.833333333333343</v>
      </c>
      <c r="AH90" s="52">
        <v>51.999999999999972</v>
      </c>
      <c r="AI90" s="52">
        <v>49.999999999999986</v>
      </c>
      <c r="AJ90" s="52">
        <v>31.000000000000004</v>
      </c>
      <c r="AK90" s="52">
        <v>52.000000000000036</v>
      </c>
      <c r="AL90" s="52">
        <v>50.00000000000005</v>
      </c>
      <c r="AM90" s="52">
        <v>31.000000000000004</v>
      </c>
      <c r="AN90" s="52">
        <v>51.999999999999986</v>
      </c>
      <c r="AO90" s="52">
        <v>50.000000000000021</v>
      </c>
      <c r="AP90" s="52">
        <v>31.000000000000007</v>
      </c>
      <c r="AQ90" s="52">
        <v>52.000000000000036</v>
      </c>
      <c r="AR90" s="52">
        <v>50.000000000000007</v>
      </c>
      <c r="AS90" s="52">
        <v>31.000000000000004</v>
      </c>
      <c r="AT90" s="52">
        <v>30.999999999999993</v>
      </c>
      <c r="AU90" s="52">
        <v>52</v>
      </c>
      <c r="AV90" s="52">
        <v>31.000000000000007</v>
      </c>
      <c r="AW90" s="52">
        <v>128.96296296296296</v>
      </c>
      <c r="AX90" s="52">
        <v>52.000000000000043</v>
      </c>
      <c r="AY90" s="52">
        <v>96.444444444444471</v>
      </c>
      <c r="AZ90" s="52">
        <v>33.999999999999986</v>
      </c>
      <c r="BA90" s="52">
        <v>50.000000000000007</v>
      </c>
      <c r="BB90" s="52">
        <v>0</v>
      </c>
      <c r="BC90" s="52">
        <v>112.00000000000016</v>
      </c>
      <c r="BD90" s="52">
        <v>55.692307692307708</v>
      </c>
      <c r="BE90" s="52">
        <v>85.250000000000014</v>
      </c>
      <c r="BF90" s="52">
        <v>51.99999999999995</v>
      </c>
      <c r="BG90" s="52">
        <v>50.000000000000007</v>
      </c>
      <c r="BH90" s="52">
        <v>31.000000000000007</v>
      </c>
      <c r="BI90" s="52">
        <v>52.000000000000036</v>
      </c>
      <c r="BJ90" s="52">
        <v>31.000000000000004</v>
      </c>
      <c r="BK90" s="52">
        <v>31.000000000000004</v>
      </c>
      <c r="BL90" s="52">
        <v>52.000000000000007</v>
      </c>
      <c r="BM90" s="52">
        <v>50</v>
      </c>
      <c r="BN90" s="52">
        <v>31.000000000000004</v>
      </c>
      <c r="BO90" s="52">
        <v>51.999999999999972</v>
      </c>
      <c r="BP90" s="52">
        <v>49.999999999999993</v>
      </c>
      <c r="BQ90" s="52">
        <v>31.000000000000004</v>
      </c>
      <c r="BR90" s="52">
        <v>55.999999999999972</v>
      </c>
      <c r="BS90" s="52">
        <v>53.999999999999993</v>
      </c>
      <c r="BT90" s="52">
        <v>31.000000000000004</v>
      </c>
      <c r="BU90" s="52">
        <v>54</v>
      </c>
      <c r="BV90" s="52">
        <v>49.999999999999993</v>
      </c>
      <c r="BW90" s="52">
        <v>31.000000000000004</v>
      </c>
    </row>
    <row r="91" spans="1:75" x14ac:dyDescent="0.3">
      <c r="A91" s="8" t="s">
        <v>104</v>
      </c>
      <c r="B91" s="8" t="s">
        <v>8</v>
      </c>
      <c r="C91" s="8" t="s">
        <v>116</v>
      </c>
      <c r="D91" s="52">
        <v>53.999999999999986</v>
      </c>
      <c r="E91" s="52">
        <v>54.000000000000007</v>
      </c>
      <c r="F91" s="52">
        <v>31.000000000000004</v>
      </c>
      <c r="G91" s="52">
        <v>53.999999999999829</v>
      </c>
      <c r="H91" s="52">
        <v>34</v>
      </c>
      <c r="I91" s="52">
        <v>31.000000000000004</v>
      </c>
      <c r="J91" s="52">
        <v>52.000000000000007</v>
      </c>
      <c r="K91" s="52">
        <v>50</v>
      </c>
      <c r="L91" s="52">
        <v>30.999999999999996</v>
      </c>
      <c r="M91" s="52">
        <v>51.999999999999822</v>
      </c>
      <c r="N91" s="52">
        <v>50.000000000000007</v>
      </c>
      <c r="O91" s="52">
        <v>31</v>
      </c>
      <c r="P91" s="52">
        <v>50</v>
      </c>
      <c r="Q91" s="52">
        <v>50</v>
      </c>
      <c r="R91" s="52">
        <v>31</v>
      </c>
      <c r="S91" s="52">
        <v>57.599999999999753</v>
      </c>
      <c r="T91" s="52">
        <v>50.000000000000007</v>
      </c>
      <c r="U91" s="52">
        <v>31</v>
      </c>
      <c r="V91" s="52">
        <v>31.000000000000004</v>
      </c>
      <c r="W91" s="52">
        <v>52.000000000000014</v>
      </c>
      <c r="X91" s="52">
        <v>31</v>
      </c>
      <c r="Y91" s="52">
        <v>106.96969696969698</v>
      </c>
      <c r="Z91" s="52">
        <v>52.000000000000007</v>
      </c>
      <c r="AA91" s="52">
        <v>31</v>
      </c>
      <c r="AB91" s="52">
        <v>51.999999999999986</v>
      </c>
      <c r="AC91" s="52">
        <v>52.000000000000007</v>
      </c>
      <c r="AD91" s="52">
        <v>0</v>
      </c>
      <c r="AE91" s="52">
        <v>51.999999999999964</v>
      </c>
      <c r="AF91" s="52">
        <v>31.000000000000004</v>
      </c>
      <c r="AG91" s="52">
        <v>87.833333333333343</v>
      </c>
      <c r="AH91" s="52">
        <v>51.999999999999964</v>
      </c>
      <c r="AI91" s="52">
        <v>49.999999999999986</v>
      </c>
      <c r="AJ91" s="52">
        <v>31.000000000000004</v>
      </c>
      <c r="AK91" s="52">
        <v>52.000000000000036</v>
      </c>
      <c r="AL91" s="52">
        <v>50.00000000000005</v>
      </c>
      <c r="AM91" s="52">
        <v>31.000000000000004</v>
      </c>
      <c r="AN91" s="52">
        <v>51.999999999999979</v>
      </c>
      <c r="AO91" s="52">
        <v>50.000000000000021</v>
      </c>
      <c r="AP91" s="52">
        <v>31.000000000000007</v>
      </c>
      <c r="AQ91" s="52">
        <v>52.000000000000036</v>
      </c>
      <c r="AR91" s="52">
        <v>50.000000000000007</v>
      </c>
      <c r="AS91" s="52">
        <v>31.000000000000004</v>
      </c>
      <c r="AT91" s="52">
        <v>30.999999999999993</v>
      </c>
      <c r="AU91" s="52">
        <v>52.000000000000007</v>
      </c>
      <c r="AV91" s="52">
        <v>31.000000000000007</v>
      </c>
      <c r="AW91" s="52">
        <v>128.96296296296296</v>
      </c>
      <c r="AX91" s="52">
        <v>52.000000000000043</v>
      </c>
      <c r="AY91" s="52">
        <v>96.444444444444471</v>
      </c>
      <c r="AZ91" s="52">
        <v>34</v>
      </c>
      <c r="BA91" s="52">
        <v>50.000000000000007</v>
      </c>
      <c r="BB91" s="52">
        <v>0</v>
      </c>
      <c r="BC91" s="52">
        <v>112.00000000000016</v>
      </c>
      <c r="BD91" s="52">
        <v>55.692307692307708</v>
      </c>
      <c r="BE91" s="52">
        <v>85.250000000000014</v>
      </c>
      <c r="BF91" s="52">
        <v>51.999999999999936</v>
      </c>
      <c r="BG91" s="52">
        <v>50.000000000000007</v>
      </c>
      <c r="BH91" s="52">
        <v>31.000000000000007</v>
      </c>
      <c r="BI91" s="52">
        <v>52.000000000000036</v>
      </c>
      <c r="BJ91" s="52">
        <v>31.000000000000004</v>
      </c>
      <c r="BK91" s="52">
        <v>31.000000000000004</v>
      </c>
      <c r="BL91" s="52">
        <v>52.000000000000007</v>
      </c>
      <c r="BM91" s="52">
        <v>50</v>
      </c>
      <c r="BN91" s="52">
        <v>31.000000000000004</v>
      </c>
      <c r="BO91" s="52">
        <v>51.999999999999964</v>
      </c>
      <c r="BP91" s="52">
        <v>49.999999999999993</v>
      </c>
      <c r="BQ91" s="52">
        <v>31.000000000000004</v>
      </c>
      <c r="BR91" s="52">
        <v>55.999999999999972</v>
      </c>
      <c r="BS91" s="52">
        <v>53.999999999999993</v>
      </c>
      <c r="BT91" s="52">
        <v>31.000000000000004</v>
      </c>
      <c r="BU91" s="52">
        <v>54</v>
      </c>
      <c r="BV91" s="52">
        <v>49.999999999999993</v>
      </c>
      <c r="BW91" s="52">
        <v>31.000000000000004</v>
      </c>
    </row>
    <row r="92" spans="1:75" x14ac:dyDescent="0.3">
      <c r="A92" s="8" t="s">
        <v>104</v>
      </c>
      <c r="B92" s="8" t="s">
        <v>8</v>
      </c>
      <c r="C92" s="8" t="s">
        <v>117</v>
      </c>
      <c r="D92" s="52">
        <v>53.999999999999986</v>
      </c>
      <c r="E92" s="52">
        <v>54.000000000000007</v>
      </c>
      <c r="F92" s="52">
        <v>31.000000000000004</v>
      </c>
      <c r="G92" s="52">
        <v>53.999999999999829</v>
      </c>
      <c r="H92" s="52">
        <v>34</v>
      </c>
      <c r="I92" s="52">
        <v>31.000000000000004</v>
      </c>
      <c r="J92" s="52">
        <v>52.000000000000007</v>
      </c>
      <c r="K92" s="52">
        <v>50</v>
      </c>
      <c r="L92" s="52">
        <v>30.999999999999996</v>
      </c>
      <c r="M92" s="52">
        <v>51.999999999999822</v>
      </c>
      <c r="N92" s="52">
        <v>50.000000000000007</v>
      </c>
      <c r="O92" s="52">
        <v>31</v>
      </c>
      <c r="P92" s="52">
        <v>50</v>
      </c>
      <c r="Q92" s="52">
        <v>50</v>
      </c>
      <c r="R92" s="52">
        <v>31</v>
      </c>
      <c r="S92" s="52">
        <v>57.599999999999753</v>
      </c>
      <c r="T92" s="52">
        <v>50.000000000000007</v>
      </c>
      <c r="U92" s="52">
        <v>31</v>
      </c>
      <c r="V92" s="52">
        <v>31.000000000000004</v>
      </c>
      <c r="W92" s="52">
        <v>52.000000000000014</v>
      </c>
      <c r="X92" s="52">
        <v>31</v>
      </c>
      <c r="Y92" s="52">
        <v>106.96969696969698</v>
      </c>
      <c r="Z92" s="52">
        <v>52.000000000000007</v>
      </c>
      <c r="AA92" s="52">
        <v>31</v>
      </c>
      <c r="AB92" s="52">
        <v>51.999999999999986</v>
      </c>
      <c r="AC92" s="52">
        <v>52.000000000000007</v>
      </c>
      <c r="AD92" s="52">
        <v>0</v>
      </c>
      <c r="AE92" s="52">
        <v>51.999999999999964</v>
      </c>
      <c r="AF92" s="52">
        <v>31.000000000000004</v>
      </c>
      <c r="AG92" s="52">
        <v>87.833333333333343</v>
      </c>
      <c r="AH92" s="52">
        <v>51.999999999999964</v>
      </c>
      <c r="AI92" s="52">
        <v>49.999999999999986</v>
      </c>
      <c r="AJ92" s="52">
        <v>31.000000000000004</v>
      </c>
      <c r="AK92" s="52">
        <v>52.000000000000036</v>
      </c>
      <c r="AL92" s="52">
        <v>50.00000000000005</v>
      </c>
      <c r="AM92" s="52">
        <v>31.000000000000004</v>
      </c>
      <c r="AN92" s="52">
        <v>51.999999999999979</v>
      </c>
      <c r="AO92" s="52">
        <v>50.000000000000021</v>
      </c>
      <c r="AP92" s="52">
        <v>31.000000000000007</v>
      </c>
      <c r="AQ92" s="52">
        <v>52.000000000000036</v>
      </c>
      <c r="AR92" s="52">
        <v>50.000000000000007</v>
      </c>
      <c r="AS92" s="52">
        <v>31.000000000000004</v>
      </c>
      <c r="AT92" s="52">
        <v>30.999999999999993</v>
      </c>
      <c r="AU92" s="52">
        <v>52.000000000000007</v>
      </c>
      <c r="AV92" s="52">
        <v>31.000000000000007</v>
      </c>
      <c r="AW92" s="52">
        <v>128.96296296296296</v>
      </c>
      <c r="AX92" s="52">
        <v>52.000000000000043</v>
      </c>
      <c r="AY92" s="52">
        <v>96.444444444444471</v>
      </c>
      <c r="AZ92" s="52">
        <v>34</v>
      </c>
      <c r="BA92" s="52">
        <v>50.000000000000007</v>
      </c>
      <c r="BB92" s="52">
        <v>0</v>
      </c>
      <c r="BC92" s="52">
        <v>112.00000000000016</v>
      </c>
      <c r="BD92" s="52">
        <v>55.692307692307708</v>
      </c>
      <c r="BE92" s="52">
        <v>85.250000000000014</v>
      </c>
      <c r="BF92" s="52">
        <v>51.999999999999936</v>
      </c>
      <c r="BG92" s="52">
        <v>50.000000000000007</v>
      </c>
      <c r="BH92" s="52">
        <v>31.000000000000007</v>
      </c>
      <c r="BI92" s="52">
        <v>52.000000000000036</v>
      </c>
      <c r="BJ92" s="52">
        <v>31.000000000000004</v>
      </c>
      <c r="BK92" s="52">
        <v>31.000000000000004</v>
      </c>
      <c r="BL92" s="52">
        <v>52.000000000000007</v>
      </c>
      <c r="BM92" s="52">
        <v>50</v>
      </c>
      <c r="BN92" s="52">
        <v>31.000000000000004</v>
      </c>
      <c r="BO92" s="52">
        <v>51.999999999999964</v>
      </c>
      <c r="BP92" s="52">
        <v>49.999999999999993</v>
      </c>
      <c r="BQ92" s="52">
        <v>31.000000000000004</v>
      </c>
      <c r="BR92" s="52">
        <v>55.999999999999972</v>
      </c>
      <c r="BS92" s="52">
        <v>53.999999999999993</v>
      </c>
      <c r="BT92" s="52">
        <v>31.000000000000004</v>
      </c>
      <c r="BU92" s="52">
        <v>54</v>
      </c>
      <c r="BV92" s="52">
        <v>49.999999999999993</v>
      </c>
      <c r="BW92" s="52">
        <v>31.000000000000004</v>
      </c>
    </row>
    <row r="93" spans="1:75" x14ac:dyDescent="0.3">
      <c r="A93" s="8" t="s">
        <v>104</v>
      </c>
      <c r="B93" s="8" t="s">
        <v>8</v>
      </c>
      <c r="C93" s="8" t="s">
        <v>118</v>
      </c>
      <c r="D93" s="52">
        <v>53.999999999999986</v>
      </c>
      <c r="E93" s="52">
        <v>54.000000000000007</v>
      </c>
      <c r="F93" s="52">
        <v>31.000000000000004</v>
      </c>
      <c r="G93" s="52">
        <v>53.999999999999829</v>
      </c>
      <c r="H93" s="52">
        <v>34</v>
      </c>
      <c r="I93" s="52">
        <v>31.000000000000004</v>
      </c>
      <c r="J93" s="52">
        <v>52.000000000000007</v>
      </c>
      <c r="K93" s="52">
        <v>50</v>
      </c>
      <c r="L93" s="52">
        <v>30.999999999999996</v>
      </c>
      <c r="M93" s="52">
        <v>51.999999999999822</v>
      </c>
      <c r="N93" s="52">
        <v>50.000000000000007</v>
      </c>
      <c r="O93" s="52">
        <v>31</v>
      </c>
      <c r="P93" s="52">
        <v>50</v>
      </c>
      <c r="Q93" s="52">
        <v>50</v>
      </c>
      <c r="R93" s="52">
        <v>31</v>
      </c>
      <c r="S93" s="52">
        <v>57.599999999999753</v>
      </c>
      <c r="T93" s="52">
        <v>50.000000000000007</v>
      </c>
      <c r="U93" s="52">
        <v>31</v>
      </c>
      <c r="V93" s="52">
        <v>31.000000000000004</v>
      </c>
      <c r="W93" s="52">
        <v>52.000000000000014</v>
      </c>
      <c r="X93" s="52">
        <v>31</v>
      </c>
      <c r="Y93" s="52">
        <v>106.96969696969698</v>
      </c>
      <c r="Z93" s="52">
        <v>52.000000000000007</v>
      </c>
      <c r="AA93" s="52">
        <v>31</v>
      </c>
      <c r="AB93" s="52">
        <v>51.999999999999986</v>
      </c>
      <c r="AC93" s="52">
        <v>52.000000000000007</v>
      </c>
      <c r="AD93" s="52">
        <v>0</v>
      </c>
      <c r="AE93" s="52">
        <v>51.999999999999964</v>
      </c>
      <c r="AF93" s="52">
        <v>31.000000000000004</v>
      </c>
      <c r="AG93" s="52">
        <v>87.833333333333343</v>
      </c>
      <c r="AH93" s="52">
        <v>51.999999999999964</v>
      </c>
      <c r="AI93" s="52">
        <v>49.999999999999986</v>
      </c>
      <c r="AJ93" s="52">
        <v>31.000000000000004</v>
      </c>
      <c r="AK93" s="52">
        <v>52.000000000000036</v>
      </c>
      <c r="AL93" s="52">
        <v>50.00000000000005</v>
      </c>
      <c r="AM93" s="52">
        <v>31.000000000000004</v>
      </c>
      <c r="AN93" s="52">
        <v>51.999999999999979</v>
      </c>
      <c r="AO93" s="52">
        <v>50.000000000000021</v>
      </c>
      <c r="AP93" s="52">
        <v>31.000000000000007</v>
      </c>
      <c r="AQ93" s="52">
        <v>52.000000000000036</v>
      </c>
      <c r="AR93" s="52">
        <v>50.000000000000007</v>
      </c>
      <c r="AS93" s="52">
        <v>31.000000000000004</v>
      </c>
      <c r="AT93" s="52">
        <v>30.999999999999993</v>
      </c>
      <c r="AU93" s="52">
        <v>52.000000000000007</v>
      </c>
      <c r="AV93" s="52">
        <v>31.000000000000007</v>
      </c>
      <c r="AW93" s="52">
        <v>128.96296296296296</v>
      </c>
      <c r="AX93" s="52">
        <v>52.000000000000043</v>
      </c>
      <c r="AY93" s="52">
        <v>96.444444444444471</v>
      </c>
      <c r="AZ93" s="52">
        <v>34</v>
      </c>
      <c r="BA93" s="52">
        <v>50.000000000000007</v>
      </c>
      <c r="BB93" s="52">
        <v>0</v>
      </c>
      <c r="BC93" s="52">
        <v>112.00000000000016</v>
      </c>
      <c r="BD93" s="52">
        <v>55.692307692307708</v>
      </c>
      <c r="BE93" s="52">
        <v>85.250000000000014</v>
      </c>
      <c r="BF93" s="52">
        <v>51.999999999999936</v>
      </c>
      <c r="BG93" s="52">
        <v>50.000000000000007</v>
      </c>
      <c r="BH93" s="52">
        <v>31.000000000000007</v>
      </c>
      <c r="BI93" s="52">
        <v>52.000000000000036</v>
      </c>
      <c r="BJ93" s="52">
        <v>31.000000000000004</v>
      </c>
      <c r="BK93" s="52">
        <v>31.000000000000004</v>
      </c>
      <c r="BL93" s="52">
        <v>52.000000000000007</v>
      </c>
      <c r="BM93" s="52">
        <v>50</v>
      </c>
      <c r="BN93" s="52">
        <v>31.000000000000004</v>
      </c>
      <c r="BO93" s="52">
        <v>51.999999999999964</v>
      </c>
      <c r="BP93" s="52">
        <v>49.999999999999993</v>
      </c>
      <c r="BQ93" s="52">
        <v>31.000000000000004</v>
      </c>
      <c r="BR93" s="52">
        <v>55.999999999999972</v>
      </c>
      <c r="BS93" s="52">
        <v>53.999999999999993</v>
      </c>
      <c r="BT93" s="52">
        <v>31.000000000000004</v>
      </c>
      <c r="BU93" s="52">
        <v>54</v>
      </c>
      <c r="BV93" s="52">
        <v>49.999999999999993</v>
      </c>
      <c r="BW93" s="52">
        <v>31.000000000000004</v>
      </c>
    </row>
    <row r="94" spans="1:75" x14ac:dyDescent="0.3">
      <c r="A94" s="8" t="s">
        <v>104</v>
      </c>
      <c r="B94" s="8" t="s">
        <v>9</v>
      </c>
      <c r="C94" s="8" t="s">
        <v>108</v>
      </c>
      <c r="D94" s="52">
        <v>52</v>
      </c>
      <c r="E94" s="52">
        <v>52.000000000000036</v>
      </c>
      <c r="F94" s="52">
        <v>0</v>
      </c>
      <c r="G94" s="52">
        <v>58.888888888888935</v>
      </c>
      <c r="H94" s="52">
        <v>34.000000000000014</v>
      </c>
      <c r="I94" s="52">
        <v>106.77777777777776</v>
      </c>
      <c r="J94" s="52">
        <v>52.000000000000007</v>
      </c>
      <c r="K94" s="52">
        <v>52.000000000000021</v>
      </c>
      <c r="L94" s="52">
        <v>31.000000000000004</v>
      </c>
      <c r="M94" s="52">
        <v>59.000000000000043</v>
      </c>
      <c r="N94" s="52">
        <v>52.000000000000021</v>
      </c>
      <c r="O94" s="52">
        <v>31.000000000000007</v>
      </c>
      <c r="P94" s="52">
        <v>49.999999999999993</v>
      </c>
      <c r="Q94" s="52">
        <v>50.000000000000007</v>
      </c>
      <c r="R94" s="52">
        <v>31.000000000000007</v>
      </c>
      <c r="S94" s="52">
        <v>65.2</v>
      </c>
      <c r="T94" s="52">
        <v>56.523076923076999</v>
      </c>
      <c r="U94" s="52">
        <v>31.000000000000007</v>
      </c>
      <c r="V94" s="52">
        <v>52.000000000000043</v>
      </c>
      <c r="W94" s="52">
        <v>49.999999999999993</v>
      </c>
      <c r="X94" s="52">
        <v>30.999999999999996</v>
      </c>
      <c r="Y94" s="52">
        <v>51.999999999999929</v>
      </c>
      <c r="Z94" s="52">
        <v>30.999999999999989</v>
      </c>
      <c r="AA94" s="52">
        <v>30.999999999999968</v>
      </c>
      <c r="AB94" s="52">
        <v>51.99999999999995</v>
      </c>
      <c r="AC94" s="52">
        <v>49.999999999999993</v>
      </c>
      <c r="AD94" s="52">
        <v>31.000000000000007</v>
      </c>
      <c r="AE94" s="52">
        <v>52.00000000000005</v>
      </c>
      <c r="AF94" s="52">
        <v>50.000000000000007</v>
      </c>
      <c r="AG94" s="52">
        <v>30.999999999999989</v>
      </c>
      <c r="AH94" s="52">
        <v>54.000000000000021</v>
      </c>
      <c r="AI94" s="52">
        <v>52.000000000000036</v>
      </c>
      <c r="AJ94" s="52">
        <v>0</v>
      </c>
      <c r="AK94" s="52">
        <v>52.000000000000036</v>
      </c>
      <c r="AL94" s="52">
        <v>34.000000000000014</v>
      </c>
      <c r="AM94" s="52">
        <v>93</v>
      </c>
      <c r="AN94" s="52">
        <v>52</v>
      </c>
      <c r="AO94" s="52">
        <v>50.000000000000007</v>
      </c>
      <c r="AP94" s="52">
        <v>30.999999999999986</v>
      </c>
      <c r="AQ94" s="52">
        <v>62.148148148148209</v>
      </c>
      <c r="AR94" s="52">
        <v>62.380952380952408</v>
      </c>
      <c r="AS94" s="52">
        <v>31.000000000000025</v>
      </c>
      <c r="AT94" s="52">
        <v>54.000000000000007</v>
      </c>
      <c r="AU94" s="52">
        <v>54.000000000000007</v>
      </c>
      <c r="AV94" s="52">
        <v>0</v>
      </c>
      <c r="AW94" s="52">
        <v>54.000000000000007</v>
      </c>
      <c r="AX94" s="52">
        <v>52.000000000000036</v>
      </c>
      <c r="AY94" s="52">
        <v>106.77777777777779</v>
      </c>
      <c r="AZ94" s="52">
        <v>34</v>
      </c>
      <c r="BA94" s="52">
        <v>52.000000000000007</v>
      </c>
      <c r="BB94" s="52">
        <v>0</v>
      </c>
      <c r="BC94" s="52">
        <v>120.66666666666671</v>
      </c>
      <c r="BD94" s="52">
        <v>52.000000000000078</v>
      </c>
      <c r="BE94" s="52">
        <v>85.249999999999986</v>
      </c>
      <c r="BF94" s="52">
        <v>54.000000000000007</v>
      </c>
      <c r="BG94" s="52">
        <v>52.000000000000043</v>
      </c>
      <c r="BH94" s="52">
        <v>31.000000000000014</v>
      </c>
      <c r="BI94" s="52">
        <v>54.000000000000007</v>
      </c>
      <c r="BJ94" s="52">
        <v>31.000000000000014</v>
      </c>
      <c r="BK94" s="52">
        <v>30.999999999999943</v>
      </c>
      <c r="BL94" s="52">
        <v>52</v>
      </c>
      <c r="BM94" s="52">
        <v>50.000000000000007</v>
      </c>
      <c r="BN94" s="52">
        <v>31.000000000000014</v>
      </c>
      <c r="BO94" s="52">
        <v>57.111111111111185</v>
      </c>
      <c r="BP94" s="52">
        <v>57.384615384615401</v>
      </c>
      <c r="BQ94" s="52">
        <v>31.000000000000014</v>
      </c>
      <c r="BR94" s="52">
        <v>54</v>
      </c>
      <c r="BS94" s="52">
        <v>54.000000000000021</v>
      </c>
      <c r="BT94" s="52">
        <v>30.999999999999986</v>
      </c>
      <c r="BU94" s="52">
        <v>54.000000000000021</v>
      </c>
      <c r="BV94" s="52">
        <v>52.000000000000021</v>
      </c>
      <c r="BW94" s="52">
        <v>30.999999999999993</v>
      </c>
    </row>
    <row r="95" spans="1:75" x14ac:dyDescent="0.3">
      <c r="A95" s="8" t="s">
        <v>104</v>
      </c>
      <c r="B95" s="8" t="s">
        <v>9</v>
      </c>
      <c r="C95" s="8" t="s">
        <v>109</v>
      </c>
      <c r="D95" s="52">
        <v>52</v>
      </c>
      <c r="E95" s="52">
        <v>52.000000000000036</v>
      </c>
      <c r="F95" s="52">
        <v>0</v>
      </c>
      <c r="G95" s="52">
        <v>58.888888888888935</v>
      </c>
      <c r="H95" s="52">
        <v>34</v>
      </c>
      <c r="I95" s="52">
        <v>106.77777777777776</v>
      </c>
      <c r="J95" s="52">
        <v>52.000000000000007</v>
      </c>
      <c r="K95" s="52">
        <v>52.000000000000021</v>
      </c>
      <c r="L95" s="52">
        <v>30.999999999999996</v>
      </c>
      <c r="M95" s="52">
        <v>59.000000000000043</v>
      </c>
      <c r="N95" s="52">
        <v>52.000000000000021</v>
      </c>
      <c r="O95" s="52">
        <v>31.000000000000004</v>
      </c>
      <c r="P95" s="52">
        <v>49.999999999999993</v>
      </c>
      <c r="Q95" s="52">
        <v>50.000000000000014</v>
      </c>
      <c r="R95" s="52">
        <v>31.000000000000007</v>
      </c>
      <c r="S95" s="52">
        <v>65.2</v>
      </c>
      <c r="T95" s="52">
        <v>56.523076923076999</v>
      </c>
      <c r="U95" s="52">
        <v>31.000000000000004</v>
      </c>
      <c r="V95" s="52">
        <v>52.000000000000036</v>
      </c>
      <c r="W95" s="52">
        <v>49.999999999999993</v>
      </c>
      <c r="X95" s="52">
        <v>30.999999999999996</v>
      </c>
      <c r="Y95" s="52">
        <v>51.999999999999972</v>
      </c>
      <c r="Z95" s="52">
        <v>30.999999999999989</v>
      </c>
      <c r="AA95" s="52">
        <v>30.999999999999996</v>
      </c>
      <c r="AB95" s="52">
        <v>52.000000000000007</v>
      </c>
      <c r="AC95" s="52">
        <v>49.999999999999986</v>
      </c>
      <c r="AD95" s="52">
        <v>30.999999999999996</v>
      </c>
      <c r="AE95" s="52">
        <v>52.000000000000021</v>
      </c>
      <c r="AF95" s="52">
        <v>50.000000000000007</v>
      </c>
      <c r="AG95" s="52">
        <v>31.000000000000004</v>
      </c>
      <c r="AH95" s="52">
        <v>54.000000000000036</v>
      </c>
      <c r="AI95" s="52">
        <v>52.000000000000036</v>
      </c>
      <c r="AJ95" s="52">
        <v>0</v>
      </c>
      <c r="AK95" s="52">
        <v>52.000000000000036</v>
      </c>
      <c r="AL95" s="52">
        <v>34</v>
      </c>
      <c r="AM95" s="52">
        <v>93.000000000000028</v>
      </c>
      <c r="AN95" s="52">
        <v>52</v>
      </c>
      <c r="AO95" s="52">
        <v>50.000000000000014</v>
      </c>
      <c r="AP95" s="52">
        <v>30.999999999999996</v>
      </c>
      <c r="AQ95" s="52">
        <v>62.148148148148245</v>
      </c>
      <c r="AR95" s="52">
        <v>62.380952380952408</v>
      </c>
      <c r="AS95" s="52">
        <v>31.000000000000004</v>
      </c>
      <c r="AT95" s="52">
        <v>54.000000000000021</v>
      </c>
      <c r="AU95" s="52">
        <v>54.000000000000007</v>
      </c>
      <c r="AV95" s="52">
        <v>0</v>
      </c>
      <c r="AW95" s="52">
        <v>54.000000000000028</v>
      </c>
      <c r="AX95" s="52">
        <v>52.000000000000021</v>
      </c>
      <c r="AY95" s="52">
        <v>106.7777777777778</v>
      </c>
      <c r="AZ95" s="52">
        <v>34</v>
      </c>
      <c r="BA95" s="52">
        <v>52.000000000000007</v>
      </c>
      <c r="BB95" s="52">
        <v>0</v>
      </c>
      <c r="BC95" s="52">
        <v>120.66666666666671</v>
      </c>
      <c r="BD95" s="52">
        <v>52.000000000000071</v>
      </c>
      <c r="BE95" s="52">
        <v>85.25</v>
      </c>
      <c r="BF95" s="52">
        <v>54.000000000000021</v>
      </c>
      <c r="BG95" s="52">
        <v>52.000000000000036</v>
      </c>
      <c r="BH95" s="52">
        <v>31.000000000000025</v>
      </c>
      <c r="BI95" s="52">
        <v>54.000000000000028</v>
      </c>
      <c r="BJ95" s="52">
        <v>31.000000000000004</v>
      </c>
      <c r="BK95" s="52">
        <v>30.999999999999961</v>
      </c>
      <c r="BL95" s="52">
        <v>52.000000000000007</v>
      </c>
      <c r="BM95" s="52">
        <v>50.000000000000007</v>
      </c>
      <c r="BN95" s="52">
        <v>31.000000000000014</v>
      </c>
      <c r="BO95" s="52">
        <v>57.111111111111185</v>
      </c>
      <c r="BP95" s="52">
        <v>57.384615384615437</v>
      </c>
      <c r="BQ95" s="52">
        <v>31.000000000000007</v>
      </c>
      <c r="BR95" s="52">
        <v>54</v>
      </c>
      <c r="BS95" s="52">
        <v>54.000000000000021</v>
      </c>
      <c r="BT95" s="52">
        <v>31.000000000000004</v>
      </c>
      <c r="BU95" s="52">
        <v>54.000000000000021</v>
      </c>
      <c r="BV95" s="52">
        <v>52.000000000000021</v>
      </c>
      <c r="BW95" s="52">
        <v>31.000000000000004</v>
      </c>
    </row>
    <row r="96" spans="1:75" x14ac:dyDescent="0.3">
      <c r="A96" s="8" t="s">
        <v>104</v>
      </c>
      <c r="B96" s="8" t="s">
        <v>9</v>
      </c>
      <c r="C96" s="8" t="s">
        <v>110</v>
      </c>
      <c r="D96" s="52">
        <v>52</v>
      </c>
      <c r="E96" s="52">
        <v>52.000000000000036</v>
      </c>
      <c r="F96" s="52">
        <v>0</v>
      </c>
      <c r="G96" s="52">
        <v>58.888888888888935</v>
      </c>
      <c r="H96" s="52">
        <v>34</v>
      </c>
      <c r="I96" s="52">
        <v>106.77777777777776</v>
      </c>
      <c r="J96" s="52">
        <v>52.000000000000007</v>
      </c>
      <c r="K96" s="52">
        <v>52.000000000000021</v>
      </c>
      <c r="L96" s="52">
        <v>30.999999999999996</v>
      </c>
      <c r="M96" s="52">
        <v>59.000000000000043</v>
      </c>
      <c r="N96" s="52">
        <v>52.000000000000021</v>
      </c>
      <c r="O96" s="52">
        <v>31.000000000000004</v>
      </c>
      <c r="P96" s="52">
        <v>49.999999999999993</v>
      </c>
      <c r="Q96" s="52">
        <v>50.000000000000014</v>
      </c>
      <c r="R96" s="52">
        <v>31.000000000000007</v>
      </c>
      <c r="S96" s="52">
        <v>65.2</v>
      </c>
      <c r="T96" s="52">
        <v>56.523076923076999</v>
      </c>
      <c r="U96" s="52">
        <v>30.999999999999993</v>
      </c>
      <c r="V96" s="52">
        <v>52.000000000000043</v>
      </c>
      <c r="W96" s="52">
        <v>49.999999999999993</v>
      </c>
      <c r="X96" s="52">
        <v>30.999999999999996</v>
      </c>
      <c r="Y96" s="52">
        <v>51.999999999999929</v>
      </c>
      <c r="Z96" s="52">
        <v>30.999999999999989</v>
      </c>
      <c r="AA96" s="52">
        <v>30.999999999999996</v>
      </c>
      <c r="AB96" s="52">
        <v>52.000000000000007</v>
      </c>
      <c r="AC96" s="52">
        <v>49.999999999999986</v>
      </c>
      <c r="AD96" s="52">
        <v>30.999999999999996</v>
      </c>
      <c r="AE96" s="52">
        <v>52.000000000000021</v>
      </c>
      <c r="AF96" s="52">
        <v>50.000000000000007</v>
      </c>
      <c r="AG96" s="52">
        <v>31.000000000000004</v>
      </c>
      <c r="AH96" s="52">
        <v>54.000000000000021</v>
      </c>
      <c r="AI96" s="52">
        <v>52.000000000000036</v>
      </c>
      <c r="AJ96" s="52">
        <v>0</v>
      </c>
      <c r="AK96" s="52">
        <v>52.000000000000036</v>
      </c>
      <c r="AL96" s="52">
        <v>34</v>
      </c>
      <c r="AM96" s="52">
        <v>93</v>
      </c>
      <c r="AN96" s="52">
        <v>52.000000000000007</v>
      </c>
      <c r="AO96" s="52">
        <v>50.000000000000014</v>
      </c>
      <c r="AP96" s="52">
        <v>30.999999999999996</v>
      </c>
      <c r="AQ96" s="52">
        <v>62.148148148148209</v>
      </c>
      <c r="AR96" s="52">
        <v>62.380952380952358</v>
      </c>
      <c r="AS96" s="52">
        <v>31.000000000000004</v>
      </c>
      <c r="AT96" s="52">
        <v>54.000000000000007</v>
      </c>
      <c r="AU96" s="52">
        <v>54.000000000000007</v>
      </c>
      <c r="AV96" s="52">
        <v>0</v>
      </c>
      <c r="AW96" s="52">
        <v>54.000000000000007</v>
      </c>
      <c r="AX96" s="52">
        <v>52.000000000000036</v>
      </c>
      <c r="AY96" s="52">
        <v>106.77777777777779</v>
      </c>
      <c r="AZ96" s="52">
        <v>34</v>
      </c>
      <c r="BA96" s="52">
        <v>52.000000000000007</v>
      </c>
      <c r="BB96" s="52">
        <v>0</v>
      </c>
      <c r="BC96" s="52">
        <v>120.66666666666671</v>
      </c>
      <c r="BD96" s="52">
        <v>52.000000000000078</v>
      </c>
      <c r="BE96" s="52">
        <v>85.249999999999986</v>
      </c>
      <c r="BF96" s="52">
        <v>54.000000000000007</v>
      </c>
      <c r="BG96" s="52">
        <v>52.000000000000043</v>
      </c>
      <c r="BH96" s="52">
        <v>31.000000000000025</v>
      </c>
      <c r="BI96" s="52">
        <v>54.000000000000007</v>
      </c>
      <c r="BJ96" s="52">
        <v>31.000000000000004</v>
      </c>
      <c r="BK96" s="52">
        <v>30.999999999999943</v>
      </c>
      <c r="BL96" s="52">
        <v>52.000000000000007</v>
      </c>
      <c r="BM96" s="52">
        <v>50.000000000000007</v>
      </c>
      <c r="BN96" s="52">
        <v>31.000000000000014</v>
      </c>
      <c r="BO96" s="52">
        <v>57.111111111111185</v>
      </c>
      <c r="BP96" s="52">
        <v>57.384615384615401</v>
      </c>
      <c r="BQ96" s="52">
        <v>30.999999999999975</v>
      </c>
      <c r="BR96" s="52">
        <v>54</v>
      </c>
      <c r="BS96" s="52">
        <v>54.000000000000021</v>
      </c>
      <c r="BT96" s="52">
        <v>31.000000000000004</v>
      </c>
      <c r="BU96" s="52">
        <v>54.000000000000021</v>
      </c>
      <c r="BV96" s="52">
        <v>52.000000000000021</v>
      </c>
      <c r="BW96" s="52">
        <v>31.000000000000004</v>
      </c>
    </row>
    <row r="97" spans="1:75" x14ac:dyDescent="0.3">
      <c r="A97" s="8" t="s">
        <v>104</v>
      </c>
      <c r="B97" s="8" t="s">
        <v>9</v>
      </c>
      <c r="C97" s="8" t="s">
        <v>111</v>
      </c>
      <c r="D97" s="52">
        <v>52.000000000000007</v>
      </c>
      <c r="E97" s="52">
        <v>52.000000000000036</v>
      </c>
      <c r="F97" s="52">
        <v>0</v>
      </c>
      <c r="G97" s="52">
        <v>58.888888888888935</v>
      </c>
      <c r="H97" s="52">
        <v>34</v>
      </c>
      <c r="I97" s="52">
        <v>106.77777777777776</v>
      </c>
      <c r="J97" s="52">
        <v>52.000000000000007</v>
      </c>
      <c r="K97" s="52">
        <v>52.000000000000021</v>
      </c>
      <c r="L97" s="52">
        <v>30.999999999999989</v>
      </c>
      <c r="M97" s="52">
        <v>59.000000000000043</v>
      </c>
      <c r="N97" s="52">
        <v>52.000000000000021</v>
      </c>
      <c r="O97" s="52">
        <v>31.000000000000004</v>
      </c>
      <c r="P97" s="52">
        <v>49.999999999999993</v>
      </c>
      <c r="Q97" s="52">
        <v>50.000000000000007</v>
      </c>
      <c r="R97" s="52">
        <v>31.000000000000007</v>
      </c>
      <c r="S97" s="52">
        <v>65.2</v>
      </c>
      <c r="T97" s="52">
        <v>56.523076923076999</v>
      </c>
      <c r="U97" s="52">
        <v>31.000000000000004</v>
      </c>
      <c r="V97" s="52">
        <v>52.000000000000043</v>
      </c>
      <c r="W97" s="52">
        <v>49.999999999999993</v>
      </c>
      <c r="X97" s="52">
        <v>30.999999999999993</v>
      </c>
      <c r="Y97" s="52">
        <v>51.999999999999929</v>
      </c>
      <c r="Z97" s="52">
        <v>30.999999999999989</v>
      </c>
      <c r="AA97" s="52">
        <v>30.999999999999989</v>
      </c>
      <c r="AB97" s="52">
        <v>51.999999999999972</v>
      </c>
      <c r="AC97" s="52">
        <v>49.999999999999993</v>
      </c>
      <c r="AD97" s="52">
        <v>31.000000000000007</v>
      </c>
      <c r="AE97" s="52">
        <v>52.000000000000043</v>
      </c>
      <c r="AF97" s="52">
        <v>50.000000000000007</v>
      </c>
      <c r="AG97" s="52">
        <v>31.000000000000004</v>
      </c>
      <c r="AH97" s="52">
        <v>54.000000000000021</v>
      </c>
      <c r="AI97" s="52">
        <v>52.000000000000036</v>
      </c>
      <c r="AJ97" s="52">
        <v>0</v>
      </c>
      <c r="AK97" s="52">
        <v>52.000000000000036</v>
      </c>
      <c r="AL97" s="52">
        <v>34</v>
      </c>
      <c r="AM97" s="52">
        <v>93</v>
      </c>
      <c r="AN97" s="52">
        <v>52.000000000000007</v>
      </c>
      <c r="AO97" s="52">
        <v>50.000000000000007</v>
      </c>
      <c r="AP97" s="52">
        <v>30.999999999999993</v>
      </c>
      <c r="AQ97" s="52">
        <v>62.148148148148209</v>
      </c>
      <c r="AR97" s="52">
        <v>62.380952380952358</v>
      </c>
      <c r="AS97" s="52">
        <v>31.000000000000011</v>
      </c>
      <c r="AT97" s="52">
        <v>54.000000000000007</v>
      </c>
      <c r="AU97" s="52">
        <v>54.000000000000007</v>
      </c>
      <c r="AV97" s="52">
        <v>0</v>
      </c>
      <c r="AW97" s="52">
        <v>54.000000000000007</v>
      </c>
      <c r="AX97" s="52">
        <v>52.000000000000036</v>
      </c>
      <c r="AY97" s="52">
        <v>106.77777777777779</v>
      </c>
      <c r="AZ97" s="52">
        <v>34</v>
      </c>
      <c r="BA97" s="52">
        <v>52.000000000000007</v>
      </c>
      <c r="BB97" s="52">
        <v>0</v>
      </c>
      <c r="BC97" s="52">
        <v>120.66666666666671</v>
      </c>
      <c r="BD97" s="52">
        <v>52.000000000000078</v>
      </c>
      <c r="BE97" s="52">
        <v>85.249999999999986</v>
      </c>
      <c r="BF97" s="52">
        <v>54.000000000000007</v>
      </c>
      <c r="BG97" s="52">
        <v>52.000000000000043</v>
      </c>
      <c r="BH97" s="52">
        <v>31.000000000000025</v>
      </c>
      <c r="BI97" s="52">
        <v>54.000000000000007</v>
      </c>
      <c r="BJ97" s="52">
        <v>31.000000000000004</v>
      </c>
      <c r="BK97" s="52">
        <v>30.999999999999943</v>
      </c>
      <c r="BL97" s="52">
        <v>52.000000000000007</v>
      </c>
      <c r="BM97" s="52">
        <v>50.000000000000007</v>
      </c>
      <c r="BN97" s="52">
        <v>31.000000000000014</v>
      </c>
      <c r="BO97" s="52">
        <v>57.111111111111185</v>
      </c>
      <c r="BP97" s="52">
        <v>57.384615384615401</v>
      </c>
      <c r="BQ97" s="52">
        <v>31.000000000000004</v>
      </c>
      <c r="BR97" s="52">
        <v>54</v>
      </c>
      <c r="BS97" s="52">
        <v>54.000000000000021</v>
      </c>
      <c r="BT97" s="52">
        <v>30.999999999999996</v>
      </c>
      <c r="BU97" s="52">
        <v>54.000000000000021</v>
      </c>
      <c r="BV97" s="52">
        <v>52.000000000000021</v>
      </c>
      <c r="BW97" s="52">
        <v>30.999999999999993</v>
      </c>
    </row>
    <row r="98" spans="1:75" x14ac:dyDescent="0.3">
      <c r="A98" s="8" t="s">
        <v>104</v>
      </c>
      <c r="B98" s="8" t="s">
        <v>9</v>
      </c>
      <c r="C98" s="8" t="s">
        <v>112</v>
      </c>
      <c r="D98" s="52">
        <v>52.000000000000007</v>
      </c>
      <c r="E98" s="52">
        <v>52.000000000000036</v>
      </c>
      <c r="F98" s="52">
        <v>0</v>
      </c>
      <c r="G98" s="52">
        <v>58.888888888888935</v>
      </c>
      <c r="H98" s="52">
        <v>34</v>
      </c>
      <c r="I98" s="52">
        <v>106.77777777777776</v>
      </c>
      <c r="J98" s="52">
        <v>52.000000000000007</v>
      </c>
      <c r="K98" s="52">
        <v>52.000000000000021</v>
      </c>
      <c r="L98" s="52">
        <v>30.999999999999989</v>
      </c>
      <c r="M98" s="52">
        <v>59.000000000000043</v>
      </c>
      <c r="N98" s="52">
        <v>52.000000000000021</v>
      </c>
      <c r="O98" s="52">
        <v>31.000000000000004</v>
      </c>
      <c r="P98" s="52">
        <v>49.999999999999993</v>
      </c>
      <c r="Q98" s="52">
        <v>50.000000000000007</v>
      </c>
      <c r="R98" s="52">
        <v>31.000000000000007</v>
      </c>
      <c r="S98" s="52">
        <v>65.2</v>
      </c>
      <c r="T98" s="52">
        <v>56.523076923076999</v>
      </c>
      <c r="U98" s="52">
        <v>31.000000000000004</v>
      </c>
      <c r="V98" s="52">
        <v>52.000000000000043</v>
      </c>
      <c r="W98" s="52">
        <v>49.999999999999993</v>
      </c>
      <c r="X98" s="52">
        <v>30.999999999999993</v>
      </c>
      <c r="Y98" s="52">
        <v>51.999999999999929</v>
      </c>
      <c r="Z98" s="52">
        <v>30.999999999999989</v>
      </c>
      <c r="AA98" s="52">
        <v>30.999999999999989</v>
      </c>
      <c r="AB98" s="52">
        <v>51.999999999999972</v>
      </c>
      <c r="AC98" s="52">
        <v>49.999999999999993</v>
      </c>
      <c r="AD98" s="52">
        <v>31.000000000000007</v>
      </c>
      <c r="AE98" s="52">
        <v>52.000000000000043</v>
      </c>
      <c r="AF98" s="52">
        <v>50.000000000000007</v>
      </c>
      <c r="AG98" s="52">
        <v>31.000000000000004</v>
      </c>
      <c r="AH98" s="52">
        <v>54.000000000000021</v>
      </c>
      <c r="AI98" s="52">
        <v>52.000000000000036</v>
      </c>
      <c r="AJ98" s="52">
        <v>0</v>
      </c>
      <c r="AK98" s="52">
        <v>52.000000000000036</v>
      </c>
      <c r="AL98" s="52">
        <v>34</v>
      </c>
      <c r="AM98" s="52">
        <v>93</v>
      </c>
      <c r="AN98" s="52">
        <v>52.000000000000007</v>
      </c>
      <c r="AO98" s="52">
        <v>50.000000000000007</v>
      </c>
      <c r="AP98" s="52">
        <v>30.999999999999993</v>
      </c>
      <c r="AQ98" s="52">
        <v>62.148148148148209</v>
      </c>
      <c r="AR98" s="52">
        <v>62.380952380952358</v>
      </c>
      <c r="AS98" s="52">
        <v>31.000000000000011</v>
      </c>
      <c r="AT98" s="52">
        <v>54.000000000000007</v>
      </c>
      <c r="AU98" s="52">
        <v>54.000000000000007</v>
      </c>
      <c r="AV98" s="52">
        <v>0</v>
      </c>
      <c r="AW98" s="52">
        <v>54.000000000000007</v>
      </c>
      <c r="AX98" s="52">
        <v>52.000000000000036</v>
      </c>
      <c r="AY98" s="52">
        <v>106.77777777777779</v>
      </c>
      <c r="AZ98" s="52">
        <v>34</v>
      </c>
      <c r="BA98" s="52">
        <v>52.000000000000007</v>
      </c>
      <c r="BB98" s="52">
        <v>0</v>
      </c>
      <c r="BC98" s="52">
        <v>120.66666666666671</v>
      </c>
      <c r="BD98" s="52">
        <v>52.000000000000078</v>
      </c>
      <c r="BE98" s="52">
        <v>85.249999999999986</v>
      </c>
      <c r="BF98" s="52">
        <v>54.000000000000007</v>
      </c>
      <c r="BG98" s="52">
        <v>52.000000000000043</v>
      </c>
      <c r="BH98" s="52">
        <v>31.000000000000025</v>
      </c>
      <c r="BI98" s="52">
        <v>54.000000000000007</v>
      </c>
      <c r="BJ98" s="52">
        <v>31.000000000000004</v>
      </c>
      <c r="BK98" s="52">
        <v>30.999999999999943</v>
      </c>
      <c r="BL98" s="52">
        <v>52.000000000000007</v>
      </c>
      <c r="BM98" s="52">
        <v>50.000000000000007</v>
      </c>
      <c r="BN98" s="52">
        <v>31.000000000000014</v>
      </c>
      <c r="BO98" s="52">
        <v>57.111111111111185</v>
      </c>
      <c r="BP98" s="52">
        <v>57.384615384615401</v>
      </c>
      <c r="BQ98" s="52">
        <v>31.000000000000004</v>
      </c>
      <c r="BR98" s="52">
        <v>54</v>
      </c>
      <c r="BS98" s="52">
        <v>54.000000000000021</v>
      </c>
      <c r="BT98" s="52">
        <v>30.999999999999996</v>
      </c>
      <c r="BU98" s="52">
        <v>54.000000000000021</v>
      </c>
      <c r="BV98" s="52">
        <v>52.000000000000021</v>
      </c>
      <c r="BW98" s="52">
        <v>30.999999999999993</v>
      </c>
    </row>
    <row r="99" spans="1:75" x14ac:dyDescent="0.3">
      <c r="A99" s="8" t="s">
        <v>104</v>
      </c>
      <c r="B99" s="8" t="s">
        <v>9</v>
      </c>
      <c r="C99" s="8" t="s">
        <v>115</v>
      </c>
      <c r="D99" s="52">
        <v>52</v>
      </c>
      <c r="E99" s="52">
        <v>52.000000000000036</v>
      </c>
      <c r="F99" s="52">
        <v>0</v>
      </c>
      <c r="G99" s="52">
        <v>58.888888888888935</v>
      </c>
      <c r="H99" s="52">
        <v>34</v>
      </c>
      <c r="I99" s="52">
        <v>106.77777777777776</v>
      </c>
      <c r="J99" s="52">
        <v>52.000000000000007</v>
      </c>
      <c r="K99" s="52">
        <v>52.000000000000021</v>
      </c>
      <c r="L99" s="52">
        <v>31.000000000000004</v>
      </c>
      <c r="M99" s="52">
        <v>59.000000000000043</v>
      </c>
      <c r="N99" s="52">
        <v>52.000000000000021</v>
      </c>
      <c r="O99" s="52">
        <v>31.000000000000007</v>
      </c>
      <c r="P99" s="52">
        <v>49.999999999999993</v>
      </c>
      <c r="Q99" s="52">
        <v>50.000000000000014</v>
      </c>
      <c r="R99" s="52">
        <v>31.000000000000007</v>
      </c>
      <c r="S99" s="52">
        <v>65.2</v>
      </c>
      <c r="T99" s="52">
        <v>56.523076923076999</v>
      </c>
      <c r="U99" s="52">
        <v>31.000000000000004</v>
      </c>
      <c r="V99" s="52">
        <v>52.000000000000036</v>
      </c>
      <c r="W99" s="52">
        <v>49.999999999999993</v>
      </c>
      <c r="X99" s="52">
        <v>31.000000000000004</v>
      </c>
      <c r="Y99" s="52">
        <v>51.999999999999972</v>
      </c>
      <c r="Z99" s="52">
        <v>30.999999999999989</v>
      </c>
      <c r="AA99" s="52">
        <v>31.000000000000004</v>
      </c>
      <c r="AB99" s="52">
        <v>52.000000000000036</v>
      </c>
      <c r="AC99" s="52">
        <v>49.999999999999986</v>
      </c>
      <c r="AD99" s="52">
        <v>30.999999999999996</v>
      </c>
      <c r="AE99" s="52">
        <v>52.000000000000007</v>
      </c>
      <c r="AF99" s="52">
        <v>50.000000000000007</v>
      </c>
      <c r="AG99" s="52">
        <v>31.000000000000004</v>
      </c>
      <c r="AH99" s="52">
        <v>54.000000000000036</v>
      </c>
      <c r="AI99" s="52">
        <v>52.000000000000036</v>
      </c>
      <c r="AJ99" s="52">
        <v>0</v>
      </c>
      <c r="AK99" s="52">
        <v>52.000000000000036</v>
      </c>
      <c r="AL99" s="52">
        <v>34</v>
      </c>
      <c r="AM99" s="52">
        <v>93.000000000000028</v>
      </c>
      <c r="AN99" s="52">
        <v>52</v>
      </c>
      <c r="AO99" s="52">
        <v>50.000000000000014</v>
      </c>
      <c r="AP99" s="52">
        <v>30.999999999999996</v>
      </c>
      <c r="AQ99" s="52">
        <v>62.148148148148245</v>
      </c>
      <c r="AR99" s="52">
        <v>62.380952380952408</v>
      </c>
      <c r="AS99" s="52">
        <v>30.999999999999996</v>
      </c>
      <c r="AT99" s="52">
        <v>54.000000000000021</v>
      </c>
      <c r="AU99" s="52">
        <v>54.000000000000007</v>
      </c>
      <c r="AV99" s="52">
        <v>0</v>
      </c>
      <c r="AW99" s="52">
        <v>54.000000000000028</v>
      </c>
      <c r="AX99" s="52">
        <v>52.000000000000021</v>
      </c>
      <c r="AY99" s="52">
        <v>106.7777777777778</v>
      </c>
      <c r="AZ99" s="52">
        <v>34</v>
      </c>
      <c r="BA99" s="52">
        <v>52.000000000000007</v>
      </c>
      <c r="BB99" s="52">
        <v>0</v>
      </c>
      <c r="BC99" s="52">
        <v>120.66666666666671</v>
      </c>
      <c r="BD99" s="52">
        <v>52.000000000000071</v>
      </c>
      <c r="BE99" s="52">
        <v>85.25</v>
      </c>
      <c r="BF99" s="52">
        <v>54.000000000000021</v>
      </c>
      <c r="BG99" s="52">
        <v>52.000000000000036</v>
      </c>
      <c r="BH99" s="52">
        <v>31.000000000000025</v>
      </c>
      <c r="BI99" s="52">
        <v>54.000000000000028</v>
      </c>
      <c r="BJ99" s="52">
        <v>31.000000000000007</v>
      </c>
      <c r="BK99" s="52">
        <v>30.999999999999961</v>
      </c>
      <c r="BL99" s="52">
        <v>52.000000000000007</v>
      </c>
      <c r="BM99" s="52">
        <v>50.000000000000007</v>
      </c>
      <c r="BN99" s="52">
        <v>31.000000000000014</v>
      </c>
      <c r="BO99" s="52">
        <v>57.111111111111185</v>
      </c>
      <c r="BP99" s="52">
        <v>57.384615384615437</v>
      </c>
      <c r="BQ99" s="52">
        <v>31.000000000000007</v>
      </c>
      <c r="BR99" s="52">
        <v>54</v>
      </c>
      <c r="BS99" s="52">
        <v>54.000000000000021</v>
      </c>
      <c r="BT99" s="52">
        <v>31.000000000000007</v>
      </c>
      <c r="BU99" s="52">
        <v>54.000000000000021</v>
      </c>
      <c r="BV99" s="52">
        <v>52.000000000000021</v>
      </c>
      <c r="BW99" s="52">
        <v>31.000000000000004</v>
      </c>
    </row>
    <row r="100" spans="1:75" x14ac:dyDescent="0.3">
      <c r="A100" s="8" t="s">
        <v>104</v>
      </c>
      <c r="B100" s="8" t="s">
        <v>9</v>
      </c>
      <c r="C100" s="8" t="s">
        <v>116</v>
      </c>
      <c r="D100" s="52">
        <v>52.000000000000007</v>
      </c>
      <c r="E100" s="52">
        <v>52.000000000000036</v>
      </c>
      <c r="F100" s="52">
        <v>0</v>
      </c>
      <c r="G100" s="52">
        <v>58.888888888888935</v>
      </c>
      <c r="H100" s="52">
        <v>34</v>
      </c>
      <c r="I100" s="52">
        <v>106.77777777777776</v>
      </c>
      <c r="J100" s="52">
        <v>52.000000000000007</v>
      </c>
      <c r="K100" s="52">
        <v>52.000000000000021</v>
      </c>
      <c r="L100" s="52">
        <v>31.000000000000004</v>
      </c>
      <c r="M100" s="52">
        <v>59.000000000000043</v>
      </c>
      <c r="N100" s="52">
        <v>52.000000000000021</v>
      </c>
      <c r="O100" s="52">
        <v>31.000000000000007</v>
      </c>
      <c r="P100" s="52">
        <v>49.999999999999993</v>
      </c>
      <c r="Q100" s="52">
        <v>50.000000000000014</v>
      </c>
      <c r="R100" s="52">
        <v>31.000000000000007</v>
      </c>
      <c r="S100" s="52">
        <v>65.2</v>
      </c>
      <c r="T100" s="52">
        <v>56.523076923076999</v>
      </c>
      <c r="U100" s="52">
        <v>31.000000000000004</v>
      </c>
      <c r="V100" s="52">
        <v>52.000000000000036</v>
      </c>
      <c r="W100" s="52">
        <v>49.999999999999993</v>
      </c>
      <c r="X100" s="52">
        <v>31.000000000000004</v>
      </c>
      <c r="Y100" s="52">
        <v>51.999999999999972</v>
      </c>
      <c r="Z100" s="52">
        <v>30.999999999999989</v>
      </c>
      <c r="AA100" s="52">
        <v>31.000000000000014</v>
      </c>
      <c r="AB100" s="52">
        <v>52.000000000000036</v>
      </c>
      <c r="AC100" s="52">
        <v>49.999999999999986</v>
      </c>
      <c r="AD100" s="52">
        <v>30.999999999999996</v>
      </c>
      <c r="AE100" s="52">
        <v>52.000000000000007</v>
      </c>
      <c r="AF100" s="52">
        <v>50.000000000000007</v>
      </c>
      <c r="AG100" s="52">
        <v>31.000000000000004</v>
      </c>
      <c r="AH100" s="52">
        <v>54.000000000000007</v>
      </c>
      <c r="AI100" s="52">
        <v>52.000000000000036</v>
      </c>
      <c r="AJ100" s="52">
        <v>0</v>
      </c>
      <c r="AK100" s="52">
        <v>52.000000000000036</v>
      </c>
      <c r="AL100" s="52">
        <v>34</v>
      </c>
      <c r="AM100" s="52">
        <v>93.000000000000028</v>
      </c>
      <c r="AN100" s="52">
        <v>52.000000000000007</v>
      </c>
      <c r="AO100" s="52">
        <v>50.000000000000014</v>
      </c>
      <c r="AP100" s="52">
        <v>30.999999999999996</v>
      </c>
      <c r="AQ100" s="52">
        <v>62.148148148148231</v>
      </c>
      <c r="AR100" s="52">
        <v>62.380952380952408</v>
      </c>
      <c r="AS100" s="52">
        <v>30.999999999999996</v>
      </c>
      <c r="AT100" s="52">
        <v>54.000000000000007</v>
      </c>
      <c r="AU100" s="52">
        <v>54</v>
      </c>
      <c r="AV100" s="52">
        <v>0</v>
      </c>
      <c r="AW100" s="52">
        <v>54.000000000000007</v>
      </c>
      <c r="AX100" s="52">
        <v>52.000000000000021</v>
      </c>
      <c r="AY100" s="52">
        <v>106.7777777777778</v>
      </c>
      <c r="AZ100" s="52">
        <v>34</v>
      </c>
      <c r="BA100" s="52">
        <v>52.000000000000007</v>
      </c>
      <c r="BB100" s="52">
        <v>0</v>
      </c>
      <c r="BC100" s="52">
        <v>120.6666666666667</v>
      </c>
      <c r="BD100" s="52">
        <v>52.000000000000071</v>
      </c>
      <c r="BE100" s="52">
        <v>85.249999999999957</v>
      </c>
      <c r="BF100" s="52">
        <v>54.000000000000007</v>
      </c>
      <c r="BG100" s="52">
        <v>52.000000000000036</v>
      </c>
      <c r="BH100" s="52">
        <v>31.000000000000025</v>
      </c>
      <c r="BI100" s="52">
        <v>54.000000000000007</v>
      </c>
      <c r="BJ100" s="52">
        <v>31.000000000000007</v>
      </c>
      <c r="BK100" s="52">
        <v>30.999999999999961</v>
      </c>
      <c r="BL100" s="52">
        <v>52.000000000000007</v>
      </c>
      <c r="BM100" s="52">
        <v>50.000000000000007</v>
      </c>
      <c r="BN100" s="52">
        <v>31.000000000000014</v>
      </c>
      <c r="BO100" s="52">
        <v>57.111111111111185</v>
      </c>
      <c r="BP100" s="52">
        <v>57.384615384615437</v>
      </c>
      <c r="BQ100" s="52">
        <v>31.000000000000007</v>
      </c>
      <c r="BR100" s="52">
        <v>53.999999999999993</v>
      </c>
      <c r="BS100" s="52">
        <v>54.000000000000007</v>
      </c>
      <c r="BT100" s="52">
        <v>31.000000000000007</v>
      </c>
      <c r="BU100" s="52">
        <v>54.000000000000021</v>
      </c>
      <c r="BV100" s="52">
        <v>52.000000000000021</v>
      </c>
      <c r="BW100" s="52">
        <v>31.000000000000004</v>
      </c>
    </row>
    <row r="101" spans="1:75" x14ac:dyDescent="0.3">
      <c r="A101" s="8" t="s">
        <v>104</v>
      </c>
      <c r="B101" s="8" t="s">
        <v>9</v>
      </c>
      <c r="C101" s="8" t="s">
        <v>117</v>
      </c>
      <c r="D101" s="52">
        <v>52.000000000000007</v>
      </c>
      <c r="E101" s="52">
        <v>52.000000000000036</v>
      </c>
      <c r="F101" s="52">
        <v>0</v>
      </c>
      <c r="G101" s="52">
        <v>58.888888888888935</v>
      </c>
      <c r="H101" s="52">
        <v>34</v>
      </c>
      <c r="I101" s="52">
        <v>106.77777777777776</v>
      </c>
      <c r="J101" s="52">
        <v>52.000000000000007</v>
      </c>
      <c r="K101" s="52">
        <v>52.000000000000021</v>
      </c>
      <c r="L101" s="52">
        <v>31.000000000000004</v>
      </c>
      <c r="M101" s="52">
        <v>59.000000000000043</v>
      </c>
      <c r="N101" s="52">
        <v>52.000000000000021</v>
      </c>
      <c r="O101" s="52">
        <v>31.000000000000007</v>
      </c>
      <c r="P101" s="52">
        <v>49.999999999999993</v>
      </c>
      <c r="Q101" s="52">
        <v>50.000000000000014</v>
      </c>
      <c r="R101" s="52">
        <v>31.000000000000007</v>
      </c>
      <c r="S101" s="52">
        <v>65.2</v>
      </c>
      <c r="T101" s="52">
        <v>56.523076923076999</v>
      </c>
      <c r="U101" s="52">
        <v>31.000000000000004</v>
      </c>
      <c r="V101" s="52">
        <v>52.000000000000036</v>
      </c>
      <c r="W101" s="52">
        <v>49.999999999999993</v>
      </c>
      <c r="X101" s="52">
        <v>31.000000000000004</v>
      </c>
      <c r="Y101" s="52">
        <v>51.999999999999972</v>
      </c>
      <c r="Z101" s="52">
        <v>30.999999999999989</v>
      </c>
      <c r="AA101" s="52">
        <v>31.000000000000014</v>
      </c>
      <c r="AB101" s="52">
        <v>52.000000000000036</v>
      </c>
      <c r="AC101" s="52">
        <v>49.999999999999986</v>
      </c>
      <c r="AD101" s="52">
        <v>30.999999999999996</v>
      </c>
      <c r="AE101" s="52">
        <v>52.000000000000007</v>
      </c>
      <c r="AF101" s="52">
        <v>50.000000000000007</v>
      </c>
      <c r="AG101" s="52">
        <v>31.000000000000004</v>
      </c>
      <c r="AH101" s="52">
        <v>54.000000000000007</v>
      </c>
      <c r="AI101" s="52">
        <v>52.000000000000036</v>
      </c>
      <c r="AJ101" s="52">
        <v>0</v>
      </c>
      <c r="AK101" s="52">
        <v>52.000000000000036</v>
      </c>
      <c r="AL101" s="52">
        <v>34</v>
      </c>
      <c r="AM101" s="52">
        <v>93.000000000000028</v>
      </c>
      <c r="AN101" s="52">
        <v>52.000000000000007</v>
      </c>
      <c r="AO101" s="52">
        <v>50.000000000000014</v>
      </c>
      <c r="AP101" s="52">
        <v>30.999999999999996</v>
      </c>
      <c r="AQ101" s="52">
        <v>62.148148148148231</v>
      </c>
      <c r="AR101" s="52">
        <v>62.380952380952408</v>
      </c>
      <c r="AS101" s="52">
        <v>30.999999999999996</v>
      </c>
      <c r="AT101" s="52">
        <v>54.000000000000007</v>
      </c>
      <c r="AU101" s="52">
        <v>54</v>
      </c>
      <c r="AV101" s="52">
        <v>0</v>
      </c>
      <c r="AW101" s="52">
        <v>54.000000000000007</v>
      </c>
      <c r="AX101" s="52">
        <v>52.000000000000021</v>
      </c>
      <c r="AY101" s="52">
        <v>106.7777777777778</v>
      </c>
      <c r="AZ101" s="52">
        <v>34</v>
      </c>
      <c r="BA101" s="52">
        <v>52.000000000000007</v>
      </c>
      <c r="BB101" s="52">
        <v>0</v>
      </c>
      <c r="BC101" s="52">
        <v>120.6666666666667</v>
      </c>
      <c r="BD101" s="52">
        <v>52.000000000000071</v>
      </c>
      <c r="BE101" s="52">
        <v>85.249999999999957</v>
      </c>
      <c r="BF101" s="52">
        <v>54.000000000000007</v>
      </c>
      <c r="BG101" s="52">
        <v>52.000000000000036</v>
      </c>
      <c r="BH101" s="52">
        <v>31.000000000000025</v>
      </c>
      <c r="BI101" s="52">
        <v>54.000000000000007</v>
      </c>
      <c r="BJ101" s="52">
        <v>31.000000000000007</v>
      </c>
      <c r="BK101" s="52">
        <v>30.999999999999961</v>
      </c>
      <c r="BL101" s="52">
        <v>52.000000000000007</v>
      </c>
      <c r="BM101" s="52">
        <v>50.000000000000007</v>
      </c>
      <c r="BN101" s="52">
        <v>31.000000000000014</v>
      </c>
      <c r="BO101" s="52">
        <v>57.111111111111185</v>
      </c>
      <c r="BP101" s="52">
        <v>57.384615384615437</v>
      </c>
      <c r="BQ101" s="52">
        <v>31.000000000000007</v>
      </c>
      <c r="BR101" s="52">
        <v>53.999999999999993</v>
      </c>
      <c r="BS101" s="52">
        <v>54.000000000000007</v>
      </c>
      <c r="BT101" s="52">
        <v>31.000000000000007</v>
      </c>
      <c r="BU101" s="52">
        <v>54.000000000000021</v>
      </c>
      <c r="BV101" s="52">
        <v>52.000000000000021</v>
      </c>
      <c r="BW101" s="52">
        <v>31.000000000000004</v>
      </c>
    </row>
    <row r="102" spans="1:75" x14ac:dyDescent="0.3">
      <c r="A102" s="8" t="s">
        <v>104</v>
      </c>
      <c r="B102" s="8" t="s">
        <v>9</v>
      </c>
      <c r="C102" s="8" t="s">
        <v>118</v>
      </c>
      <c r="D102" s="52">
        <v>52.000000000000007</v>
      </c>
      <c r="E102" s="52">
        <v>52.000000000000036</v>
      </c>
      <c r="F102" s="52">
        <v>0</v>
      </c>
      <c r="G102" s="52">
        <v>58.888888888888935</v>
      </c>
      <c r="H102" s="52">
        <v>34</v>
      </c>
      <c r="I102" s="52">
        <v>106.77777777777776</v>
      </c>
      <c r="J102" s="52">
        <v>52.000000000000007</v>
      </c>
      <c r="K102" s="52">
        <v>52.000000000000021</v>
      </c>
      <c r="L102" s="52">
        <v>31.000000000000004</v>
      </c>
      <c r="M102" s="52">
        <v>59.000000000000043</v>
      </c>
      <c r="N102" s="52">
        <v>52.000000000000021</v>
      </c>
      <c r="O102" s="52">
        <v>31.000000000000007</v>
      </c>
      <c r="P102" s="52">
        <v>49.999999999999993</v>
      </c>
      <c r="Q102" s="52">
        <v>50.000000000000014</v>
      </c>
      <c r="R102" s="52">
        <v>31.000000000000007</v>
      </c>
      <c r="S102" s="52">
        <v>65.2</v>
      </c>
      <c r="T102" s="52">
        <v>56.523076923076999</v>
      </c>
      <c r="U102" s="52">
        <v>31.000000000000004</v>
      </c>
      <c r="V102" s="52">
        <v>52.000000000000036</v>
      </c>
      <c r="W102" s="52">
        <v>49.999999999999993</v>
      </c>
      <c r="X102" s="52">
        <v>31.000000000000004</v>
      </c>
      <c r="Y102" s="52">
        <v>51.999999999999972</v>
      </c>
      <c r="Z102" s="52">
        <v>30.999999999999989</v>
      </c>
      <c r="AA102" s="52">
        <v>31.000000000000014</v>
      </c>
      <c r="AB102" s="52">
        <v>52.000000000000036</v>
      </c>
      <c r="AC102" s="52">
        <v>49.999999999999986</v>
      </c>
      <c r="AD102" s="52">
        <v>30.999999999999996</v>
      </c>
      <c r="AE102" s="52">
        <v>52.000000000000007</v>
      </c>
      <c r="AF102" s="52">
        <v>50.000000000000007</v>
      </c>
      <c r="AG102" s="52">
        <v>31.000000000000004</v>
      </c>
      <c r="AH102" s="52">
        <v>54.000000000000007</v>
      </c>
      <c r="AI102" s="52">
        <v>52.000000000000036</v>
      </c>
      <c r="AJ102" s="52">
        <v>0</v>
      </c>
      <c r="AK102" s="52">
        <v>52.000000000000036</v>
      </c>
      <c r="AL102" s="52">
        <v>34</v>
      </c>
      <c r="AM102" s="52">
        <v>93.000000000000028</v>
      </c>
      <c r="AN102" s="52">
        <v>52.000000000000007</v>
      </c>
      <c r="AO102" s="52">
        <v>50.000000000000014</v>
      </c>
      <c r="AP102" s="52">
        <v>30.999999999999996</v>
      </c>
      <c r="AQ102" s="52">
        <v>62.148148148148231</v>
      </c>
      <c r="AR102" s="52">
        <v>62.380952380952408</v>
      </c>
      <c r="AS102" s="52">
        <v>30.999999999999996</v>
      </c>
      <c r="AT102" s="52">
        <v>54.000000000000007</v>
      </c>
      <c r="AU102" s="52">
        <v>54</v>
      </c>
      <c r="AV102" s="52">
        <v>0</v>
      </c>
      <c r="AW102" s="52">
        <v>54.000000000000007</v>
      </c>
      <c r="AX102" s="52">
        <v>52.000000000000021</v>
      </c>
      <c r="AY102" s="52">
        <v>106.7777777777778</v>
      </c>
      <c r="AZ102" s="52">
        <v>34</v>
      </c>
      <c r="BA102" s="52">
        <v>52.000000000000007</v>
      </c>
      <c r="BB102" s="52">
        <v>0</v>
      </c>
      <c r="BC102" s="52">
        <v>120.6666666666667</v>
      </c>
      <c r="BD102" s="52">
        <v>52.000000000000071</v>
      </c>
      <c r="BE102" s="52">
        <v>85.249999999999957</v>
      </c>
      <c r="BF102" s="52">
        <v>54.000000000000007</v>
      </c>
      <c r="BG102" s="52">
        <v>52.000000000000036</v>
      </c>
      <c r="BH102" s="52">
        <v>31.000000000000025</v>
      </c>
      <c r="BI102" s="52">
        <v>54.000000000000007</v>
      </c>
      <c r="BJ102" s="52">
        <v>31.000000000000007</v>
      </c>
      <c r="BK102" s="52">
        <v>30.999999999999961</v>
      </c>
      <c r="BL102" s="52">
        <v>52.000000000000007</v>
      </c>
      <c r="BM102" s="52">
        <v>50.000000000000007</v>
      </c>
      <c r="BN102" s="52">
        <v>31.000000000000014</v>
      </c>
      <c r="BO102" s="52">
        <v>57.111111111111185</v>
      </c>
      <c r="BP102" s="52">
        <v>57.384615384615437</v>
      </c>
      <c r="BQ102" s="52">
        <v>31.000000000000007</v>
      </c>
      <c r="BR102" s="52">
        <v>53.999999999999993</v>
      </c>
      <c r="BS102" s="52">
        <v>54.000000000000007</v>
      </c>
      <c r="BT102" s="52">
        <v>31.000000000000007</v>
      </c>
      <c r="BU102" s="52">
        <v>54.000000000000021</v>
      </c>
      <c r="BV102" s="52">
        <v>52.000000000000021</v>
      </c>
      <c r="BW102" s="52">
        <v>31.000000000000004</v>
      </c>
    </row>
    <row r="103" spans="1:75" x14ac:dyDescent="0.3">
      <c r="A103" s="8" t="s">
        <v>104</v>
      </c>
      <c r="B103" s="8" t="s">
        <v>10</v>
      </c>
      <c r="C103" s="8" t="s">
        <v>108</v>
      </c>
      <c r="D103" s="52">
        <v>52</v>
      </c>
      <c r="E103" s="52">
        <v>50.000000000000014</v>
      </c>
      <c r="F103" s="52">
        <v>30.999999999999989</v>
      </c>
      <c r="G103" s="52">
        <v>49.999999999999993</v>
      </c>
      <c r="H103" s="52">
        <v>30.999999999999993</v>
      </c>
      <c r="I103" s="52">
        <v>30.999999999999996</v>
      </c>
      <c r="J103" s="52">
        <v>53.999999999999936</v>
      </c>
      <c r="K103" s="52">
        <v>49.999999999999993</v>
      </c>
      <c r="L103" s="52">
        <v>30.999999999999975</v>
      </c>
      <c r="M103" s="52">
        <v>54.000000000000007</v>
      </c>
      <c r="N103" s="52">
        <v>49.999999999999993</v>
      </c>
      <c r="O103" s="52">
        <v>30.999999999999996</v>
      </c>
      <c r="P103" s="52">
        <v>49.999999999999993</v>
      </c>
      <c r="Q103" s="52">
        <v>50.000000000000007</v>
      </c>
      <c r="R103" s="52">
        <v>30.999999999999993</v>
      </c>
      <c r="S103" s="52">
        <v>49.999999999999964</v>
      </c>
      <c r="T103" s="52">
        <v>30.999999999999979</v>
      </c>
      <c r="U103" s="52">
        <v>30.999999999999993</v>
      </c>
      <c r="V103" s="52">
        <v>30.999999999999993</v>
      </c>
      <c r="W103" s="52">
        <v>49.999999999999993</v>
      </c>
      <c r="X103" s="52">
        <v>29.999999999999993</v>
      </c>
      <c r="Y103" s="52">
        <v>106.969696969697</v>
      </c>
      <c r="Z103" s="52">
        <v>49.999999999999993</v>
      </c>
      <c r="AA103" s="52">
        <v>29.999999999999993</v>
      </c>
      <c r="AB103" s="52">
        <v>50.000000000000014</v>
      </c>
      <c r="AC103" s="52">
        <v>50.000000000000014</v>
      </c>
      <c r="AD103" s="52">
        <v>30.999999999999993</v>
      </c>
      <c r="AE103" s="52">
        <v>49.999999999999993</v>
      </c>
      <c r="AF103" s="52">
        <v>50.000000000000007</v>
      </c>
      <c r="AG103" s="52">
        <v>30.999999999999996</v>
      </c>
      <c r="AH103" s="52">
        <v>50.000000000000014</v>
      </c>
      <c r="AI103" s="52">
        <v>50.000000000000007</v>
      </c>
      <c r="AJ103" s="52">
        <v>30.999999999999993</v>
      </c>
      <c r="AK103" s="52">
        <v>49.999999999999993</v>
      </c>
      <c r="AL103" s="52">
        <v>50.000000000000007</v>
      </c>
      <c r="AM103" s="52">
        <v>30.999999999999989</v>
      </c>
      <c r="AN103" s="52">
        <v>49.999999999999986</v>
      </c>
      <c r="AO103" s="52">
        <v>50.000000000000007</v>
      </c>
      <c r="AP103" s="52">
        <v>31.000000000000007</v>
      </c>
      <c r="AQ103" s="52">
        <v>49.999999999999993</v>
      </c>
      <c r="AR103" s="52">
        <v>49.999999999999986</v>
      </c>
      <c r="AS103" s="52">
        <v>30.999999999999968</v>
      </c>
      <c r="AT103" s="52">
        <v>31.000000000000014</v>
      </c>
      <c r="AU103" s="52">
        <v>50.000000000000007</v>
      </c>
      <c r="AV103" s="52">
        <v>30.999999999999996</v>
      </c>
      <c r="AW103" s="52">
        <v>128.96296296296293</v>
      </c>
      <c r="AX103" s="52">
        <v>49.999999999999986</v>
      </c>
      <c r="AY103" s="52">
        <v>30.999999999999996</v>
      </c>
      <c r="AZ103" s="52">
        <v>33.999999999999986</v>
      </c>
      <c r="BA103" s="52">
        <v>50.000000000000007</v>
      </c>
      <c r="BB103" s="52">
        <v>0</v>
      </c>
      <c r="BC103" s="52">
        <v>103.33333333333334</v>
      </c>
      <c r="BD103" s="52">
        <v>49.999999999999986</v>
      </c>
      <c r="BE103" s="52">
        <v>85.25</v>
      </c>
      <c r="BF103" s="52">
        <v>34</v>
      </c>
      <c r="BG103" s="52">
        <v>34.000000000000007</v>
      </c>
      <c r="BH103" s="52">
        <v>31.000000000000011</v>
      </c>
      <c r="BI103" s="52">
        <v>33.999999999999993</v>
      </c>
      <c r="BJ103" s="52">
        <v>31.000000000000004</v>
      </c>
      <c r="BK103" s="52">
        <v>31.000000000000007</v>
      </c>
      <c r="BL103" s="52">
        <v>52.000000000000007</v>
      </c>
      <c r="BM103" s="52">
        <v>34</v>
      </c>
      <c r="BN103" s="52">
        <v>31.000000000000004</v>
      </c>
      <c r="BO103" s="52">
        <v>34.000000000000021</v>
      </c>
      <c r="BP103" s="52">
        <v>31.000000000000032</v>
      </c>
      <c r="BQ103" s="52">
        <v>30.999999999999996</v>
      </c>
      <c r="BR103" s="52">
        <v>65.000000000000014</v>
      </c>
      <c r="BS103" s="52">
        <v>54.000000000000021</v>
      </c>
      <c r="BT103" s="52">
        <v>30.999999999999986</v>
      </c>
      <c r="BU103" s="52">
        <v>53.999999999999964</v>
      </c>
      <c r="BV103" s="52">
        <v>30.999999999999993</v>
      </c>
      <c r="BW103" s="52">
        <v>29.999999999999986</v>
      </c>
    </row>
    <row r="104" spans="1:75" x14ac:dyDescent="0.3">
      <c r="A104" s="8" t="s">
        <v>104</v>
      </c>
      <c r="B104" s="8" t="s">
        <v>10</v>
      </c>
      <c r="C104" s="8" t="s">
        <v>109</v>
      </c>
      <c r="D104" s="52">
        <v>52.000000000000007</v>
      </c>
      <c r="E104" s="52">
        <v>50.000000000000014</v>
      </c>
      <c r="F104" s="52">
        <v>30.999999999999989</v>
      </c>
      <c r="G104" s="52">
        <v>49.999999999999993</v>
      </c>
      <c r="H104" s="52">
        <v>31.000000000000004</v>
      </c>
      <c r="I104" s="52">
        <v>30.999999999999996</v>
      </c>
      <c r="J104" s="52">
        <v>54</v>
      </c>
      <c r="K104" s="52">
        <v>49.999999999999993</v>
      </c>
      <c r="L104" s="52">
        <v>30.999999999999996</v>
      </c>
      <c r="M104" s="52">
        <v>54.000000000000007</v>
      </c>
      <c r="N104" s="52">
        <v>49.999999999999993</v>
      </c>
      <c r="O104" s="52">
        <v>30.999999999999993</v>
      </c>
      <c r="P104" s="52">
        <v>49.999999999999993</v>
      </c>
      <c r="Q104" s="52">
        <v>49.999999999999993</v>
      </c>
      <c r="R104" s="52">
        <v>30.999999999999993</v>
      </c>
      <c r="S104" s="52">
        <v>49.999999999999964</v>
      </c>
      <c r="T104" s="52">
        <v>31.000000000000004</v>
      </c>
      <c r="U104" s="52">
        <v>30.999999999999993</v>
      </c>
      <c r="V104" s="52">
        <v>30.999999999999996</v>
      </c>
      <c r="W104" s="52">
        <v>49.999999999999993</v>
      </c>
      <c r="X104" s="52">
        <v>29.999999999999993</v>
      </c>
      <c r="Y104" s="52">
        <v>106.969696969697</v>
      </c>
      <c r="Z104" s="52">
        <v>50.000000000000014</v>
      </c>
      <c r="AA104" s="52">
        <v>29.999999999999996</v>
      </c>
      <c r="AB104" s="52">
        <v>50.000000000000014</v>
      </c>
      <c r="AC104" s="52">
        <v>50.000000000000014</v>
      </c>
      <c r="AD104" s="52">
        <v>30.999999999999993</v>
      </c>
      <c r="AE104" s="52">
        <v>50.000000000000007</v>
      </c>
      <c r="AF104" s="52">
        <v>50.000000000000007</v>
      </c>
      <c r="AG104" s="52">
        <v>30.999999999999996</v>
      </c>
      <c r="AH104" s="52">
        <v>50.000000000000014</v>
      </c>
      <c r="AI104" s="52">
        <v>49.999999999999993</v>
      </c>
      <c r="AJ104" s="52">
        <v>31.000000000000004</v>
      </c>
      <c r="AK104" s="52">
        <v>49.999999999999993</v>
      </c>
      <c r="AL104" s="52">
        <v>50.000000000000007</v>
      </c>
      <c r="AM104" s="52">
        <v>30.999999999999989</v>
      </c>
      <c r="AN104" s="52">
        <v>49.999999999999986</v>
      </c>
      <c r="AO104" s="52">
        <v>50.000000000000014</v>
      </c>
      <c r="AP104" s="52">
        <v>30.999999999999996</v>
      </c>
      <c r="AQ104" s="52">
        <v>49.999999999999993</v>
      </c>
      <c r="AR104" s="52">
        <v>49.999999999999986</v>
      </c>
      <c r="AS104" s="52">
        <v>30.999999999999993</v>
      </c>
      <c r="AT104" s="52">
        <v>31.000000000000004</v>
      </c>
      <c r="AU104" s="52">
        <v>50.000000000000014</v>
      </c>
      <c r="AV104" s="52">
        <v>30.999999999999996</v>
      </c>
      <c r="AW104" s="52">
        <v>128.96296296296293</v>
      </c>
      <c r="AX104" s="52">
        <v>49.999999999999986</v>
      </c>
      <c r="AY104" s="52">
        <v>30.999999999999993</v>
      </c>
      <c r="AZ104" s="52">
        <v>33.999999999999979</v>
      </c>
      <c r="BA104" s="52">
        <v>50.000000000000014</v>
      </c>
      <c r="BB104" s="52">
        <v>0</v>
      </c>
      <c r="BC104" s="52">
        <v>103.33333333333337</v>
      </c>
      <c r="BD104" s="52">
        <v>49.999999999999972</v>
      </c>
      <c r="BE104" s="52">
        <v>85.25</v>
      </c>
      <c r="BF104" s="52">
        <v>34.000000000000007</v>
      </c>
      <c r="BG104" s="52">
        <v>34</v>
      </c>
      <c r="BH104" s="52">
        <v>31.000000000000011</v>
      </c>
      <c r="BI104" s="52">
        <v>33.999999999999993</v>
      </c>
      <c r="BJ104" s="52">
        <v>31.000000000000004</v>
      </c>
      <c r="BK104" s="52">
        <v>31.000000000000004</v>
      </c>
      <c r="BL104" s="52">
        <v>52.000000000000007</v>
      </c>
      <c r="BM104" s="52">
        <v>34</v>
      </c>
      <c r="BN104" s="52">
        <v>31.000000000000004</v>
      </c>
      <c r="BO104" s="52">
        <v>34.00000000000005</v>
      </c>
      <c r="BP104" s="52">
        <v>31.000000000000004</v>
      </c>
      <c r="BQ104" s="52">
        <v>30.999999999999996</v>
      </c>
      <c r="BR104" s="52">
        <v>65.000000000000014</v>
      </c>
      <c r="BS104" s="52">
        <v>54</v>
      </c>
      <c r="BT104" s="52">
        <v>31.000000000000004</v>
      </c>
      <c r="BU104" s="52">
        <v>54</v>
      </c>
      <c r="BV104" s="52">
        <v>30.999999999999993</v>
      </c>
      <c r="BW104" s="52">
        <v>29.999999999999996</v>
      </c>
    </row>
    <row r="105" spans="1:75" x14ac:dyDescent="0.3">
      <c r="A105" s="8" t="s">
        <v>104</v>
      </c>
      <c r="B105" s="8" t="s">
        <v>10</v>
      </c>
      <c r="C105" s="8" t="s">
        <v>110</v>
      </c>
      <c r="D105" s="52">
        <v>52.000000000000007</v>
      </c>
      <c r="E105" s="52">
        <v>50.000000000000014</v>
      </c>
      <c r="F105" s="52">
        <v>30.999999999999989</v>
      </c>
      <c r="G105" s="52">
        <v>49.999999999999993</v>
      </c>
      <c r="H105" s="52">
        <v>31.000000000000004</v>
      </c>
      <c r="I105" s="52">
        <v>30.999999999999996</v>
      </c>
      <c r="J105" s="52">
        <v>54</v>
      </c>
      <c r="K105" s="52">
        <v>49.999999999999993</v>
      </c>
      <c r="L105" s="52">
        <v>30.999999999999996</v>
      </c>
      <c r="M105" s="52">
        <v>54.000000000000007</v>
      </c>
      <c r="N105" s="52">
        <v>49.999999999999993</v>
      </c>
      <c r="O105" s="52">
        <v>30.999999999999993</v>
      </c>
      <c r="P105" s="52">
        <v>49.999999999999993</v>
      </c>
      <c r="Q105" s="52">
        <v>49.999999999999993</v>
      </c>
      <c r="R105" s="52">
        <v>30.999999999999993</v>
      </c>
      <c r="S105" s="52">
        <v>49.999999999999964</v>
      </c>
      <c r="T105" s="52">
        <v>31.000000000000004</v>
      </c>
      <c r="U105" s="52">
        <v>30.999999999999993</v>
      </c>
      <c r="V105" s="52">
        <v>30.999999999999996</v>
      </c>
      <c r="W105" s="52">
        <v>49.999999999999993</v>
      </c>
      <c r="X105" s="52">
        <v>29.999999999999993</v>
      </c>
      <c r="Y105" s="52">
        <v>106.969696969697</v>
      </c>
      <c r="Z105" s="52">
        <v>50.000000000000014</v>
      </c>
      <c r="AA105" s="52">
        <v>29.999999999999996</v>
      </c>
      <c r="AB105" s="52">
        <v>50.000000000000014</v>
      </c>
      <c r="AC105" s="52">
        <v>50.000000000000014</v>
      </c>
      <c r="AD105" s="52">
        <v>30.999999999999993</v>
      </c>
      <c r="AE105" s="52">
        <v>50.000000000000007</v>
      </c>
      <c r="AF105" s="52">
        <v>50.000000000000007</v>
      </c>
      <c r="AG105" s="52">
        <v>30.999999999999996</v>
      </c>
      <c r="AH105" s="52">
        <v>50.000000000000014</v>
      </c>
      <c r="AI105" s="52">
        <v>49.999999999999993</v>
      </c>
      <c r="AJ105" s="52">
        <v>31.000000000000004</v>
      </c>
      <c r="AK105" s="52">
        <v>49.999999999999993</v>
      </c>
      <c r="AL105" s="52">
        <v>50.000000000000007</v>
      </c>
      <c r="AM105" s="52">
        <v>30.999999999999989</v>
      </c>
      <c r="AN105" s="52">
        <v>49.999999999999986</v>
      </c>
      <c r="AO105" s="52">
        <v>50.000000000000014</v>
      </c>
      <c r="AP105" s="52">
        <v>31.000000000000007</v>
      </c>
      <c r="AQ105" s="52">
        <v>49.999999999999993</v>
      </c>
      <c r="AR105" s="52">
        <v>49.999999999999986</v>
      </c>
      <c r="AS105" s="52">
        <v>30.999999999999993</v>
      </c>
      <c r="AT105" s="52">
        <v>31.000000000000004</v>
      </c>
      <c r="AU105" s="52">
        <v>50.000000000000014</v>
      </c>
      <c r="AV105" s="52">
        <v>30.999999999999996</v>
      </c>
      <c r="AW105" s="52">
        <v>128.96296296296293</v>
      </c>
      <c r="AX105" s="52">
        <v>49.999999999999986</v>
      </c>
      <c r="AY105" s="52">
        <v>30.999999999999996</v>
      </c>
      <c r="AZ105" s="52">
        <v>33.999999999999993</v>
      </c>
      <c r="BA105" s="52">
        <v>50.000000000000014</v>
      </c>
      <c r="BB105" s="52">
        <v>0</v>
      </c>
      <c r="BC105" s="52">
        <v>103.33333333333334</v>
      </c>
      <c r="BD105" s="52">
        <v>49.999999999999986</v>
      </c>
      <c r="BE105" s="52">
        <v>85.249999999999986</v>
      </c>
      <c r="BF105" s="52">
        <v>34.000000000000007</v>
      </c>
      <c r="BG105" s="52">
        <v>34</v>
      </c>
      <c r="BH105" s="52">
        <v>31.000000000000011</v>
      </c>
      <c r="BI105" s="52">
        <v>33.999999999999993</v>
      </c>
      <c r="BJ105" s="52">
        <v>31.000000000000004</v>
      </c>
      <c r="BK105" s="52">
        <v>30.999999999999975</v>
      </c>
      <c r="BL105" s="52">
        <v>52.000000000000007</v>
      </c>
      <c r="BM105" s="52">
        <v>34</v>
      </c>
      <c r="BN105" s="52">
        <v>31.000000000000004</v>
      </c>
      <c r="BO105" s="52">
        <v>34.000000000000021</v>
      </c>
      <c r="BP105" s="52">
        <v>31.000000000000004</v>
      </c>
      <c r="BQ105" s="52">
        <v>30.999999999999996</v>
      </c>
      <c r="BR105" s="52">
        <v>65.000000000000014</v>
      </c>
      <c r="BS105" s="52">
        <v>54</v>
      </c>
      <c r="BT105" s="52">
        <v>31.000000000000004</v>
      </c>
      <c r="BU105" s="52">
        <v>54</v>
      </c>
      <c r="BV105" s="52">
        <v>30.999999999999993</v>
      </c>
      <c r="BW105" s="52">
        <v>29.999999999999996</v>
      </c>
    </row>
    <row r="106" spans="1:75" x14ac:dyDescent="0.3">
      <c r="A106" s="8" t="s">
        <v>104</v>
      </c>
      <c r="B106" s="8" t="s">
        <v>10</v>
      </c>
      <c r="C106" s="8" t="s">
        <v>111</v>
      </c>
      <c r="D106" s="52">
        <v>52</v>
      </c>
      <c r="E106" s="52">
        <v>50.000000000000014</v>
      </c>
      <c r="F106" s="52">
        <v>30.999999999999989</v>
      </c>
      <c r="G106" s="52">
        <v>49.999999999999993</v>
      </c>
      <c r="H106" s="52">
        <v>31.000000000000004</v>
      </c>
      <c r="I106" s="52">
        <v>30.999999999999996</v>
      </c>
      <c r="J106" s="52">
        <v>54.000000000000007</v>
      </c>
      <c r="K106" s="52">
        <v>49.999999999999993</v>
      </c>
      <c r="L106" s="52">
        <v>30.999999999999989</v>
      </c>
      <c r="M106" s="52">
        <v>54.000000000000043</v>
      </c>
      <c r="N106" s="52">
        <v>49.999999999999993</v>
      </c>
      <c r="O106" s="52">
        <v>30.999999999999996</v>
      </c>
      <c r="P106" s="52">
        <v>49.999999999999993</v>
      </c>
      <c r="Q106" s="52">
        <v>50.000000000000007</v>
      </c>
      <c r="R106" s="52">
        <v>30.999999999999993</v>
      </c>
      <c r="S106" s="52">
        <v>49.999999999999964</v>
      </c>
      <c r="T106" s="52">
        <v>30.999999999999993</v>
      </c>
      <c r="U106" s="52">
        <v>30.999999999999993</v>
      </c>
      <c r="V106" s="52">
        <v>31.000000000000004</v>
      </c>
      <c r="W106" s="52">
        <v>49.999999999999993</v>
      </c>
      <c r="X106" s="52">
        <v>29.999999999999993</v>
      </c>
      <c r="Y106" s="52">
        <v>106.969696969697</v>
      </c>
      <c r="Z106" s="52">
        <v>50.000000000000021</v>
      </c>
      <c r="AA106" s="52">
        <v>30.000000000000014</v>
      </c>
      <c r="AB106" s="52">
        <v>50.000000000000014</v>
      </c>
      <c r="AC106" s="52">
        <v>50.000000000000014</v>
      </c>
      <c r="AD106" s="52">
        <v>30.999999999999993</v>
      </c>
      <c r="AE106" s="52">
        <v>49.999999999999993</v>
      </c>
      <c r="AF106" s="52">
        <v>50.000000000000007</v>
      </c>
      <c r="AG106" s="52">
        <v>30.999999999999996</v>
      </c>
      <c r="AH106" s="52">
        <v>50.000000000000014</v>
      </c>
      <c r="AI106" s="52">
        <v>50.000000000000007</v>
      </c>
      <c r="AJ106" s="52">
        <v>31.000000000000004</v>
      </c>
      <c r="AK106" s="52">
        <v>49.999999999999993</v>
      </c>
      <c r="AL106" s="52">
        <v>50.000000000000007</v>
      </c>
      <c r="AM106" s="52">
        <v>30.999999999999989</v>
      </c>
      <c r="AN106" s="52">
        <v>49.999999999999986</v>
      </c>
      <c r="AO106" s="52">
        <v>50.000000000000007</v>
      </c>
      <c r="AP106" s="52">
        <v>31.000000000000007</v>
      </c>
      <c r="AQ106" s="52">
        <v>49.999999999999993</v>
      </c>
      <c r="AR106" s="52">
        <v>49.999999999999986</v>
      </c>
      <c r="AS106" s="52">
        <v>30.999999999999968</v>
      </c>
      <c r="AT106" s="52">
        <v>31.000000000000004</v>
      </c>
      <c r="AU106" s="52">
        <v>50.000000000000014</v>
      </c>
      <c r="AV106" s="52">
        <v>30.999999999999996</v>
      </c>
      <c r="AW106" s="52">
        <v>128.96296296296293</v>
      </c>
      <c r="AX106" s="52">
        <v>49.999999999999986</v>
      </c>
      <c r="AY106" s="52">
        <v>30.999999999999996</v>
      </c>
      <c r="AZ106" s="52">
        <v>34</v>
      </c>
      <c r="BA106" s="52">
        <v>50.000000000000007</v>
      </c>
      <c r="BB106" s="52">
        <v>0</v>
      </c>
      <c r="BC106" s="52">
        <v>103.33333333333334</v>
      </c>
      <c r="BD106" s="52">
        <v>49.999999999999986</v>
      </c>
      <c r="BE106" s="52">
        <v>85.249999999999986</v>
      </c>
      <c r="BF106" s="52">
        <v>34</v>
      </c>
      <c r="BG106" s="52">
        <v>34</v>
      </c>
      <c r="BH106" s="52">
        <v>31.000000000000011</v>
      </c>
      <c r="BI106" s="52">
        <v>33.999999999999993</v>
      </c>
      <c r="BJ106" s="52">
        <v>31.000000000000004</v>
      </c>
      <c r="BK106" s="52">
        <v>31.000000000000004</v>
      </c>
      <c r="BL106" s="52">
        <v>52.000000000000007</v>
      </c>
      <c r="BM106" s="52">
        <v>34</v>
      </c>
      <c r="BN106" s="52">
        <v>31.000000000000004</v>
      </c>
      <c r="BO106" s="52">
        <v>34.000000000000021</v>
      </c>
      <c r="BP106" s="52">
        <v>31.000000000000021</v>
      </c>
      <c r="BQ106" s="52">
        <v>30.999999999999996</v>
      </c>
      <c r="BR106" s="52">
        <v>65.000000000000014</v>
      </c>
      <c r="BS106" s="52">
        <v>54.000000000000021</v>
      </c>
      <c r="BT106" s="52">
        <v>30.999999999999996</v>
      </c>
      <c r="BU106" s="52">
        <v>54</v>
      </c>
      <c r="BV106" s="52">
        <v>30.999999999999993</v>
      </c>
      <c r="BW106" s="52">
        <v>30.000000000000004</v>
      </c>
    </row>
    <row r="107" spans="1:75" x14ac:dyDescent="0.3">
      <c r="A107" s="8" t="s">
        <v>104</v>
      </c>
      <c r="B107" s="8" t="s">
        <v>10</v>
      </c>
      <c r="C107" s="8" t="s">
        <v>112</v>
      </c>
      <c r="D107" s="52">
        <v>52</v>
      </c>
      <c r="E107" s="52">
        <v>50.000000000000014</v>
      </c>
      <c r="F107" s="52">
        <v>30.999999999999989</v>
      </c>
      <c r="G107" s="52">
        <v>49.999999999999993</v>
      </c>
      <c r="H107" s="52">
        <v>31.000000000000004</v>
      </c>
      <c r="I107" s="52">
        <v>30.999999999999996</v>
      </c>
      <c r="J107" s="52">
        <v>54.000000000000007</v>
      </c>
      <c r="K107" s="52">
        <v>49.999999999999993</v>
      </c>
      <c r="L107" s="52">
        <v>30.999999999999989</v>
      </c>
      <c r="M107" s="52">
        <v>54.000000000000043</v>
      </c>
      <c r="N107" s="52">
        <v>49.999999999999993</v>
      </c>
      <c r="O107" s="52">
        <v>30.999999999999996</v>
      </c>
      <c r="P107" s="52">
        <v>49.999999999999993</v>
      </c>
      <c r="Q107" s="52">
        <v>50.000000000000007</v>
      </c>
      <c r="R107" s="52">
        <v>30.999999999999993</v>
      </c>
      <c r="S107" s="52">
        <v>49.999999999999964</v>
      </c>
      <c r="T107" s="52">
        <v>30.999999999999993</v>
      </c>
      <c r="U107" s="52">
        <v>30.999999999999993</v>
      </c>
      <c r="V107" s="52">
        <v>31.000000000000004</v>
      </c>
      <c r="W107" s="52">
        <v>49.999999999999993</v>
      </c>
      <c r="X107" s="52">
        <v>29.999999999999993</v>
      </c>
      <c r="Y107" s="52">
        <v>106.969696969697</v>
      </c>
      <c r="Z107" s="52">
        <v>50.000000000000021</v>
      </c>
      <c r="AA107" s="52">
        <v>30.000000000000014</v>
      </c>
      <c r="AB107" s="52">
        <v>50.000000000000014</v>
      </c>
      <c r="AC107" s="52">
        <v>50.000000000000014</v>
      </c>
      <c r="AD107" s="52">
        <v>30.999999999999993</v>
      </c>
      <c r="AE107" s="52">
        <v>49.999999999999993</v>
      </c>
      <c r="AF107" s="52">
        <v>50.000000000000007</v>
      </c>
      <c r="AG107" s="52">
        <v>30.999999999999996</v>
      </c>
      <c r="AH107" s="52">
        <v>50.000000000000014</v>
      </c>
      <c r="AI107" s="52">
        <v>50.000000000000007</v>
      </c>
      <c r="AJ107" s="52">
        <v>31.000000000000004</v>
      </c>
      <c r="AK107" s="52">
        <v>49.999999999999993</v>
      </c>
      <c r="AL107" s="52">
        <v>50.000000000000007</v>
      </c>
      <c r="AM107" s="52">
        <v>30.999999999999989</v>
      </c>
      <c r="AN107" s="52">
        <v>49.999999999999986</v>
      </c>
      <c r="AO107" s="52">
        <v>50.000000000000007</v>
      </c>
      <c r="AP107" s="52">
        <v>31.000000000000007</v>
      </c>
      <c r="AQ107" s="52">
        <v>49.999999999999993</v>
      </c>
      <c r="AR107" s="52">
        <v>49.999999999999986</v>
      </c>
      <c r="AS107" s="52">
        <v>30.999999999999968</v>
      </c>
      <c r="AT107" s="52">
        <v>31.000000000000004</v>
      </c>
      <c r="AU107" s="52">
        <v>50.000000000000014</v>
      </c>
      <c r="AV107" s="52">
        <v>30.999999999999996</v>
      </c>
      <c r="AW107" s="52">
        <v>128.96296296296293</v>
      </c>
      <c r="AX107" s="52">
        <v>49.999999999999986</v>
      </c>
      <c r="AY107" s="52">
        <v>30.999999999999996</v>
      </c>
      <c r="AZ107" s="52">
        <v>34</v>
      </c>
      <c r="BA107" s="52">
        <v>50.000000000000007</v>
      </c>
      <c r="BB107" s="52">
        <v>0</v>
      </c>
      <c r="BC107" s="52">
        <v>103.33333333333334</v>
      </c>
      <c r="BD107" s="52">
        <v>49.999999999999986</v>
      </c>
      <c r="BE107" s="52">
        <v>85.249999999999986</v>
      </c>
      <c r="BF107" s="52">
        <v>34</v>
      </c>
      <c r="BG107" s="52">
        <v>34</v>
      </c>
      <c r="BH107" s="52">
        <v>31.000000000000011</v>
      </c>
      <c r="BI107" s="52">
        <v>33.999999999999993</v>
      </c>
      <c r="BJ107" s="52">
        <v>31.000000000000004</v>
      </c>
      <c r="BK107" s="52">
        <v>31.000000000000004</v>
      </c>
      <c r="BL107" s="52">
        <v>52.000000000000007</v>
      </c>
      <c r="BM107" s="52">
        <v>34</v>
      </c>
      <c r="BN107" s="52">
        <v>31.000000000000004</v>
      </c>
      <c r="BO107" s="52">
        <v>34.000000000000021</v>
      </c>
      <c r="BP107" s="52">
        <v>31.000000000000021</v>
      </c>
      <c r="BQ107" s="52">
        <v>30.999999999999996</v>
      </c>
      <c r="BR107" s="52">
        <v>65.000000000000014</v>
      </c>
      <c r="BS107" s="52">
        <v>54.000000000000021</v>
      </c>
      <c r="BT107" s="52">
        <v>30.999999999999996</v>
      </c>
      <c r="BU107" s="52">
        <v>54</v>
      </c>
      <c r="BV107" s="52">
        <v>30.999999999999993</v>
      </c>
      <c r="BW107" s="52">
        <v>30.000000000000004</v>
      </c>
    </row>
    <row r="108" spans="1:75" x14ac:dyDescent="0.3">
      <c r="A108" s="8" t="s">
        <v>104</v>
      </c>
      <c r="B108" s="8" t="s">
        <v>10</v>
      </c>
      <c r="C108" s="8" t="s">
        <v>115</v>
      </c>
      <c r="D108" s="52">
        <v>52.000000000000021</v>
      </c>
      <c r="E108" s="52">
        <v>50.000000000000014</v>
      </c>
      <c r="F108" s="52">
        <v>30.999999999999989</v>
      </c>
      <c r="G108" s="52">
        <v>49.999999999999993</v>
      </c>
      <c r="H108" s="52">
        <v>31.000000000000007</v>
      </c>
      <c r="I108" s="52">
        <v>30.999999999999996</v>
      </c>
      <c r="J108" s="52">
        <v>54</v>
      </c>
      <c r="K108" s="52">
        <v>49.999999999999993</v>
      </c>
      <c r="L108" s="52">
        <v>31.000000000000004</v>
      </c>
      <c r="M108" s="52">
        <v>53.999999999999993</v>
      </c>
      <c r="N108" s="52">
        <v>49.999999999999993</v>
      </c>
      <c r="O108" s="52">
        <v>30.999999999999993</v>
      </c>
      <c r="P108" s="52">
        <v>49.999999999999993</v>
      </c>
      <c r="Q108" s="52">
        <v>49.999999999999993</v>
      </c>
      <c r="R108" s="52">
        <v>30.999999999999993</v>
      </c>
      <c r="S108" s="52">
        <v>49.999999999999964</v>
      </c>
      <c r="T108" s="52">
        <v>31.000000000000007</v>
      </c>
      <c r="U108" s="52">
        <v>30.999999999999993</v>
      </c>
      <c r="V108" s="52">
        <v>30.999999999999996</v>
      </c>
      <c r="W108" s="52">
        <v>49.999999999999993</v>
      </c>
      <c r="X108" s="52">
        <v>29.999999999999993</v>
      </c>
      <c r="Y108" s="52">
        <v>106.969696969697</v>
      </c>
      <c r="Z108" s="52">
        <v>50.000000000000014</v>
      </c>
      <c r="AA108" s="52">
        <v>29.999999999999993</v>
      </c>
      <c r="AB108" s="52">
        <v>50.000000000000014</v>
      </c>
      <c r="AC108" s="52">
        <v>50.000000000000014</v>
      </c>
      <c r="AD108" s="52">
        <v>30.999999999999993</v>
      </c>
      <c r="AE108" s="52">
        <v>50.000000000000007</v>
      </c>
      <c r="AF108" s="52">
        <v>50.000000000000007</v>
      </c>
      <c r="AG108" s="52">
        <v>30.999999999999996</v>
      </c>
      <c r="AH108" s="52">
        <v>50.000000000000014</v>
      </c>
      <c r="AI108" s="52">
        <v>49.999999999999993</v>
      </c>
      <c r="AJ108" s="52">
        <v>31.000000000000007</v>
      </c>
      <c r="AK108" s="52">
        <v>49.999999999999993</v>
      </c>
      <c r="AL108" s="52">
        <v>50.000000000000007</v>
      </c>
      <c r="AM108" s="52">
        <v>30.999999999999989</v>
      </c>
      <c r="AN108" s="52">
        <v>49.999999999999986</v>
      </c>
      <c r="AO108" s="52">
        <v>50.000000000000014</v>
      </c>
      <c r="AP108" s="52">
        <v>30.999999999999996</v>
      </c>
      <c r="AQ108" s="52">
        <v>49.999999999999993</v>
      </c>
      <c r="AR108" s="52">
        <v>49.999999999999986</v>
      </c>
      <c r="AS108" s="52">
        <v>30.999999999999993</v>
      </c>
      <c r="AT108" s="52">
        <v>31.000000000000004</v>
      </c>
      <c r="AU108" s="52">
        <v>50.000000000000014</v>
      </c>
      <c r="AV108" s="52">
        <v>30.999999999999996</v>
      </c>
      <c r="AW108" s="52">
        <v>128.96296296296293</v>
      </c>
      <c r="AX108" s="52">
        <v>49.999999999999986</v>
      </c>
      <c r="AY108" s="52">
        <v>30.999999999999993</v>
      </c>
      <c r="AZ108" s="52">
        <v>33.999999999999979</v>
      </c>
      <c r="BA108" s="52">
        <v>50.000000000000014</v>
      </c>
      <c r="BB108" s="52">
        <v>0</v>
      </c>
      <c r="BC108" s="52">
        <v>103.33333333333337</v>
      </c>
      <c r="BD108" s="52">
        <v>49.999999999999972</v>
      </c>
      <c r="BE108" s="52">
        <v>85.25</v>
      </c>
      <c r="BF108" s="52">
        <v>34.000000000000007</v>
      </c>
      <c r="BG108" s="52">
        <v>34</v>
      </c>
      <c r="BH108" s="52">
        <v>31.000000000000011</v>
      </c>
      <c r="BI108" s="52">
        <v>33.999999999999993</v>
      </c>
      <c r="BJ108" s="52">
        <v>31.000000000000007</v>
      </c>
      <c r="BK108" s="52">
        <v>31.000000000000004</v>
      </c>
      <c r="BL108" s="52">
        <v>52.000000000000007</v>
      </c>
      <c r="BM108" s="52">
        <v>34</v>
      </c>
      <c r="BN108" s="52">
        <v>31.000000000000004</v>
      </c>
      <c r="BO108" s="52">
        <v>34.00000000000005</v>
      </c>
      <c r="BP108" s="52">
        <v>30.999999999999996</v>
      </c>
      <c r="BQ108" s="52">
        <v>30.999999999999996</v>
      </c>
      <c r="BR108" s="52">
        <v>65.000000000000014</v>
      </c>
      <c r="BS108" s="52">
        <v>53.999999999999993</v>
      </c>
      <c r="BT108" s="52">
        <v>31.000000000000007</v>
      </c>
      <c r="BU108" s="52">
        <v>54</v>
      </c>
      <c r="BV108" s="52">
        <v>31.000000000000004</v>
      </c>
      <c r="BW108" s="52">
        <v>29.999999999999996</v>
      </c>
    </row>
    <row r="109" spans="1:75" x14ac:dyDescent="0.3">
      <c r="A109" s="8" t="s">
        <v>104</v>
      </c>
      <c r="B109" s="8" t="s">
        <v>10</v>
      </c>
      <c r="C109" s="8" t="s">
        <v>116</v>
      </c>
      <c r="D109" s="52">
        <v>52.000000000000021</v>
      </c>
      <c r="E109" s="52">
        <v>50.000000000000014</v>
      </c>
      <c r="F109" s="52">
        <v>30.999999999999989</v>
      </c>
      <c r="G109" s="52">
        <v>49.999999999999993</v>
      </c>
      <c r="H109" s="52">
        <v>31.000000000000007</v>
      </c>
      <c r="I109" s="52">
        <v>30.999999999999996</v>
      </c>
      <c r="J109" s="52">
        <v>54</v>
      </c>
      <c r="K109" s="52">
        <v>49.999999999999993</v>
      </c>
      <c r="L109" s="52">
        <v>31.000000000000004</v>
      </c>
      <c r="M109" s="52">
        <v>53.999999999999993</v>
      </c>
      <c r="N109" s="52">
        <v>49.999999999999993</v>
      </c>
      <c r="O109" s="52">
        <v>30.999999999999996</v>
      </c>
      <c r="P109" s="52">
        <v>49.999999999999993</v>
      </c>
      <c r="Q109" s="52">
        <v>49.999999999999993</v>
      </c>
      <c r="R109" s="52">
        <v>30.999999999999993</v>
      </c>
      <c r="S109" s="52">
        <v>49.999999999999964</v>
      </c>
      <c r="T109" s="52">
        <v>31.000000000000007</v>
      </c>
      <c r="U109" s="52">
        <v>30.999999999999993</v>
      </c>
      <c r="V109" s="52">
        <v>30.999999999999996</v>
      </c>
      <c r="W109" s="52">
        <v>49.999999999999993</v>
      </c>
      <c r="X109" s="52">
        <v>29.999999999999993</v>
      </c>
      <c r="Y109" s="52">
        <v>106.969696969697</v>
      </c>
      <c r="Z109" s="52">
        <v>50.000000000000014</v>
      </c>
      <c r="AA109" s="52">
        <v>29.999999999999993</v>
      </c>
      <c r="AB109" s="52">
        <v>50.000000000000014</v>
      </c>
      <c r="AC109" s="52">
        <v>50.000000000000014</v>
      </c>
      <c r="AD109" s="52">
        <v>30.999999999999993</v>
      </c>
      <c r="AE109" s="52">
        <v>50.000000000000007</v>
      </c>
      <c r="AF109" s="52">
        <v>50.000000000000007</v>
      </c>
      <c r="AG109" s="52">
        <v>30.999999999999996</v>
      </c>
      <c r="AH109" s="52">
        <v>50.000000000000014</v>
      </c>
      <c r="AI109" s="52">
        <v>49.999999999999993</v>
      </c>
      <c r="AJ109" s="52">
        <v>31.000000000000007</v>
      </c>
      <c r="AK109" s="52">
        <v>49.999999999999993</v>
      </c>
      <c r="AL109" s="52">
        <v>50.000000000000007</v>
      </c>
      <c r="AM109" s="52">
        <v>30.999999999999989</v>
      </c>
      <c r="AN109" s="52">
        <v>49.999999999999986</v>
      </c>
      <c r="AO109" s="52">
        <v>50.000000000000014</v>
      </c>
      <c r="AP109" s="52">
        <v>30.999999999999996</v>
      </c>
      <c r="AQ109" s="52">
        <v>49.999999999999993</v>
      </c>
      <c r="AR109" s="52">
        <v>49.999999999999986</v>
      </c>
      <c r="AS109" s="52">
        <v>30.999999999999968</v>
      </c>
      <c r="AT109" s="52">
        <v>31.000000000000004</v>
      </c>
      <c r="AU109" s="52">
        <v>50.000000000000014</v>
      </c>
      <c r="AV109" s="52">
        <v>30.999999999999996</v>
      </c>
      <c r="AW109" s="52">
        <v>128.96296296296293</v>
      </c>
      <c r="AX109" s="52">
        <v>49.999999999999986</v>
      </c>
      <c r="AY109" s="52">
        <v>30.999999999999993</v>
      </c>
      <c r="AZ109" s="52">
        <v>34</v>
      </c>
      <c r="BA109" s="52">
        <v>50.000000000000014</v>
      </c>
      <c r="BB109" s="52">
        <v>0</v>
      </c>
      <c r="BC109" s="52">
        <v>103.33333333333337</v>
      </c>
      <c r="BD109" s="52">
        <v>49.999999999999972</v>
      </c>
      <c r="BE109" s="52">
        <v>85.25</v>
      </c>
      <c r="BF109" s="52">
        <v>34</v>
      </c>
      <c r="BG109" s="52">
        <v>34</v>
      </c>
      <c r="BH109" s="52">
        <v>31.000000000000011</v>
      </c>
      <c r="BI109" s="52">
        <v>33.999999999999993</v>
      </c>
      <c r="BJ109" s="52">
        <v>31.000000000000007</v>
      </c>
      <c r="BK109" s="52">
        <v>31.000000000000004</v>
      </c>
      <c r="BL109" s="52">
        <v>52.000000000000007</v>
      </c>
      <c r="BM109" s="52">
        <v>34</v>
      </c>
      <c r="BN109" s="52">
        <v>31.000000000000004</v>
      </c>
      <c r="BO109" s="52">
        <v>34.00000000000005</v>
      </c>
      <c r="BP109" s="52">
        <v>30.999999999999996</v>
      </c>
      <c r="BQ109" s="52">
        <v>30.999999999999996</v>
      </c>
      <c r="BR109" s="52">
        <v>65</v>
      </c>
      <c r="BS109" s="52">
        <v>53.999999999999993</v>
      </c>
      <c r="BT109" s="52">
        <v>31.000000000000007</v>
      </c>
      <c r="BU109" s="52">
        <v>54</v>
      </c>
      <c r="BV109" s="52">
        <v>31.000000000000004</v>
      </c>
      <c r="BW109" s="52">
        <v>29.999999999999996</v>
      </c>
    </row>
    <row r="110" spans="1:75" x14ac:dyDescent="0.3">
      <c r="A110" s="8" t="s">
        <v>104</v>
      </c>
      <c r="B110" s="8" t="s">
        <v>10</v>
      </c>
      <c r="C110" s="8" t="s">
        <v>117</v>
      </c>
      <c r="D110" s="52">
        <v>52.000000000000021</v>
      </c>
      <c r="E110" s="52">
        <v>50.000000000000014</v>
      </c>
      <c r="F110" s="52">
        <v>30.999999999999989</v>
      </c>
      <c r="G110" s="52">
        <v>49.999999999999993</v>
      </c>
      <c r="H110" s="52">
        <v>31.000000000000007</v>
      </c>
      <c r="I110" s="52">
        <v>30.999999999999996</v>
      </c>
      <c r="J110" s="52">
        <v>54</v>
      </c>
      <c r="K110" s="52">
        <v>49.999999999999993</v>
      </c>
      <c r="L110" s="52">
        <v>31.000000000000004</v>
      </c>
      <c r="M110" s="52">
        <v>53.999999999999993</v>
      </c>
      <c r="N110" s="52">
        <v>49.999999999999993</v>
      </c>
      <c r="O110" s="52">
        <v>30.999999999999996</v>
      </c>
      <c r="P110" s="52">
        <v>49.999999999999993</v>
      </c>
      <c r="Q110" s="52">
        <v>49.999999999999993</v>
      </c>
      <c r="R110" s="52">
        <v>30.999999999999993</v>
      </c>
      <c r="S110" s="52">
        <v>49.999999999999964</v>
      </c>
      <c r="T110" s="52">
        <v>31.000000000000007</v>
      </c>
      <c r="U110" s="52">
        <v>30.999999999999993</v>
      </c>
      <c r="V110" s="52">
        <v>30.999999999999996</v>
      </c>
      <c r="W110" s="52">
        <v>49.999999999999993</v>
      </c>
      <c r="X110" s="52">
        <v>29.999999999999993</v>
      </c>
      <c r="Y110" s="52">
        <v>106.969696969697</v>
      </c>
      <c r="Z110" s="52">
        <v>50.000000000000014</v>
      </c>
      <c r="AA110" s="52">
        <v>29.999999999999993</v>
      </c>
      <c r="AB110" s="52">
        <v>50.000000000000014</v>
      </c>
      <c r="AC110" s="52">
        <v>50.000000000000014</v>
      </c>
      <c r="AD110" s="52">
        <v>30.999999999999993</v>
      </c>
      <c r="AE110" s="52">
        <v>50.000000000000007</v>
      </c>
      <c r="AF110" s="52">
        <v>50.000000000000007</v>
      </c>
      <c r="AG110" s="52">
        <v>30.999999999999996</v>
      </c>
      <c r="AH110" s="52">
        <v>50.000000000000014</v>
      </c>
      <c r="AI110" s="52">
        <v>49.999999999999993</v>
      </c>
      <c r="AJ110" s="52">
        <v>31.000000000000007</v>
      </c>
      <c r="AK110" s="52">
        <v>49.999999999999993</v>
      </c>
      <c r="AL110" s="52">
        <v>50.000000000000007</v>
      </c>
      <c r="AM110" s="52">
        <v>30.999999999999989</v>
      </c>
      <c r="AN110" s="52">
        <v>49.999999999999986</v>
      </c>
      <c r="AO110" s="52">
        <v>50.000000000000014</v>
      </c>
      <c r="AP110" s="52">
        <v>30.999999999999996</v>
      </c>
      <c r="AQ110" s="52">
        <v>49.999999999999993</v>
      </c>
      <c r="AR110" s="52">
        <v>49.999999999999986</v>
      </c>
      <c r="AS110" s="52">
        <v>30.999999999999968</v>
      </c>
      <c r="AT110" s="52">
        <v>31.000000000000004</v>
      </c>
      <c r="AU110" s="52">
        <v>50.000000000000014</v>
      </c>
      <c r="AV110" s="52">
        <v>30.999999999999996</v>
      </c>
      <c r="AW110" s="52">
        <v>128.96296296296293</v>
      </c>
      <c r="AX110" s="52">
        <v>49.999999999999986</v>
      </c>
      <c r="AY110" s="52">
        <v>30.999999999999993</v>
      </c>
      <c r="AZ110" s="52">
        <v>34</v>
      </c>
      <c r="BA110" s="52">
        <v>50.000000000000014</v>
      </c>
      <c r="BB110" s="52">
        <v>0</v>
      </c>
      <c r="BC110" s="52">
        <v>103.33333333333337</v>
      </c>
      <c r="BD110" s="52">
        <v>49.999999999999972</v>
      </c>
      <c r="BE110" s="52">
        <v>85.25</v>
      </c>
      <c r="BF110" s="52">
        <v>34</v>
      </c>
      <c r="BG110" s="52">
        <v>34</v>
      </c>
      <c r="BH110" s="52">
        <v>31.000000000000011</v>
      </c>
      <c r="BI110" s="52">
        <v>33.999999999999993</v>
      </c>
      <c r="BJ110" s="52">
        <v>31.000000000000007</v>
      </c>
      <c r="BK110" s="52">
        <v>31.000000000000004</v>
      </c>
      <c r="BL110" s="52">
        <v>52.000000000000007</v>
      </c>
      <c r="BM110" s="52">
        <v>34</v>
      </c>
      <c r="BN110" s="52">
        <v>31.000000000000004</v>
      </c>
      <c r="BO110" s="52">
        <v>34.00000000000005</v>
      </c>
      <c r="BP110" s="52">
        <v>30.999999999999996</v>
      </c>
      <c r="BQ110" s="52">
        <v>30.999999999999996</v>
      </c>
      <c r="BR110" s="52">
        <v>65</v>
      </c>
      <c r="BS110" s="52">
        <v>53.999999999999993</v>
      </c>
      <c r="BT110" s="52">
        <v>31.000000000000007</v>
      </c>
      <c r="BU110" s="52">
        <v>54</v>
      </c>
      <c r="BV110" s="52">
        <v>31.000000000000004</v>
      </c>
      <c r="BW110" s="52">
        <v>29.999999999999996</v>
      </c>
    </row>
    <row r="111" spans="1:75" x14ac:dyDescent="0.3">
      <c r="A111" s="8" t="s">
        <v>104</v>
      </c>
      <c r="B111" s="8" t="s">
        <v>10</v>
      </c>
      <c r="C111" s="8" t="s">
        <v>118</v>
      </c>
      <c r="D111" s="52">
        <v>52.000000000000021</v>
      </c>
      <c r="E111" s="52">
        <v>50.000000000000014</v>
      </c>
      <c r="F111" s="52">
        <v>30.999999999999989</v>
      </c>
      <c r="G111" s="52">
        <v>49.999999999999993</v>
      </c>
      <c r="H111" s="52">
        <v>31.000000000000007</v>
      </c>
      <c r="I111" s="52">
        <v>30.999999999999996</v>
      </c>
      <c r="J111" s="52">
        <v>54</v>
      </c>
      <c r="K111" s="52">
        <v>49.999999999999993</v>
      </c>
      <c r="L111" s="52">
        <v>31.000000000000004</v>
      </c>
      <c r="M111" s="52">
        <v>53.999999999999993</v>
      </c>
      <c r="N111" s="52">
        <v>49.999999999999993</v>
      </c>
      <c r="O111" s="52">
        <v>30.999999999999996</v>
      </c>
      <c r="P111" s="52">
        <v>49.999999999999993</v>
      </c>
      <c r="Q111" s="52">
        <v>49.999999999999993</v>
      </c>
      <c r="R111" s="52">
        <v>30.999999999999993</v>
      </c>
      <c r="S111" s="52">
        <v>49.999999999999964</v>
      </c>
      <c r="T111" s="52">
        <v>31.000000000000007</v>
      </c>
      <c r="U111" s="52">
        <v>30.999999999999993</v>
      </c>
      <c r="V111" s="52">
        <v>30.999999999999996</v>
      </c>
      <c r="W111" s="52">
        <v>49.999999999999993</v>
      </c>
      <c r="X111" s="52">
        <v>29.999999999999993</v>
      </c>
      <c r="Y111" s="52">
        <v>106.969696969697</v>
      </c>
      <c r="Z111" s="52">
        <v>50.000000000000014</v>
      </c>
      <c r="AA111" s="52">
        <v>29.999999999999993</v>
      </c>
      <c r="AB111" s="52">
        <v>50.000000000000014</v>
      </c>
      <c r="AC111" s="52">
        <v>50.000000000000014</v>
      </c>
      <c r="AD111" s="52">
        <v>30.999999999999993</v>
      </c>
      <c r="AE111" s="52">
        <v>50.000000000000007</v>
      </c>
      <c r="AF111" s="52">
        <v>50.000000000000007</v>
      </c>
      <c r="AG111" s="52">
        <v>30.999999999999996</v>
      </c>
      <c r="AH111" s="52">
        <v>50.000000000000014</v>
      </c>
      <c r="AI111" s="52">
        <v>49.999999999999993</v>
      </c>
      <c r="AJ111" s="52">
        <v>31.000000000000007</v>
      </c>
      <c r="AK111" s="52">
        <v>49.999999999999993</v>
      </c>
      <c r="AL111" s="52">
        <v>50.000000000000007</v>
      </c>
      <c r="AM111" s="52">
        <v>30.999999999999989</v>
      </c>
      <c r="AN111" s="52">
        <v>49.999999999999986</v>
      </c>
      <c r="AO111" s="52">
        <v>50.000000000000014</v>
      </c>
      <c r="AP111" s="52">
        <v>30.999999999999996</v>
      </c>
      <c r="AQ111" s="52">
        <v>49.999999999999993</v>
      </c>
      <c r="AR111" s="52">
        <v>49.999999999999986</v>
      </c>
      <c r="AS111" s="52">
        <v>30.999999999999968</v>
      </c>
      <c r="AT111" s="52">
        <v>31.000000000000004</v>
      </c>
      <c r="AU111" s="52">
        <v>50.000000000000014</v>
      </c>
      <c r="AV111" s="52">
        <v>30.999999999999996</v>
      </c>
      <c r="AW111" s="52">
        <v>128.96296296296293</v>
      </c>
      <c r="AX111" s="52">
        <v>49.999999999999986</v>
      </c>
      <c r="AY111" s="52">
        <v>30.999999999999993</v>
      </c>
      <c r="AZ111" s="52">
        <v>34</v>
      </c>
      <c r="BA111" s="52">
        <v>50.000000000000014</v>
      </c>
      <c r="BB111" s="52">
        <v>0</v>
      </c>
      <c r="BC111" s="52">
        <v>103.33333333333337</v>
      </c>
      <c r="BD111" s="52">
        <v>49.999999999999972</v>
      </c>
      <c r="BE111" s="52">
        <v>85.25</v>
      </c>
      <c r="BF111" s="52">
        <v>34</v>
      </c>
      <c r="BG111" s="52">
        <v>34</v>
      </c>
      <c r="BH111" s="52">
        <v>31.000000000000011</v>
      </c>
      <c r="BI111" s="52">
        <v>33.999999999999993</v>
      </c>
      <c r="BJ111" s="52">
        <v>31.000000000000007</v>
      </c>
      <c r="BK111" s="52">
        <v>31.000000000000004</v>
      </c>
      <c r="BL111" s="52">
        <v>52.000000000000007</v>
      </c>
      <c r="BM111" s="52">
        <v>34</v>
      </c>
      <c r="BN111" s="52">
        <v>31.000000000000004</v>
      </c>
      <c r="BO111" s="52">
        <v>34.00000000000005</v>
      </c>
      <c r="BP111" s="52">
        <v>30.999999999999996</v>
      </c>
      <c r="BQ111" s="52">
        <v>30.999999999999996</v>
      </c>
      <c r="BR111" s="52">
        <v>65</v>
      </c>
      <c r="BS111" s="52">
        <v>53.999999999999993</v>
      </c>
      <c r="BT111" s="52">
        <v>31.000000000000007</v>
      </c>
      <c r="BU111" s="52">
        <v>54</v>
      </c>
      <c r="BV111" s="52">
        <v>31.000000000000004</v>
      </c>
      <c r="BW111" s="52">
        <v>29.999999999999996</v>
      </c>
    </row>
    <row r="112" spans="1:75" x14ac:dyDescent="0.3">
      <c r="A112" s="8" t="s">
        <v>100</v>
      </c>
      <c r="B112" s="8" t="s">
        <v>8</v>
      </c>
      <c r="C112" s="8" t="s">
        <v>108</v>
      </c>
      <c r="D112" s="52">
        <v>53.999999999999986</v>
      </c>
      <c r="E112" s="52">
        <v>54.000000000000043</v>
      </c>
      <c r="F112" s="52">
        <v>30.999999999999975</v>
      </c>
      <c r="G112" s="52">
        <v>54</v>
      </c>
      <c r="H112" s="52">
        <v>54.000000000000014</v>
      </c>
      <c r="I112" s="52">
        <v>30.999999999999982</v>
      </c>
      <c r="J112" s="52">
        <v>51.999999999999901</v>
      </c>
      <c r="K112" s="52">
        <v>50</v>
      </c>
      <c r="L112" s="52">
        <v>31.000000000000004</v>
      </c>
      <c r="M112" s="52">
        <v>59.000000000000242</v>
      </c>
      <c r="N112" s="52">
        <v>50</v>
      </c>
      <c r="O112" s="52">
        <v>31.000000000000004</v>
      </c>
      <c r="P112" s="52">
        <v>50</v>
      </c>
      <c r="Q112" s="52">
        <v>50</v>
      </c>
      <c r="R112" s="52">
        <v>30.999999999999986</v>
      </c>
      <c r="S112" s="52">
        <v>65.199999999999974</v>
      </c>
      <c r="T112" s="52">
        <v>49.999999999999993</v>
      </c>
      <c r="U112" s="52">
        <v>30.999999999999979</v>
      </c>
      <c r="V112" s="52">
        <v>54.000000000000014</v>
      </c>
      <c r="W112" s="52">
        <v>54.000000000000007</v>
      </c>
      <c r="X112" s="52">
        <v>0</v>
      </c>
      <c r="Y112" s="52">
        <v>54</v>
      </c>
      <c r="Z112" s="52">
        <v>50</v>
      </c>
      <c r="AA112" s="52">
        <v>76.896103896103895</v>
      </c>
      <c r="AB112" s="52">
        <v>50</v>
      </c>
      <c r="AC112" s="52">
        <v>50</v>
      </c>
      <c r="AD112" s="52">
        <v>0</v>
      </c>
      <c r="AE112" s="52">
        <v>67.037037037037024</v>
      </c>
      <c r="AF112" s="52">
        <v>64.529914529914564</v>
      </c>
      <c r="AG112" s="52">
        <v>141.66666666666666</v>
      </c>
      <c r="AH112" s="52">
        <v>52.000000000000028</v>
      </c>
      <c r="AI112" s="52">
        <v>34</v>
      </c>
      <c r="AJ112" s="52">
        <v>0</v>
      </c>
      <c r="AK112" s="52">
        <v>60.222222222222264</v>
      </c>
      <c r="AL112" s="52">
        <v>87.333333333333329</v>
      </c>
      <c r="AM112" s="52">
        <v>93</v>
      </c>
      <c r="AN112" s="52">
        <v>52.000000000000007</v>
      </c>
      <c r="AO112" s="52">
        <v>50</v>
      </c>
      <c r="AP112" s="52">
        <v>30.999999999999982</v>
      </c>
      <c r="AQ112" s="52">
        <v>62.148148148148209</v>
      </c>
      <c r="AR112" s="52">
        <v>62.380952380952422</v>
      </c>
      <c r="AS112" s="52">
        <v>30.999999999999986</v>
      </c>
      <c r="AT112" s="52">
        <v>54</v>
      </c>
      <c r="AU112" s="52">
        <v>54.000000000000007</v>
      </c>
      <c r="AV112" s="52">
        <v>0</v>
      </c>
      <c r="AW112" s="52">
        <v>54.000000000000007</v>
      </c>
      <c r="AX112" s="52">
        <v>49.999999999999993</v>
      </c>
      <c r="AY112" s="52">
        <v>106.77777777777777</v>
      </c>
      <c r="AZ112" s="52">
        <v>54.000000000000007</v>
      </c>
      <c r="BA112" s="52">
        <v>49.999999999999979</v>
      </c>
      <c r="BB112" s="52">
        <v>30.999999999999986</v>
      </c>
      <c r="BC112" s="52">
        <v>54.000000000000007</v>
      </c>
      <c r="BD112" s="52">
        <v>50</v>
      </c>
      <c r="BE112" s="52">
        <v>30.999999999999979</v>
      </c>
      <c r="BF112" s="52">
        <v>54</v>
      </c>
      <c r="BG112" s="52">
        <v>50</v>
      </c>
      <c r="BH112" s="52">
        <v>30.999999999999993</v>
      </c>
      <c r="BI112" s="52">
        <v>54.000000000000007</v>
      </c>
      <c r="BJ112" s="52">
        <v>30.999999999999993</v>
      </c>
      <c r="BK112" s="52">
        <v>30.999999999999996</v>
      </c>
      <c r="BL112" s="52">
        <v>54.000000000000007</v>
      </c>
      <c r="BM112" s="52">
        <v>49.999999999999986</v>
      </c>
      <c r="BN112" s="52">
        <v>30.999999999999986</v>
      </c>
      <c r="BO112" s="52">
        <v>54.000000000000007</v>
      </c>
      <c r="BP112" s="52">
        <v>49.999999999999993</v>
      </c>
      <c r="BQ112" s="52">
        <v>31.000000000000004</v>
      </c>
      <c r="BR112" s="52">
        <v>53.999999999999993</v>
      </c>
      <c r="BS112" s="52">
        <v>52.000000000000021</v>
      </c>
      <c r="BT112" s="52">
        <v>31.000000000000004</v>
      </c>
      <c r="BU112" s="52">
        <v>53.999999999999957</v>
      </c>
      <c r="BV112" s="52">
        <v>51.999999999999986</v>
      </c>
      <c r="BW112" s="52">
        <v>31.000000000000004</v>
      </c>
    </row>
    <row r="113" spans="1:75" x14ac:dyDescent="0.3">
      <c r="A113" s="8" t="s">
        <v>100</v>
      </c>
      <c r="B113" s="8" t="s">
        <v>8</v>
      </c>
      <c r="C113" s="8" t="s">
        <v>109</v>
      </c>
      <c r="D113" s="52">
        <v>53.999999999999986</v>
      </c>
      <c r="E113" s="52">
        <v>54.000000000000007</v>
      </c>
      <c r="F113" s="52">
        <v>30.999999999999996</v>
      </c>
      <c r="G113" s="52">
        <v>54</v>
      </c>
      <c r="H113" s="52">
        <v>54.000000000000021</v>
      </c>
      <c r="I113" s="52">
        <v>31</v>
      </c>
      <c r="J113" s="52">
        <v>51.999999999999901</v>
      </c>
      <c r="K113" s="52">
        <v>49.999999999999993</v>
      </c>
      <c r="L113" s="52">
        <v>30.999999999999996</v>
      </c>
      <c r="M113" s="52">
        <v>59.000000000000242</v>
      </c>
      <c r="N113" s="52">
        <v>49.999999999999993</v>
      </c>
      <c r="O113" s="52">
        <v>31</v>
      </c>
      <c r="P113" s="52">
        <v>50</v>
      </c>
      <c r="Q113" s="52">
        <v>50</v>
      </c>
      <c r="R113" s="52">
        <v>31</v>
      </c>
      <c r="S113" s="52">
        <v>65.199999999999974</v>
      </c>
      <c r="T113" s="52">
        <v>49.999999999999993</v>
      </c>
      <c r="U113" s="52">
        <v>31</v>
      </c>
      <c r="V113" s="52">
        <v>54.000000000000014</v>
      </c>
      <c r="W113" s="52">
        <v>54.000000000000014</v>
      </c>
      <c r="X113" s="52">
        <v>0</v>
      </c>
      <c r="Y113" s="52">
        <v>54</v>
      </c>
      <c r="Z113" s="52">
        <v>50</v>
      </c>
      <c r="AA113" s="52">
        <v>76.896103896103895</v>
      </c>
      <c r="AB113" s="52">
        <v>50</v>
      </c>
      <c r="AC113" s="52">
        <v>50</v>
      </c>
      <c r="AD113" s="52">
        <v>0</v>
      </c>
      <c r="AE113" s="52">
        <v>67.037037037037024</v>
      </c>
      <c r="AF113" s="52">
        <v>64.529914529914564</v>
      </c>
      <c r="AG113" s="52">
        <v>141.66666666666666</v>
      </c>
      <c r="AH113" s="52">
        <v>52.000000000000014</v>
      </c>
      <c r="AI113" s="52">
        <v>34</v>
      </c>
      <c r="AJ113" s="52">
        <v>0</v>
      </c>
      <c r="AK113" s="52">
        <v>60.222222222222264</v>
      </c>
      <c r="AL113" s="52">
        <v>87.333333333333329</v>
      </c>
      <c r="AM113" s="52">
        <v>93</v>
      </c>
      <c r="AN113" s="52">
        <v>52.000000000000014</v>
      </c>
      <c r="AO113" s="52">
        <v>50</v>
      </c>
      <c r="AP113" s="52">
        <v>31</v>
      </c>
      <c r="AQ113" s="52">
        <v>62.148148148148209</v>
      </c>
      <c r="AR113" s="52">
        <v>62.380952380952422</v>
      </c>
      <c r="AS113" s="52">
        <v>31</v>
      </c>
      <c r="AT113" s="52">
        <v>54.000000000000007</v>
      </c>
      <c r="AU113" s="52">
        <v>54.000000000000007</v>
      </c>
      <c r="AV113" s="52">
        <v>0</v>
      </c>
      <c r="AW113" s="52">
        <v>54.000000000000007</v>
      </c>
      <c r="AX113" s="52">
        <v>49.999999999999993</v>
      </c>
      <c r="AY113" s="52">
        <v>106.7777777777778</v>
      </c>
      <c r="AZ113" s="52">
        <v>54.000000000000007</v>
      </c>
      <c r="BA113" s="52">
        <v>50</v>
      </c>
      <c r="BB113" s="52">
        <v>31</v>
      </c>
      <c r="BC113" s="52">
        <v>54.000000000000007</v>
      </c>
      <c r="BD113" s="52">
        <v>49.999999999999993</v>
      </c>
      <c r="BE113" s="52">
        <v>31</v>
      </c>
      <c r="BF113" s="52">
        <v>54</v>
      </c>
      <c r="BG113" s="52">
        <v>50</v>
      </c>
      <c r="BH113" s="52">
        <v>30.999999999999993</v>
      </c>
      <c r="BI113" s="52">
        <v>54.000000000000014</v>
      </c>
      <c r="BJ113" s="52">
        <v>31</v>
      </c>
      <c r="BK113" s="52">
        <v>31.000000000000014</v>
      </c>
      <c r="BL113" s="52">
        <v>53.999999999999993</v>
      </c>
      <c r="BM113" s="52">
        <v>49.999999999999993</v>
      </c>
      <c r="BN113" s="52">
        <v>31.000000000000004</v>
      </c>
      <c r="BO113" s="52">
        <v>54.000000000000014</v>
      </c>
      <c r="BP113" s="52">
        <v>49.999999999999993</v>
      </c>
      <c r="BQ113" s="52">
        <v>31.000000000000004</v>
      </c>
      <c r="BR113" s="52">
        <v>54</v>
      </c>
      <c r="BS113" s="52">
        <v>52.000000000000007</v>
      </c>
      <c r="BT113" s="52">
        <v>31</v>
      </c>
      <c r="BU113" s="52">
        <v>54</v>
      </c>
      <c r="BV113" s="52">
        <v>52.000000000000007</v>
      </c>
      <c r="BW113" s="52">
        <v>31</v>
      </c>
    </row>
    <row r="114" spans="1:75" x14ac:dyDescent="0.3">
      <c r="A114" s="8" t="s">
        <v>100</v>
      </c>
      <c r="B114" s="8" t="s">
        <v>8</v>
      </c>
      <c r="C114" s="8" t="s">
        <v>110</v>
      </c>
      <c r="D114" s="52">
        <v>53.999999999999986</v>
      </c>
      <c r="E114" s="52">
        <v>54.000000000000014</v>
      </c>
      <c r="F114" s="52">
        <v>30.999999999999996</v>
      </c>
      <c r="G114" s="52">
        <v>54</v>
      </c>
      <c r="H114" s="52">
        <v>54.000000000000014</v>
      </c>
      <c r="I114" s="52">
        <v>31</v>
      </c>
      <c r="J114" s="52">
        <v>51.999999999999901</v>
      </c>
      <c r="K114" s="52">
        <v>49.999999999999993</v>
      </c>
      <c r="L114" s="52">
        <v>30.999999999999996</v>
      </c>
      <c r="M114" s="52">
        <v>59.000000000000242</v>
      </c>
      <c r="N114" s="52">
        <v>49.999999999999993</v>
      </c>
      <c r="O114" s="52">
        <v>31</v>
      </c>
      <c r="P114" s="52">
        <v>50.000000000000007</v>
      </c>
      <c r="Q114" s="52">
        <v>50</v>
      </c>
      <c r="R114" s="52">
        <v>31</v>
      </c>
      <c r="S114" s="52">
        <v>65.199999999999974</v>
      </c>
      <c r="T114" s="52">
        <v>49.999999999999993</v>
      </c>
      <c r="U114" s="52">
        <v>31</v>
      </c>
      <c r="V114" s="52">
        <v>54.000000000000014</v>
      </c>
      <c r="W114" s="52">
        <v>54.000000000000007</v>
      </c>
      <c r="X114" s="52">
        <v>0</v>
      </c>
      <c r="Y114" s="52">
        <v>54</v>
      </c>
      <c r="Z114" s="52">
        <v>50</v>
      </c>
      <c r="AA114" s="52">
        <v>76.896103896103895</v>
      </c>
      <c r="AB114" s="52">
        <v>50</v>
      </c>
      <c r="AC114" s="52">
        <v>50.000000000000007</v>
      </c>
      <c r="AD114" s="52">
        <v>0</v>
      </c>
      <c r="AE114" s="52">
        <v>67.037037037037024</v>
      </c>
      <c r="AF114" s="52">
        <v>64.529914529914564</v>
      </c>
      <c r="AG114" s="52">
        <v>141.66666666666666</v>
      </c>
      <c r="AH114" s="52">
        <v>52.000000000000007</v>
      </c>
      <c r="AI114" s="52">
        <v>34</v>
      </c>
      <c r="AJ114" s="52">
        <v>0</v>
      </c>
      <c r="AK114" s="52">
        <v>60.222222222222264</v>
      </c>
      <c r="AL114" s="52">
        <v>87.333333333333329</v>
      </c>
      <c r="AM114" s="52">
        <v>93</v>
      </c>
      <c r="AN114" s="52">
        <v>52.000000000000007</v>
      </c>
      <c r="AO114" s="52">
        <v>50.000000000000007</v>
      </c>
      <c r="AP114" s="52">
        <v>31</v>
      </c>
      <c r="AQ114" s="52">
        <v>62.148148148148209</v>
      </c>
      <c r="AR114" s="52">
        <v>62.38095238095238</v>
      </c>
      <c r="AS114" s="52">
        <v>31</v>
      </c>
      <c r="AT114" s="52">
        <v>54</v>
      </c>
      <c r="AU114" s="52">
        <v>54.000000000000007</v>
      </c>
      <c r="AV114" s="52">
        <v>0</v>
      </c>
      <c r="AW114" s="52">
        <v>54.000000000000007</v>
      </c>
      <c r="AX114" s="52">
        <v>49.999999999999993</v>
      </c>
      <c r="AY114" s="52">
        <v>106.77777777777777</v>
      </c>
      <c r="AZ114" s="52">
        <v>54.000000000000007</v>
      </c>
      <c r="BA114" s="52">
        <v>50</v>
      </c>
      <c r="BB114" s="52">
        <v>31</v>
      </c>
      <c r="BC114" s="52">
        <v>54.000000000000007</v>
      </c>
      <c r="BD114" s="52">
        <v>50</v>
      </c>
      <c r="BE114" s="52">
        <v>31</v>
      </c>
      <c r="BF114" s="52">
        <v>54</v>
      </c>
      <c r="BG114" s="52">
        <v>50</v>
      </c>
      <c r="BH114" s="52">
        <v>30.999999999999993</v>
      </c>
      <c r="BI114" s="52">
        <v>54.000000000000007</v>
      </c>
      <c r="BJ114" s="52">
        <v>31</v>
      </c>
      <c r="BK114" s="52">
        <v>31.000000000000014</v>
      </c>
      <c r="BL114" s="52">
        <v>54.000000000000007</v>
      </c>
      <c r="BM114" s="52">
        <v>49.999999999999993</v>
      </c>
      <c r="BN114" s="52">
        <v>31.000000000000004</v>
      </c>
      <c r="BO114" s="52">
        <v>54.000000000000007</v>
      </c>
      <c r="BP114" s="52">
        <v>49.999999999999993</v>
      </c>
      <c r="BQ114" s="52">
        <v>31.000000000000004</v>
      </c>
      <c r="BR114" s="52">
        <v>54</v>
      </c>
      <c r="BS114" s="52">
        <v>52.000000000000007</v>
      </c>
      <c r="BT114" s="52">
        <v>31</v>
      </c>
      <c r="BU114" s="52">
        <v>54</v>
      </c>
      <c r="BV114" s="52">
        <v>52.000000000000007</v>
      </c>
      <c r="BW114" s="52">
        <v>31</v>
      </c>
    </row>
    <row r="115" spans="1:75" x14ac:dyDescent="0.3">
      <c r="A115" s="8" t="s">
        <v>100</v>
      </c>
      <c r="B115" s="8" t="s">
        <v>8</v>
      </c>
      <c r="C115" s="8" t="s">
        <v>111</v>
      </c>
      <c r="D115" s="52">
        <v>53.999999999999986</v>
      </c>
      <c r="E115" s="52">
        <v>54.000000000000043</v>
      </c>
      <c r="F115" s="52">
        <v>30.999999999999989</v>
      </c>
      <c r="G115" s="52">
        <v>54</v>
      </c>
      <c r="H115" s="52">
        <v>54.000000000000014</v>
      </c>
      <c r="I115" s="52">
        <v>30.999999999999989</v>
      </c>
      <c r="J115" s="52">
        <v>52.000000000000007</v>
      </c>
      <c r="K115" s="52">
        <v>50</v>
      </c>
      <c r="L115" s="52">
        <v>30.999999999999989</v>
      </c>
      <c r="M115" s="52">
        <v>59.000000000000242</v>
      </c>
      <c r="N115" s="52">
        <v>50</v>
      </c>
      <c r="O115" s="52">
        <v>30.999999999999993</v>
      </c>
      <c r="P115" s="52">
        <v>50</v>
      </c>
      <c r="Q115" s="52">
        <v>50</v>
      </c>
      <c r="R115" s="52">
        <v>30.999999999999996</v>
      </c>
      <c r="S115" s="52">
        <v>65.199999999999974</v>
      </c>
      <c r="T115" s="52">
        <v>49.999999999999993</v>
      </c>
      <c r="U115" s="52">
        <v>30.999999999999993</v>
      </c>
      <c r="V115" s="52">
        <v>54.000000000000014</v>
      </c>
      <c r="W115" s="52">
        <v>54.000000000000007</v>
      </c>
      <c r="X115" s="52">
        <v>0</v>
      </c>
      <c r="Y115" s="52">
        <v>54</v>
      </c>
      <c r="Z115" s="52">
        <v>50</v>
      </c>
      <c r="AA115" s="52">
        <v>76.896103896103895</v>
      </c>
      <c r="AB115" s="52">
        <v>50</v>
      </c>
      <c r="AC115" s="52">
        <v>50</v>
      </c>
      <c r="AD115" s="52">
        <v>0</v>
      </c>
      <c r="AE115" s="52">
        <v>67.037037037037024</v>
      </c>
      <c r="AF115" s="52">
        <v>64.529914529914564</v>
      </c>
      <c r="AG115" s="52">
        <v>141.66666666666666</v>
      </c>
      <c r="AH115" s="52">
        <v>52.000000000000007</v>
      </c>
      <c r="AI115" s="52">
        <v>34</v>
      </c>
      <c r="AJ115" s="52">
        <v>0</v>
      </c>
      <c r="AK115" s="52">
        <v>60.222222222222264</v>
      </c>
      <c r="AL115" s="52">
        <v>87.333333333333329</v>
      </c>
      <c r="AM115" s="52">
        <v>93</v>
      </c>
      <c r="AN115" s="52">
        <v>52.000000000000007</v>
      </c>
      <c r="AO115" s="52">
        <v>50</v>
      </c>
      <c r="AP115" s="52">
        <v>30.999999999999993</v>
      </c>
      <c r="AQ115" s="52">
        <v>62.148148148148202</v>
      </c>
      <c r="AR115" s="52">
        <v>62.380952380952408</v>
      </c>
      <c r="AS115" s="52">
        <v>30.999999999999996</v>
      </c>
      <c r="AT115" s="52">
        <v>54</v>
      </c>
      <c r="AU115" s="52">
        <v>54.000000000000007</v>
      </c>
      <c r="AV115" s="52">
        <v>0</v>
      </c>
      <c r="AW115" s="52">
        <v>54.000000000000007</v>
      </c>
      <c r="AX115" s="52">
        <v>49.999999999999993</v>
      </c>
      <c r="AY115" s="52">
        <v>106.77777777777777</v>
      </c>
      <c r="AZ115" s="52">
        <v>54.000000000000007</v>
      </c>
      <c r="BA115" s="52">
        <v>49.999999999999979</v>
      </c>
      <c r="BB115" s="52">
        <v>31</v>
      </c>
      <c r="BC115" s="52">
        <v>54.000000000000007</v>
      </c>
      <c r="BD115" s="52">
        <v>50</v>
      </c>
      <c r="BE115" s="52">
        <v>30.999999999999993</v>
      </c>
      <c r="BF115" s="52">
        <v>54</v>
      </c>
      <c r="BG115" s="52">
        <v>50</v>
      </c>
      <c r="BH115" s="52">
        <v>30.999999999999993</v>
      </c>
      <c r="BI115" s="52">
        <v>54.000000000000007</v>
      </c>
      <c r="BJ115" s="52">
        <v>31</v>
      </c>
      <c r="BK115" s="52">
        <v>31.000000000000011</v>
      </c>
      <c r="BL115" s="52">
        <v>54.000000000000007</v>
      </c>
      <c r="BM115" s="52">
        <v>49.999999999999986</v>
      </c>
      <c r="BN115" s="52">
        <v>30.999999999999996</v>
      </c>
      <c r="BO115" s="52">
        <v>54.000000000000007</v>
      </c>
      <c r="BP115" s="52">
        <v>49.999999999999993</v>
      </c>
      <c r="BQ115" s="52">
        <v>31.000000000000004</v>
      </c>
      <c r="BR115" s="52">
        <v>54.000000000000007</v>
      </c>
      <c r="BS115" s="52">
        <v>52.000000000000007</v>
      </c>
      <c r="BT115" s="52">
        <v>31</v>
      </c>
      <c r="BU115" s="52">
        <v>54.000000000000014</v>
      </c>
      <c r="BV115" s="52">
        <v>52.000000000000007</v>
      </c>
      <c r="BW115" s="52">
        <v>30.999999999999993</v>
      </c>
    </row>
    <row r="116" spans="1:75" x14ac:dyDescent="0.3">
      <c r="A116" s="8" t="s">
        <v>100</v>
      </c>
      <c r="B116" s="8" t="s">
        <v>8</v>
      </c>
      <c r="C116" s="8" t="s">
        <v>112</v>
      </c>
      <c r="D116" s="52">
        <v>53.999999999999986</v>
      </c>
      <c r="E116" s="52">
        <v>54.000000000000043</v>
      </c>
      <c r="F116" s="52">
        <v>30.999999999999989</v>
      </c>
      <c r="G116" s="52">
        <v>54</v>
      </c>
      <c r="H116" s="52">
        <v>54.000000000000014</v>
      </c>
      <c r="I116" s="52">
        <v>30.999999999999989</v>
      </c>
      <c r="J116" s="52">
        <v>52.000000000000007</v>
      </c>
      <c r="K116" s="52">
        <v>50</v>
      </c>
      <c r="L116" s="52">
        <v>30.999999999999989</v>
      </c>
      <c r="M116" s="52">
        <v>59.000000000000242</v>
      </c>
      <c r="N116" s="52">
        <v>50</v>
      </c>
      <c r="O116" s="52">
        <v>30.999999999999993</v>
      </c>
      <c r="P116" s="52">
        <v>50</v>
      </c>
      <c r="Q116" s="52">
        <v>50</v>
      </c>
      <c r="R116" s="52">
        <v>30.999999999999996</v>
      </c>
      <c r="S116" s="52">
        <v>65.199999999999974</v>
      </c>
      <c r="T116" s="52">
        <v>49.999999999999993</v>
      </c>
      <c r="U116" s="52">
        <v>30.999999999999993</v>
      </c>
      <c r="V116" s="52">
        <v>54.000000000000014</v>
      </c>
      <c r="W116" s="52">
        <v>54.000000000000007</v>
      </c>
      <c r="X116" s="52">
        <v>0</v>
      </c>
      <c r="Y116" s="52">
        <v>54</v>
      </c>
      <c r="Z116" s="52">
        <v>50</v>
      </c>
      <c r="AA116" s="52">
        <v>76.896103896103895</v>
      </c>
      <c r="AB116" s="52">
        <v>50</v>
      </c>
      <c r="AC116" s="52">
        <v>50</v>
      </c>
      <c r="AD116" s="52">
        <v>0</v>
      </c>
      <c r="AE116" s="52">
        <v>67.037037037037024</v>
      </c>
      <c r="AF116" s="52">
        <v>64.529914529914564</v>
      </c>
      <c r="AG116" s="52">
        <v>141.66666666666666</v>
      </c>
      <c r="AH116" s="52">
        <v>52.000000000000007</v>
      </c>
      <c r="AI116" s="52">
        <v>34</v>
      </c>
      <c r="AJ116" s="52">
        <v>0</v>
      </c>
      <c r="AK116" s="52">
        <v>60.222222222222264</v>
      </c>
      <c r="AL116" s="52">
        <v>87.333333333333329</v>
      </c>
      <c r="AM116" s="52">
        <v>93</v>
      </c>
      <c r="AN116" s="52">
        <v>52.000000000000007</v>
      </c>
      <c r="AO116" s="52">
        <v>50</v>
      </c>
      <c r="AP116" s="52">
        <v>30.999999999999993</v>
      </c>
      <c r="AQ116" s="52">
        <v>62.148148148148202</v>
      </c>
      <c r="AR116" s="52">
        <v>62.380952380952408</v>
      </c>
      <c r="AS116" s="52">
        <v>30.999999999999996</v>
      </c>
      <c r="AT116" s="52">
        <v>54</v>
      </c>
      <c r="AU116" s="52">
        <v>54.000000000000007</v>
      </c>
      <c r="AV116" s="52">
        <v>0</v>
      </c>
      <c r="AW116" s="52">
        <v>54.000000000000007</v>
      </c>
      <c r="AX116" s="52">
        <v>49.999999999999993</v>
      </c>
      <c r="AY116" s="52">
        <v>106.77777777777777</v>
      </c>
      <c r="AZ116" s="52">
        <v>54.000000000000007</v>
      </c>
      <c r="BA116" s="52">
        <v>49.999999999999979</v>
      </c>
      <c r="BB116" s="52">
        <v>31</v>
      </c>
      <c r="BC116" s="52">
        <v>54.000000000000007</v>
      </c>
      <c r="BD116" s="52">
        <v>50</v>
      </c>
      <c r="BE116" s="52">
        <v>30.999999999999993</v>
      </c>
      <c r="BF116" s="52">
        <v>54</v>
      </c>
      <c r="BG116" s="52">
        <v>50</v>
      </c>
      <c r="BH116" s="52">
        <v>30.999999999999993</v>
      </c>
      <c r="BI116" s="52">
        <v>54.000000000000007</v>
      </c>
      <c r="BJ116" s="52">
        <v>31</v>
      </c>
      <c r="BK116" s="52">
        <v>31.000000000000011</v>
      </c>
      <c r="BL116" s="52">
        <v>54.000000000000007</v>
      </c>
      <c r="BM116" s="52">
        <v>49.999999999999986</v>
      </c>
      <c r="BN116" s="52">
        <v>30.999999999999996</v>
      </c>
      <c r="BO116" s="52">
        <v>54.000000000000007</v>
      </c>
      <c r="BP116" s="52">
        <v>49.999999999999993</v>
      </c>
      <c r="BQ116" s="52">
        <v>31.000000000000004</v>
      </c>
      <c r="BR116" s="52">
        <v>54.000000000000007</v>
      </c>
      <c r="BS116" s="52">
        <v>52.000000000000007</v>
      </c>
      <c r="BT116" s="52">
        <v>31</v>
      </c>
      <c r="BU116" s="52">
        <v>54.000000000000014</v>
      </c>
      <c r="BV116" s="52">
        <v>52.000000000000007</v>
      </c>
      <c r="BW116" s="52">
        <v>30.999999999999993</v>
      </c>
    </row>
    <row r="117" spans="1:75" x14ac:dyDescent="0.3">
      <c r="A117" s="8" t="s">
        <v>100</v>
      </c>
      <c r="B117" s="8" t="s">
        <v>8</v>
      </c>
      <c r="C117" s="8" t="s">
        <v>115</v>
      </c>
      <c r="D117" s="52">
        <v>53.999999999999986</v>
      </c>
      <c r="E117" s="52">
        <v>53.999999999999993</v>
      </c>
      <c r="F117" s="52">
        <v>31.000000000000004</v>
      </c>
      <c r="G117" s="52">
        <v>54</v>
      </c>
      <c r="H117" s="52">
        <v>54.000000000000021</v>
      </c>
      <c r="I117" s="52">
        <v>31.000000000000004</v>
      </c>
      <c r="J117" s="52">
        <v>51.999999999999901</v>
      </c>
      <c r="K117" s="52">
        <v>49.999999999999993</v>
      </c>
      <c r="L117" s="52">
        <v>31.000000000000004</v>
      </c>
      <c r="M117" s="52">
        <v>59.000000000000242</v>
      </c>
      <c r="N117" s="52">
        <v>49.999999999999993</v>
      </c>
      <c r="O117" s="52">
        <v>31.000000000000004</v>
      </c>
      <c r="P117" s="52">
        <v>50</v>
      </c>
      <c r="Q117" s="52">
        <v>50</v>
      </c>
      <c r="R117" s="52">
        <v>31.000000000000004</v>
      </c>
      <c r="S117" s="52">
        <v>65.199999999999974</v>
      </c>
      <c r="T117" s="52">
        <v>49.999999999999993</v>
      </c>
      <c r="U117" s="52">
        <v>31.000000000000007</v>
      </c>
      <c r="V117" s="52">
        <v>54.000000000000014</v>
      </c>
      <c r="W117" s="52">
        <v>54.000000000000014</v>
      </c>
      <c r="X117" s="52">
        <v>0</v>
      </c>
      <c r="Y117" s="52">
        <v>54</v>
      </c>
      <c r="Z117" s="52">
        <v>50</v>
      </c>
      <c r="AA117" s="52">
        <v>76.896103896103895</v>
      </c>
      <c r="AB117" s="52">
        <v>50</v>
      </c>
      <c r="AC117" s="52">
        <v>50</v>
      </c>
      <c r="AD117" s="52">
        <v>0</v>
      </c>
      <c r="AE117" s="52">
        <v>67.037037037037024</v>
      </c>
      <c r="AF117" s="52">
        <v>64.529914529914564</v>
      </c>
      <c r="AG117" s="52">
        <v>141.66666666666666</v>
      </c>
      <c r="AH117" s="52">
        <v>52.000000000000014</v>
      </c>
      <c r="AI117" s="52">
        <v>34</v>
      </c>
      <c r="AJ117" s="52">
        <v>0</v>
      </c>
      <c r="AK117" s="52">
        <v>60.222222222222264</v>
      </c>
      <c r="AL117" s="52">
        <v>87.333333333333329</v>
      </c>
      <c r="AM117" s="52">
        <v>93</v>
      </c>
      <c r="AN117" s="52">
        <v>52.000000000000014</v>
      </c>
      <c r="AO117" s="52">
        <v>50</v>
      </c>
      <c r="AP117" s="52">
        <v>31.000000000000007</v>
      </c>
      <c r="AQ117" s="52">
        <v>62.148148148148209</v>
      </c>
      <c r="AR117" s="52">
        <v>62.380952380952422</v>
      </c>
      <c r="AS117" s="52">
        <v>31.000000000000004</v>
      </c>
      <c r="AT117" s="52">
        <v>54.000000000000007</v>
      </c>
      <c r="AU117" s="52">
        <v>54.000000000000007</v>
      </c>
      <c r="AV117" s="52">
        <v>0</v>
      </c>
      <c r="AW117" s="52">
        <v>54.000000000000007</v>
      </c>
      <c r="AX117" s="52">
        <v>49.999999999999993</v>
      </c>
      <c r="AY117" s="52">
        <v>106.7777777777778</v>
      </c>
      <c r="AZ117" s="52">
        <v>54.000000000000007</v>
      </c>
      <c r="BA117" s="52">
        <v>50</v>
      </c>
      <c r="BB117" s="52">
        <v>31</v>
      </c>
      <c r="BC117" s="52">
        <v>54.000000000000007</v>
      </c>
      <c r="BD117" s="52">
        <v>49.999999999999993</v>
      </c>
      <c r="BE117" s="52">
        <v>31.000000000000007</v>
      </c>
      <c r="BF117" s="52">
        <v>54</v>
      </c>
      <c r="BG117" s="52">
        <v>50</v>
      </c>
      <c r="BH117" s="52">
        <v>30.999999999999993</v>
      </c>
      <c r="BI117" s="52">
        <v>54.000000000000014</v>
      </c>
      <c r="BJ117" s="52">
        <v>31</v>
      </c>
      <c r="BK117" s="52">
        <v>31.000000000000014</v>
      </c>
      <c r="BL117" s="52">
        <v>53.999999999999993</v>
      </c>
      <c r="BM117" s="52">
        <v>49.999999999999993</v>
      </c>
      <c r="BN117" s="52">
        <v>31.000000000000004</v>
      </c>
      <c r="BO117" s="52">
        <v>54.000000000000014</v>
      </c>
      <c r="BP117" s="52">
        <v>49.999999999999993</v>
      </c>
      <c r="BQ117" s="52">
        <v>31.000000000000004</v>
      </c>
      <c r="BR117" s="52">
        <v>54</v>
      </c>
      <c r="BS117" s="52">
        <v>52.000000000000014</v>
      </c>
      <c r="BT117" s="52">
        <v>31.000000000000004</v>
      </c>
      <c r="BU117" s="52">
        <v>54</v>
      </c>
      <c r="BV117" s="52">
        <v>52.000000000000014</v>
      </c>
      <c r="BW117" s="52">
        <v>31.000000000000004</v>
      </c>
    </row>
    <row r="118" spans="1:75" x14ac:dyDescent="0.3">
      <c r="A118" s="8" t="s">
        <v>100</v>
      </c>
      <c r="B118" s="8" t="s">
        <v>8</v>
      </c>
      <c r="C118" s="8" t="s">
        <v>116</v>
      </c>
      <c r="D118" s="52">
        <v>53.999999999999986</v>
      </c>
      <c r="E118" s="52">
        <v>53.999999999999993</v>
      </c>
      <c r="F118" s="52">
        <v>31.000000000000004</v>
      </c>
      <c r="G118" s="52">
        <v>54</v>
      </c>
      <c r="H118" s="52">
        <v>54.000000000000014</v>
      </c>
      <c r="I118" s="52">
        <v>31.000000000000004</v>
      </c>
      <c r="J118" s="52">
        <v>52.000000000000007</v>
      </c>
      <c r="K118" s="52">
        <v>49.999999999999993</v>
      </c>
      <c r="L118" s="52">
        <v>31.000000000000004</v>
      </c>
      <c r="M118" s="52">
        <v>59.000000000000242</v>
      </c>
      <c r="N118" s="52">
        <v>49.999999999999993</v>
      </c>
      <c r="O118" s="52">
        <v>31.000000000000004</v>
      </c>
      <c r="P118" s="52">
        <v>50</v>
      </c>
      <c r="Q118" s="52">
        <v>50</v>
      </c>
      <c r="R118" s="52">
        <v>31.000000000000004</v>
      </c>
      <c r="S118" s="52">
        <v>65.199999999999974</v>
      </c>
      <c r="T118" s="52">
        <v>49.999999999999993</v>
      </c>
      <c r="U118" s="52">
        <v>31.000000000000007</v>
      </c>
      <c r="V118" s="52">
        <v>54.000000000000014</v>
      </c>
      <c r="W118" s="52">
        <v>54.000000000000007</v>
      </c>
      <c r="X118" s="52">
        <v>0</v>
      </c>
      <c r="Y118" s="52">
        <v>54</v>
      </c>
      <c r="Z118" s="52">
        <v>50</v>
      </c>
      <c r="AA118" s="52">
        <v>76.896103896103895</v>
      </c>
      <c r="AB118" s="52">
        <v>50</v>
      </c>
      <c r="AC118" s="52">
        <v>50</v>
      </c>
      <c r="AD118" s="52">
        <v>0</v>
      </c>
      <c r="AE118" s="52">
        <v>67.037037037037024</v>
      </c>
      <c r="AF118" s="52">
        <v>64.529914529914564</v>
      </c>
      <c r="AG118" s="52">
        <v>141.66666666666666</v>
      </c>
      <c r="AH118" s="52">
        <v>52.000000000000007</v>
      </c>
      <c r="AI118" s="52">
        <v>34</v>
      </c>
      <c r="AJ118" s="52">
        <v>0</v>
      </c>
      <c r="AK118" s="52">
        <v>60.222222222222264</v>
      </c>
      <c r="AL118" s="52">
        <v>87.333333333333329</v>
      </c>
      <c r="AM118" s="52">
        <v>93</v>
      </c>
      <c r="AN118" s="52">
        <v>52.000000000000007</v>
      </c>
      <c r="AO118" s="52">
        <v>50</v>
      </c>
      <c r="AP118" s="52">
        <v>31.000000000000007</v>
      </c>
      <c r="AQ118" s="52">
        <v>62.148148148148209</v>
      </c>
      <c r="AR118" s="52">
        <v>62.380952380952422</v>
      </c>
      <c r="AS118" s="52">
        <v>31.000000000000004</v>
      </c>
      <c r="AT118" s="52">
        <v>53.999999999999986</v>
      </c>
      <c r="AU118" s="52">
        <v>53.999999999999986</v>
      </c>
      <c r="AV118" s="52">
        <v>0</v>
      </c>
      <c r="AW118" s="52">
        <v>54.000000000000007</v>
      </c>
      <c r="AX118" s="52">
        <v>49.999999999999993</v>
      </c>
      <c r="AY118" s="52">
        <v>106.7777777777778</v>
      </c>
      <c r="AZ118" s="52">
        <v>54.000000000000007</v>
      </c>
      <c r="BA118" s="52">
        <v>50</v>
      </c>
      <c r="BB118" s="52">
        <v>31</v>
      </c>
      <c r="BC118" s="52">
        <v>53.999999999999986</v>
      </c>
      <c r="BD118" s="52">
        <v>49.999999999999993</v>
      </c>
      <c r="BE118" s="52">
        <v>31.000000000000007</v>
      </c>
      <c r="BF118" s="52">
        <v>53.999999999999986</v>
      </c>
      <c r="BG118" s="52">
        <v>50</v>
      </c>
      <c r="BH118" s="52">
        <v>30.999999999999993</v>
      </c>
      <c r="BI118" s="52">
        <v>54.000000000000007</v>
      </c>
      <c r="BJ118" s="52">
        <v>31</v>
      </c>
      <c r="BK118" s="52">
        <v>31.000000000000014</v>
      </c>
      <c r="BL118" s="52">
        <v>53.999999999999993</v>
      </c>
      <c r="BM118" s="52">
        <v>49.999999999999993</v>
      </c>
      <c r="BN118" s="52">
        <v>31.000000000000004</v>
      </c>
      <c r="BO118" s="52">
        <v>54.000000000000007</v>
      </c>
      <c r="BP118" s="52">
        <v>49.999999999999993</v>
      </c>
      <c r="BQ118" s="52">
        <v>31.000000000000004</v>
      </c>
      <c r="BR118" s="52">
        <v>54</v>
      </c>
      <c r="BS118" s="52">
        <v>52.000000000000014</v>
      </c>
      <c r="BT118" s="52">
        <v>31.000000000000004</v>
      </c>
      <c r="BU118" s="52">
        <v>54</v>
      </c>
      <c r="BV118" s="52">
        <v>52.000000000000014</v>
      </c>
      <c r="BW118" s="52">
        <v>31.000000000000004</v>
      </c>
    </row>
    <row r="119" spans="1:75" x14ac:dyDescent="0.3">
      <c r="A119" s="8" t="s">
        <v>100</v>
      </c>
      <c r="B119" s="8" t="s">
        <v>8</v>
      </c>
      <c r="C119" s="8" t="s">
        <v>117</v>
      </c>
      <c r="D119" s="52">
        <v>53.999999999999986</v>
      </c>
      <c r="E119" s="52">
        <v>53.999999999999993</v>
      </c>
      <c r="F119" s="52">
        <v>31.000000000000004</v>
      </c>
      <c r="G119" s="52">
        <v>54</v>
      </c>
      <c r="H119" s="52">
        <v>54.000000000000014</v>
      </c>
      <c r="I119" s="52">
        <v>31.000000000000004</v>
      </c>
      <c r="J119" s="52">
        <v>52.000000000000007</v>
      </c>
      <c r="K119" s="52">
        <v>49.999999999999993</v>
      </c>
      <c r="L119" s="52">
        <v>31.000000000000004</v>
      </c>
      <c r="M119" s="52">
        <v>59.000000000000242</v>
      </c>
      <c r="N119" s="52">
        <v>49.999999999999993</v>
      </c>
      <c r="O119" s="52">
        <v>31.000000000000004</v>
      </c>
      <c r="P119" s="52">
        <v>50</v>
      </c>
      <c r="Q119" s="52">
        <v>50</v>
      </c>
      <c r="R119" s="52">
        <v>31.000000000000004</v>
      </c>
      <c r="S119" s="52">
        <v>65.199999999999974</v>
      </c>
      <c r="T119" s="52">
        <v>49.999999999999993</v>
      </c>
      <c r="U119" s="52">
        <v>31.000000000000007</v>
      </c>
      <c r="V119" s="52">
        <v>54.000000000000014</v>
      </c>
      <c r="W119" s="52">
        <v>54.000000000000007</v>
      </c>
      <c r="X119" s="52">
        <v>0</v>
      </c>
      <c r="Y119" s="52">
        <v>54</v>
      </c>
      <c r="Z119" s="52">
        <v>50</v>
      </c>
      <c r="AA119" s="52">
        <v>76.896103896103895</v>
      </c>
      <c r="AB119" s="52">
        <v>50</v>
      </c>
      <c r="AC119" s="52">
        <v>50</v>
      </c>
      <c r="AD119" s="52">
        <v>0</v>
      </c>
      <c r="AE119" s="52">
        <v>67.037037037037024</v>
      </c>
      <c r="AF119" s="52">
        <v>64.529914529914564</v>
      </c>
      <c r="AG119" s="52">
        <v>141.66666666666666</v>
      </c>
      <c r="AH119" s="52">
        <v>52.000000000000007</v>
      </c>
      <c r="AI119" s="52">
        <v>34</v>
      </c>
      <c r="AJ119" s="52">
        <v>0</v>
      </c>
      <c r="AK119" s="52">
        <v>60.222222222222264</v>
      </c>
      <c r="AL119" s="52">
        <v>87.333333333333329</v>
      </c>
      <c r="AM119" s="52">
        <v>93</v>
      </c>
      <c r="AN119" s="52">
        <v>52.000000000000007</v>
      </c>
      <c r="AO119" s="52">
        <v>50</v>
      </c>
      <c r="AP119" s="52">
        <v>31.000000000000007</v>
      </c>
      <c r="AQ119" s="52">
        <v>62.148148148148209</v>
      </c>
      <c r="AR119" s="52">
        <v>62.380952380952422</v>
      </c>
      <c r="AS119" s="52">
        <v>31.000000000000004</v>
      </c>
      <c r="AT119" s="52">
        <v>53.999999999999986</v>
      </c>
      <c r="AU119" s="52">
        <v>53.999999999999986</v>
      </c>
      <c r="AV119" s="52">
        <v>0</v>
      </c>
      <c r="AW119" s="52">
        <v>54.000000000000007</v>
      </c>
      <c r="AX119" s="52">
        <v>49.999999999999993</v>
      </c>
      <c r="AY119" s="52">
        <v>106.7777777777778</v>
      </c>
      <c r="AZ119" s="52">
        <v>54.000000000000007</v>
      </c>
      <c r="BA119" s="52">
        <v>50</v>
      </c>
      <c r="BB119" s="52">
        <v>31</v>
      </c>
      <c r="BC119" s="52">
        <v>53.999999999999986</v>
      </c>
      <c r="BD119" s="52">
        <v>49.999999999999993</v>
      </c>
      <c r="BE119" s="52">
        <v>31.000000000000007</v>
      </c>
      <c r="BF119" s="52">
        <v>53.999999999999986</v>
      </c>
      <c r="BG119" s="52">
        <v>50</v>
      </c>
      <c r="BH119" s="52">
        <v>30.999999999999993</v>
      </c>
      <c r="BI119" s="52">
        <v>54.000000000000007</v>
      </c>
      <c r="BJ119" s="52">
        <v>31</v>
      </c>
      <c r="BK119" s="52">
        <v>31.000000000000014</v>
      </c>
      <c r="BL119" s="52">
        <v>53.999999999999993</v>
      </c>
      <c r="BM119" s="52">
        <v>49.999999999999993</v>
      </c>
      <c r="BN119" s="52">
        <v>31.000000000000004</v>
      </c>
      <c r="BO119" s="52">
        <v>54.000000000000007</v>
      </c>
      <c r="BP119" s="52">
        <v>49.999999999999993</v>
      </c>
      <c r="BQ119" s="52">
        <v>31.000000000000004</v>
      </c>
      <c r="BR119" s="52">
        <v>54</v>
      </c>
      <c r="BS119" s="52">
        <v>52.000000000000014</v>
      </c>
      <c r="BT119" s="52">
        <v>31.000000000000004</v>
      </c>
      <c r="BU119" s="52">
        <v>54</v>
      </c>
      <c r="BV119" s="52">
        <v>52.000000000000014</v>
      </c>
      <c r="BW119" s="52">
        <v>31.000000000000004</v>
      </c>
    </row>
    <row r="120" spans="1:75" x14ac:dyDescent="0.3">
      <c r="A120" s="8" t="s">
        <v>100</v>
      </c>
      <c r="B120" s="8" t="s">
        <v>8</v>
      </c>
      <c r="C120" s="8" t="s">
        <v>118</v>
      </c>
      <c r="D120" s="52">
        <v>53.999999999999986</v>
      </c>
      <c r="E120" s="52">
        <v>53.999999999999993</v>
      </c>
      <c r="F120" s="52">
        <v>31.000000000000004</v>
      </c>
      <c r="G120" s="52">
        <v>54</v>
      </c>
      <c r="H120" s="52">
        <v>54.000000000000014</v>
      </c>
      <c r="I120" s="52">
        <v>31.000000000000004</v>
      </c>
      <c r="J120" s="52">
        <v>52.000000000000007</v>
      </c>
      <c r="K120" s="52">
        <v>49.999999999999993</v>
      </c>
      <c r="L120" s="52">
        <v>31.000000000000004</v>
      </c>
      <c r="M120" s="52">
        <v>59.000000000000242</v>
      </c>
      <c r="N120" s="52">
        <v>49.999999999999993</v>
      </c>
      <c r="O120" s="52">
        <v>31.000000000000004</v>
      </c>
      <c r="P120" s="52">
        <v>50</v>
      </c>
      <c r="Q120" s="52">
        <v>50</v>
      </c>
      <c r="R120" s="52">
        <v>31.000000000000004</v>
      </c>
      <c r="S120" s="52">
        <v>65.199999999999974</v>
      </c>
      <c r="T120" s="52">
        <v>49.999999999999993</v>
      </c>
      <c r="U120" s="52">
        <v>31.000000000000007</v>
      </c>
      <c r="V120" s="52">
        <v>54.000000000000014</v>
      </c>
      <c r="W120" s="52">
        <v>54.000000000000007</v>
      </c>
      <c r="X120" s="52">
        <v>0</v>
      </c>
      <c r="Y120" s="52">
        <v>54</v>
      </c>
      <c r="Z120" s="52">
        <v>50</v>
      </c>
      <c r="AA120" s="52">
        <v>76.896103896103895</v>
      </c>
      <c r="AB120" s="52">
        <v>50</v>
      </c>
      <c r="AC120" s="52">
        <v>50</v>
      </c>
      <c r="AD120" s="52">
        <v>0</v>
      </c>
      <c r="AE120" s="52">
        <v>67.037037037037024</v>
      </c>
      <c r="AF120" s="52">
        <v>64.529914529914564</v>
      </c>
      <c r="AG120" s="52">
        <v>141.66666666666666</v>
      </c>
      <c r="AH120" s="52">
        <v>52.000000000000007</v>
      </c>
      <c r="AI120" s="52">
        <v>34</v>
      </c>
      <c r="AJ120" s="52">
        <v>0</v>
      </c>
      <c r="AK120" s="52">
        <v>60.222222222222264</v>
      </c>
      <c r="AL120" s="52">
        <v>87.333333333333329</v>
      </c>
      <c r="AM120" s="52">
        <v>93</v>
      </c>
      <c r="AN120" s="52">
        <v>52.000000000000007</v>
      </c>
      <c r="AO120" s="52">
        <v>50</v>
      </c>
      <c r="AP120" s="52">
        <v>31.000000000000007</v>
      </c>
      <c r="AQ120" s="52">
        <v>62.148148148148209</v>
      </c>
      <c r="AR120" s="52">
        <v>62.380952380952422</v>
      </c>
      <c r="AS120" s="52">
        <v>31.000000000000004</v>
      </c>
      <c r="AT120" s="52">
        <v>53.999999999999986</v>
      </c>
      <c r="AU120" s="52">
        <v>53.999999999999986</v>
      </c>
      <c r="AV120" s="52">
        <v>0</v>
      </c>
      <c r="AW120" s="52">
        <v>54.000000000000007</v>
      </c>
      <c r="AX120" s="52">
        <v>49.999999999999993</v>
      </c>
      <c r="AY120" s="52">
        <v>106.7777777777778</v>
      </c>
      <c r="AZ120" s="52">
        <v>54.000000000000007</v>
      </c>
      <c r="BA120" s="52">
        <v>50</v>
      </c>
      <c r="BB120" s="52">
        <v>31</v>
      </c>
      <c r="BC120" s="52">
        <v>53.999999999999986</v>
      </c>
      <c r="BD120" s="52">
        <v>49.999999999999993</v>
      </c>
      <c r="BE120" s="52">
        <v>31.000000000000007</v>
      </c>
      <c r="BF120" s="52">
        <v>53.999999999999986</v>
      </c>
      <c r="BG120" s="52">
        <v>50</v>
      </c>
      <c r="BH120" s="52">
        <v>30.999999999999993</v>
      </c>
      <c r="BI120" s="52">
        <v>54.000000000000007</v>
      </c>
      <c r="BJ120" s="52">
        <v>31</v>
      </c>
      <c r="BK120" s="52">
        <v>31.000000000000014</v>
      </c>
      <c r="BL120" s="52">
        <v>53.999999999999993</v>
      </c>
      <c r="BM120" s="52">
        <v>49.999999999999993</v>
      </c>
      <c r="BN120" s="52">
        <v>31.000000000000004</v>
      </c>
      <c r="BO120" s="52">
        <v>54.000000000000007</v>
      </c>
      <c r="BP120" s="52">
        <v>49.999999999999993</v>
      </c>
      <c r="BQ120" s="52">
        <v>31.000000000000004</v>
      </c>
      <c r="BR120" s="52">
        <v>54</v>
      </c>
      <c r="BS120" s="52">
        <v>52.000000000000014</v>
      </c>
      <c r="BT120" s="52">
        <v>31.000000000000004</v>
      </c>
      <c r="BU120" s="52">
        <v>54</v>
      </c>
      <c r="BV120" s="52">
        <v>52.000000000000014</v>
      </c>
      <c r="BW120" s="52">
        <v>31.000000000000004</v>
      </c>
    </row>
    <row r="121" spans="1:75" x14ac:dyDescent="0.3">
      <c r="A121" s="8" t="s">
        <v>100</v>
      </c>
      <c r="B121" s="8" t="s">
        <v>9</v>
      </c>
      <c r="C121" s="8" t="s">
        <v>108</v>
      </c>
      <c r="D121" s="52">
        <v>54.000000000000078</v>
      </c>
      <c r="E121" s="52">
        <v>53.999999999999964</v>
      </c>
      <c r="F121" s="52">
        <v>31.000000000000004</v>
      </c>
      <c r="G121" s="52">
        <v>54</v>
      </c>
      <c r="H121" s="52">
        <v>54.000000000000007</v>
      </c>
      <c r="I121" s="52">
        <v>31.000000000000004</v>
      </c>
      <c r="J121" s="52">
        <v>52.000000000000007</v>
      </c>
      <c r="K121" s="52">
        <v>54</v>
      </c>
      <c r="L121" s="52">
        <v>31.000000000000007</v>
      </c>
      <c r="M121" s="52">
        <v>58.999999999999979</v>
      </c>
      <c r="N121" s="52">
        <v>54.000000000000007</v>
      </c>
      <c r="O121" s="52">
        <v>31.000000000000007</v>
      </c>
      <c r="P121" s="52">
        <v>54</v>
      </c>
      <c r="Q121" s="52">
        <v>54</v>
      </c>
      <c r="R121" s="52">
        <v>30.999999999999993</v>
      </c>
      <c r="S121" s="52">
        <v>54.000000000000007</v>
      </c>
      <c r="T121" s="52">
        <v>49.999999999999993</v>
      </c>
      <c r="U121" s="52">
        <v>30.999999999999979</v>
      </c>
      <c r="V121" s="52">
        <v>54</v>
      </c>
      <c r="W121" s="52">
        <v>53.999999999999993</v>
      </c>
      <c r="X121" s="52">
        <v>0</v>
      </c>
      <c r="Y121" s="52">
        <v>54</v>
      </c>
      <c r="Z121" s="52">
        <v>49.999999999999993</v>
      </c>
      <c r="AA121" s="52">
        <v>76.896103896103895</v>
      </c>
      <c r="AB121" s="52">
        <v>52</v>
      </c>
      <c r="AC121" s="52">
        <v>51.999999999999979</v>
      </c>
      <c r="AD121" s="52">
        <v>30.999999999999986</v>
      </c>
      <c r="AE121" s="52">
        <v>60.518518518518484</v>
      </c>
      <c r="AF121" s="52">
        <v>50.000000000000007</v>
      </c>
      <c r="AG121" s="52">
        <v>30.999999999999989</v>
      </c>
      <c r="AH121" s="52">
        <v>52</v>
      </c>
      <c r="AI121" s="52">
        <v>52.000000000000014</v>
      </c>
      <c r="AJ121" s="52">
        <v>31.000000000000025</v>
      </c>
      <c r="AK121" s="52">
        <v>60.22222222222225</v>
      </c>
      <c r="AL121" s="52">
        <v>58.666666666666671</v>
      </c>
      <c r="AM121" s="52">
        <v>30.999999999999993</v>
      </c>
      <c r="AN121" s="52">
        <v>54.000000000000007</v>
      </c>
      <c r="AO121" s="52">
        <v>54.000000000000007</v>
      </c>
      <c r="AP121" s="52">
        <v>30.999999999999986</v>
      </c>
      <c r="AQ121" s="52">
        <v>54</v>
      </c>
      <c r="AR121" s="52">
        <v>54</v>
      </c>
      <c r="AS121" s="52">
        <v>30.999999999999993</v>
      </c>
      <c r="AT121" s="52">
        <v>54</v>
      </c>
      <c r="AU121" s="52">
        <v>54.000000000000021</v>
      </c>
      <c r="AV121" s="52">
        <v>0</v>
      </c>
      <c r="AW121" s="52">
        <v>54</v>
      </c>
      <c r="AX121" s="52">
        <v>51.999999999999979</v>
      </c>
      <c r="AY121" s="52">
        <v>106.77777777777779</v>
      </c>
      <c r="AZ121" s="52">
        <v>54.000000000000007</v>
      </c>
      <c r="BA121" s="52">
        <v>54.000000000000007</v>
      </c>
      <c r="BB121" s="52">
        <v>30.999999999999986</v>
      </c>
      <c r="BC121" s="52">
        <v>54.000000000000007</v>
      </c>
      <c r="BD121" s="52">
        <v>54</v>
      </c>
      <c r="BE121" s="52">
        <v>30.999999999999979</v>
      </c>
      <c r="BF121" s="52">
        <v>53.999999999999986</v>
      </c>
      <c r="BG121" s="52">
        <v>54.000000000000007</v>
      </c>
      <c r="BH121" s="52">
        <v>30.999999999999986</v>
      </c>
      <c r="BI121" s="52">
        <v>53.999999999999972</v>
      </c>
      <c r="BJ121" s="52">
        <v>31.000000000000004</v>
      </c>
      <c r="BK121" s="52">
        <v>30.999999999999989</v>
      </c>
      <c r="BL121" s="52">
        <v>54</v>
      </c>
      <c r="BM121" s="52">
        <v>54.000000000000021</v>
      </c>
      <c r="BN121" s="52">
        <v>30.999999999999989</v>
      </c>
      <c r="BO121" s="52">
        <v>54</v>
      </c>
      <c r="BP121" s="52">
        <v>54</v>
      </c>
      <c r="BQ121" s="52">
        <v>30.999999999999989</v>
      </c>
      <c r="BR121" s="52">
        <v>53.999999999999936</v>
      </c>
      <c r="BS121" s="52">
        <v>54.000000000000007</v>
      </c>
      <c r="BT121" s="52">
        <v>31.000000000000014</v>
      </c>
      <c r="BU121" s="52">
        <v>54.000000000000007</v>
      </c>
      <c r="BV121" s="52">
        <v>54.000000000000021</v>
      </c>
      <c r="BW121" s="52">
        <v>31.000000000000011</v>
      </c>
    </row>
    <row r="122" spans="1:75" x14ac:dyDescent="0.3">
      <c r="A122" s="8" t="s">
        <v>100</v>
      </c>
      <c r="B122" s="8" t="s">
        <v>9</v>
      </c>
      <c r="C122" s="8" t="s">
        <v>109</v>
      </c>
      <c r="D122" s="52">
        <v>54</v>
      </c>
      <c r="E122" s="52">
        <v>54</v>
      </c>
      <c r="F122" s="52">
        <v>31.000000000000004</v>
      </c>
      <c r="G122" s="52">
        <v>54</v>
      </c>
      <c r="H122" s="52">
        <v>54.000000000000007</v>
      </c>
      <c r="I122" s="52">
        <v>30.999999999999996</v>
      </c>
      <c r="J122" s="52">
        <v>52.000000000000007</v>
      </c>
      <c r="K122" s="52">
        <v>54</v>
      </c>
      <c r="L122" s="52">
        <v>31.000000000000007</v>
      </c>
      <c r="M122" s="52">
        <v>58.999999999999979</v>
      </c>
      <c r="N122" s="52">
        <v>54.000000000000007</v>
      </c>
      <c r="O122" s="52">
        <v>31.000000000000004</v>
      </c>
      <c r="P122" s="52">
        <v>54</v>
      </c>
      <c r="Q122" s="52">
        <v>54.000000000000007</v>
      </c>
      <c r="R122" s="52">
        <v>31.000000000000004</v>
      </c>
      <c r="S122" s="52">
        <v>54.000000000000007</v>
      </c>
      <c r="T122" s="52">
        <v>49.999999999999986</v>
      </c>
      <c r="U122" s="52">
        <v>30.999999999999996</v>
      </c>
      <c r="V122" s="52">
        <v>54</v>
      </c>
      <c r="W122" s="52">
        <v>53.999999999999993</v>
      </c>
      <c r="X122" s="52">
        <v>0</v>
      </c>
      <c r="Y122" s="52">
        <v>54.000000000000007</v>
      </c>
      <c r="Z122" s="52">
        <v>49.999999999999986</v>
      </c>
      <c r="AA122" s="52">
        <v>76.896103896103895</v>
      </c>
      <c r="AB122" s="52">
        <v>52.000000000000007</v>
      </c>
      <c r="AC122" s="52">
        <v>52.000000000000007</v>
      </c>
      <c r="AD122" s="52">
        <v>30.999999999999996</v>
      </c>
      <c r="AE122" s="52">
        <v>60.518518518518505</v>
      </c>
      <c r="AF122" s="52">
        <v>50.000000000000007</v>
      </c>
      <c r="AG122" s="52">
        <v>31.000000000000004</v>
      </c>
      <c r="AH122" s="52">
        <v>52.000000000000007</v>
      </c>
      <c r="AI122" s="52">
        <v>52.000000000000007</v>
      </c>
      <c r="AJ122" s="52">
        <v>31.000000000000004</v>
      </c>
      <c r="AK122" s="52">
        <v>60.22222222222225</v>
      </c>
      <c r="AL122" s="52">
        <v>58.666666666666671</v>
      </c>
      <c r="AM122" s="52">
        <v>31.000000000000004</v>
      </c>
      <c r="AN122" s="52">
        <v>54.000000000000007</v>
      </c>
      <c r="AO122" s="52">
        <v>54.000000000000007</v>
      </c>
      <c r="AP122" s="52">
        <v>30.999999999999996</v>
      </c>
      <c r="AQ122" s="52">
        <v>54</v>
      </c>
      <c r="AR122" s="52">
        <v>54.000000000000007</v>
      </c>
      <c r="AS122" s="52">
        <v>31.000000000000004</v>
      </c>
      <c r="AT122" s="52">
        <v>54</v>
      </c>
      <c r="AU122" s="52">
        <v>54.000000000000021</v>
      </c>
      <c r="AV122" s="52">
        <v>0</v>
      </c>
      <c r="AW122" s="52">
        <v>54</v>
      </c>
      <c r="AX122" s="52">
        <v>52.000000000000007</v>
      </c>
      <c r="AY122" s="52">
        <v>106.7777777777778</v>
      </c>
      <c r="AZ122" s="52">
        <v>54</v>
      </c>
      <c r="BA122" s="52">
        <v>54</v>
      </c>
      <c r="BB122" s="52">
        <v>30.999999999999996</v>
      </c>
      <c r="BC122" s="52">
        <v>54</v>
      </c>
      <c r="BD122" s="52">
        <v>54</v>
      </c>
      <c r="BE122" s="52">
        <v>30.999999999999996</v>
      </c>
      <c r="BF122" s="52">
        <v>54.000000000000007</v>
      </c>
      <c r="BG122" s="52">
        <v>54.000000000000007</v>
      </c>
      <c r="BH122" s="52">
        <v>30.999999999999996</v>
      </c>
      <c r="BI122" s="52">
        <v>54</v>
      </c>
      <c r="BJ122" s="52">
        <v>31.000000000000004</v>
      </c>
      <c r="BK122" s="52">
        <v>31.000000000000004</v>
      </c>
      <c r="BL122" s="52">
        <v>54.000000000000007</v>
      </c>
      <c r="BM122" s="52">
        <v>54.000000000000007</v>
      </c>
      <c r="BN122" s="52">
        <v>31.000000000000004</v>
      </c>
      <c r="BO122" s="52">
        <v>54.000000000000028</v>
      </c>
      <c r="BP122" s="52">
        <v>54</v>
      </c>
      <c r="BQ122" s="52">
        <v>31.000000000000004</v>
      </c>
      <c r="BR122" s="52">
        <v>54</v>
      </c>
      <c r="BS122" s="52">
        <v>54.000000000000021</v>
      </c>
      <c r="BT122" s="52">
        <v>31.000000000000014</v>
      </c>
      <c r="BU122" s="52">
        <v>54.000000000000021</v>
      </c>
      <c r="BV122" s="52">
        <v>54.000000000000028</v>
      </c>
      <c r="BW122" s="52">
        <v>31.000000000000007</v>
      </c>
    </row>
    <row r="123" spans="1:75" x14ac:dyDescent="0.3">
      <c r="A123" s="8" t="s">
        <v>100</v>
      </c>
      <c r="B123" s="8" t="s">
        <v>9</v>
      </c>
      <c r="C123" s="8" t="s">
        <v>110</v>
      </c>
      <c r="D123" s="52">
        <v>54.000000000000007</v>
      </c>
      <c r="E123" s="52">
        <v>54.000000000000007</v>
      </c>
      <c r="F123" s="52">
        <v>31.000000000000004</v>
      </c>
      <c r="G123" s="52">
        <v>54</v>
      </c>
      <c r="H123" s="52">
        <v>54.000000000000007</v>
      </c>
      <c r="I123" s="52">
        <v>30.999999999999989</v>
      </c>
      <c r="J123" s="52">
        <v>52.000000000000007</v>
      </c>
      <c r="K123" s="52">
        <v>54</v>
      </c>
      <c r="L123" s="52">
        <v>31.000000000000007</v>
      </c>
      <c r="M123" s="52">
        <v>58.999999999999979</v>
      </c>
      <c r="N123" s="52">
        <v>54.000000000000007</v>
      </c>
      <c r="O123" s="52">
        <v>30.999999999999986</v>
      </c>
      <c r="P123" s="52">
        <v>54</v>
      </c>
      <c r="Q123" s="52">
        <v>54.000000000000007</v>
      </c>
      <c r="R123" s="52">
        <v>31.000000000000004</v>
      </c>
      <c r="S123" s="52">
        <v>54.000000000000007</v>
      </c>
      <c r="T123" s="52">
        <v>49.999999999999986</v>
      </c>
      <c r="U123" s="52">
        <v>30.999999999999996</v>
      </c>
      <c r="V123" s="52">
        <v>54</v>
      </c>
      <c r="W123" s="52">
        <v>53.999999999999993</v>
      </c>
      <c r="X123" s="52">
        <v>0</v>
      </c>
      <c r="Y123" s="52">
        <v>54</v>
      </c>
      <c r="Z123" s="52">
        <v>49.999999999999986</v>
      </c>
      <c r="AA123" s="52">
        <v>76.896103896103895</v>
      </c>
      <c r="AB123" s="52">
        <v>52.000000000000007</v>
      </c>
      <c r="AC123" s="52">
        <v>52.000000000000007</v>
      </c>
      <c r="AD123" s="52">
        <v>30.999999999999996</v>
      </c>
      <c r="AE123" s="52">
        <v>60.518518518518484</v>
      </c>
      <c r="AF123" s="52">
        <v>50.000000000000007</v>
      </c>
      <c r="AG123" s="52">
        <v>31.000000000000004</v>
      </c>
      <c r="AH123" s="52">
        <v>52.000000000000007</v>
      </c>
      <c r="AI123" s="52">
        <v>52.000000000000007</v>
      </c>
      <c r="AJ123" s="52">
        <v>31.000000000000004</v>
      </c>
      <c r="AK123" s="52">
        <v>60.22222222222225</v>
      </c>
      <c r="AL123" s="52">
        <v>58.666666666666671</v>
      </c>
      <c r="AM123" s="52">
        <v>31.000000000000004</v>
      </c>
      <c r="AN123" s="52">
        <v>54.000000000000007</v>
      </c>
      <c r="AO123" s="52">
        <v>54.000000000000007</v>
      </c>
      <c r="AP123" s="52">
        <v>30.999999999999996</v>
      </c>
      <c r="AQ123" s="52">
        <v>54</v>
      </c>
      <c r="AR123" s="52">
        <v>54.000000000000007</v>
      </c>
      <c r="AS123" s="52">
        <v>31.000000000000004</v>
      </c>
      <c r="AT123" s="52">
        <v>54</v>
      </c>
      <c r="AU123" s="52">
        <v>54.000000000000021</v>
      </c>
      <c r="AV123" s="52">
        <v>0</v>
      </c>
      <c r="AW123" s="52">
        <v>54</v>
      </c>
      <c r="AX123" s="52">
        <v>52.000000000000007</v>
      </c>
      <c r="AY123" s="52">
        <v>106.77777777777779</v>
      </c>
      <c r="AZ123" s="52">
        <v>54.000000000000007</v>
      </c>
      <c r="BA123" s="52">
        <v>54</v>
      </c>
      <c r="BB123" s="52">
        <v>30.999999999999996</v>
      </c>
      <c r="BC123" s="52">
        <v>54.000000000000007</v>
      </c>
      <c r="BD123" s="52">
        <v>54</v>
      </c>
      <c r="BE123" s="52">
        <v>30.999999999999996</v>
      </c>
      <c r="BF123" s="52">
        <v>54.000000000000007</v>
      </c>
      <c r="BG123" s="52">
        <v>54.000000000000007</v>
      </c>
      <c r="BH123" s="52">
        <v>30.999999999999996</v>
      </c>
      <c r="BI123" s="52">
        <v>53.999999999999972</v>
      </c>
      <c r="BJ123" s="52">
        <v>31.000000000000004</v>
      </c>
      <c r="BK123" s="52">
        <v>31.000000000000004</v>
      </c>
      <c r="BL123" s="52">
        <v>54</v>
      </c>
      <c r="BM123" s="52">
        <v>54.000000000000021</v>
      </c>
      <c r="BN123" s="52">
        <v>31.000000000000004</v>
      </c>
      <c r="BO123" s="52">
        <v>54</v>
      </c>
      <c r="BP123" s="52">
        <v>54</v>
      </c>
      <c r="BQ123" s="52">
        <v>31.000000000000004</v>
      </c>
      <c r="BR123" s="52">
        <v>54</v>
      </c>
      <c r="BS123" s="52">
        <v>54.000000000000007</v>
      </c>
      <c r="BT123" s="52">
        <v>31.000000000000014</v>
      </c>
      <c r="BU123" s="52">
        <v>54.000000000000007</v>
      </c>
      <c r="BV123" s="52">
        <v>54.000000000000021</v>
      </c>
      <c r="BW123" s="52">
        <v>30.999999999999993</v>
      </c>
    </row>
    <row r="124" spans="1:75" x14ac:dyDescent="0.3">
      <c r="A124" s="8" t="s">
        <v>100</v>
      </c>
      <c r="B124" s="8" t="s">
        <v>9</v>
      </c>
      <c r="C124" s="8" t="s">
        <v>111</v>
      </c>
      <c r="D124" s="52">
        <v>54.000000000000057</v>
      </c>
      <c r="E124" s="52">
        <v>54.000000000000021</v>
      </c>
      <c r="F124" s="52">
        <v>31.000000000000004</v>
      </c>
      <c r="G124" s="52">
        <v>54</v>
      </c>
      <c r="H124" s="52">
        <v>54.000000000000007</v>
      </c>
      <c r="I124" s="52">
        <v>30.999999999999996</v>
      </c>
      <c r="J124" s="52">
        <v>52.000000000000007</v>
      </c>
      <c r="K124" s="52">
        <v>54</v>
      </c>
      <c r="L124" s="52">
        <v>31.000000000000007</v>
      </c>
      <c r="M124" s="52">
        <v>58.999999999999979</v>
      </c>
      <c r="N124" s="52">
        <v>54.000000000000007</v>
      </c>
      <c r="O124" s="52">
        <v>31.000000000000004</v>
      </c>
      <c r="P124" s="52">
        <v>54</v>
      </c>
      <c r="Q124" s="52">
        <v>54</v>
      </c>
      <c r="R124" s="52">
        <v>31.000000000000004</v>
      </c>
      <c r="S124" s="52">
        <v>54.000000000000007</v>
      </c>
      <c r="T124" s="52">
        <v>49.999999999999993</v>
      </c>
      <c r="U124" s="52">
        <v>30.999999999999993</v>
      </c>
      <c r="V124" s="52">
        <v>54</v>
      </c>
      <c r="W124" s="52">
        <v>53.999999999999993</v>
      </c>
      <c r="X124" s="52">
        <v>0</v>
      </c>
      <c r="Y124" s="52">
        <v>54</v>
      </c>
      <c r="Z124" s="52">
        <v>49.999999999999993</v>
      </c>
      <c r="AA124" s="52">
        <v>76.896103896103895</v>
      </c>
      <c r="AB124" s="52">
        <v>52</v>
      </c>
      <c r="AC124" s="52">
        <v>52</v>
      </c>
      <c r="AD124" s="52">
        <v>30.999999999999996</v>
      </c>
      <c r="AE124" s="52">
        <v>60.518518518518484</v>
      </c>
      <c r="AF124" s="52">
        <v>50.000000000000007</v>
      </c>
      <c r="AG124" s="52">
        <v>31.000000000000004</v>
      </c>
      <c r="AH124" s="52">
        <v>52.000000000000007</v>
      </c>
      <c r="AI124" s="52">
        <v>52.000000000000007</v>
      </c>
      <c r="AJ124" s="52">
        <v>31.000000000000011</v>
      </c>
      <c r="AK124" s="52">
        <v>60.22222222222225</v>
      </c>
      <c r="AL124" s="52">
        <v>58.666666666666671</v>
      </c>
      <c r="AM124" s="52">
        <v>31.000000000000004</v>
      </c>
      <c r="AN124" s="52">
        <v>54.000000000000007</v>
      </c>
      <c r="AO124" s="52">
        <v>54.000000000000007</v>
      </c>
      <c r="AP124" s="52">
        <v>30.999999999999993</v>
      </c>
      <c r="AQ124" s="52">
        <v>53.999999999999993</v>
      </c>
      <c r="AR124" s="52">
        <v>54</v>
      </c>
      <c r="AS124" s="52">
        <v>31.000000000000004</v>
      </c>
      <c r="AT124" s="52">
        <v>54</v>
      </c>
      <c r="AU124" s="52">
        <v>54.000000000000021</v>
      </c>
      <c r="AV124" s="52">
        <v>0</v>
      </c>
      <c r="AW124" s="52">
        <v>54</v>
      </c>
      <c r="AX124" s="52">
        <v>52</v>
      </c>
      <c r="AY124" s="52">
        <v>106.77777777777779</v>
      </c>
      <c r="AZ124" s="52">
        <v>54.000000000000007</v>
      </c>
      <c r="BA124" s="52">
        <v>54.000000000000007</v>
      </c>
      <c r="BB124" s="52">
        <v>30.999999999999993</v>
      </c>
      <c r="BC124" s="52">
        <v>54.000000000000007</v>
      </c>
      <c r="BD124" s="52">
        <v>54</v>
      </c>
      <c r="BE124" s="52">
        <v>30.999999999999993</v>
      </c>
      <c r="BF124" s="52">
        <v>54.000000000000007</v>
      </c>
      <c r="BG124" s="52">
        <v>54.000000000000007</v>
      </c>
      <c r="BH124" s="52">
        <v>30.999999999999993</v>
      </c>
      <c r="BI124" s="52">
        <v>53.999999999999972</v>
      </c>
      <c r="BJ124" s="52">
        <v>31.000000000000004</v>
      </c>
      <c r="BK124" s="52">
        <v>31.000000000000004</v>
      </c>
      <c r="BL124" s="52">
        <v>54</v>
      </c>
      <c r="BM124" s="52">
        <v>54.000000000000021</v>
      </c>
      <c r="BN124" s="52">
        <v>30.999999999999996</v>
      </c>
      <c r="BO124" s="52">
        <v>54</v>
      </c>
      <c r="BP124" s="52">
        <v>54</v>
      </c>
      <c r="BQ124" s="52">
        <v>31.000000000000004</v>
      </c>
      <c r="BR124" s="52">
        <v>53.999999999999993</v>
      </c>
      <c r="BS124" s="52">
        <v>54.000000000000007</v>
      </c>
      <c r="BT124" s="52">
        <v>31.000000000000014</v>
      </c>
      <c r="BU124" s="52">
        <v>54.000000000000007</v>
      </c>
      <c r="BV124" s="52">
        <v>54.000000000000021</v>
      </c>
      <c r="BW124" s="52">
        <v>31.000000000000004</v>
      </c>
    </row>
    <row r="125" spans="1:75" x14ac:dyDescent="0.3">
      <c r="A125" s="8" t="s">
        <v>100</v>
      </c>
      <c r="B125" s="8" t="s">
        <v>9</v>
      </c>
      <c r="C125" s="8" t="s">
        <v>112</v>
      </c>
      <c r="D125" s="52">
        <v>54.000000000000057</v>
      </c>
      <c r="E125" s="52">
        <v>54.000000000000021</v>
      </c>
      <c r="F125" s="52">
        <v>31.000000000000004</v>
      </c>
      <c r="G125" s="52">
        <v>54</v>
      </c>
      <c r="H125" s="52">
        <v>54.000000000000007</v>
      </c>
      <c r="I125" s="52">
        <v>30.999999999999996</v>
      </c>
      <c r="J125" s="52">
        <v>52.000000000000007</v>
      </c>
      <c r="K125" s="52">
        <v>54</v>
      </c>
      <c r="L125" s="52">
        <v>31.000000000000007</v>
      </c>
      <c r="M125" s="52">
        <v>58.999999999999979</v>
      </c>
      <c r="N125" s="52">
        <v>54.000000000000007</v>
      </c>
      <c r="O125" s="52">
        <v>31.000000000000004</v>
      </c>
      <c r="P125" s="52">
        <v>54</v>
      </c>
      <c r="Q125" s="52">
        <v>54</v>
      </c>
      <c r="R125" s="52">
        <v>31.000000000000004</v>
      </c>
      <c r="S125" s="52">
        <v>54.000000000000007</v>
      </c>
      <c r="T125" s="52">
        <v>49.999999999999993</v>
      </c>
      <c r="U125" s="52">
        <v>30.999999999999993</v>
      </c>
      <c r="V125" s="52">
        <v>54</v>
      </c>
      <c r="W125" s="52">
        <v>53.999999999999993</v>
      </c>
      <c r="X125" s="52">
        <v>0</v>
      </c>
      <c r="Y125" s="52">
        <v>54</v>
      </c>
      <c r="Z125" s="52">
        <v>49.999999999999993</v>
      </c>
      <c r="AA125" s="52">
        <v>76.896103896103895</v>
      </c>
      <c r="AB125" s="52">
        <v>52</v>
      </c>
      <c r="AC125" s="52">
        <v>52</v>
      </c>
      <c r="AD125" s="52">
        <v>30.999999999999996</v>
      </c>
      <c r="AE125" s="52">
        <v>60.518518518518484</v>
      </c>
      <c r="AF125" s="52">
        <v>50.000000000000007</v>
      </c>
      <c r="AG125" s="52">
        <v>31.000000000000004</v>
      </c>
      <c r="AH125" s="52">
        <v>52.000000000000007</v>
      </c>
      <c r="AI125" s="52">
        <v>52.000000000000007</v>
      </c>
      <c r="AJ125" s="52">
        <v>31.000000000000011</v>
      </c>
      <c r="AK125" s="52">
        <v>60.22222222222225</v>
      </c>
      <c r="AL125" s="52">
        <v>58.666666666666671</v>
      </c>
      <c r="AM125" s="52">
        <v>31.000000000000004</v>
      </c>
      <c r="AN125" s="52">
        <v>54.000000000000007</v>
      </c>
      <c r="AO125" s="52">
        <v>54.000000000000007</v>
      </c>
      <c r="AP125" s="52">
        <v>30.999999999999993</v>
      </c>
      <c r="AQ125" s="52">
        <v>53.999999999999993</v>
      </c>
      <c r="AR125" s="52">
        <v>54</v>
      </c>
      <c r="AS125" s="52">
        <v>31.000000000000004</v>
      </c>
      <c r="AT125" s="52">
        <v>54</v>
      </c>
      <c r="AU125" s="52">
        <v>54.000000000000021</v>
      </c>
      <c r="AV125" s="52">
        <v>0</v>
      </c>
      <c r="AW125" s="52">
        <v>54</v>
      </c>
      <c r="AX125" s="52">
        <v>52</v>
      </c>
      <c r="AY125" s="52">
        <v>106.77777777777779</v>
      </c>
      <c r="AZ125" s="52">
        <v>54.000000000000007</v>
      </c>
      <c r="BA125" s="52">
        <v>54.000000000000007</v>
      </c>
      <c r="BB125" s="52">
        <v>30.999999999999993</v>
      </c>
      <c r="BC125" s="52">
        <v>54.000000000000007</v>
      </c>
      <c r="BD125" s="52">
        <v>54</v>
      </c>
      <c r="BE125" s="52">
        <v>30.999999999999993</v>
      </c>
      <c r="BF125" s="52">
        <v>54.000000000000007</v>
      </c>
      <c r="BG125" s="52">
        <v>54.000000000000007</v>
      </c>
      <c r="BH125" s="52">
        <v>30.999999999999993</v>
      </c>
      <c r="BI125" s="52">
        <v>53.999999999999972</v>
      </c>
      <c r="BJ125" s="52">
        <v>31.000000000000004</v>
      </c>
      <c r="BK125" s="52">
        <v>31.000000000000004</v>
      </c>
      <c r="BL125" s="52">
        <v>54</v>
      </c>
      <c r="BM125" s="52">
        <v>54.000000000000021</v>
      </c>
      <c r="BN125" s="52">
        <v>30.999999999999996</v>
      </c>
      <c r="BO125" s="52">
        <v>54</v>
      </c>
      <c r="BP125" s="52">
        <v>54</v>
      </c>
      <c r="BQ125" s="52">
        <v>31.000000000000004</v>
      </c>
      <c r="BR125" s="52">
        <v>53.999999999999993</v>
      </c>
      <c r="BS125" s="52">
        <v>54.000000000000007</v>
      </c>
      <c r="BT125" s="52">
        <v>31.000000000000014</v>
      </c>
      <c r="BU125" s="52">
        <v>54.000000000000007</v>
      </c>
      <c r="BV125" s="52">
        <v>54.000000000000021</v>
      </c>
      <c r="BW125" s="52">
        <v>31.000000000000004</v>
      </c>
    </row>
    <row r="126" spans="1:75" x14ac:dyDescent="0.3">
      <c r="A126" s="8" t="s">
        <v>100</v>
      </c>
      <c r="B126" s="8" t="s">
        <v>9</v>
      </c>
      <c r="C126" s="8" t="s">
        <v>115</v>
      </c>
      <c r="D126" s="52">
        <v>53.999999999999972</v>
      </c>
      <c r="E126" s="52">
        <v>54</v>
      </c>
      <c r="F126" s="52">
        <v>31.000000000000004</v>
      </c>
      <c r="G126" s="52">
        <v>54</v>
      </c>
      <c r="H126" s="52">
        <v>54.000000000000007</v>
      </c>
      <c r="I126" s="52">
        <v>30.999999999999996</v>
      </c>
      <c r="J126" s="52">
        <v>52.000000000000007</v>
      </c>
      <c r="K126" s="52">
        <v>54</v>
      </c>
      <c r="L126" s="52">
        <v>31.000000000000007</v>
      </c>
      <c r="M126" s="52">
        <v>58.999999999999979</v>
      </c>
      <c r="N126" s="52">
        <v>54.000000000000007</v>
      </c>
      <c r="O126" s="52">
        <v>31.000000000000004</v>
      </c>
      <c r="P126" s="52">
        <v>54</v>
      </c>
      <c r="Q126" s="52">
        <v>54.000000000000007</v>
      </c>
      <c r="R126" s="52">
        <v>31.000000000000007</v>
      </c>
      <c r="S126" s="52">
        <v>54.000000000000007</v>
      </c>
      <c r="T126" s="52">
        <v>49.999999999999986</v>
      </c>
      <c r="U126" s="52">
        <v>31.000000000000004</v>
      </c>
      <c r="V126" s="52">
        <v>54</v>
      </c>
      <c r="W126" s="52">
        <v>53.999999999999993</v>
      </c>
      <c r="X126" s="52">
        <v>0</v>
      </c>
      <c r="Y126" s="52">
        <v>54.000000000000007</v>
      </c>
      <c r="Z126" s="52">
        <v>49.999999999999986</v>
      </c>
      <c r="AA126" s="52">
        <v>76.896103896103895</v>
      </c>
      <c r="AB126" s="52">
        <v>52.000000000000021</v>
      </c>
      <c r="AC126" s="52">
        <v>52.000000000000014</v>
      </c>
      <c r="AD126" s="52">
        <v>31.000000000000007</v>
      </c>
      <c r="AE126" s="52">
        <v>60.518518518518505</v>
      </c>
      <c r="AF126" s="52">
        <v>50.000000000000007</v>
      </c>
      <c r="AG126" s="52">
        <v>31.000000000000004</v>
      </c>
      <c r="AH126" s="52">
        <v>52.000000000000007</v>
      </c>
      <c r="AI126" s="52">
        <v>52.000000000000007</v>
      </c>
      <c r="AJ126" s="52">
        <v>30.999999999999996</v>
      </c>
      <c r="AK126" s="52">
        <v>60.22222222222225</v>
      </c>
      <c r="AL126" s="52">
        <v>58.666666666666671</v>
      </c>
      <c r="AM126" s="52">
        <v>31.000000000000007</v>
      </c>
      <c r="AN126" s="52">
        <v>54.000000000000007</v>
      </c>
      <c r="AO126" s="52">
        <v>54.000000000000007</v>
      </c>
      <c r="AP126" s="52">
        <v>30.999999999999996</v>
      </c>
      <c r="AQ126" s="52">
        <v>54</v>
      </c>
      <c r="AR126" s="52">
        <v>54.000000000000007</v>
      </c>
      <c r="AS126" s="52">
        <v>31.000000000000007</v>
      </c>
      <c r="AT126" s="52">
        <v>54</v>
      </c>
      <c r="AU126" s="52">
        <v>54.000000000000021</v>
      </c>
      <c r="AV126" s="52">
        <v>0</v>
      </c>
      <c r="AW126" s="52">
        <v>54</v>
      </c>
      <c r="AX126" s="52">
        <v>52.000000000000014</v>
      </c>
      <c r="AY126" s="52">
        <v>106.7777777777778</v>
      </c>
      <c r="AZ126" s="52">
        <v>54.000000000000007</v>
      </c>
      <c r="BA126" s="52">
        <v>54.000000000000007</v>
      </c>
      <c r="BB126" s="52">
        <v>31.000000000000007</v>
      </c>
      <c r="BC126" s="52">
        <v>54.000000000000007</v>
      </c>
      <c r="BD126" s="52">
        <v>54</v>
      </c>
      <c r="BE126" s="52">
        <v>31.000000000000004</v>
      </c>
      <c r="BF126" s="52">
        <v>54</v>
      </c>
      <c r="BG126" s="52">
        <v>54.000000000000007</v>
      </c>
      <c r="BH126" s="52">
        <v>30.999999999999996</v>
      </c>
      <c r="BI126" s="52">
        <v>54</v>
      </c>
      <c r="BJ126" s="52">
        <v>31.000000000000007</v>
      </c>
      <c r="BK126" s="52">
        <v>31.000000000000004</v>
      </c>
      <c r="BL126" s="52">
        <v>54.000000000000007</v>
      </c>
      <c r="BM126" s="52">
        <v>54.000000000000007</v>
      </c>
      <c r="BN126" s="52">
        <v>31.000000000000007</v>
      </c>
      <c r="BO126" s="52">
        <v>54.000000000000028</v>
      </c>
      <c r="BP126" s="52">
        <v>54</v>
      </c>
      <c r="BQ126" s="52">
        <v>31.000000000000004</v>
      </c>
      <c r="BR126" s="52">
        <v>54</v>
      </c>
      <c r="BS126" s="52">
        <v>54.000000000000021</v>
      </c>
      <c r="BT126" s="52">
        <v>31.000000000000014</v>
      </c>
      <c r="BU126" s="52">
        <v>54.000000000000021</v>
      </c>
      <c r="BV126" s="52">
        <v>54.000000000000028</v>
      </c>
      <c r="BW126" s="52">
        <v>31.000000000000007</v>
      </c>
    </row>
    <row r="127" spans="1:75" x14ac:dyDescent="0.3">
      <c r="A127" s="8" t="s">
        <v>100</v>
      </c>
      <c r="B127" s="8" t="s">
        <v>9</v>
      </c>
      <c r="C127" s="8" t="s">
        <v>116</v>
      </c>
      <c r="D127" s="52">
        <v>53.999999999999972</v>
      </c>
      <c r="E127" s="52">
        <v>54</v>
      </c>
      <c r="F127" s="52">
        <v>31.000000000000004</v>
      </c>
      <c r="G127" s="52">
        <v>54</v>
      </c>
      <c r="H127" s="52">
        <v>54.000000000000007</v>
      </c>
      <c r="I127" s="52">
        <v>30.999999999999996</v>
      </c>
      <c r="J127" s="52">
        <v>52.000000000000007</v>
      </c>
      <c r="K127" s="52">
        <v>54</v>
      </c>
      <c r="L127" s="52">
        <v>31.000000000000007</v>
      </c>
      <c r="M127" s="52">
        <v>58.999999999999979</v>
      </c>
      <c r="N127" s="52">
        <v>54.000000000000007</v>
      </c>
      <c r="O127" s="52">
        <v>31.000000000000004</v>
      </c>
      <c r="P127" s="52">
        <v>54</v>
      </c>
      <c r="Q127" s="52">
        <v>54</v>
      </c>
      <c r="R127" s="52">
        <v>31.000000000000007</v>
      </c>
      <c r="S127" s="52">
        <v>54.000000000000007</v>
      </c>
      <c r="T127" s="52">
        <v>49.999999999999986</v>
      </c>
      <c r="U127" s="52">
        <v>31.000000000000004</v>
      </c>
      <c r="V127" s="52">
        <v>54</v>
      </c>
      <c r="W127" s="52">
        <v>53.999999999999993</v>
      </c>
      <c r="X127" s="52">
        <v>0</v>
      </c>
      <c r="Y127" s="52">
        <v>53.999999999999993</v>
      </c>
      <c r="Z127" s="52">
        <v>49.999999999999986</v>
      </c>
      <c r="AA127" s="52">
        <v>76.896103896103895</v>
      </c>
      <c r="AB127" s="52">
        <v>52.000000000000021</v>
      </c>
      <c r="AC127" s="52">
        <v>52.000000000000014</v>
      </c>
      <c r="AD127" s="52">
        <v>31.000000000000007</v>
      </c>
      <c r="AE127" s="52">
        <v>60.518518518518484</v>
      </c>
      <c r="AF127" s="52">
        <v>50.000000000000007</v>
      </c>
      <c r="AG127" s="52">
        <v>31.000000000000004</v>
      </c>
      <c r="AH127" s="52">
        <v>52.000000000000007</v>
      </c>
      <c r="AI127" s="52">
        <v>52.000000000000007</v>
      </c>
      <c r="AJ127" s="52">
        <v>30.999999999999996</v>
      </c>
      <c r="AK127" s="52">
        <v>60.22222222222225</v>
      </c>
      <c r="AL127" s="52">
        <v>58.666666666666671</v>
      </c>
      <c r="AM127" s="52">
        <v>31.000000000000007</v>
      </c>
      <c r="AN127" s="52">
        <v>54.000000000000007</v>
      </c>
      <c r="AO127" s="52">
        <v>54.000000000000007</v>
      </c>
      <c r="AP127" s="52">
        <v>30.999999999999996</v>
      </c>
      <c r="AQ127" s="52">
        <v>54</v>
      </c>
      <c r="AR127" s="52">
        <v>54.000000000000007</v>
      </c>
      <c r="AS127" s="52">
        <v>31.000000000000007</v>
      </c>
      <c r="AT127" s="52">
        <v>54</v>
      </c>
      <c r="AU127" s="52">
        <v>54.000000000000021</v>
      </c>
      <c r="AV127" s="52">
        <v>0</v>
      </c>
      <c r="AW127" s="52">
        <v>54</v>
      </c>
      <c r="AX127" s="52">
        <v>52.000000000000014</v>
      </c>
      <c r="AY127" s="52">
        <v>106.7777777777778</v>
      </c>
      <c r="AZ127" s="52">
        <v>54</v>
      </c>
      <c r="BA127" s="52">
        <v>54.000000000000007</v>
      </c>
      <c r="BB127" s="52">
        <v>31.000000000000007</v>
      </c>
      <c r="BC127" s="52">
        <v>54</v>
      </c>
      <c r="BD127" s="52">
        <v>54</v>
      </c>
      <c r="BE127" s="52">
        <v>31.000000000000004</v>
      </c>
      <c r="BF127" s="52">
        <v>54</v>
      </c>
      <c r="BG127" s="52">
        <v>54.000000000000007</v>
      </c>
      <c r="BH127" s="52">
        <v>30.999999999999996</v>
      </c>
      <c r="BI127" s="52">
        <v>54</v>
      </c>
      <c r="BJ127" s="52">
        <v>31.000000000000007</v>
      </c>
      <c r="BK127" s="52">
        <v>31.000000000000004</v>
      </c>
      <c r="BL127" s="52">
        <v>54</v>
      </c>
      <c r="BM127" s="52">
        <v>54.000000000000007</v>
      </c>
      <c r="BN127" s="52">
        <v>31.000000000000007</v>
      </c>
      <c r="BO127" s="52">
        <v>54.000000000000007</v>
      </c>
      <c r="BP127" s="52">
        <v>54</v>
      </c>
      <c r="BQ127" s="52">
        <v>31.000000000000004</v>
      </c>
      <c r="BR127" s="52">
        <v>54</v>
      </c>
      <c r="BS127" s="52">
        <v>54.000000000000007</v>
      </c>
      <c r="BT127" s="52">
        <v>31.000000000000014</v>
      </c>
      <c r="BU127" s="52">
        <v>54</v>
      </c>
      <c r="BV127" s="52">
        <v>54.000000000000021</v>
      </c>
      <c r="BW127" s="52">
        <v>31.000000000000007</v>
      </c>
    </row>
    <row r="128" spans="1:75" x14ac:dyDescent="0.3">
      <c r="A128" s="8" t="s">
        <v>100</v>
      </c>
      <c r="B128" s="8" t="s">
        <v>9</v>
      </c>
      <c r="C128" s="8" t="s">
        <v>117</v>
      </c>
      <c r="D128" s="52">
        <v>53.999999999999972</v>
      </c>
      <c r="E128" s="52">
        <v>54</v>
      </c>
      <c r="F128" s="52">
        <v>31.000000000000004</v>
      </c>
      <c r="G128" s="52">
        <v>54</v>
      </c>
      <c r="H128" s="52">
        <v>54.000000000000007</v>
      </c>
      <c r="I128" s="52">
        <v>30.999999999999996</v>
      </c>
      <c r="J128" s="52">
        <v>52.000000000000007</v>
      </c>
      <c r="K128" s="52">
        <v>54</v>
      </c>
      <c r="L128" s="52">
        <v>31.000000000000007</v>
      </c>
      <c r="M128" s="52">
        <v>58.999999999999979</v>
      </c>
      <c r="N128" s="52">
        <v>54.000000000000007</v>
      </c>
      <c r="O128" s="52">
        <v>31.000000000000004</v>
      </c>
      <c r="P128" s="52">
        <v>54</v>
      </c>
      <c r="Q128" s="52">
        <v>54</v>
      </c>
      <c r="R128" s="52">
        <v>31.000000000000007</v>
      </c>
      <c r="S128" s="52">
        <v>54.000000000000007</v>
      </c>
      <c r="T128" s="52">
        <v>49.999999999999986</v>
      </c>
      <c r="U128" s="52">
        <v>31.000000000000004</v>
      </c>
      <c r="V128" s="52">
        <v>54</v>
      </c>
      <c r="W128" s="52">
        <v>53.999999999999993</v>
      </c>
      <c r="X128" s="52">
        <v>0</v>
      </c>
      <c r="Y128" s="52">
        <v>53.999999999999993</v>
      </c>
      <c r="Z128" s="52">
        <v>49.999999999999986</v>
      </c>
      <c r="AA128" s="52">
        <v>76.896103896103895</v>
      </c>
      <c r="AB128" s="52">
        <v>52.000000000000021</v>
      </c>
      <c r="AC128" s="52">
        <v>52.000000000000014</v>
      </c>
      <c r="AD128" s="52">
        <v>31.000000000000007</v>
      </c>
      <c r="AE128" s="52">
        <v>60.518518518518484</v>
      </c>
      <c r="AF128" s="52">
        <v>50.000000000000007</v>
      </c>
      <c r="AG128" s="52">
        <v>31.000000000000004</v>
      </c>
      <c r="AH128" s="52">
        <v>52.000000000000007</v>
      </c>
      <c r="AI128" s="52">
        <v>52.000000000000007</v>
      </c>
      <c r="AJ128" s="52">
        <v>30.999999999999996</v>
      </c>
      <c r="AK128" s="52">
        <v>60.22222222222225</v>
      </c>
      <c r="AL128" s="52">
        <v>58.666666666666671</v>
      </c>
      <c r="AM128" s="52">
        <v>31.000000000000007</v>
      </c>
      <c r="AN128" s="52">
        <v>54.000000000000007</v>
      </c>
      <c r="AO128" s="52">
        <v>54.000000000000007</v>
      </c>
      <c r="AP128" s="52">
        <v>30.999999999999996</v>
      </c>
      <c r="AQ128" s="52">
        <v>54</v>
      </c>
      <c r="AR128" s="52">
        <v>54.000000000000007</v>
      </c>
      <c r="AS128" s="52">
        <v>31.000000000000007</v>
      </c>
      <c r="AT128" s="52">
        <v>54</v>
      </c>
      <c r="AU128" s="52">
        <v>54.000000000000021</v>
      </c>
      <c r="AV128" s="52">
        <v>0</v>
      </c>
      <c r="AW128" s="52">
        <v>54</v>
      </c>
      <c r="AX128" s="52">
        <v>52.000000000000014</v>
      </c>
      <c r="AY128" s="52">
        <v>106.7777777777778</v>
      </c>
      <c r="AZ128" s="52">
        <v>54</v>
      </c>
      <c r="BA128" s="52">
        <v>54.000000000000007</v>
      </c>
      <c r="BB128" s="52">
        <v>31.000000000000007</v>
      </c>
      <c r="BC128" s="52">
        <v>54</v>
      </c>
      <c r="BD128" s="52">
        <v>54</v>
      </c>
      <c r="BE128" s="52">
        <v>31.000000000000004</v>
      </c>
      <c r="BF128" s="52">
        <v>54</v>
      </c>
      <c r="BG128" s="52">
        <v>54.000000000000007</v>
      </c>
      <c r="BH128" s="52">
        <v>30.999999999999996</v>
      </c>
      <c r="BI128" s="52">
        <v>54</v>
      </c>
      <c r="BJ128" s="52">
        <v>31.000000000000007</v>
      </c>
      <c r="BK128" s="52">
        <v>31.000000000000004</v>
      </c>
      <c r="BL128" s="52">
        <v>54</v>
      </c>
      <c r="BM128" s="52">
        <v>54.000000000000007</v>
      </c>
      <c r="BN128" s="52">
        <v>31.000000000000007</v>
      </c>
      <c r="BO128" s="52">
        <v>54.000000000000007</v>
      </c>
      <c r="BP128" s="52">
        <v>54</v>
      </c>
      <c r="BQ128" s="52">
        <v>31.000000000000004</v>
      </c>
      <c r="BR128" s="52">
        <v>54</v>
      </c>
      <c r="BS128" s="52">
        <v>54.000000000000007</v>
      </c>
      <c r="BT128" s="52">
        <v>31.000000000000014</v>
      </c>
      <c r="BU128" s="52">
        <v>54</v>
      </c>
      <c r="BV128" s="52">
        <v>54.000000000000021</v>
      </c>
      <c r="BW128" s="52">
        <v>31.000000000000007</v>
      </c>
    </row>
    <row r="129" spans="1:75" x14ac:dyDescent="0.3">
      <c r="A129" s="8" t="s">
        <v>100</v>
      </c>
      <c r="B129" s="8" t="s">
        <v>9</v>
      </c>
      <c r="C129" s="8" t="s">
        <v>118</v>
      </c>
      <c r="D129" s="52">
        <v>53.999999999999972</v>
      </c>
      <c r="E129" s="52">
        <v>54</v>
      </c>
      <c r="F129" s="52">
        <v>31.000000000000004</v>
      </c>
      <c r="G129" s="52">
        <v>54</v>
      </c>
      <c r="H129" s="52">
        <v>54.000000000000007</v>
      </c>
      <c r="I129" s="52">
        <v>30.999999999999996</v>
      </c>
      <c r="J129" s="52">
        <v>52.000000000000007</v>
      </c>
      <c r="K129" s="52">
        <v>54</v>
      </c>
      <c r="L129" s="52">
        <v>31.000000000000007</v>
      </c>
      <c r="M129" s="52">
        <v>58.999999999999979</v>
      </c>
      <c r="N129" s="52">
        <v>54.000000000000007</v>
      </c>
      <c r="O129" s="52">
        <v>31.000000000000004</v>
      </c>
      <c r="P129" s="52">
        <v>54</v>
      </c>
      <c r="Q129" s="52">
        <v>54</v>
      </c>
      <c r="R129" s="52">
        <v>31.000000000000007</v>
      </c>
      <c r="S129" s="52">
        <v>54.000000000000007</v>
      </c>
      <c r="T129" s="52">
        <v>49.999999999999986</v>
      </c>
      <c r="U129" s="52">
        <v>31.000000000000004</v>
      </c>
      <c r="V129" s="52">
        <v>54</v>
      </c>
      <c r="W129" s="52">
        <v>53.999999999999993</v>
      </c>
      <c r="X129" s="52">
        <v>0</v>
      </c>
      <c r="Y129" s="52">
        <v>53.999999999999993</v>
      </c>
      <c r="Z129" s="52">
        <v>49.999999999999986</v>
      </c>
      <c r="AA129" s="52">
        <v>76.896103896103895</v>
      </c>
      <c r="AB129" s="52">
        <v>52.000000000000021</v>
      </c>
      <c r="AC129" s="52">
        <v>52.000000000000014</v>
      </c>
      <c r="AD129" s="52">
        <v>31.000000000000007</v>
      </c>
      <c r="AE129" s="52">
        <v>60.518518518518484</v>
      </c>
      <c r="AF129" s="52">
        <v>50.000000000000007</v>
      </c>
      <c r="AG129" s="52">
        <v>31.000000000000004</v>
      </c>
      <c r="AH129" s="52">
        <v>52.000000000000007</v>
      </c>
      <c r="AI129" s="52">
        <v>52.000000000000007</v>
      </c>
      <c r="AJ129" s="52">
        <v>30.999999999999996</v>
      </c>
      <c r="AK129" s="52">
        <v>60.22222222222225</v>
      </c>
      <c r="AL129" s="52">
        <v>58.666666666666671</v>
      </c>
      <c r="AM129" s="52">
        <v>31.000000000000007</v>
      </c>
      <c r="AN129" s="52">
        <v>54.000000000000007</v>
      </c>
      <c r="AO129" s="52">
        <v>54.000000000000007</v>
      </c>
      <c r="AP129" s="52">
        <v>30.999999999999996</v>
      </c>
      <c r="AQ129" s="52">
        <v>54</v>
      </c>
      <c r="AR129" s="52">
        <v>54.000000000000007</v>
      </c>
      <c r="AS129" s="52">
        <v>31.000000000000007</v>
      </c>
      <c r="AT129" s="52">
        <v>54</v>
      </c>
      <c r="AU129" s="52">
        <v>54.000000000000021</v>
      </c>
      <c r="AV129" s="52">
        <v>0</v>
      </c>
      <c r="AW129" s="52">
        <v>54</v>
      </c>
      <c r="AX129" s="52">
        <v>52.000000000000014</v>
      </c>
      <c r="AY129" s="52">
        <v>106.7777777777778</v>
      </c>
      <c r="AZ129" s="52">
        <v>54</v>
      </c>
      <c r="BA129" s="52">
        <v>54.000000000000007</v>
      </c>
      <c r="BB129" s="52">
        <v>31.000000000000007</v>
      </c>
      <c r="BC129" s="52">
        <v>54</v>
      </c>
      <c r="BD129" s="52">
        <v>54</v>
      </c>
      <c r="BE129" s="52">
        <v>31.000000000000004</v>
      </c>
      <c r="BF129" s="52">
        <v>54</v>
      </c>
      <c r="BG129" s="52">
        <v>54.000000000000007</v>
      </c>
      <c r="BH129" s="52">
        <v>30.999999999999996</v>
      </c>
      <c r="BI129" s="52">
        <v>54</v>
      </c>
      <c r="BJ129" s="52">
        <v>31.000000000000007</v>
      </c>
      <c r="BK129" s="52">
        <v>31.000000000000004</v>
      </c>
      <c r="BL129" s="52">
        <v>54</v>
      </c>
      <c r="BM129" s="52">
        <v>54.000000000000007</v>
      </c>
      <c r="BN129" s="52">
        <v>31.000000000000007</v>
      </c>
      <c r="BO129" s="52">
        <v>54.000000000000007</v>
      </c>
      <c r="BP129" s="52">
        <v>54</v>
      </c>
      <c r="BQ129" s="52">
        <v>31.000000000000004</v>
      </c>
      <c r="BR129" s="52">
        <v>54</v>
      </c>
      <c r="BS129" s="52">
        <v>54.000000000000007</v>
      </c>
      <c r="BT129" s="52">
        <v>31.000000000000014</v>
      </c>
      <c r="BU129" s="52">
        <v>54</v>
      </c>
      <c r="BV129" s="52">
        <v>54.000000000000021</v>
      </c>
      <c r="BW129" s="52">
        <v>31.000000000000007</v>
      </c>
    </row>
    <row r="130" spans="1:75" x14ac:dyDescent="0.3">
      <c r="A130" s="8" t="s">
        <v>100</v>
      </c>
      <c r="B130" s="8" t="s">
        <v>10</v>
      </c>
      <c r="C130" s="8" t="s">
        <v>108</v>
      </c>
      <c r="D130" s="52">
        <v>34</v>
      </c>
      <c r="E130" s="52">
        <v>49.999999999999993</v>
      </c>
      <c r="F130" s="52">
        <v>0</v>
      </c>
      <c r="G130" s="52">
        <v>9999.9999999999854</v>
      </c>
      <c r="H130" s="52">
        <v>118.88888888888889</v>
      </c>
      <c r="I130" s="52">
        <v>106.77777777777776</v>
      </c>
      <c r="J130" s="52">
        <v>50.000000000000043</v>
      </c>
      <c r="K130" s="52">
        <v>49.999999999999993</v>
      </c>
      <c r="L130" s="52">
        <v>30.999999999999993</v>
      </c>
      <c r="M130" s="52">
        <v>50.000000000000007</v>
      </c>
      <c r="N130" s="52">
        <v>49.999999999999993</v>
      </c>
      <c r="O130" s="52">
        <v>30.999999999999996</v>
      </c>
      <c r="P130" s="52">
        <v>49.999999999999993</v>
      </c>
      <c r="Q130" s="52">
        <v>50.000000000000007</v>
      </c>
      <c r="R130" s="52">
        <v>30.999999999999996</v>
      </c>
      <c r="S130" s="52">
        <v>50.000000000000078</v>
      </c>
      <c r="T130" s="52">
        <v>31.000000000000025</v>
      </c>
      <c r="U130" s="52">
        <v>30.999999999999993</v>
      </c>
      <c r="V130" s="52">
        <v>52.000000000000007</v>
      </c>
      <c r="W130" s="52">
        <v>49.999999999999993</v>
      </c>
      <c r="X130" s="52">
        <v>0</v>
      </c>
      <c r="Y130" s="52">
        <v>50.000000000000007</v>
      </c>
      <c r="Z130" s="52">
        <v>30.999999999999986</v>
      </c>
      <c r="AA130" s="52">
        <v>76.896103896103924</v>
      </c>
      <c r="AB130" s="52">
        <v>52.000000000000021</v>
      </c>
      <c r="AC130" s="52">
        <v>50.000000000000021</v>
      </c>
      <c r="AD130" s="52">
        <v>31.000000000000004</v>
      </c>
      <c r="AE130" s="52">
        <v>50.000000000000021</v>
      </c>
      <c r="AF130" s="52">
        <v>50.000000000000007</v>
      </c>
      <c r="AG130" s="52">
        <v>31.000000000000007</v>
      </c>
      <c r="AH130" s="52">
        <v>50.000000000000014</v>
      </c>
      <c r="AI130" s="52">
        <v>50.000000000000014</v>
      </c>
      <c r="AJ130" s="52">
        <v>0</v>
      </c>
      <c r="AK130" s="52">
        <v>49.999999999999993</v>
      </c>
      <c r="AL130" s="52">
        <v>50.000000000000007</v>
      </c>
      <c r="AM130" s="52">
        <v>93</v>
      </c>
      <c r="AN130" s="52">
        <v>50.000000000000028</v>
      </c>
      <c r="AO130" s="52">
        <v>50.000000000000007</v>
      </c>
      <c r="AP130" s="52">
        <v>30.999999999999986</v>
      </c>
      <c r="AQ130" s="52">
        <v>49.999999999999964</v>
      </c>
      <c r="AR130" s="52">
        <v>50.000000000000043</v>
      </c>
      <c r="AS130" s="52">
        <v>31.000000000000004</v>
      </c>
      <c r="AT130" s="52">
        <v>52.000000000000021</v>
      </c>
      <c r="AU130" s="52">
        <v>50.000000000000014</v>
      </c>
      <c r="AV130" s="52">
        <v>0</v>
      </c>
      <c r="AW130" s="52">
        <v>50.000000000000021</v>
      </c>
      <c r="AX130" s="52">
        <v>50.000000000000007</v>
      </c>
      <c r="AY130" s="52">
        <v>106.7777777777778</v>
      </c>
      <c r="AZ130" s="52">
        <v>50.000000000000028</v>
      </c>
      <c r="BA130" s="52">
        <v>50.000000000000007</v>
      </c>
      <c r="BB130" s="52">
        <v>0</v>
      </c>
      <c r="BC130" s="52">
        <v>50.000000000000007</v>
      </c>
      <c r="BD130" s="52">
        <v>31.000000000000007</v>
      </c>
      <c r="BE130" s="52">
        <v>85.25</v>
      </c>
      <c r="BF130" s="52">
        <v>34</v>
      </c>
      <c r="BG130" s="52">
        <v>33.999999999999986</v>
      </c>
      <c r="BH130" s="52">
        <v>30.999999999999986</v>
      </c>
      <c r="BI130" s="52">
        <v>33.999999999999993</v>
      </c>
      <c r="BJ130" s="52">
        <v>31.000000000000021</v>
      </c>
      <c r="BK130" s="52">
        <v>31.000000000000025</v>
      </c>
      <c r="BL130" s="52">
        <v>51.999999999999979</v>
      </c>
      <c r="BM130" s="52">
        <v>33.999999999999986</v>
      </c>
      <c r="BN130" s="52">
        <v>30.000000000000004</v>
      </c>
      <c r="BO130" s="52">
        <v>33.999999999999993</v>
      </c>
      <c r="BP130" s="52">
        <v>31.000000000000004</v>
      </c>
      <c r="BQ130" s="52">
        <v>30.000000000000011</v>
      </c>
      <c r="BR130" s="52">
        <v>53.999999999999936</v>
      </c>
      <c r="BS130" s="52">
        <v>50.000000000000007</v>
      </c>
      <c r="BT130" s="52">
        <v>30.999999999999986</v>
      </c>
      <c r="BU130" s="52">
        <v>53.999999999999964</v>
      </c>
      <c r="BV130" s="52">
        <v>30.999999999999993</v>
      </c>
      <c r="BW130" s="52">
        <v>29.999999999999986</v>
      </c>
    </row>
    <row r="131" spans="1:75" x14ac:dyDescent="0.3">
      <c r="A131" s="8" t="s">
        <v>100</v>
      </c>
      <c r="B131" s="8" t="s">
        <v>10</v>
      </c>
      <c r="C131" s="8" t="s">
        <v>109</v>
      </c>
      <c r="D131" s="52">
        <v>34</v>
      </c>
      <c r="E131" s="52">
        <v>49.999999999999986</v>
      </c>
      <c r="F131" s="52">
        <v>0</v>
      </c>
      <c r="G131" s="52">
        <v>10000.000000000002</v>
      </c>
      <c r="H131" s="52">
        <v>118.88888888888889</v>
      </c>
      <c r="I131" s="52">
        <v>106.77777777777776</v>
      </c>
      <c r="J131" s="52">
        <v>50.000000000000043</v>
      </c>
      <c r="K131" s="52">
        <v>49.999999999999993</v>
      </c>
      <c r="L131" s="52">
        <v>30.999999999999993</v>
      </c>
      <c r="M131" s="52">
        <v>50.000000000000007</v>
      </c>
      <c r="N131" s="52">
        <v>49.999999999999993</v>
      </c>
      <c r="O131" s="52">
        <v>30.999999999999993</v>
      </c>
      <c r="P131" s="52">
        <v>49.999999999999993</v>
      </c>
      <c r="Q131" s="52">
        <v>49.999999999999993</v>
      </c>
      <c r="R131" s="52">
        <v>30.999999999999993</v>
      </c>
      <c r="S131" s="52">
        <v>50.000000000000078</v>
      </c>
      <c r="T131" s="52">
        <v>31.000000000000004</v>
      </c>
      <c r="U131" s="52">
        <v>30.999999999999993</v>
      </c>
      <c r="V131" s="52">
        <v>52.000000000000007</v>
      </c>
      <c r="W131" s="52">
        <v>49.999999999999993</v>
      </c>
      <c r="X131" s="52">
        <v>0</v>
      </c>
      <c r="Y131" s="52">
        <v>50.000000000000007</v>
      </c>
      <c r="Z131" s="52">
        <v>30.999999999999996</v>
      </c>
      <c r="AA131" s="52">
        <v>76.896103896103924</v>
      </c>
      <c r="AB131" s="52">
        <v>52.000000000000007</v>
      </c>
      <c r="AC131" s="52">
        <v>50.000000000000021</v>
      </c>
      <c r="AD131" s="52">
        <v>31.000000000000004</v>
      </c>
      <c r="AE131" s="52">
        <v>50.000000000000021</v>
      </c>
      <c r="AF131" s="52">
        <v>50.000000000000007</v>
      </c>
      <c r="AG131" s="52">
        <v>31.000000000000007</v>
      </c>
      <c r="AH131" s="52">
        <v>50.000000000000014</v>
      </c>
      <c r="AI131" s="52">
        <v>50.000000000000014</v>
      </c>
      <c r="AJ131" s="52">
        <v>0</v>
      </c>
      <c r="AK131" s="52">
        <v>49.999999999999993</v>
      </c>
      <c r="AL131" s="52">
        <v>50.000000000000007</v>
      </c>
      <c r="AM131" s="52">
        <v>93.000000000000028</v>
      </c>
      <c r="AN131" s="52">
        <v>50.000000000000028</v>
      </c>
      <c r="AO131" s="52">
        <v>50.000000000000014</v>
      </c>
      <c r="AP131" s="52">
        <v>30.999999999999996</v>
      </c>
      <c r="AQ131" s="52">
        <v>49.999999999999993</v>
      </c>
      <c r="AR131" s="52">
        <v>50.000000000000007</v>
      </c>
      <c r="AS131" s="52">
        <v>31.000000000000004</v>
      </c>
      <c r="AT131" s="52">
        <v>52.000000000000007</v>
      </c>
      <c r="AU131" s="52">
        <v>50.000000000000014</v>
      </c>
      <c r="AV131" s="52">
        <v>0</v>
      </c>
      <c r="AW131" s="52">
        <v>50.000000000000021</v>
      </c>
      <c r="AX131" s="52">
        <v>50.000000000000007</v>
      </c>
      <c r="AY131" s="52">
        <v>106.7777777777778</v>
      </c>
      <c r="AZ131" s="52">
        <v>50.000000000000028</v>
      </c>
      <c r="BA131" s="52">
        <v>50.000000000000007</v>
      </c>
      <c r="BB131" s="52">
        <v>0</v>
      </c>
      <c r="BC131" s="52">
        <v>50.000000000000007</v>
      </c>
      <c r="BD131" s="52">
        <v>31.000000000000007</v>
      </c>
      <c r="BE131" s="52">
        <v>85.25</v>
      </c>
      <c r="BF131" s="52">
        <v>34</v>
      </c>
      <c r="BG131" s="52">
        <v>33.999999999999986</v>
      </c>
      <c r="BH131" s="52">
        <v>30.999999999999996</v>
      </c>
      <c r="BI131" s="52">
        <v>34</v>
      </c>
      <c r="BJ131" s="52">
        <v>31.000000000000004</v>
      </c>
      <c r="BK131" s="52">
        <v>31.000000000000025</v>
      </c>
      <c r="BL131" s="52">
        <v>52.000000000000007</v>
      </c>
      <c r="BM131" s="52">
        <v>33.999999999999986</v>
      </c>
      <c r="BN131" s="52">
        <v>30.000000000000004</v>
      </c>
      <c r="BO131" s="52">
        <v>34</v>
      </c>
      <c r="BP131" s="52">
        <v>31.000000000000004</v>
      </c>
      <c r="BQ131" s="52">
        <v>30</v>
      </c>
      <c r="BR131" s="52">
        <v>54</v>
      </c>
      <c r="BS131" s="52">
        <v>50.000000000000007</v>
      </c>
      <c r="BT131" s="52">
        <v>31.000000000000004</v>
      </c>
      <c r="BU131" s="52">
        <v>54</v>
      </c>
      <c r="BV131" s="52">
        <v>30.999999999999993</v>
      </c>
      <c r="BW131" s="52">
        <v>29.999999999999996</v>
      </c>
    </row>
    <row r="132" spans="1:75" x14ac:dyDescent="0.3">
      <c r="A132" s="8" t="s">
        <v>100</v>
      </c>
      <c r="B132" s="8" t="s">
        <v>10</v>
      </c>
      <c r="C132" s="8" t="s">
        <v>110</v>
      </c>
      <c r="D132" s="52">
        <v>34</v>
      </c>
      <c r="E132" s="52">
        <v>49.999999999999986</v>
      </c>
      <c r="F132" s="52">
        <v>0</v>
      </c>
      <c r="G132" s="52">
        <v>10000.000000000002</v>
      </c>
      <c r="H132" s="52">
        <v>118.88888888888889</v>
      </c>
      <c r="I132" s="52">
        <v>106.77777777777776</v>
      </c>
      <c r="J132" s="52">
        <v>50.000000000000043</v>
      </c>
      <c r="K132" s="52">
        <v>49.999999999999993</v>
      </c>
      <c r="L132" s="52">
        <v>30.999999999999993</v>
      </c>
      <c r="M132" s="52">
        <v>50.000000000000007</v>
      </c>
      <c r="N132" s="52">
        <v>49.999999999999993</v>
      </c>
      <c r="O132" s="52">
        <v>30.999999999999993</v>
      </c>
      <c r="P132" s="52">
        <v>49.999999999999993</v>
      </c>
      <c r="Q132" s="52">
        <v>49.999999999999993</v>
      </c>
      <c r="R132" s="52">
        <v>30.999999999999993</v>
      </c>
      <c r="S132" s="52">
        <v>50.000000000000078</v>
      </c>
      <c r="T132" s="52">
        <v>31.000000000000004</v>
      </c>
      <c r="U132" s="52">
        <v>30.999999999999993</v>
      </c>
      <c r="V132" s="52">
        <v>52.000000000000007</v>
      </c>
      <c r="W132" s="52">
        <v>49.999999999999993</v>
      </c>
      <c r="X132" s="52">
        <v>0</v>
      </c>
      <c r="Y132" s="52">
        <v>50.000000000000007</v>
      </c>
      <c r="Z132" s="52">
        <v>30.999999999999996</v>
      </c>
      <c r="AA132" s="52">
        <v>76.896103896103924</v>
      </c>
      <c r="AB132" s="52">
        <v>52.000000000000007</v>
      </c>
      <c r="AC132" s="52">
        <v>50.000000000000021</v>
      </c>
      <c r="AD132" s="52">
        <v>31.000000000000004</v>
      </c>
      <c r="AE132" s="52">
        <v>50.000000000000021</v>
      </c>
      <c r="AF132" s="52">
        <v>50.000000000000007</v>
      </c>
      <c r="AG132" s="52">
        <v>31.000000000000007</v>
      </c>
      <c r="AH132" s="52">
        <v>50.000000000000014</v>
      </c>
      <c r="AI132" s="52">
        <v>50.000000000000014</v>
      </c>
      <c r="AJ132" s="52">
        <v>0</v>
      </c>
      <c r="AK132" s="52">
        <v>49.999999999999993</v>
      </c>
      <c r="AL132" s="52">
        <v>50.000000000000007</v>
      </c>
      <c r="AM132" s="52">
        <v>93</v>
      </c>
      <c r="AN132" s="52">
        <v>50.000000000000028</v>
      </c>
      <c r="AO132" s="52">
        <v>50.000000000000014</v>
      </c>
      <c r="AP132" s="52">
        <v>30.999999999999996</v>
      </c>
      <c r="AQ132" s="52">
        <v>50.000000000000007</v>
      </c>
      <c r="AR132" s="52">
        <v>49.999999999999986</v>
      </c>
      <c r="AS132" s="52">
        <v>31.000000000000004</v>
      </c>
      <c r="AT132" s="52">
        <v>52.000000000000007</v>
      </c>
      <c r="AU132" s="52">
        <v>50.000000000000014</v>
      </c>
      <c r="AV132" s="52">
        <v>0</v>
      </c>
      <c r="AW132" s="52">
        <v>50.000000000000021</v>
      </c>
      <c r="AX132" s="52">
        <v>50.000000000000007</v>
      </c>
      <c r="AY132" s="52">
        <v>106.7777777777778</v>
      </c>
      <c r="AZ132" s="52">
        <v>50.000000000000028</v>
      </c>
      <c r="BA132" s="52">
        <v>50.000000000000007</v>
      </c>
      <c r="BB132" s="52">
        <v>0</v>
      </c>
      <c r="BC132" s="52">
        <v>50.000000000000007</v>
      </c>
      <c r="BD132" s="52">
        <v>31.000000000000007</v>
      </c>
      <c r="BE132" s="52">
        <v>85.249999999999986</v>
      </c>
      <c r="BF132" s="52">
        <v>34</v>
      </c>
      <c r="BG132" s="52">
        <v>33.999999999999993</v>
      </c>
      <c r="BH132" s="52">
        <v>30.999999999999996</v>
      </c>
      <c r="BI132" s="52">
        <v>33.999999999999993</v>
      </c>
      <c r="BJ132" s="52">
        <v>31.000000000000004</v>
      </c>
      <c r="BK132" s="52">
        <v>31.000000000000025</v>
      </c>
      <c r="BL132" s="52">
        <v>52.000000000000007</v>
      </c>
      <c r="BM132" s="52">
        <v>33.999999999999993</v>
      </c>
      <c r="BN132" s="52">
        <v>30.000000000000004</v>
      </c>
      <c r="BO132" s="52">
        <v>33.999999999999993</v>
      </c>
      <c r="BP132" s="52">
        <v>31.000000000000004</v>
      </c>
      <c r="BQ132" s="52">
        <v>30</v>
      </c>
      <c r="BR132" s="52">
        <v>54</v>
      </c>
      <c r="BS132" s="52">
        <v>50.000000000000007</v>
      </c>
      <c r="BT132" s="52">
        <v>31.000000000000004</v>
      </c>
      <c r="BU132" s="52">
        <v>54</v>
      </c>
      <c r="BV132" s="52">
        <v>30.999999999999993</v>
      </c>
      <c r="BW132" s="52">
        <v>29.999999999999996</v>
      </c>
    </row>
    <row r="133" spans="1:75" x14ac:dyDescent="0.3">
      <c r="A133" s="8" t="s">
        <v>100</v>
      </c>
      <c r="B133" s="8" t="s">
        <v>10</v>
      </c>
      <c r="C133" s="8" t="s">
        <v>111</v>
      </c>
      <c r="D133" s="52">
        <v>34</v>
      </c>
      <c r="E133" s="52">
        <v>49.999999999999993</v>
      </c>
      <c r="F133" s="52">
        <v>0</v>
      </c>
      <c r="G133" s="52">
        <v>9999.9999999999909</v>
      </c>
      <c r="H133" s="52">
        <v>118.88888888888889</v>
      </c>
      <c r="I133" s="52">
        <v>106.77777777777776</v>
      </c>
      <c r="J133" s="52">
        <v>50.000000000000043</v>
      </c>
      <c r="K133" s="52">
        <v>49.999999999999993</v>
      </c>
      <c r="L133" s="52">
        <v>30.999999999999993</v>
      </c>
      <c r="M133" s="52">
        <v>50.000000000000007</v>
      </c>
      <c r="N133" s="52">
        <v>49.999999999999993</v>
      </c>
      <c r="O133" s="52">
        <v>30.999999999999996</v>
      </c>
      <c r="P133" s="52">
        <v>49.999999999999993</v>
      </c>
      <c r="Q133" s="52">
        <v>50.000000000000007</v>
      </c>
      <c r="R133" s="52">
        <v>30.999999999999996</v>
      </c>
      <c r="S133" s="52">
        <v>50.000000000000078</v>
      </c>
      <c r="T133" s="52">
        <v>31.000000000000011</v>
      </c>
      <c r="U133" s="52">
        <v>30.999999999999993</v>
      </c>
      <c r="V133" s="52">
        <v>52.000000000000007</v>
      </c>
      <c r="W133" s="52">
        <v>49.999999999999993</v>
      </c>
      <c r="X133" s="52">
        <v>0</v>
      </c>
      <c r="Y133" s="52">
        <v>50.000000000000007</v>
      </c>
      <c r="Z133" s="52">
        <v>30.999999999999993</v>
      </c>
      <c r="AA133" s="52">
        <v>76.896103896103924</v>
      </c>
      <c r="AB133" s="52">
        <v>52.000000000000007</v>
      </c>
      <c r="AC133" s="52">
        <v>50.000000000000021</v>
      </c>
      <c r="AD133" s="52">
        <v>30.999999999999996</v>
      </c>
      <c r="AE133" s="52">
        <v>50.000000000000021</v>
      </c>
      <c r="AF133" s="52">
        <v>50.000000000000007</v>
      </c>
      <c r="AG133" s="52">
        <v>31.000000000000011</v>
      </c>
      <c r="AH133" s="52">
        <v>50.000000000000014</v>
      </c>
      <c r="AI133" s="52">
        <v>50.000000000000014</v>
      </c>
      <c r="AJ133" s="52">
        <v>0</v>
      </c>
      <c r="AK133" s="52">
        <v>49.999999999999993</v>
      </c>
      <c r="AL133" s="52">
        <v>50.000000000000007</v>
      </c>
      <c r="AM133" s="52">
        <v>93</v>
      </c>
      <c r="AN133" s="52">
        <v>50.000000000000028</v>
      </c>
      <c r="AO133" s="52">
        <v>50.000000000000007</v>
      </c>
      <c r="AP133" s="52">
        <v>30.999999999999993</v>
      </c>
      <c r="AQ133" s="52">
        <v>50.000000000000007</v>
      </c>
      <c r="AR133" s="52">
        <v>50.000000000000007</v>
      </c>
      <c r="AS133" s="52">
        <v>31.000000000000004</v>
      </c>
      <c r="AT133" s="52">
        <v>52.000000000000007</v>
      </c>
      <c r="AU133" s="52">
        <v>50.000000000000014</v>
      </c>
      <c r="AV133" s="52">
        <v>0</v>
      </c>
      <c r="AW133" s="52">
        <v>50.000000000000021</v>
      </c>
      <c r="AX133" s="52">
        <v>50.000000000000007</v>
      </c>
      <c r="AY133" s="52">
        <v>106.7777777777778</v>
      </c>
      <c r="AZ133" s="52">
        <v>50.000000000000028</v>
      </c>
      <c r="BA133" s="52">
        <v>50.000000000000007</v>
      </c>
      <c r="BB133" s="52">
        <v>0</v>
      </c>
      <c r="BC133" s="52">
        <v>50.000000000000007</v>
      </c>
      <c r="BD133" s="52">
        <v>31.000000000000007</v>
      </c>
      <c r="BE133" s="52">
        <v>85.249999999999986</v>
      </c>
      <c r="BF133" s="52">
        <v>34</v>
      </c>
      <c r="BG133" s="52">
        <v>34</v>
      </c>
      <c r="BH133" s="52">
        <v>30.999999999999993</v>
      </c>
      <c r="BI133" s="52">
        <v>33.999999999999993</v>
      </c>
      <c r="BJ133" s="52">
        <v>31.000000000000004</v>
      </c>
      <c r="BK133" s="52">
        <v>31.000000000000025</v>
      </c>
      <c r="BL133" s="52">
        <v>52</v>
      </c>
      <c r="BM133" s="52">
        <v>34</v>
      </c>
      <c r="BN133" s="52">
        <v>30.000000000000004</v>
      </c>
      <c r="BO133" s="52">
        <v>33.999999999999993</v>
      </c>
      <c r="BP133" s="52">
        <v>31.000000000000004</v>
      </c>
      <c r="BQ133" s="52">
        <v>30.000000000000011</v>
      </c>
      <c r="BR133" s="52">
        <v>53.999999999999993</v>
      </c>
      <c r="BS133" s="52">
        <v>50.000000000000007</v>
      </c>
      <c r="BT133" s="52">
        <v>30.999999999999996</v>
      </c>
      <c r="BU133" s="52">
        <v>54</v>
      </c>
      <c r="BV133" s="52">
        <v>30.999999999999993</v>
      </c>
      <c r="BW133" s="52">
        <v>30.000000000000004</v>
      </c>
    </row>
    <row r="134" spans="1:75" x14ac:dyDescent="0.3">
      <c r="A134" s="8" t="s">
        <v>100</v>
      </c>
      <c r="B134" s="8" t="s">
        <v>10</v>
      </c>
      <c r="C134" s="8" t="s">
        <v>112</v>
      </c>
      <c r="D134" s="52">
        <v>34</v>
      </c>
      <c r="E134" s="52">
        <v>49.999999999999993</v>
      </c>
      <c r="F134" s="52">
        <v>0</v>
      </c>
      <c r="G134" s="52">
        <v>9999.9999999999909</v>
      </c>
      <c r="H134" s="52">
        <v>118.88888888888889</v>
      </c>
      <c r="I134" s="52">
        <v>106.77777777777776</v>
      </c>
      <c r="J134" s="52">
        <v>50.000000000000043</v>
      </c>
      <c r="K134" s="52">
        <v>49.999999999999993</v>
      </c>
      <c r="L134" s="52">
        <v>30.999999999999993</v>
      </c>
      <c r="M134" s="52">
        <v>50.000000000000007</v>
      </c>
      <c r="N134" s="52">
        <v>49.999999999999993</v>
      </c>
      <c r="O134" s="52">
        <v>30.999999999999996</v>
      </c>
      <c r="P134" s="52">
        <v>49.999999999999993</v>
      </c>
      <c r="Q134" s="52">
        <v>50.000000000000007</v>
      </c>
      <c r="R134" s="52">
        <v>30.999999999999996</v>
      </c>
      <c r="S134" s="52">
        <v>50.000000000000078</v>
      </c>
      <c r="T134" s="52">
        <v>31.000000000000011</v>
      </c>
      <c r="U134" s="52">
        <v>30.999999999999993</v>
      </c>
      <c r="V134" s="52">
        <v>52.000000000000007</v>
      </c>
      <c r="W134" s="52">
        <v>49.999999999999993</v>
      </c>
      <c r="X134" s="52">
        <v>0</v>
      </c>
      <c r="Y134" s="52">
        <v>50.000000000000007</v>
      </c>
      <c r="Z134" s="52">
        <v>30.999999999999993</v>
      </c>
      <c r="AA134" s="52">
        <v>76.896103896103924</v>
      </c>
      <c r="AB134" s="52">
        <v>52.000000000000007</v>
      </c>
      <c r="AC134" s="52">
        <v>50.000000000000021</v>
      </c>
      <c r="AD134" s="52">
        <v>30.999999999999996</v>
      </c>
      <c r="AE134" s="52">
        <v>50.000000000000021</v>
      </c>
      <c r="AF134" s="52">
        <v>50.000000000000007</v>
      </c>
      <c r="AG134" s="52">
        <v>31.000000000000011</v>
      </c>
      <c r="AH134" s="52">
        <v>50.000000000000014</v>
      </c>
      <c r="AI134" s="52">
        <v>50.000000000000014</v>
      </c>
      <c r="AJ134" s="52">
        <v>0</v>
      </c>
      <c r="AK134" s="52">
        <v>49.999999999999993</v>
      </c>
      <c r="AL134" s="52">
        <v>50.000000000000007</v>
      </c>
      <c r="AM134" s="52">
        <v>93</v>
      </c>
      <c r="AN134" s="52">
        <v>50.000000000000028</v>
      </c>
      <c r="AO134" s="52">
        <v>50.000000000000007</v>
      </c>
      <c r="AP134" s="52">
        <v>30.999999999999993</v>
      </c>
      <c r="AQ134" s="52">
        <v>50.000000000000007</v>
      </c>
      <c r="AR134" s="52">
        <v>50.000000000000007</v>
      </c>
      <c r="AS134" s="52">
        <v>31.000000000000004</v>
      </c>
      <c r="AT134" s="52">
        <v>52.000000000000007</v>
      </c>
      <c r="AU134" s="52">
        <v>50.000000000000014</v>
      </c>
      <c r="AV134" s="52">
        <v>0</v>
      </c>
      <c r="AW134" s="52">
        <v>50.000000000000021</v>
      </c>
      <c r="AX134" s="52">
        <v>50.000000000000007</v>
      </c>
      <c r="AY134" s="52">
        <v>106.7777777777778</v>
      </c>
      <c r="AZ134" s="52">
        <v>50.000000000000028</v>
      </c>
      <c r="BA134" s="52">
        <v>50.000000000000007</v>
      </c>
      <c r="BB134" s="52">
        <v>0</v>
      </c>
      <c r="BC134" s="52">
        <v>50.000000000000007</v>
      </c>
      <c r="BD134" s="52">
        <v>31.000000000000007</v>
      </c>
      <c r="BE134" s="52">
        <v>85.249999999999986</v>
      </c>
      <c r="BF134" s="52">
        <v>34</v>
      </c>
      <c r="BG134" s="52">
        <v>34</v>
      </c>
      <c r="BH134" s="52">
        <v>30.999999999999993</v>
      </c>
      <c r="BI134" s="52">
        <v>33.999999999999993</v>
      </c>
      <c r="BJ134" s="52">
        <v>31.000000000000004</v>
      </c>
      <c r="BK134" s="52">
        <v>31.000000000000025</v>
      </c>
      <c r="BL134" s="52">
        <v>52</v>
      </c>
      <c r="BM134" s="52">
        <v>34</v>
      </c>
      <c r="BN134" s="52">
        <v>30.000000000000004</v>
      </c>
      <c r="BO134" s="52">
        <v>33.999999999999993</v>
      </c>
      <c r="BP134" s="52">
        <v>31.000000000000004</v>
      </c>
      <c r="BQ134" s="52">
        <v>30.000000000000011</v>
      </c>
      <c r="BR134" s="52">
        <v>53.999999999999993</v>
      </c>
      <c r="BS134" s="52">
        <v>50.000000000000007</v>
      </c>
      <c r="BT134" s="52">
        <v>30.999999999999996</v>
      </c>
      <c r="BU134" s="52">
        <v>54</v>
      </c>
      <c r="BV134" s="52">
        <v>30.999999999999993</v>
      </c>
      <c r="BW134" s="52">
        <v>30.000000000000004</v>
      </c>
    </row>
    <row r="135" spans="1:75" x14ac:dyDescent="0.3">
      <c r="A135" s="8" t="s">
        <v>100</v>
      </c>
      <c r="B135" s="8" t="s">
        <v>10</v>
      </c>
      <c r="C135" s="8" t="s">
        <v>115</v>
      </c>
      <c r="D135" s="52">
        <v>34</v>
      </c>
      <c r="E135" s="52">
        <v>49.999999999999986</v>
      </c>
      <c r="F135" s="52">
        <v>0</v>
      </c>
      <c r="G135" s="52">
        <v>10000.000000000002</v>
      </c>
      <c r="H135" s="52">
        <v>118.88888888888889</v>
      </c>
      <c r="I135" s="52">
        <v>106.77777777777776</v>
      </c>
      <c r="J135" s="52">
        <v>50.000000000000043</v>
      </c>
      <c r="K135" s="52">
        <v>49.999999999999993</v>
      </c>
      <c r="L135" s="52">
        <v>30.999999999999993</v>
      </c>
      <c r="M135" s="52">
        <v>50.000000000000007</v>
      </c>
      <c r="N135" s="52">
        <v>49.999999999999993</v>
      </c>
      <c r="O135" s="52">
        <v>30.999999999999993</v>
      </c>
      <c r="P135" s="52">
        <v>49.999999999999993</v>
      </c>
      <c r="Q135" s="52">
        <v>49.999999999999993</v>
      </c>
      <c r="R135" s="52">
        <v>30.999999999999993</v>
      </c>
      <c r="S135" s="52">
        <v>50.000000000000078</v>
      </c>
      <c r="T135" s="52">
        <v>30.999999999999993</v>
      </c>
      <c r="U135" s="52">
        <v>30.999999999999993</v>
      </c>
      <c r="V135" s="52">
        <v>52.000000000000007</v>
      </c>
      <c r="W135" s="52">
        <v>49.999999999999993</v>
      </c>
      <c r="X135" s="52">
        <v>0</v>
      </c>
      <c r="Y135" s="52">
        <v>50.000000000000007</v>
      </c>
      <c r="Z135" s="52">
        <v>30.999999999999996</v>
      </c>
      <c r="AA135" s="52">
        <v>76.896103896103924</v>
      </c>
      <c r="AB135" s="52">
        <v>52.000000000000007</v>
      </c>
      <c r="AC135" s="52">
        <v>50.000000000000021</v>
      </c>
      <c r="AD135" s="52">
        <v>31.000000000000004</v>
      </c>
      <c r="AE135" s="52">
        <v>50.000000000000021</v>
      </c>
      <c r="AF135" s="52">
        <v>50.000000000000007</v>
      </c>
      <c r="AG135" s="52">
        <v>31.000000000000007</v>
      </c>
      <c r="AH135" s="52">
        <v>50.000000000000014</v>
      </c>
      <c r="AI135" s="52">
        <v>50.000000000000014</v>
      </c>
      <c r="AJ135" s="52">
        <v>0</v>
      </c>
      <c r="AK135" s="52">
        <v>49.999999999999993</v>
      </c>
      <c r="AL135" s="52">
        <v>50.000000000000007</v>
      </c>
      <c r="AM135" s="52">
        <v>93.000000000000028</v>
      </c>
      <c r="AN135" s="52">
        <v>50.000000000000028</v>
      </c>
      <c r="AO135" s="52">
        <v>50.000000000000014</v>
      </c>
      <c r="AP135" s="52">
        <v>30.999999999999996</v>
      </c>
      <c r="AQ135" s="52">
        <v>49.999999999999993</v>
      </c>
      <c r="AR135" s="52">
        <v>50.000000000000007</v>
      </c>
      <c r="AS135" s="52">
        <v>31.000000000000007</v>
      </c>
      <c r="AT135" s="52">
        <v>52.000000000000007</v>
      </c>
      <c r="AU135" s="52">
        <v>50.000000000000014</v>
      </c>
      <c r="AV135" s="52">
        <v>0</v>
      </c>
      <c r="AW135" s="52">
        <v>50.000000000000021</v>
      </c>
      <c r="AX135" s="52">
        <v>50.000000000000007</v>
      </c>
      <c r="AY135" s="52">
        <v>106.7777777777778</v>
      </c>
      <c r="AZ135" s="52">
        <v>50.000000000000028</v>
      </c>
      <c r="BA135" s="52">
        <v>50.000000000000007</v>
      </c>
      <c r="BB135" s="52">
        <v>0</v>
      </c>
      <c r="BC135" s="52">
        <v>50.000000000000007</v>
      </c>
      <c r="BD135" s="52">
        <v>31.000000000000007</v>
      </c>
      <c r="BE135" s="52">
        <v>85.25</v>
      </c>
      <c r="BF135" s="52">
        <v>34</v>
      </c>
      <c r="BG135" s="52">
        <v>33.999999999999986</v>
      </c>
      <c r="BH135" s="52">
        <v>30.999999999999996</v>
      </c>
      <c r="BI135" s="52">
        <v>34</v>
      </c>
      <c r="BJ135" s="52">
        <v>31.000000000000007</v>
      </c>
      <c r="BK135" s="52">
        <v>31.000000000000025</v>
      </c>
      <c r="BL135" s="52">
        <v>52.000000000000014</v>
      </c>
      <c r="BM135" s="52">
        <v>33.999999999999986</v>
      </c>
      <c r="BN135" s="52">
        <v>30.000000000000004</v>
      </c>
      <c r="BO135" s="52">
        <v>34</v>
      </c>
      <c r="BP135" s="52">
        <v>31.000000000000007</v>
      </c>
      <c r="BQ135" s="52">
        <v>30</v>
      </c>
      <c r="BR135" s="52">
        <v>54</v>
      </c>
      <c r="BS135" s="52">
        <v>50.000000000000007</v>
      </c>
      <c r="BT135" s="52">
        <v>31.000000000000007</v>
      </c>
      <c r="BU135" s="52">
        <v>54</v>
      </c>
      <c r="BV135" s="52">
        <v>31.000000000000004</v>
      </c>
      <c r="BW135" s="52">
        <v>29.999999999999996</v>
      </c>
    </row>
    <row r="136" spans="1:75" x14ac:dyDescent="0.3">
      <c r="A136" s="8" t="s">
        <v>100</v>
      </c>
      <c r="B136" s="8" t="s">
        <v>10</v>
      </c>
      <c r="C136" s="8" t="s">
        <v>116</v>
      </c>
      <c r="D136" s="52">
        <v>34</v>
      </c>
      <c r="E136" s="52">
        <v>49.999999999999986</v>
      </c>
      <c r="F136" s="52">
        <v>0</v>
      </c>
      <c r="G136" s="52">
        <v>10000</v>
      </c>
      <c r="H136" s="52">
        <v>118.88888888888889</v>
      </c>
      <c r="I136" s="52">
        <v>106.77777777777776</v>
      </c>
      <c r="J136" s="52">
        <v>50.000000000000043</v>
      </c>
      <c r="K136" s="52">
        <v>49.999999999999993</v>
      </c>
      <c r="L136" s="52">
        <v>30.999999999999993</v>
      </c>
      <c r="M136" s="52">
        <v>50.000000000000007</v>
      </c>
      <c r="N136" s="52">
        <v>49.999999999999993</v>
      </c>
      <c r="O136" s="52">
        <v>30.999999999999996</v>
      </c>
      <c r="P136" s="52">
        <v>49.999999999999993</v>
      </c>
      <c r="Q136" s="52">
        <v>49.999999999999993</v>
      </c>
      <c r="R136" s="52">
        <v>30.999999999999996</v>
      </c>
      <c r="S136" s="52">
        <v>50.000000000000078</v>
      </c>
      <c r="T136" s="52">
        <v>30.999999999999993</v>
      </c>
      <c r="U136" s="52">
        <v>30.999999999999993</v>
      </c>
      <c r="V136" s="52">
        <v>52.000000000000007</v>
      </c>
      <c r="W136" s="52">
        <v>49.999999999999993</v>
      </c>
      <c r="X136" s="52">
        <v>0</v>
      </c>
      <c r="Y136" s="52">
        <v>50.000000000000007</v>
      </c>
      <c r="Z136" s="52">
        <v>30.999999999999996</v>
      </c>
      <c r="AA136" s="52">
        <v>76.896103896103924</v>
      </c>
      <c r="AB136" s="52">
        <v>52.000000000000007</v>
      </c>
      <c r="AC136" s="52">
        <v>50.000000000000021</v>
      </c>
      <c r="AD136" s="52">
        <v>30.999999999999996</v>
      </c>
      <c r="AE136" s="52">
        <v>50.000000000000021</v>
      </c>
      <c r="AF136" s="52">
        <v>50.000000000000007</v>
      </c>
      <c r="AG136" s="52">
        <v>31.000000000000011</v>
      </c>
      <c r="AH136" s="52">
        <v>50.000000000000014</v>
      </c>
      <c r="AI136" s="52">
        <v>50.000000000000014</v>
      </c>
      <c r="AJ136" s="52">
        <v>0</v>
      </c>
      <c r="AK136" s="52">
        <v>49.999999999999993</v>
      </c>
      <c r="AL136" s="52">
        <v>50.000000000000007</v>
      </c>
      <c r="AM136" s="52">
        <v>93.000000000000028</v>
      </c>
      <c r="AN136" s="52">
        <v>50.000000000000028</v>
      </c>
      <c r="AO136" s="52">
        <v>50.000000000000014</v>
      </c>
      <c r="AP136" s="52">
        <v>30.999999999999996</v>
      </c>
      <c r="AQ136" s="52">
        <v>49.999999999999993</v>
      </c>
      <c r="AR136" s="52">
        <v>50.000000000000007</v>
      </c>
      <c r="AS136" s="52">
        <v>31.000000000000007</v>
      </c>
      <c r="AT136" s="52">
        <v>52.000000000000007</v>
      </c>
      <c r="AU136" s="52">
        <v>50.000000000000014</v>
      </c>
      <c r="AV136" s="52">
        <v>0</v>
      </c>
      <c r="AW136" s="52">
        <v>50.000000000000021</v>
      </c>
      <c r="AX136" s="52">
        <v>50.000000000000007</v>
      </c>
      <c r="AY136" s="52">
        <v>106.7777777777778</v>
      </c>
      <c r="AZ136" s="52">
        <v>50.000000000000028</v>
      </c>
      <c r="BA136" s="52">
        <v>50.000000000000007</v>
      </c>
      <c r="BB136" s="52">
        <v>0</v>
      </c>
      <c r="BC136" s="52">
        <v>50.000000000000007</v>
      </c>
      <c r="BD136" s="52">
        <v>31.000000000000007</v>
      </c>
      <c r="BE136" s="52">
        <v>85.25</v>
      </c>
      <c r="BF136" s="52">
        <v>34</v>
      </c>
      <c r="BG136" s="52">
        <v>34</v>
      </c>
      <c r="BH136" s="52">
        <v>30.999999999999996</v>
      </c>
      <c r="BI136" s="52">
        <v>33.999999999999979</v>
      </c>
      <c r="BJ136" s="52">
        <v>31.000000000000007</v>
      </c>
      <c r="BK136" s="52">
        <v>31.000000000000025</v>
      </c>
      <c r="BL136" s="52">
        <v>52.000000000000014</v>
      </c>
      <c r="BM136" s="52">
        <v>34</v>
      </c>
      <c r="BN136" s="52">
        <v>30.000000000000004</v>
      </c>
      <c r="BO136" s="52">
        <v>33.999999999999979</v>
      </c>
      <c r="BP136" s="52">
        <v>31.000000000000007</v>
      </c>
      <c r="BQ136" s="52">
        <v>30</v>
      </c>
      <c r="BR136" s="52">
        <v>54</v>
      </c>
      <c r="BS136" s="52">
        <v>50.000000000000007</v>
      </c>
      <c r="BT136" s="52">
        <v>31.000000000000007</v>
      </c>
      <c r="BU136" s="52">
        <v>54</v>
      </c>
      <c r="BV136" s="52">
        <v>31.000000000000004</v>
      </c>
      <c r="BW136" s="52">
        <v>29.999999999999996</v>
      </c>
    </row>
    <row r="137" spans="1:75" x14ac:dyDescent="0.3">
      <c r="A137" s="8" t="s">
        <v>100</v>
      </c>
      <c r="B137" s="8" t="s">
        <v>10</v>
      </c>
      <c r="C137" s="8" t="s">
        <v>117</v>
      </c>
      <c r="D137" s="52">
        <v>34</v>
      </c>
      <c r="E137" s="52">
        <v>49.999999999999986</v>
      </c>
      <c r="F137" s="52">
        <v>0</v>
      </c>
      <c r="G137" s="52">
        <v>10000</v>
      </c>
      <c r="H137" s="52">
        <v>118.88888888888889</v>
      </c>
      <c r="I137" s="52">
        <v>106.77777777777776</v>
      </c>
      <c r="J137" s="52">
        <v>50.000000000000043</v>
      </c>
      <c r="K137" s="52">
        <v>49.999999999999993</v>
      </c>
      <c r="L137" s="52">
        <v>30.999999999999993</v>
      </c>
      <c r="M137" s="52">
        <v>50.000000000000007</v>
      </c>
      <c r="N137" s="52">
        <v>49.999999999999993</v>
      </c>
      <c r="O137" s="52">
        <v>30.999999999999996</v>
      </c>
      <c r="P137" s="52">
        <v>49.999999999999993</v>
      </c>
      <c r="Q137" s="52">
        <v>49.999999999999993</v>
      </c>
      <c r="R137" s="52">
        <v>30.999999999999996</v>
      </c>
      <c r="S137" s="52">
        <v>50.000000000000078</v>
      </c>
      <c r="T137" s="52">
        <v>30.999999999999993</v>
      </c>
      <c r="U137" s="52">
        <v>30.999999999999993</v>
      </c>
      <c r="V137" s="52">
        <v>52.000000000000007</v>
      </c>
      <c r="W137" s="52">
        <v>49.999999999999993</v>
      </c>
      <c r="X137" s="52">
        <v>0</v>
      </c>
      <c r="Y137" s="52">
        <v>50.000000000000007</v>
      </c>
      <c r="Z137" s="52">
        <v>30.999999999999996</v>
      </c>
      <c r="AA137" s="52">
        <v>76.896103896103924</v>
      </c>
      <c r="AB137" s="52">
        <v>52.000000000000007</v>
      </c>
      <c r="AC137" s="52">
        <v>50.000000000000021</v>
      </c>
      <c r="AD137" s="52">
        <v>30.999999999999996</v>
      </c>
      <c r="AE137" s="52">
        <v>50.000000000000021</v>
      </c>
      <c r="AF137" s="52">
        <v>50.000000000000007</v>
      </c>
      <c r="AG137" s="52">
        <v>31.000000000000011</v>
      </c>
      <c r="AH137" s="52">
        <v>50.000000000000014</v>
      </c>
      <c r="AI137" s="52">
        <v>50.000000000000014</v>
      </c>
      <c r="AJ137" s="52">
        <v>0</v>
      </c>
      <c r="AK137" s="52">
        <v>49.999999999999993</v>
      </c>
      <c r="AL137" s="52">
        <v>50.000000000000007</v>
      </c>
      <c r="AM137" s="52">
        <v>93.000000000000028</v>
      </c>
      <c r="AN137" s="52">
        <v>50.000000000000028</v>
      </c>
      <c r="AO137" s="52">
        <v>50.000000000000014</v>
      </c>
      <c r="AP137" s="52">
        <v>30.999999999999996</v>
      </c>
      <c r="AQ137" s="52">
        <v>49.999999999999993</v>
      </c>
      <c r="AR137" s="52">
        <v>50.000000000000007</v>
      </c>
      <c r="AS137" s="52">
        <v>31.000000000000007</v>
      </c>
      <c r="AT137" s="52">
        <v>52.000000000000007</v>
      </c>
      <c r="AU137" s="52">
        <v>50.000000000000014</v>
      </c>
      <c r="AV137" s="52">
        <v>0</v>
      </c>
      <c r="AW137" s="52">
        <v>50.000000000000021</v>
      </c>
      <c r="AX137" s="52">
        <v>50.000000000000007</v>
      </c>
      <c r="AY137" s="52">
        <v>106.7777777777778</v>
      </c>
      <c r="AZ137" s="52">
        <v>50.000000000000028</v>
      </c>
      <c r="BA137" s="52">
        <v>50.000000000000007</v>
      </c>
      <c r="BB137" s="52">
        <v>0</v>
      </c>
      <c r="BC137" s="52">
        <v>50.000000000000007</v>
      </c>
      <c r="BD137" s="52">
        <v>31.000000000000007</v>
      </c>
      <c r="BE137" s="52">
        <v>85.25</v>
      </c>
      <c r="BF137" s="52">
        <v>34</v>
      </c>
      <c r="BG137" s="52">
        <v>34</v>
      </c>
      <c r="BH137" s="52">
        <v>30.999999999999996</v>
      </c>
      <c r="BI137" s="52">
        <v>33.999999999999979</v>
      </c>
      <c r="BJ137" s="52">
        <v>31.000000000000007</v>
      </c>
      <c r="BK137" s="52">
        <v>31.000000000000025</v>
      </c>
      <c r="BL137" s="52">
        <v>52.000000000000014</v>
      </c>
      <c r="BM137" s="52">
        <v>34</v>
      </c>
      <c r="BN137" s="52">
        <v>30.000000000000004</v>
      </c>
      <c r="BO137" s="52">
        <v>33.999999999999979</v>
      </c>
      <c r="BP137" s="52">
        <v>31.000000000000007</v>
      </c>
      <c r="BQ137" s="52">
        <v>30</v>
      </c>
      <c r="BR137" s="52">
        <v>54</v>
      </c>
      <c r="BS137" s="52">
        <v>50.000000000000007</v>
      </c>
      <c r="BT137" s="52">
        <v>31.000000000000007</v>
      </c>
      <c r="BU137" s="52">
        <v>54</v>
      </c>
      <c r="BV137" s="52">
        <v>31.000000000000004</v>
      </c>
      <c r="BW137" s="52">
        <v>29.999999999999996</v>
      </c>
    </row>
    <row r="138" spans="1:75" x14ac:dyDescent="0.3">
      <c r="A138" s="8" t="s">
        <v>100</v>
      </c>
      <c r="B138" s="8" t="s">
        <v>10</v>
      </c>
      <c r="C138" s="8" t="s">
        <v>118</v>
      </c>
      <c r="D138" s="52">
        <v>34</v>
      </c>
      <c r="E138" s="52">
        <v>49.999999999999986</v>
      </c>
      <c r="F138" s="52">
        <v>0</v>
      </c>
      <c r="G138" s="52">
        <v>9999.9999999999945</v>
      </c>
      <c r="H138" s="52">
        <v>118.88888888888889</v>
      </c>
      <c r="I138" s="52">
        <v>106.77777777777776</v>
      </c>
      <c r="J138" s="52">
        <v>50.000000000000043</v>
      </c>
      <c r="K138" s="52">
        <v>49.999999999999993</v>
      </c>
      <c r="L138" s="52">
        <v>30.999999999999993</v>
      </c>
      <c r="M138" s="52">
        <v>50.000000000000007</v>
      </c>
      <c r="N138" s="52">
        <v>49.999999999999993</v>
      </c>
      <c r="O138" s="52">
        <v>30.999999999999996</v>
      </c>
      <c r="P138" s="52">
        <v>49.999999999999993</v>
      </c>
      <c r="Q138" s="52">
        <v>49.999999999999993</v>
      </c>
      <c r="R138" s="52">
        <v>30.999999999999996</v>
      </c>
      <c r="S138" s="52">
        <v>50.000000000000078</v>
      </c>
      <c r="T138" s="52">
        <v>30.999999999999993</v>
      </c>
      <c r="U138" s="52">
        <v>30.999999999999993</v>
      </c>
      <c r="V138" s="52">
        <v>52.000000000000007</v>
      </c>
      <c r="W138" s="52">
        <v>49.999999999999993</v>
      </c>
      <c r="X138" s="52">
        <v>0</v>
      </c>
      <c r="Y138" s="52">
        <v>50.000000000000007</v>
      </c>
      <c r="Z138" s="52">
        <v>30.999999999999996</v>
      </c>
      <c r="AA138" s="52">
        <v>76.896103896103924</v>
      </c>
      <c r="AB138" s="52">
        <v>52.000000000000007</v>
      </c>
      <c r="AC138" s="52">
        <v>50.000000000000021</v>
      </c>
      <c r="AD138" s="52">
        <v>30.999999999999996</v>
      </c>
      <c r="AE138" s="52">
        <v>50.000000000000021</v>
      </c>
      <c r="AF138" s="52">
        <v>50.000000000000007</v>
      </c>
      <c r="AG138" s="52">
        <v>31.000000000000011</v>
      </c>
      <c r="AH138" s="52">
        <v>50.000000000000014</v>
      </c>
      <c r="AI138" s="52">
        <v>50.000000000000014</v>
      </c>
      <c r="AJ138" s="52">
        <v>0</v>
      </c>
      <c r="AK138" s="52">
        <v>49.999999999999993</v>
      </c>
      <c r="AL138" s="52">
        <v>50.000000000000007</v>
      </c>
      <c r="AM138" s="52">
        <v>93.000000000000028</v>
      </c>
      <c r="AN138" s="52">
        <v>50.000000000000028</v>
      </c>
      <c r="AO138" s="52">
        <v>50.000000000000014</v>
      </c>
      <c r="AP138" s="52">
        <v>30.999999999999996</v>
      </c>
      <c r="AQ138" s="52">
        <v>49.999999999999993</v>
      </c>
      <c r="AR138" s="52">
        <v>50.000000000000007</v>
      </c>
      <c r="AS138" s="52">
        <v>31.000000000000007</v>
      </c>
      <c r="AT138" s="52">
        <v>52.000000000000007</v>
      </c>
      <c r="AU138" s="52">
        <v>50.000000000000014</v>
      </c>
      <c r="AV138" s="52">
        <v>0</v>
      </c>
      <c r="AW138" s="52">
        <v>50.000000000000021</v>
      </c>
      <c r="AX138" s="52">
        <v>50.000000000000007</v>
      </c>
      <c r="AY138" s="52">
        <v>106.7777777777778</v>
      </c>
      <c r="AZ138" s="52">
        <v>50.000000000000028</v>
      </c>
      <c r="BA138" s="52">
        <v>50.000000000000007</v>
      </c>
      <c r="BB138" s="52">
        <v>0</v>
      </c>
      <c r="BC138" s="52">
        <v>50.000000000000007</v>
      </c>
      <c r="BD138" s="52">
        <v>31.000000000000007</v>
      </c>
      <c r="BE138" s="52">
        <v>85.25</v>
      </c>
      <c r="BF138" s="52">
        <v>34</v>
      </c>
      <c r="BG138" s="52">
        <v>34</v>
      </c>
      <c r="BH138" s="52">
        <v>30.999999999999996</v>
      </c>
      <c r="BI138" s="52">
        <v>33.999999999999979</v>
      </c>
      <c r="BJ138" s="52">
        <v>31.000000000000007</v>
      </c>
      <c r="BK138" s="52">
        <v>31.000000000000025</v>
      </c>
      <c r="BL138" s="52">
        <v>52.000000000000014</v>
      </c>
      <c r="BM138" s="52">
        <v>34</v>
      </c>
      <c r="BN138" s="52">
        <v>30.000000000000004</v>
      </c>
      <c r="BO138" s="52">
        <v>33.999999999999979</v>
      </c>
      <c r="BP138" s="52">
        <v>31.000000000000007</v>
      </c>
      <c r="BQ138" s="52">
        <v>30</v>
      </c>
      <c r="BR138" s="52">
        <v>54</v>
      </c>
      <c r="BS138" s="52">
        <v>50.000000000000007</v>
      </c>
      <c r="BT138" s="52">
        <v>31.000000000000007</v>
      </c>
      <c r="BU138" s="52">
        <v>54</v>
      </c>
      <c r="BV138" s="52">
        <v>31.000000000000004</v>
      </c>
      <c r="BW138" s="52">
        <v>29.999999999999996</v>
      </c>
    </row>
  </sheetData>
  <phoneticPr fontId="1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16</vt:i4>
      </vt:variant>
      <vt:variant>
        <vt:lpstr>Gráficos</vt:lpstr>
      </vt:variant>
      <vt:variant>
        <vt:i4>6</vt:i4>
      </vt:variant>
      <vt:variant>
        <vt:lpstr>Rangos con nombre</vt:lpstr>
      </vt:variant>
      <vt:variant>
        <vt:i4>14</vt:i4>
      </vt:variant>
    </vt:vector>
  </HeadingPairs>
  <TitlesOfParts>
    <vt:vector size="36" baseType="lpstr">
      <vt:lpstr>Menu</vt:lpstr>
      <vt:lpstr>Indices</vt:lpstr>
      <vt:lpstr>Parameters</vt:lpstr>
      <vt:lpstr>DemandDuration</vt:lpstr>
      <vt:lpstr>Generation</vt:lpstr>
      <vt:lpstr>Inflows</vt:lpstr>
      <vt:lpstr>Network</vt:lpstr>
      <vt:lpstr>InstalCapT</vt:lpstr>
      <vt:lpstr>UC</vt:lpstr>
      <vt:lpstr>Output</vt:lpstr>
      <vt:lpstr>Energy</vt:lpstr>
      <vt:lpstr>WtrReserve</vt:lpstr>
      <vt:lpstr>WtrValue</vt:lpstr>
      <vt:lpstr>Flow</vt:lpstr>
      <vt:lpstr>Angle</vt:lpstr>
      <vt:lpstr>LRMC</vt:lpstr>
      <vt:lpstr>GrUC</vt:lpstr>
      <vt:lpstr>GrOutput</vt:lpstr>
      <vt:lpstr>GrEnergy</vt:lpstr>
      <vt:lpstr>GrWtrReserve</vt:lpstr>
      <vt:lpstr>GrWtrValue</vt:lpstr>
      <vt:lpstr>GrLRMC</vt:lpstr>
      <vt:lpstr>demand</vt:lpstr>
      <vt:lpstr>duration</vt:lpstr>
      <vt:lpstr>Generation!hydrogen</vt:lpstr>
      <vt:lpstr>hydrogen</vt:lpstr>
      <vt:lpstr>indices</vt:lpstr>
      <vt:lpstr>inflows</vt:lpstr>
      <vt:lpstr>network</vt:lpstr>
      <vt:lpstr>oprres</vt:lpstr>
      <vt:lpstr>param</vt:lpstr>
      <vt:lpstr>Generation!reservoir</vt:lpstr>
      <vt:lpstr>reservoir</vt:lpstr>
      <vt:lpstr>Generation!thermalgen</vt:lpstr>
      <vt:lpstr>thermalgen</vt:lpstr>
      <vt:lpstr>tree</vt:lpstr>
    </vt:vector>
  </TitlesOfParts>
  <Company>IIT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Ramos</dc:creator>
  <cp:lastModifiedBy>Andrés Ramos Galán</cp:lastModifiedBy>
  <dcterms:created xsi:type="dcterms:W3CDTF">2008-11-06T19:34:38Z</dcterms:created>
  <dcterms:modified xsi:type="dcterms:W3CDTF">2023-01-05T10:51:27Z</dcterms:modified>
</cp:coreProperties>
</file>