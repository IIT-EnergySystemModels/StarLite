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chartsheets/sheet2.xml" ContentType="application/vnd.openxmlformats-officedocument.spreadsheetml.chartsheet+xml"/>
  <Override PartName="/xl/worksheets/sheet9.xml" ContentType="application/vnd.openxmlformats-officedocument.spreadsheetml.worksheet+xml"/>
  <Override PartName="/xl/chartsheets/sheet3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2.xml" ContentType="application/vnd.openxmlformats-officedocument.spreadsheetml.worksheet+xml"/>
  <Override PartName="/xl/chartsheets/sheet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amos\OneDrive - Universidad Pontificia Comillas\Andres\StarLite\"/>
    </mc:Choice>
  </mc:AlternateContent>
  <xr:revisionPtr revIDLastSave="0" documentId="13_ncr:1_{D985F192-7F84-45AA-A63A-30958B9E1AD5}" xr6:coauthVersionLast="47" xr6:coauthVersionMax="47" xr10:uidLastSave="{00000000-0000-0000-0000-000000000000}"/>
  <bookViews>
    <workbookView xWindow="-108" yWindow="-108" windowWidth="23256" windowHeight="12456" tabRatio="692" xr2:uid="{00000000-000D-0000-FFFF-FFFF00000000}"/>
  </bookViews>
  <sheets>
    <sheet name="Menu" sheetId="1" r:id="rId1"/>
    <sheet name="Indices" sheetId="2" r:id="rId2"/>
    <sheet name="Parameters" sheetId="3" r:id="rId3"/>
    <sheet name="DemandDuration" sheetId="4" r:id="rId4"/>
    <sheet name="Generation" sheetId="7" r:id="rId5"/>
    <sheet name="Inflows" sheetId="13" r:id="rId6"/>
    <sheet name="UC" sheetId="9" r:id="rId7"/>
    <sheet name="GrUC" sheetId="27" r:id="rId8"/>
    <sheet name="Output" sheetId="8" r:id="rId9"/>
    <sheet name="GrOutput" sheetId="24" r:id="rId10"/>
    <sheet name="Energy" sheetId="14" r:id="rId11"/>
    <sheet name="GrEnergy" sheetId="25" r:id="rId12"/>
    <sheet name="WtrReserve" sheetId="17" r:id="rId13"/>
    <sheet name="GrWtrReserve" sheetId="28" r:id="rId14"/>
    <sheet name="WtrValue" sheetId="20" r:id="rId15"/>
    <sheet name="GrWtrValue" sheetId="29" r:id="rId16"/>
    <sheet name="SRMC" sheetId="10" r:id="rId17"/>
    <sheet name="GrSRMC" sheetId="30" r:id="rId18"/>
  </sheets>
  <functionGroups builtInGroupCount="19"/>
  <definedNames>
    <definedName name="_xlnm._FilterDatabase" localSheetId="10" hidden="1">Energy!$A$1:$BV$57</definedName>
    <definedName name="_xlnm._FilterDatabase" localSheetId="8" hidden="1">Output!$A$1:$BV$57</definedName>
    <definedName name="_xlnm._FilterDatabase" localSheetId="16" hidden="1">SRMC!$A$1:$BU$6</definedName>
    <definedName name="_xlnm._FilterDatabase" localSheetId="6" hidden="1">UC!$A$1:$Z$41</definedName>
    <definedName name="_xlnm._FilterDatabase" localSheetId="12" hidden="1">WtrReserve!$A$1:$N$10</definedName>
    <definedName name="_xlnm._FilterDatabase" localSheetId="14" hidden="1">WtrValue!$A$1:$N$10</definedName>
    <definedName name="demand">DemandDuration!$B$2:$J$22</definedName>
    <definedName name="duration">DemandDuration!$B$45:$J$61</definedName>
    <definedName name="hydrogen">Generation!$B$23:$M$34</definedName>
    <definedName name="indices">Indices!$B$2:$J$70</definedName>
    <definedName name="inflows">Inflows!$B$2:$R$25</definedName>
    <definedName name="oprres">DemandDuration!$B$24:$J$43</definedName>
    <definedName name="param">Parameters!$B$2:$G$11</definedName>
    <definedName name="reservoir">Generation!$B$36:$M$46</definedName>
    <definedName name="thermalgen">Generation!$B$2:$M$21</definedName>
    <definedName name="tree">Inflows!$B$27:$I$35</definedName>
  </definedNames>
  <calcPr calcId="191029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1" i="4" l="1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D21" i="4"/>
  <c r="D20" i="4"/>
  <c r="D19" i="4"/>
  <c r="I7" i="13" l="1"/>
  <c r="Q22" i="13"/>
  <c r="G7" i="13" l="1"/>
  <c r="H7" i="13"/>
  <c r="J7" i="13"/>
  <c r="K7" i="13"/>
  <c r="L7" i="13"/>
  <c r="M7" i="13"/>
  <c r="N7" i="13"/>
  <c r="N9" i="13" s="1"/>
  <c r="O7" i="13"/>
  <c r="P7" i="13"/>
  <c r="Q7" i="13"/>
  <c r="G8" i="13"/>
  <c r="H8" i="13"/>
  <c r="I8" i="13"/>
  <c r="J8" i="13"/>
  <c r="K8" i="13"/>
  <c r="L8" i="13"/>
  <c r="M8" i="13"/>
  <c r="N8" i="13"/>
  <c r="O8" i="13"/>
  <c r="P8" i="13"/>
  <c r="Q8" i="13"/>
  <c r="F9" i="13"/>
  <c r="H9" i="13"/>
  <c r="G12" i="13"/>
  <c r="G14" i="13" s="1"/>
  <c r="H12" i="13"/>
  <c r="I12" i="13"/>
  <c r="J12" i="13"/>
  <c r="K12" i="13"/>
  <c r="L12" i="13"/>
  <c r="M12" i="13"/>
  <c r="N12" i="13"/>
  <c r="O12" i="13"/>
  <c r="O14" i="13" s="1"/>
  <c r="P12" i="13"/>
  <c r="Q12" i="13"/>
  <c r="G13" i="13"/>
  <c r="H13" i="13"/>
  <c r="I13" i="13"/>
  <c r="J13" i="13"/>
  <c r="J14" i="13" s="1"/>
  <c r="K13" i="13"/>
  <c r="L13" i="13"/>
  <c r="M13" i="13"/>
  <c r="N13" i="13"/>
  <c r="O13" i="13"/>
  <c r="P13" i="13"/>
  <c r="Q13" i="13"/>
  <c r="F14" i="13"/>
  <c r="G17" i="13"/>
  <c r="H17" i="13"/>
  <c r="I17" i="13"/>
  <c r="J17" i="13"/>
  <c r="K17" i="13"/>
  <c r="L17" i="13"/>
  <c r="M17" i="13"/>
  <c r="N17" i="13"/>
  <c r="O17" i="13"/>
  <c r="P17" i="13"/>
  <c r="Q17" i="13"/>
  <c r="G18" i="13"/>
  <c r="H18" i="13"/>
  <c r="I18" i="13"/>
  <c r="J18" i="13"/>
  <c r="K18" i="13"/>
  <c r="L18" i="13"/>
  <c r="M18" i="13"/>
  <c r="N18" i="13"/>
  <c r="O18" i="13"/>
  <c r="P18" i="13"/>
  <c r="Q18" i="13"/>
  <c r="F19" i="13"/>
  <c r="G22" i="13"/>
  <c r="H22" i="13"/>
  <c r="H24" i="13" s="1"/>
  <c r="I22" i="13"/>
  <c r="J22" i="13"/>
  <c r="K22" i="13"/>
  <c r="L22" i="13"/>
  <c r="M22" i="13"/>
  <c r="N22" i="13"/>
  <c r="O22" i="13"/>
  <c r="P22" i="13"/>
  <c r="P24" i="13" s="1"/>
  <c r="G23" i="13"/>
  <c r="H23" i="13"/>
  <c r="I23" i="13"/>
  <c r="J23" i="13"/>
  <c r="J24" i="13" s="1"/>
  <c r="K23" i="13"/>
  <c r="L23" i="13"/>
  <c r="M23" i="13"/>
  <c r="N23" i="13"/>
  <c r="N24" i="13" s="1"/>
  <c r="O23" i="13"/>
  <c r="P23" i="13"/>
  <c r="Q23" i="13"/>
  <c r="F24" i="13"/>
  <c r="L7" i="7"/>
  <c r="E8" i="7"/>
  <c r="L8" i="7"/>
  <c r="E9" i="7"/>
  <c r="L9" i="7"/>
  <c r="E10" i="7"/>
  <c r="L10" i="7"/>
  <c r="E11" i="7"/>
  <c r="L11" i="7"/>
  <c r="E12" i="7"/>
  <c r="L12" i="7"/>
  <c r="E13" i="7"/>
  <c r="L13" i="7"/>
  <c r="E14" i="7"/>
  <c r="L14" i="7"/>
  <c r="E15" i="7"/>
  <c r="L15" i="7"/>
  <c r="L16" i="7"/>
  <c r="L17" i="7"/>
  <c r="L18" i="7"/>
  <c r="L19" i="7"/>
  <c r="D28" i="4"/>
  <c r="G28" i="4"/>
  <c r="D29" i="4"/>
  <c r="G29" i="4"/>
  <c r="D30" i="4"/>
  <c r="G30" i="4"/>
  <c r="D31" i="4"/>
  <c r="G31" i="4"/>
  <c r="D32" i="4"/>
  <c r="G32" i="4"/>
  <c r="D33" i="4"/>
  <c r="G33" i="4"/>
  <c r="D34" i="4"/>
  <c r="G34" i="4"/>
  <c r="D35" i="4"/>
  <c r="G35" i="4"/>
  <c r="D36" i="4"/>
  <c r="G36" i="4"/>
  <c r="D37" i="4"/>
  <c r="G37" i="4"/>
  <c r="D38" i="4"/>
  <c r="G38" i="4"/>
  <c r="D39" i="4"/>
  <c r="G39" i="4"/>
  <c r="O24" i="13" l="1"/>
  <c r="G24" i="13"/>
  <c r="L9" i="13"/>
  <c r="K14" i="13"/>
  <c r="L24" i="13"/>
  <c r="J9" i="13"/>
  <c r="G41" i="4"/>
  <c r="G42" i="4"/>
  <c r="K24" i="13"/>
  <c r="N14" i="13"/>
  <c r="Q9" i="13"/>
  <c r="L19" i="13"/>
  <c r="D42" i="4"/>
  <c r="D41" i="4"/>
  <c r="P9" i="13"/>
  <c r="P19" i="13"/>
  <c r="H19" i="13"/>
  <c r="O19" i="13"/>
  <c r="K19" i="13"/>
  <c r="G19" i="13"/>
  <c r="P14" i="13"/>
  <c r="L14" i="13"/>
  <c r="H14" i="13"/>
  <c r="M9" i="13"/>
  <c r="I9" i="13"/>
  <c r="N19" i="13"/>
  <c r="J19" i="13"/>
  <c r="Q24" i="13"/>
  <c r="M24" i="13"/>
  <c r="I24" i="13"/>
  <c r="Q19" i="13"/>
  <c r="M19" i="13"/>
  <c r="I19" i="13"/>
  <c r="Q14" i="13"/>
  <c r="M14" i="13"/>
  <c r="I14" i="13"/>
  <c r="O9" i="13"/>
  <c r="K9" i="13"/>
  <c r="G9" i="13"/>
</calcChain>
</file>

<file path=xl/sharedStrings.xml><?xml version="1.0" encoding="utf-8"?>
<sst xmlns="http://schemas.openxmlformats.org/spreadsheetml/2006/main" count="1383" uniqueCount="129">
  <si>
    <t>s</t>
  </si>
  <si>
    <t>thermal units</t>
  </si>
  <si>
    <t>scenarios</t>
  </si>
  <si>
    <t>/</t>
  </si>
  <si>
    <t>=</t>
  </si>
  <si>
    <t>;</t>
  </si>
  <si>
    <t>* parameters</t>
  </si>
  <si>
    <t>[MW]</t>
  </si>
  <si>
    <t>sc01</t>
  </si>
  <si>
    <t>sc02</t>
  </si>
  <si>
    <t>sc03</t>
  </si>
  <si>
    <t>[p.u.]</t>
  </si>
  <si>
    <t>* thermal generation</t>
  </si>
  <si>
    <t>Andrés Ramos</t>
  </si>
  <si>
    <t>* indices</t>
  </si>
  <si>
    <t>*</t>
  </si>
  <si>
    <t>SlopeVarCost</t>
  </si>
  <si>
    <t>p</t>
  </si>
  <si>
    <t>FuelCost</t>
  </si>
  <si>
    <t>Aux</t>
  </si>
  <si>
    <t>periods</t>
  </si>
  <si>
    <t>p01</t>
  </si>
  <si>
    <t>p12</t>
  </si>
  <si>
    <t>subperiods</t>
  </si>
  <si>
    <t>n</t>
  </si>
  <si>
    <t>load levels</t>
  </si>
  <si>
    <t>n01</t>
  </si>
  <si>
    <t>RunOfRiver</t>
  </si>
  <si>
    <t>PumpedStorageHydro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</si>
  <si>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</si>
  <si>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</si>
  <si>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</si>
  <si>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</si>
  <si>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</si>
  <si>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</si>
  <si>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</si>
  <si>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</si>
  <si>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</si>
  <si>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</si>
  <si>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WeekEnd</t>
  </si>
  <si>
    <t>WeekEnd.n01</t>
  </si>
  <si>
    <t>WeekEnd.n02</t>
  </si>
  <si>
    <t>OMVarCost</t>
  </si>
  <si>
    <t>* hydro generation</t>
  </si>
  <si>
    <t>MaxReserve</t>
  </si>
  <si>
    <t>MinReserve</t>
  </si>
  <si>
    <t>IniReserve</t>
  </si>
  <si>
    <t>Efficiency</t>
  </si>
  <si>
    <t>.</t>
  </si>
  <si>
    <t>Ancestor</t>
  </si>
  <si>
    <t>FirstPeriod</t>
  </si>
  <si>
    <t>Prob</t>
  </si>
  <si>
    <t>* scenario tree</t>
  </si>
  <si>
    <t>,</t>
  </si>
  <si>
    <t>g</t>
  </si>
  <si>
    <t>sc</t>
  </si>
  <si>
    <t>n02</t>
  </si>
  <si>
    <t>n03</t>
  </si>
  <si>
    <t xml:space="preserve"> </t>
  </si>
  <si>
    <t>hydro plants</t>
  </si>
  <si>
    <t>Nuclear</t>
  </si>
  <si>
    <t>BrownLignite</t>
  </si>
  <si>
    <t>CCGT_1</t>
  </si>
  <si>
    <t>CCGT_2</t>
  </si>
  <si>
    <t>CCGT_3</t>
  </si>
  <si>
    <t>CCGT_4</t>
  </si>
  <si>
    <t>OCGT_1</t>
  </si>
  <si>
    <t>OCGT_2</t>
  </si>
  <si>
    <t>OCGT_3</t>
  </si>
  <si>
    <t>FuelOilGas</t>
  </si>
  <si>
    <t>reservoirs</t>
  </si>
  <si>
    <t>r</t>
  </si>
  <si>
    <t>rur(r,r)</t>
  </si>
  <si>
    <t>* reservoir</t>
  </si>
  <si>
    <t>ProdFunct</t>
  </si>
  <si>
    <t>reservoir upstream of hydro plant</t>
  </si>
  <si>
    <t>ruh(r,g)</t>
  </si>
  <si>
    <t>MaxProd</t>
  </si>
  <si>
    <t>MinProd</t>
  </si>
  <si>
    <t>hydro plant upstream of reservoir</t>
  </si>
  <si>
    <t>hur(g,r)</t>
  </si>
  <si>
    <t>WeekEnd.n03</t>
  </si>
  <si>
    <t>reservoir 1 upstream of reservoir 2</t>
  </si>
  <si>
    <t>hpr(g,r)</t>
  </si>
  <si>
    <t>pumped hydro plant upstream of reservoir</t>
  </si>
  <si>
    <t>rph(r,g)</t>
  </si>
  <si>
    <t>reservoir upstream of pumped hydro plant</t>
  </si>
  <si>
    <r>
      <t>StarGen Lite</t>
    </r>
    <r>
      <rPr>
        <i/>
        <sz val="18"/>
        <rFont val="Palatino Linotype"/>
        <family val="1"/>
      </rPr>
      <t xml:space="preserve"> Medium Term Stochastic Hydrothermal Coordination Model</t>
    </r>
  </si>
  <si>
    <t>EFOR</t>
  </si>
  <si>
    <t>[Mcal/MWh]</t>
  </si>
  <si>
    <t>[Mcal/h]</t>
  </si>
  <si>
    <t>[Mcal]</t>
  </si>
  <si>
    <t>pENSCost</t>
  </si>
  <si>
    <t>pPNSCost</t>
  </si>
  <si>
    <t>MaxCons</t>
  </si>
  <si>
    <t>StorageHydro1_Basin1</t>
  </si>
  <si>
    <t>StorageHydro2_Basin1</t>
  </si>
  <si>
    <t>StorageHydro3_Basin1</t>
  </si>
  <si>
    <t>Reservoir1_Basin1</t>
  </si>
  <si>
    <t>Reservoir2_Basin1</t>
  </si>
  <si>
    <t>Reservoir3_Basin1</t>
  </si>
  <si>
    <t>DomesticCoal_Anthracite</t>
  </si>
  <si>
    <t>ImportedCoal_Bituminous</t>
  </si>
  <si>
    <t>ImportedCoal_SubBituminous</t>
  </si>
  <si>
    <t>WeekDay</t>
  </si>
  <si>
    <t>WeekDay.n01</t>
  </si>
  <si>
    <t>WeekDay.n02</t>
  </si>
  <si>
    <t>WeekDay.n03</t>
  </si>
  <si>
    <t>* cost of energy not served</t>
  </si>
  <si>
    <t>* cost of power not served</t>
  </si>
  <si>
    <r>
      <t xml:space="preserve">* natural hydro inflows </t>
    </r>
    <r>
      <rPr>
        <sz val="10"/>
        <color indexed="48"/>
        <rFont val="Calibri"/>
        <family val="2"/>
        <scheme val="minor"/>
      </rPr>
      <t>[m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/s]</t>
    </r>
  </si>
  <si>
    <r>
      <t>[kWh/m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]</t>
    </r>
  </si>
  <si>
    <r>
      <t>[hm</t>
    </r>
    <r>
      <rPr>
        <vertAlign val="superscript"/>
        <sz val="10"/>
        <color indexed="48"/>
        <rFont val="Calibri"/>
        <family val="2"/>
        <scheme val="minor"/>
      </rPr>
      <t>3</t>
    </r>
    <r>
      <rPr>
        <sz val="10"/>
        <color indexed="48"/>
        <rFont val="Calibri"/>
        <family val="2"/>
        <scheme val="minor"/>
      </rPr>
      <t>]</t>
    </r>
  </si>
  <si>
    <r>
      <t>* demand</t>
    </r>
    <r>
      <rPr>
        <sz val="10"/>
        <color indexed="48"/>
        <rFont val="Calibri"/>
        <family val="2"/>
        <scheme val="minor"/>
      </rPr>
      <t xml:space="preserve"> [MW]</t>
    </r>
  </si>
  <si>
    <r>
      <t>* operating reserve</t>
    </r>
    <r>
      <rPr>
        <sz val="10"/>
        <color indexed="48"/>
        <rFont val="Calibri"/>
        <family val="2"/>
        <scheme val="minor"/>
      </rPr>
      <t xml:space="preserve"> [MW]</t>
    </r>
  </si>
  <si>
    <r>
      <t>* duration</t>
    </r>
    <r>
      <rPr>
        <sz val="10"/>
        <color indexed="48"/>
        <rFont val="Calibri"/>
        <family val="2"/>
        <scheme val="minor"/>
      </rPr>
      <t xml:space="preserve"> [h]</t>
    </r>
  </si>
  <si>
    <t>andres.ramos@comillas.edu</t>
  </si>
  <si>
    <t>Scen</t>
  </si>
  <si>
    <t>Unit</t>
  </si>
  <si>
    <t>Reservoir</t>
  </si>
  <si>
    <t>https://www.iit.comillas.edu/aramos/</t>
  </si>
  <si>
    <t>* Max</t>
  </si>
  <si>
    <t>* Min</t>
  </si>
  <si>
    <t>* Energy</t>
  </si>
  <si>
    <t>StartUpCost</t>
  </si>
  <si>
    <t>InterceptVarCost</t>
  </si>
  <si>
    <t>[EUR/MWh]</t>
  </si>
  <si>
    <t>[EUR/MW]</t>
  </si>
  <si>
    <t>[EUR/Mcal]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</si>
</sst>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0"/>
      <name val="Arial"/>
    </font>
    <font>
      <sz val="8"/>
      <name val="Arial"/>
      <family val="2"/>
    </font>
    <font>
      <i/>
      <sz val="18"/>
      <name val="Palatino Linotype"/>
      <family val="1"/>
    </font>
    <font>
      <u/>
      <sz val="10"/>
      <color indexed="12"/>
      <name val="Arial"/>
      <family val="2"/>
    </font>
    <font>
      <u/>
      <sz val="14"/>
      <color indexed="12"/>
      <name val="Courier New"/>
      <family val="3"/>
    </font>
    <font>
      <b/>
      <i/>
      <sz val="18"/>
      <name val="Palatino Linotype"/>
      <family val="1"/>
    </font>
    <font>
      <b/>
      <i/>
      <sz val="20"/>
      <name val="Palatino Linotype"/>
      <family val="1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vertAlign val="superscript"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57"/>
      <name val="Calibri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52">
    <xf numFmtId="0" fontId="0" fillId="0" borderId="0" xfId="0"/>
    <xf numFmtId="0" fontId="0" fillId="0" borderId="0" xfId="0" applyAlignment="1">
      <alignment horizontal="center"/>
    </xf>
    <xf numFmtId="0" fontId="4" fillId="0" borderId="0" xfId="1" applyFont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4" borderId="0" xfId="0" applyFill="1"/>
    <xf numFmtId="0" fontId="6" fillId="4" borderId="0" xfId="0" applyFont="1" applyFill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/>
    </xf>
    <xf numFmtId="0" fontId="7" fillId="0" borderId="1" xfId="0" applyFont="1" applyBorder="1"/>
    <xf numFmtId="0" fontId="7" fillId="0" borderId="2" xfId="0" applyFont="1" applyBorder="1"/>
    <xf numFmtId="0" fontId="8" fillId="0" borderId="2" xfId="0" applyFont="1" applyBorder="1" applyAlignment="1">
      <alignment horizontal="center"/>
    </xf>
    <xf numFmtId="0" fontId="7" fillId="0" borderId="3" xfId="0" applyFont="1" applyBorder="1"/>
    <xf numFmtId="0" fontId="9" fillId="0" borderId="4" xfId="0" applyFont="1" applyBorder="1"/>
    <xf numFmtId="0" fontId="7" fillId="0" borderId="5" xfId="0" applyFont="1" applyBorder="1"/>
    <xf numFmtId="0" fontId="7" fillId="0" borderId="4" xfId="0" applyFont="1" applyBorder="1"/>
    <xf numFmtId="0" fontId="10" fillId="0" borderId="0" xfId="0" applyFont="1"/>
    <xf numFmtId="0" fontId="7" fillId="0" borderId="0" xfId="0" quotePrefix="1" applyFont="1"/>
    <xf numFmtId="0" fontId="7" fillId="3" borderId="0" xfId="0" applyFont="1" applyFill="1" applyAlignment="1">
      <alignment horizontal="center"/>
    </xf>
    <xf numFmtId="0" fontId="8" fillId="0" borderId="0" xfId="0" quotePrefix="1" applyFont="1" applyAlignment="1">
      <alignment horizontal="center"/>
    </xf>
    <xf numFmtId="0" fontId="7" fillId="3" borderId="0" xfId="0" applyFont="1" applyFill="1" applyAlignment="1">
      <alignment horizontal="left"/>
    </xf>
    <xf numFmtId="0" fontId="10" fillId="0" borderId="4" xfId="0" applyFont="1" applyBorder="1"/>
    <xf numFmtId="0" fontId="7" fillId="0" borderId="6" xfId="0" applyFont="1" applyBorder="1"/>
    <xf numFmtId="0" fontId="7" fillId="0" borderId="7" xfId="0" applyFont="1" applyBorder="1"/>
    <xf numFmtId="0" fontId="8" fillId="0" borderId="7" xfId="0" applyFont="1" applyBorder="1" applyAlignment="1">
      <alignment horizontal="center"/>
    </xf>
    <xf numFmtId="0" fontId="7" fillId="0" borderId="8" xfId="0" applyFont="1" applyBorder="1"/>
    <xf numFmtId="0" fontId="7" fillId="2" borderId="0" xfId="0" quotePrefix="1" applyFont="1" applyFill="1" applyAlignment="1">
      <alignment horizontal="left"/>
    </xf>
    <xf numFmtId="1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" fontId="7" fillId="0" borderId="0" xfId="0" applyNumberFormat="1" applyFont="1"/>
    <xf numFmtId="0" fontId="7" fillId="2" borderId="0" xfId="0" applyFont="1" applyFill="1" applyAlignment="1">
      <alignment horizontal="left"/>
    </xf>
    <xf numFmtId="0" fontId="7" fillId="2" borderId="0" xfId="0" quotePrefix="1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11" fillId="0" borderId="4" xfId="0" applyFont="1" applyBorder="1"/>
    <xf numFmtId="0" fontId="11" fillId="0" borderId="0" xfId="0" applyFont="1"/>
    <xf numFmtId="0" fontId="11" fillId="0" borderId="0" xfId="0" applyFont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5" xfId="0" applyFont="1" applyBorder="1" applyAlignment="1">
      <alignment horizontal="center"/>
    </xf>
    <xf numFmtId="164" fontId="7" fillId="3" borderId="0" xfId="0" applyNumberFormat="1" applyFont="1" applyFill="1"/>
    <xf numFmtId="0" fontId="7" fillId="0" borderId="7" xfId="0" applyFont="1" applyBorder="1" applyAlignment="1">
      <alignment horizontal="center"/>
    </xf>
    <xf numFmtId="1" fontId="7" fillId="3" borderId="0" xfId="0" applyNumberFormat="1" applyFont="1" applyFill="1" applyAlignment="1">
      <alignment horizontal="right"/>
    </xf>
    <xf numFmtId="165" fontId="7" fillId="3" borderId="0" xfId="0" applyNumberFormat="1" applyFont="1" applyFill="1" applyAlignment="1">
      <alignment horizontal="right"/>
    </xf>
    <xf numFmtId="0" fontId="7" fillId="3" borderId="0" xfId="0" applyFont="1" applyFill="1"/>
    <xf numFmtId="0" fontId="10" fillId="0" borderId="4" xfId="0" applyFont="1" applyBorder="1" applyAlignment="1">
      <alignment horizontal="left"/>
    </xf>
    <xf numFmtId="0" fontId="10" fillId="0" borderId="0" xfId="0" applyFont="1" applyAlignment="1">
      <alignment horizontal="center"/>
    </xf>
    <xf numFmtId="2" fontId="7" fillId="3" borderId="0" xfId="0" applyNumberFormat="1" applyFont="1" applyFill="1"/>
    <xf numFmtId="1" fontId="7" fillId="3" borderId="0" xfId="0" applyNumberFormat="1" applyFont="1" applyFill="1"/>
    <xf numFmtId="0" fontId="7" fillId="0" borderId="5" xfId="0" quotePrefix="1" applyFont="1" applyBorder="1"/>
    <xf numFmtId="0" fontId="13" fillId="0" borderId="4" xfId="0" applyFont="1" applyBorder="1"/>
    <xf numFmtId="0" fontId="13" fillId="0" borderId="0" xfId="0" applyFont="1"/>
    <xf numFmtId="0" fontId="13" fillId="0" borderId="0" xfId="0" applyFont="1" applyAlignment="1">
      <alignment horizontal="center"/>
    </xf>
    <xf numFmtId="0" fontId="14" fillId="3" borderId="0" xfId="0" quotePrefix="1" applyFont="1" applyFill="1"/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0.xml"/><Relationship Id="rId18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microsoft.com/office/2006/relationships/vbaProject" Target="vbaProject.bin"/><Relationship Id="rId10" Type="http://schemas.openxmlformats.org/officeDocument/2006/relationships/chartsheet" Target="chartsheets/sheet2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hartsheet" Target="chartsheets/sheet4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83191721012402"/>
          <c:y val="8.7542375389229155E-2"/>
          <c:w val="0.6537227158593687"/>
          <c:h val="0.680136916485547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DemandDuration!$D$5</c:f>
              <c:strCache>
                <c:ptCount val="1"/>
                <c:pt idx="0">
                  <c:v>WeekDay.n01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DemandDuration!$C$6:$C$17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DemandDuration!$D$6:$D$17</c:f>
              <c:numCache>
                <c:formatCode>0</c:formatCode>
                <c:ptCount val="12"/>
                <c:pt idx="0">
                  <c:v>4414.7</c:v>
                </c:pt>
                <c:pt idx="1">
                  <c:v>4153.6000000000004</c:v>
                </c:pt>
                <c:pt idx="2">
                  <c:v>4028.6</c:v>
                </c:pt>
                <c:pt idx="3">
                  <c:v>3752</c:v>
                </c:pt>
                <c:pt idx="4">
                  <c:v>3746.3</c:v>
                </c:pt>
                <c:pt idx="5">
                  <c:v>4103</c:v>
                </c:pt>
                <c:pt idx="6">
                  <c:v>4184.5</c:v>
                </c:pt>
                <c:pt idx="7">
                  <c:v>3778.1</c:v>
                </c:pt>
                <c:pt idx="8">
                  <c:v>4009.2</c:v>
                </c:pt>
                <c:pt idx="9">
                  <c:v>3887</c:v>
                </c:pt>
                <c:pt idx="10">
                  <c:v>4255.5</c:v>
                </c:pt>
                <c:pt idx="11">
                  <c:v>4453.8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7-4812-8BD8-427751FD4B0D}"/>
            </c:ext>
          </c:extLst>
        </c:ser>
        <c:ser>
          <c:idx val="1"/>
          <c:order val="1"/>
          <c:tx>
            <c:strRef>
              <c:f>DemandDuration!$E$5</c:f>
              <c:strCache>
                <c:ptCount val="1"/>
                <c:pt idx="0">
                  <c:v>WeekDay.n02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DemandDuration!$C$6:$C$17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DemandDuration!$E$6:$E$17</c:f>
              <c:numCache>
                <c:formatCode>0</c:formatCode>
                <c:ptCount val="12"/>
                <c:pt idx="0">
                  <c:v>3983.2</c:v>
                </c:pt>
                <c:pt idx="1">
                  <c:v>3816.9</c:v>
                </c:pt>
                <c:pt idx="2">
                  <c:v>3702.5</c:v>
                </c:pt>
                <c:pt idx="3">
                  <c:v>3447.6</c:v>
                </c:pt>
                <c:pt idx="4">
                  <c:v>3442.8</c:v>
                </c:pt>
                <c:pt idx="5">
                  <c:v>3728.5</c:v>
                </c:pt>
                <c:pt idx="6">
                  <c:v>3818.9</c:v>
                </c:pt>
                <c:pt idx="7">
                  <c:v>3492.5</c:v>
                </c:pt>
                <c:pt idx="8">
                  <c:v>3706.2</c:v>
                </c:pt>
                <c:pt idx="9">
                  <c:v>3557.1</c:v>
                </c:pt>
                <c:pt idx="10">
                  <c:v>3844.8</c:v>
                </c:pt>
                <c:pt idx="11">
                  <c:v>4005.3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67-4812-8BD8-427751FD4B0D}"/>
            </c:ext>
          </c:extLst>
        </c:ser>
        <c:ser>
          <c:idx val="2"/>
          <c:order val="2"/>
          <c:tx>
            <c:strRef>
              <c:f>DemandDuration!$F$5</c:f>
              <c:strCache>
                <c:ptCount val="1"/>
                <c:pt idx="0">
                  <c:v>WeekDay.n03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DemandDuration!$C$6:$C$17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DemandDuration!$F$6:$F$17</c:f>
              <c:numCache>
                <c:formatCode>0</c:formatCode>
                <c:ptCount val="12"/>
                <c:pt idx="0">
                  <c:v>2987.7</c:v>
                </c:pt>
                <c:pt idx="1">
                  <c:v>2885.7</c:v>
                </c:pt>
                <c:pt idx="2">
                  <c:v>2822.8</c:v>
                </c:pt>
                <c:pt idx="3">
                  <c:v>2622.3</c:v>
                </c:pt>
                <c:pt idx="4">
                  <c:v>2602.4</c:v>
                </c:pt>
                <c:pt idx="5">
                  <c:v>2776.6</c:v>
                </c:pt>
                <c:pt idx="6">
                  <c:v>2889.7</c:v>
                </c:pt>
                <c:pt idx="7">
                  <c:v>2666.5</c:v>
                </c:pt>
                <c:pt idx="8">
                  <c:v>2797.3</c:v>
                </c:pt>
                <c:pt idx="9">
                  <c:v>2645.2</c:v>
                </c:pt>
                <c:pt idx="10">
                  <c:v>2888.6</c:v>
                </c:pt>
                <c:pt idx="11">
                  <c:v>3013.4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67-4812-8BD8-427751FD4B0D}"/>
            </c:ext>
          </c:extLst>
        </c:ser>
        <c:ser>
          <c:idx val="3"/>
          <c:order val="3"/>
          <c:tx>
            <c:strRef>
              <c:f>DemandDuration!$G$5</c:f>
              <c:strCache>
                <c:ptCount val="1"/>
                <c:pt idx="0">
                  <c:v>WeekEnd.n01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DemandDuration!$C$6:$C$17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DemandDuration!$G$6:$G$17</c:f>
              <c:numCache>
                <c:formatCode>0</c:formatCode>
                <c:ptCount val="12"/>
                <c:pt idx="0">
                  <c:v>3697.3</c:v>
                </c:pt>
                <c:pt idx="1">
                  <c:v>3561.3</c:v>
                </c:pt>
                <c:pt idx="2">
                  <c:v>3442</c:v>
                </c:pt>
                <c:pt idx="3">
                  <c:v>3241.9</c:v>
                </c:pt>
                <c:pt idx="4">
                  <c:v>3108.9</c:v>
                </c:pt>
                <c:pt idx="5">
                  <c:v>3300.8</c:v>
                </c:pt>
                <c:pt idx="6">
                  <c:v>3412.9</c:v>
                </c:pt>
                <c:pt idx="7">
                  <c:v>3237.8</c:v>
                </c:pt>
                <c:pt idx="8">
                  <c:v>3256.3</c:v>
                </c:pt>
                <c:pt idx="9">
                  <c:v>3242</c:v>
                </c:pt>
                <c:pt idx="10">
                  <c:v>3503.2</c:v>
                </c:pt>
                <c:pt idx="11">
                  <c:v>3660.3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67-4812-8BD8-427751FD4B0D}"/>
            </c:ext>
          </c:extLst>
        </c:ser>
        <c:ser>
          <c:idx val="5"/>
          <c:order val="4"/>
          <c:tx>
            <c:strRef>
              <c:f>DemandDuration!$H$5</c:f>
              <c:strCache>
                <c:ptCount val="1"/>
                <c:pt idx="0">
                  <c:v>WeekEnd.n02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DemandDuration!$H$6:$H$17</c:f>
              <c:numCache>
                <c:formatCode>0</c:formatCode>
                <c:ptCount val="12"/>
                <c:pt idx="0">
                  <c:v>3189.9</c:v>
                </c:pt>
                <c:pt idx="1">
                  <c:v>3188</c:v>
                </c:pt>
                <c:pt idx="2">
                  <c:v>3041.1</c:v>
                </c:pt>
                <c:pt idx="3">
                  <c:v>2850.5</c:v>
                </c:pt>
                <c:pt idx="4">
                  <c:v>2768</c:v>
                </c:pt>
                <c:pt idx="5">
                  <c:v>2984.3</c:v>
                </c:pt>
                <c:pt idx="6">
                  <c:v>3097.1</c:v>
                </c:pt>
                <c:pt idx="7">
                  <c:v>2909.2</c:v>
                </c:pt>
                <c:pt idx="8">
                  <c:v>2909.4</c:v>
                </c:pt>
                <c:pt idx="9">
                  <c:v>2844</c:v>
                </c:pt>
                <c:pt idx="10">
                  <c:v>3116.1</c:v>
                </c:pt>
                <c:pt idx="11">
                  <c:v>3210.7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67-4812-8BD8-427751FD4B0D}"/>
            </c:ext>
          </c:extLst>
        </c:ser>
        <c:ser>
          <c:idx val="4"/>
          <c:order val="5"/>
          <c:tx>
            <c:strRef>
              <c:f>DemandDuration!$I$5</c:f>
              <c:strCache>
                <c:ptCount val="1"/>
                <c:pt idx="0">
                  <c:v>WeekEnd.n03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DemandDuration!$C$6:$C$17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DemandDuration!$I$6:$I$17</c:f>
              <c:numCache>
                <c:formatCode>0</c:formatCode>
                <c:ptCount val="12"/>
                <c:pt idx="0">
                  <c:v>2619.4</c:v>
                </c:pt>
                <c:pt idx="1">
                  <c:v>2644.2</c:v>
                </c:pt>
                <c:pt idx="2">
                  <c:v>2572</c:v>
                </c:pt>
                <c:pt idx="3">
                  <c:v>2435.8000000000002</c:v>
                </c:pt>
                <c:pt idx="4">
                  <c:v>2385.3000000000002</c:v>
                </c:pt>
                <c:pt idx="5">
                  <c:v>2512.4</c:v>
                </c:pt>
                <c:pt idx="6">
                  <c:v>2599.3000000000002</c:v>
                </c:pt>
                <c:pt idx="7">
                  <c:v>2448</c:v>
                </c:pt>
                <c:pt idx="8">
                  <c:v>2488.1999999999998</c:v>
                </c:pt>
                <c:pt idx="9">
                  <c:v>2443.4</c:v>
                </c:pt>
                <c:pt idx="10">
                  <c:v>2586.1999999999998</c:v>
                </c:pt>
                <c:pt idx="11">
                  <c:v>2619.3000000000002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67-4812-8BD8-427751FD4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216640"/>
        <c:axId val="347216080"/>
      </c:barChart>
      <c:catAx>
        <c:axId val="34721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Month</a:t>
                </a:r>
              </a:p>
            </c:rich>
          </c:tx>
          <c:layout>
            <c:manualLayout>
              <c:xMode val="edge"/>
              <c:yMode val="edge"/>
              <c:x val="0.42071265363674198"/>
              <c:y val="0.87205669998320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347216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216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Demand [MW]</a:t>
                </a:r>
              </a:p>
            </c:rich>
          </c:tx>
          <c:layout>
            <c:manualLayout>
              <c:xMode val="edge"/>
              <c:yMode val="edge"/>
              <c:x val="2.5889967637540531E-2"/>
              <c:y val="0.2727283332007747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3472166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93539399808034"/>
          <c:y val="0.21548892247054979"/>
          <c:w val="0.18770260513552098"/>
          <c:h val="0.4276108415740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0144" r="0.75000000000000144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UC!$A$3:$B$3</c:f>
              <c:strCache>
                <c:ptCount val="2"/>
                <c:pt idx="0">
                  <c:v>sc01</c:v>
                </c:pt>
                <c:pt idx="1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UC!$C$3:$Z$3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0-4869-88FF-04F9730E1BDE}"/>
            </c:ext>
          </c:extLst>
        </c:ser>
        <c:ser>
          <c:idx val="1"/>
          <c:order val="1"/>
          <c:tx>
            <c:strRef>
              <c:f>UC!$A$4:$B$4</c:f>
              <c:strCache>
                <c:ptCount val="2"/>
                <c:pt idx="0">
                  <c:v>sc01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UC!$C$4:$Z$4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D0-4869-88FF-04F9730E1BDE}"/>
            </c:ext>
          </c:extLst>
        </c:ser>
        <c:ser>
          <c:idx val="2"/>
          <c:order val="2"/>
          <c:tx>
            <c:strRef>
              <c:f>UC!$A$5:$B$5</c:f>
              <c:strCache>
                <c:ptCount val="2"/>
                <c:pt idx="0">
                  <c:v>sc01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UC!$C$5:$Z$5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D0-4869-88FF-04F9730E1BDE}"/>
            </c:ext>
          </c:extLst>
        </c:ser>
        <c:ser>
          <c:idx val="3"/>
          <c:order val="3"/>
          <c:tx>
            <c:strRef>
              <c:f>UC!$A$6:$B$6</c:f>
              <c:strCache>
                <c:ptCount val="2"/>
                <c:pt idx="0">
                  <c:v>sc01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UC!$C$6:$Z$6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D0-4869-88FF-04F9730E1BDE}"/>
            </c:ext>
          </c:extLst>
        </c:ser>
        <c:ser>
          <c:idx val="4"/>
          <c:order val="4"/>
          <c:tx>
            <c:strRef>
              <c:f>UC!$A$7:$B$7</c:f>
              <c:strCache>
                <c:ptCount val="2"/>
                <c:pt idx="0">
                  <c:v>sc01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UC!$C$7:$Z$7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D0-4869-88FF-04F9730E1BDE}"/>
            </c:ext>
          </c:extLst>
        </c:ser>
        <c:ser>
          <c:idx val="5"/>
          <c:order val="5"/>
          <c:tx>
            <c:strRef>
              <c:f>UC!$A$8:$B$8</c:f>
              <c:strCache>
                <c:ptCount val="2"/>
                <c:pt idx="0">
                  <c:v>sc01</c:v>
                </c:pt>
                <c:pt idx="1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UC!$C$8:$Z$8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D0-4869-88FF-04F9730E1BDE}"/>
            </c:ext>
          </c:extLst>
        </c:ser>
        <c:ser>
          <c:idx val="6"/>
          <c:order val="6"/>
          <c:tx>
            <c:strRef>
              <c:f>UC!$A$9:$B$9</c:f>
              <c:strCache>
                <c:ptCount val="2"/>
                <c:pt idx="0">
                  <c:v>sc01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UC!$C$9:$Z$9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D0-4869-88FF-04F9730E1BDE}"/>
            </c:ext>
          </c:extLst>
        </c:ser>
        <c:ser>
          <c:idx val="7"/>
          <c:order val="7"/>
          <c:tx>
            <c:strRef>
              <c:f>UC!$A$10:$B$10</c:f>
              <c:strCache>
                <c:ptCount val="2"/>
                <c:pt idx="0">
                  <c:v>sc01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UC!$C$10:$Z$10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9D0-4869-88FF-04F9730E1BDE}"/>
            </c:ext>
          </c:extLst>
        </c:ser>
        <c:ser>
          <c:idx val="8"/>
          <c:order val="8"/>
          <c:tx>
            <c:strRef>
              <c:f>UC!$A$11:$B$11</c:f>
              <c:strCache>
                <c:ptCount val="2"/>
                <c:pt idx="0">
                  <c:v>sc01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UC!$C$11:$Z$11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9D0-4869-88FF-04F9730E1BDE}"/>
            </c:ext>
          </c:extLst>
        </c:ser>
        <c:ser>
          <c:idx val="9"/>
          <c:order val="9"/>
          <c:tx>
            <c:strRef>
              <c:f>UC!$A$12:$B$12</c:f>
              <c:strCache>
                <c:ptCount val="2"/>
                <c:pt idx="0">
                  <c:v>sc01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UC!$C$12:$Z$12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9D0-4869-88FF-04F9730E1BDE}"/>
            </c:ext>
          </c:extLst>
        </c:ser>
        <c:ser>
          <c:idx val="10"/>
          <c:order val="10"/>
          <c:tx>
            <c:strRef>
              <c:f>UC!$A$13:$B$13</c:f>
              <c:strCache>
                <c:ptCount val="2"/>
                <c:pt idx="0">
                  <c:v>sc01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UC!$C$13:$Z$13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9D0-4869-88FF-04F9730E1BDE}"/>
            </c:ext>
          </c:extLst>
        </c:ser>
        <c:ser>
          <c:idx val="11"/>
          <c:order val="11"/>
          <c:tx>
            <c:strRef>
              <c:f>UC!$A$14:$B$14</c:f>
              <c:strCache>
                <c:ptCount val="2"/>
                <c:pt idx="0">
                  <c:v>sc01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UC!$C$14:$Z$14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9D0-4869-88FF-04F9730E1BDE}"/>
            </c:ext>
          </c:extLst>
        </c:ser>
        <c:ser>
          <c:idx val="12"/>
          <c:order val="12"/>
          <c:tx>
            <c:strRef>
              <c:f>UC!$A$15:$B$15</c:f>
              <c:strCache>
                <c:ptCount val="2"/>
                <c:pt idx="0">
                  <c:v>sc01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UC!$C$15:$Z$15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9D0-4869-88FF-04F9730E1BDE}"/>
            </c:ext>
          </c:extLst>
        </c:ser>
        <c:ser>
          <c:idx val="13"/>
          <c:order val="13"/>
          <c:tx>
            <c:strRef>
              <c:f>UC!$A$16:$B$16</c:f>
              <c:strCache>
                <c:ptCount val="2"/>
                <c:pt idx="0">
                  <c:v>sc02</c:v>
                </c:pt>
                <c:pt idx="1">
                  <c:v>Nuclear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UC!$C$16:$Z$16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9D0-4869-88FF-04F9730E1BDE}"/>
            </c:ext>
          </c:extLst>
        </c:ser>
        <c:ser>
          <c:idx val="14"/>
          <c:order val="14"/>
          <c:tx>
            <c:strRef>
              <c:f>UC!$A$17:$B$17</c:f>
              <c:strCache>
                <c:ptCount val="2"/>
                <c:pt idx="0">
                  <c:v>sc02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UC!$C$17:$Z$17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9D0-4869-88FF-04F9730E1BDE}"/>
            </c:ext>
          </c:extLst>
        </c:ser>
        <c:ser>
          <c:idx val="15"/>
          <c:order val="15"/>
          <c:tx>
            <c:strRef>
              <c:f>UC!$A$18:$B$18</c:f>
              <c:strCache>
                <c:ptCount val="2"/>
                <c:pt idx="0">
                  <c:v>sc02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UC!$C$18:$Z$18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9D0-4869-88FF-04F9730E1BDE}"/>
            </c:ext>
          </c:extLst>
        </c:ser>
        <c:ser>
          <c:idx val="16"/>
          <c:order val="16"/>
          <c:tx>
            <c:strRef>
              <c:f>UC!$A$19:$B$19</c:f>
              <c:strCache>
                <c:ptCount val="2"/>
                <c:pt idx="0">
                  <c:v>sc02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UC!$C$19:$Z$19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9D0-4869-88FF-04F9730E1BDE}"/>
            </c:ext>
          </c:extLst>
        </c:ser>
        <c:ser>
          <c:idx val="17"/>
          <c:order val="17"/>
          <c:tx>
            <c:strRef>
              <c:f>UC!$A$20:$B$20</c:f>
              <c:strCache>
                <c:ptCount val="2"/>
                <c:pt idx="0">
                  <c:v>sc02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UC!$C$20:$Z$20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9D0-4869-88FF-04F9730E1BDE}"/>
            </c:ext>
          </c:extLst>
        </c:ser>
        <c:ser>
          <c:idx val="18"/>
          <c:order val="18"/>
          <c:tx>
            <c:strRef>
              <c:f>UC!$A$21:$B$21</c:f>
              <c:strCache>
                <c:ptCount val="2"/>
                <c:pt idx="0">
                  <c:v>sc02</c:v>
                </c:pt>
                <c:pt idx="1">
                  <c:v>CCGT_1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UC!$C$21:$Z$21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9D0-4869-88FF-04F9730E1BDE}"/>
            </c:ext>
          </c:extLst>
        </c:ser>
        <c:ser>
          <c:idx val="19"/>
          <c:order val="19"/>
          <c:tx>
            <c:strRef>
              <c:f>UC!$A$22:$B$22</c:f>
              <c:strCache>
                <c:ptCount val="2"/>
                <c:pt idx="0">
                  <c:v>sc02</c:v>
                </c:pt>
                <c:pt idx="1">
                  <c:v>CCGT_2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UC!$C$22:$Z$22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9D0-4869-88FF-04F9730E1BDE}"/>
            </c:ext>
          </c:extLst>
        </c:ser>
        <c:ser>
          <c:idx val="20"/>
          <c:order val="20"/>
          <c:tx>
            <c:strRef>
              <c:f>UC!$A$23:$B$23</c:f>
              <c:strCache>
                <c:ptCount val="2"/>
                <c:pt idx="0">
                  <c:v>sc02</c:v>
                </c:pt>
                <c:pt idx="1">
                  <c:v>CCGT_3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UC!$C$23:$Z$23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9D0-4869-88FF-04F9730E1BDE}"/>
            </c:ext>
          </c:extLst>
        </c:ser>
        <c:ser>
          <c:idx val="21"/>
          <c:order val="21"/>
          <c:tx>
            <c:strRef>
              <c:f>UC!$A$24:$B$24</c:f>
              <c:strCache>
                <c:ptCount val="2"/>
                <c:pt idx="0">
                  <c:v>sc02</c:v>
                </c:pt>
                <c:pt idx="1">
                  <c:v>CCGT_4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UC!$C$24:$Z$24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9D0-4869-88FF-04F9730E1BDE}"/>
            </c:ext>
          </c:extLst>
        </c:ser>
        <c:ser>
          <c:idx val="22"/>
          <c:order val="22"/>
          <c:tx>
            <c:strRef>
              <c:f>UC!$A$25:$B$25</c:f>
              <c:strCache>
                <c:ptCount val="2"/>
                <c:pt idx="0">
                  <c:v>sc02</c:v>
                </c:pt>
                <c:pt idx="1">
                  <c:v>OCGT_1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UC!$C$25:$Z$25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9D0-4869-88FF-04F9730E1BDE}"/>
            </c:ext>
          </c:extLst>
        </c:ser>
        <c:ser>
          <c:idx val="23"/>
          <c:order val="23"/>
          <c:tx>
            <c:strRef>
              <c:f>UC!$A$26:$B$26</c:f>
              <c:strCache>
                <c:ptCount val="2"/>
                <c:pt idx="0">
                  <c:v>sc02</c:v>
                </c:pt>
                <c:pt idx="1">
                  <c:v>OCGT_2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UC!$C$26:$Z$26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9D0-4869-88FF-04F9730E1BDE}"/>
            </c:ext>
          </c:extLst>
        </c:ser>
        <c:ser>
          <c:idx val="24"/>
          <c:order val="24"/>
          <c:tx>
            <c:strRef>
              <c:f>UC!$A$27:$B$27</c:f>
              <c:strCache>
                <c:ptCount val="2"/>
                <c:pt idx="0">
                  <c:v>sc02</c:v>
                </c:pt>
                <c:pt idx="1">
                  <c:v>OCGT_3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UC!$C$27:$Z$27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9D0-4869-88FF-04F9730E1BDE}"/>
            </c:ext>
          </c:extLst>
        </c:ser>
        <c:ser>
          <c:idx val="25"/>
          <c:order val="25"/>
          <c:tx>
            <c:strRef>
              <c:f>UC!$A$28:$B$28</c:f>
              <c:strCache>
                <c:ptCount val="2"/>
                <c:pt idx="0">
                  <c:v>sc02</c:v>
                </c:pt>
                <c:pt idx="1">
                  <c:v>FuelOilGas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UC!$C$28:$Z$28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9D0-4869-88FF-04F9730E1BDE}"/>
            </c:ext>
          </c:extLst>
        </c:ser>
        <c:ser>
          <c:idx val="26"/>
          <c:order val="26"/>
          <c:tx>
            <c:strRef>
              <c:f>UC!$A$29:$B$29</c:f>
              <c:strCache>
                <c:ptCount val="2"/>
                <c:pt idx="0">
                  <c:v>sc03</c:v>
                </c:pt>
                <c:pt idx="1">
                  <c:v>Nuclear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UC!$C$29:$Z$29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9D0-4869-88FF-04F9730E1BDE}"/>
            </c:ext>
          </c:extLst>
        </c:ser>
        <c:ser>
          <c:idx val="27"/>
          <c:order val="27"/>
          <c:tx>
            <c:strRef>
              <c:f>UC!$A$30:$B$30</c:f>
              <c:strCache>
                <c:ptCount val="2"/>
                <c:pt idx="0">
                  <c:v>sc03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UC!$C$30:$Z$30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9D0-4869-88FF-04F9730E1BDE}"/>
            </c:ext>
          </c:extLst>
        </c:ser>
        <c:ser>
          <c:idx val="28"/>
          <c:order val="28"/>
          <c:tx>
            <c:strRef>
              <c:f>UC!$A$31:$B$31</c:f>
              <c:strCache>
                <c:ptCount val="2"/>
                <c:pt idx="0">
                  <c:v>sc03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UC!$C$31:$Z$31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9D0-4869-88FF-04F9730E1BDE}"/>
            </c:ext>
          </c:extLst>
        </c:ser>
        <c:ser>
          <c:idx val="29"/>
          <c:order val="29"/>
          <c:tx>
            <c:strRef>
              <c:f>UC!$A$32:$B$32</c:f>
              <c:strCache>
                <c:ptCount val="2"/>
                <c:pt idx="0">
                  <c:v>sc03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UC!$C$32:$Z$32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9D0-4869-88FF-04F9730E1BDE}"/>
            </c:ext>
          </c:extLst>
        </c:ser>
        <c:ser>
          <c:idx val="30"/>
          <c:order val="30"/>
          <c:tx>
            <c:strRef>
              <c:f>UC!$A$33:$B$33</c:f>
              <c:strCache>
                <c:ptCount val="2"/>
                <c:pt idx="0">
                  <c:v>sc03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UC!$C$33:$Z$33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9D0-4869-88FF-04F9730E1BDE}"/>
            </c:ext>
          </c:extLst>
        </c:ser>
        <c:ser>
          <c:idx val="31"/>
          <c:order val="31"/>
          <c:tx>
            <c:strRef>
              <c:f>UC!$A$34:$B$34</c:f>
              <c:strCache>
                <c:ptCount val="2"/>
                <c:pt idx="0">
                  <c:v>sc03</c:v>
                </c:pt>
                <c:pt idx="1">
                  <c:v>CCGT_1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UC!$C$34:$Z$34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9D0-4869-88FF-04F9730E1BDE}"/>
            </c:ext>
          </c:extLst>
        </c:ser>
        <c:ser>
          <c:idx val="32"/>
          <c:order val="32"/>
          <c:tx>
            <c:strRef>
              <c:f>UC!$A$35:$B$35</c:f>
              <c:strCache>
                <c:ptCount val="2"/>
                <c:pt idx="0">
                  <c:v>sc03</c:v>
                </c:pt>
                <c:pt idx="1">
                  <c:v>CCGT_2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UC!$C$35:$Z$35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9D0-4869-88FF-04F9730E1BDE}"/>
            </c:ext>
          </c:extLst>
        </c:ser>
        <c:ser>
          <c:idx val="33"/>
          <c:order val="33"/>
          <c:tx>
            <c:strRef>
              <c:f>UC!$A$36:$B$36</c:f>
              <c:strCache>
                <c:ptCount val="2"/>
                <c:pt idx="0">
                  <c:v>sc03</c:v>
                </c:pt>
                <c:pt idx="1">
                  <c:v>CCGT_3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UC!$C$36:$Z$36</c:f>
              <c:numCache>
                <c:formatCode>0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9D0-4869-88FF-04F9730E1BDE}"/>
            </c:ext>
          </c:extLst>
        </c:ser>
        <c:ser>
          <c:idx val="34"/>
          <c:order val="34"/>
          <c:tx>
            <c:strRef>
              <c:f>UC!$A$37:$B$37</c:f>
              <c:strCache>
                <c:ptCount val="2"/>
                <c:pt idx="0">
                  <c:v>sc03</c:v>
                </c:pt>
                <c:pt idx="1">
                  <c:v>CCGT_4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UC!$C$37:$Z$37</c:f>
              <c:numCache>
                <c:formatCode>0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9D0-4869-88FF-04F9730E1BDE}"/>
            </c:ext>
          </c:extLst>
        </c:ser>
        <c:ser>
          <c:idx val="35"/>
          <c:order val="35"/>
          <c:tx>
            <c:strRef>
              <c:f>UC!$A$38:$B$38</c:f>
              <c:strCache>
                <c:ptCount val="2"/>
                <c:pt idx="0">
                  <c:v>sc03</c:v>
                </c:pt>
                <c:pt idx="1">
                  <c:v>OCGT_1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UC!$C$38:$Z$38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9D0-4869-88FF-04F9730E1BDE}"/>
            </c:ext>
          </c:extLst>
        </c:ser>
        <c:ser>
          <c:idx val="36"/>
          <c:order val="36"/>
          <c:tx>
            <c:strRef>
              <c:f>UC!$A$39:$B$39</c:f>
              <c:strCache>
                <c:ptCount val="2"/>
                <c:pt idx="0">
                  <c:v>sc03</c:v>
                </c:pt>
                <c:pt idx="1">
                  <c:v>OCGT_2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UC!$C$39:$Z$39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9D0-4869-88FF-04F9730E1BDE}"/>
            </c:ext>
          </c:extLst>
        </c:ser>
        <c:ser>
          <c:idx val="37"/>
          <c:order val="37"/>
          <c:tx>
            <c:strRef>
              <c:f>UC!$A$40:$B$40</c:f>
              <c:strCache>
                <c:ptCount val="2"/>
                <c:pt idx="0">
                  <c:v>sc03</c:v>
                </c:pt>
                <c:pt idx="1">
                  <c:v>OCGT_3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UC!$C$40:$Z$40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9D0-4869-88FF-04F9730E1BDE}"/>
            </c:ext>
          </c:extLst>
        </c:ser>
        <c:ser>
          <c:idx val="38"/>
          <c:order val="38"/>
          <c:tx>
            <c:strRef>
              <c:f>UC!$A$41:$B$41</c:f>
              <c:strCache>
                <c:ptCount val="2"/>
                <c:pt idx="0">
                  <c:v>sc03</c:v>
                </c:pt>
                <c:pt idx="1">
                  <c:v>FuelOilGas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UC!$C$1:$Z$2</c:f>
              <c:multiLvlStrCache>
                <c:ptCount val="24"/>
                <c:lvl>
                  <c:pt idx="0">
                    <c:v>WeekDay</c:v>
                  </c:pt>
                  <c:pt idx="1">
                    <c:v>WeekEnd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WeekDay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WeekEnd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WeekDay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WeekEnd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WeekDay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WeekEnd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WeekDay</c:v>
                  </c:pt>
                  <c:pt idx="23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p02</c:v>
                  </c:pt>
                  <c:pt idx="3">
                    <c:v>p02</c:v>
                  </c:pt>
                  <c:pt idx="4">
                    <c:v>p03</c:v>
                  </c:pt>
                  <c:pt idx="5">
                    <c:v>p03</c:v>
                  </c:pt>
                  <c:pt idx="6">
                    <c:v>p04</c:v>
                  </c:pt>
                  <c:pt idx="7">
                    <c:v>p04</c:v>
                  </c:pt>
                  <c:pt idx="8">
                    <c:v>p05</c:v>
                  </c:pt>
                  <c:pt idx="9">
                    <c:v>p05</c:v>
                  </c:pt>
                  <c:pt idx="10">
                    <c:v>p06</c:v>
                  </c:pt>
                  <c:pt idx="11">
                    <c:v>p06</c:v>
                  </c:pt>
                  <c:pt idx="12">
                    <c:v>p07</c:v>
                  </c:pt>
                  <c:pt idx="13">
                    <c:v>p07</c:v>
                  </c:pt>
                  <c:pt idx="14">
                    <c:v>p08</c:v>
                  </c:pt>
                  <c:pt idx="15">
                    <c:v>p08</c:v>
                  </c:pt>
                  <c:pt idx="16">
                    <c:v>p09</c:v>
                  </c:pt>
                  <c:pt idx="17">
                    <c:v>p09</c:v>
                  </c:pt>
                  <c:pt idx="18">
                    <c:v>p10</c:v>
                  </c:pt>
                  <c:pt idx="19">
                    <c:v>p10</c:v>
                  </c:pt>
                  <c:pt idx="20">
                    <c:v>p11</c:v>
                  </c:pt>
                  <c:pt idx="21">
                    <c:v>p11</c:v>
                  </c:pt>
                  <c:pt idx="22">
                    <c:v>p12</c:v>
                  </c:pt>
                  <c:pt idx="23">
                    <c:v>p12</c:v>
                  </c:pt>
                </c:lvl>
              </c:multiLvlStrCache>
            </c:multiLvlStrRef>
          </c:cat>
          <c:val>
            <c:numRef>
              <c:f>UC!$C$41:$Z$41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D9D0-4869-88FF-04F9730E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6021872"/>
        <c:axId val="386027696"/>
      </c:barChart>
      <c:catAx>
        <c:axId val="38602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027696"/>
        <c:crosses val="autoZero"/>
        <c:auto val="1"/>
        <c:lblAlgn val="ctr"/>
        <c:lblOffset val="100"/>
        <c:noMultiLvlLbl val="0"/>
      </c:catAx>
      <c:valAx>
        <c:axId val="38602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Commited thermal 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02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478863489588525"/>
          <c:y val="2.5740537397152954E-2"/>
          <c:w val="0.19702185599425315"/>
          <c:h val="0.940822499916489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Output!$A$4:$B$4</c:f>
              <c:strCache>
                <c:ptCount val="2"/>
                <c:pt idx="0">
                  <c:v>sc01</c:v>
                </c:pt>
                <c:pt idx="1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Output!$C$4:$BV$4</c:f>
              <c:numCache>
                <c:formatCode>0</c:formatCode>
                <c:ptCount val="72"/>
                <c:pt idx="0">
                  <c:v>771.6</c:v>
                </c:pt>
                <c:pt idx="1">
                  <c:v>771.6</c:v>
                </c:pt>
                <c:pt idx="2">
                  <c:v>771.6</c:v>
                </c:pt>
                <c:pt idx="3">
                  <c:v>771.6</c:v>
                </c:pt>
                <c:pt idx="4">
                  <c:v>771.6</c:v>
                </c:pt>
                <c:pt idx="5">
                  <c:v>771.6</c:v>
                </c:pt>
                <c:pt idx="6">
                  <c:v>771.6</c:v>
                </c:pt>
                <c:pt idx="7">
                  <c:v>771.6</c:v>
                </c:pt>
                <c:pt idx="8">
                  <c:v>771.6</c:v>
                </c:pt>
                <c:pt idx="9">
                  <c:v>771.6</c:v>
                </c:pt>
                <c:pt idx="10">
                  <c:v>771.6</c:v>
                </c:pt>
                <c:pt idx="11">
                  <c:v>771.6</c:v>
                </c:pt>
                <c:pt idx="12">
                  <c:v>771.6</c:v>
                </c:pt>
                <c:pt idx="13">
                  <c:v>771.6</c:v>
                </c:pt>
                <c:pt idx="14">
                  <c:v>771.6</c:v>
                </c:pt>
                <c:pt idx="15">
                  <c:v>771.6</c:v>
                </c:pt>
                <c:pt idx="16">
                  <c:v>771.6</c:v>
                </c:pt>
                <c:pt idx="17">
                  <c:v>771.6</c:v>
                </c:pt>
                <c:pt idx="18">
                  <c:v>771.6</c:v>
                </c:pt>
                <c:pt idx="19">
                  <c:v>771.6</c:v>
                </c:pt>
                <c:pt idx="20">
                  <c:v>771.6</c:v>
                </c:pt>
                <c:pt idx="21">
                  <c:v>771.6</c:v>
                </c:pt>
                <c:pt idx="22">
                  <c:v>771.6</c:v>
                </c:pt>
                <c:pt idx="23">
                  <c:v>771.6</c:v>
                </c:pt>
                <c:pt idx="24">
                  <c:v>771.6</c:v>
                </c:pt>
                <c:pt idx="25">
                  <c:v>771.6</c:v>
                </c:pt>
                <c:pt idx="26">
                  <c:v>771.6</c:v>
                </c:pt>
                <c:pt idx="27">
                  <c:v>771.6</c:v>
                </c:pt>
                <c:pt idx="28">
                  <c:v>771.6</c:v>
                </c:pt>
                <c:pt idx="29">
                  <c:v>771.6</c:v>
                </c:pt>
                <c:pt idx="30">
                  <c:v>771.6</c:v>
                </c:pt>
                <c:pt idx="31">
                  <c:v>771.6</c:v>
                </c:pt>
                <c:pt idx="32">
                  <c:v>771.6</c:v>
                </c:pt>
                <c:pt idx="33">
                  <c:v>771.6</c:v>
                </c:pt>
                <c:pt idx="34">
                  <c:v>771.6</c:v>
                </c:pt>
                <c:pt idx="35">
                  <c:v>771.6</c:v>
                </c:pt>
                <c:pt idx="36">
                  <c:v>771.6</c:v>
                </c:pt>
                <c:pt idx="37">
                  <c:v>771.6</c:v>
                </c:pt>
                <c:pt idx="38">
                  <c:v>771.6</c:v>
                </c:pt>
                <c:pt idx="39">
                  <c:v>771.6</c:v>
                </c:pt>
                <c:pt idx="40">
                  <c:v>771.6</c:v>
                </c:pt>
                <c:pt idx="41">
                  <c:v>771.6</c:v>
                </c:pt>
                <c:pt idx="42">
                  <c:v>771.6</c:v>
                </c:pt>
                <c:pt idx="43">
                  <c:v>771.6</c:v>
                </c:pt>
                <c:pt idx="44">
                  <c:v>771.6</c:v>
                </c:pt>
                <c:pt idx="45">
                  <c:v>771.6</c:v>
                </c:pt>
                <c:pt idx="46">
                  <c:v>771.6</c:v>
                </c:pt>
                <c:pt idx="47">
                  <c:v>771.6</c:v>
                </c:pt>
                <c:pt idx="48">
                  <c:v>771.6</c:v>
                </c:pt>
                <c:pt idx="49">
                  <c:v>771.6</c:v>
                </c:pt>
                <c:pt idx="50">
                  <c:v>771.6</c:v>
                </c:pt>
                <c:pt idx="51">
                  <c:v>771.6</c:v>
                </c:pt>
                <c:pt idx="52">
                  <c:v>771.6</c:v>
                </c:pt>
                <c:pt idx="53">
                  <c:v>771.6</c:v>
                </c:pt>
                <c:pt idx="54">
                  <c:v>771.6</c:v>
                </c:pt>
                <c:pt idx="55">
                  <c:v>771.6</c:v>
                </c:pt>
                <c:pt idx="56">
                  <c:v>771.6</c:v>
                </c:pt>
                <c:pt idx="57">
                  <c:v>771.6</c:v>
                </c:pt>
                <c:pt idx="58">
                  <c:v>771.6</c:v>
                </c:pt>
                <c:pt idx="59">
                  <c:v>771.6</c:v>
                </c:pt>
                <c:pt idx="60">
                  <c:v>771.6</c:v>
                </c:pt>
                <c:pt idx="61">
                  <c:v>771.6</c:v>
                </c:pt>
                <c:pt idx="62">
                  <c:v>771.6</c:v>
                </c:pt>
                <c:pt idx="63">
                  <c:v>771.6</c:v>
                </c:pt>
                <c:pt idx="64">
                  <c:v>771.6</c:v>
                </c:pt>
                <c:pt idx="65">
                  <c:v>771.6</c:v>
                </c:pt>
                <c:pt idx="66">
                  <c:v>771.6</c:v>
                </c:pt>
                <c:pt idx="67">
                  <c:v>771.6</c:v>
                </c:pt>
                <c:pt idx="68">
                  <c:v>771.6</c:v>
                </c:pt>
                <c:pt idx="69">
                  <c:v>771.6</c:v>
                </c:pt>
                <c:pt idx="70">
                  <c:v>771.6</c:v>
                </c:pt>
                <c:pt idx="71">
                  <c:v>771.6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4D-40B7-B40B-2700809EDEFD}"/>
            </c:ext>
          </c:extLst>
        </c:ser>
        <c:ser>
          <c:idx val="1"/>
          <c:order val="1"/>
          <c:tx>
            <c:strRef>
              <c:f>Output!$A$5:$B$5</c:f>
              <c:strCache>
                <c:ptCount val="2"/>
                <c:pt idx="0">
                  <c:v>sc01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Output!$C$5:$BV$5</c:f>
              <c:numCache>
                <c:formatCode>0</c:formatCode>
                <c:ptCount val="72"/>
                <c:pt idx="0">
                  <c:v>235.19999999999996</c:v>
                </c:pt>
                <c:pt idx="1">
                  <c:v>235.19999999999996</c:v>
                </c:pt>
                <c:pt idx="2">
                  <c:v>235.19999999999996</c:v>
                </c:pt>
                <c:pt idx="3">
                  <c:v>235.19999999999996</c:v>
                </c:pt>
                <c:pt idx="4">
                  <c:v>235.19999999999996</c:v>
                </c:pt>
                <c:pt idx="5">
                  <c:v>235.19999999999996</c:v>
                </c:pt>
                <c:pt idx="6">
                  <c:v>235.19999999999996</c:v>
                </c:pt>
                <c:pt idx="7">
                  <c:v>235.19999999999996</c:v>
                </c:pt>
                <c:pt idx="8">
                  <c:v>235.19999999999996</c:v>
                </c:pt>
                <c:pt idx="9">
                  <c:v>235.19999999999996</c:v>
                </c:pt>
                <c:pt idx="10">
                  <c:v>235.19999999999996</c:v>
                </c:pt>
                <c:pt idx="11">
                  <c:v>235.19999999999996</c:v>
                </c:pt>
                <c:pt idx="12">
                  <c:v>235.19999999999996</c:v>
                </c:pt>
                <c:pt idx="13">
                  <c:v>235.19999999999996</c:v>
                </c:pt>
                <c:pt idx="14">
                  <c:v>235.19999999999996</c:v>
                </c:pt>
                <c:pt idx="15">
                  <c:v>235.19999999999996</c:v>
                </c:pt>
                <c:pt idx="16">
                  <c:v>235.19999999999996</c:v>
                </c:pt>
                <c:pt idx="17">
                  <c:v>235.19999999999996</c:v>
                </c:pt>
                <c:pt idx="18">
                  <c:v>235.19999999999996</c:v>
                </c:pt>
                <c:pt idx="19">
                  <c:v>235.19999999999996</c:v>
                </c:pt>
                <c:pt idx="20">
                  <c:v>235.19999999999996</c:v>
                </c:pt>
                <c:pt idx="21">
                  <c:v>235.19999999999996</c:v>
                </c:pt>
                <c:pt idx="22">
                  <c:v>235.19999999999996</c:v>
                </c:pt>
                <c:pt idx="23">
                  <c:v>235.19999999999996</c:v>
                </c:pt>
                <c:pt idx="24">
                  <c:v>235.19999999999996</c:v>
                </c:pt>
                <c:pt idx="25">
                  <c:v>235.19999999999996</c:v>
                </c:pt>
                <c:pt idx="26">
                  <c:v>235.19999999999996</c:v>
                </c:pt>
                <c:pt idx="27">
                  <c:v>235.19999999999996</c:v>
                </c:pt>
                <c:pt idx="28">
                  <c:v>235.19999999999996</c:v>
                </c:pt>
                <c:pt idx="29">
                  <c:v>235.19999999999996</c:v>
                </c:pt>
                <c:pt idx="30">
                  <c:v>235.19999999999996</c:v>
                </c:pt>
                <c:pt idx="31">
                  <c:v>235.19999999999996</c:v>
                </c:pt>
                <c:pt idx="32">
                  <c:v>235.19999999999996</c:v>
                </c:pt>
                <c:pt idx="33">
                  <c:v>235.19999999999996</c:v>
                </c:pt>
                <c:pt idx="34">
                  <c:v>235.19999999999996</c:v>
                </c:pt>
                <c:pt idx="35">
                  <c:v>235.19999999999996</c:v>
                </c:pt>
                <c:pt idx="36">
                  <c:v>235.19999999999996</c:v>
                </c:pt>
                <c:pt idx="37">
                  <c:v>235.19999999999996</c:v>
                </c:pt>
                <c:pt idx="38">
                  <c:v>235.19999999999996</c:v>
                </c:pt>
                <c:pt idx="39">
                  <c:v>235.19999999999996</c:v>
                </c:pt>
                <c:pt idx="40">
                  <c:v>235.19999999999996</c:v>
                </c:pt>
                <c:pt idx="41">
                  <c:v>235.19999999999996</c:v>
                </c:pt>
                <c:pt idx="42">
                  <c:v>235.19999999999996</c:v>
                </c:pt>
                <c:pt idx="43">
                  <c:v>235.19999999999996</c:v>
                </c:pt>
                <c:pt idx="44">
                  <c:v>235.19999999999996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235.19999999999996</c:v>
                </c:pt>
                <c:pt idx="49">
                  <c:v>235.19999999999996</c:v>
                </c:pt>
                <c:pt idx="50">
                  <c:v>235.19999999999996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235.19999999999996</c:v>
                </c:pt>
                <c:pt idx="55">
                  <c:v>235.19999999999996</c:v>
                </c:pt>
                <c:pt idx="56">
                  <c:v>235.19999999999996</c:v>
                </c:pt>
                <c:pt idx="57">
                  <c:v>235.19999999999996</c:v>
                </c:pt>
                <c:pt idx="58">
                  <c:v>235.19999999999996</c:v>
                </c:pt>
                <c:pt idx="59">
                  <c:v>235.19999999999996</c:v>
                </c:pt>
                <c:pt idx="60">
                  <c:v>235.19999999999996</c:v>
                </c:pt>
                <c:pt idx="61">
                  <c:v>235.19999999999996</c:v>
                </c:pt>
                <c:pt idx="62">
                  <c:v>235.19999999999996</c:v>
                </c:pt>
                <c:pt idx="63">
                  <c:v>235.19999999999996</c:v>
                </c:pt>
                <c:pt idx="64">
                  <c:v>235.19999999999996</c:v>
                </c:pt>
                <c:pt idx="65">
                  <c:v>235.19999999999996</c:v>
                </c:pt>
                <c:pt idx="66">
                  <c:v>564.28629946523745</c:v>
                </c:pt>
                <c:pt idx="67">
                  <c:v>235.19999999999996</c:v>
                </c:pt>
                <c:pt idx="68">
                  <c:v>235.19999999999996</c:v>
                </c:pt>
                <c:pt idx="69">
                  <c:v>276.80000000000007</c:v>
                </c:pt>
                <c:pt idx="70">
                  <c:v>235.19999999999996</c:v>
                </c:pt>
                <c:pt idx="71">
                  <c:v>235.19999999999996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4D-40B7-B40B-2700809EDEFD}"/>
            </c:ext>
          </c:extLst>
        </c:ser>
        <c:ser>
          <c:idx val="2"/>
          <c:order val="2"/>
          <c:tx>
            <c:strRef>
              <c:f>Output!$A$6:$B$6</c:f>
              <c:strCache>
                <c:ptCount val="2"/>
                <c:pt idx="0">
                  <c:v>sc01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Output!$C$6:$BV$6</c:f>
              <c:numCache>
                <c:formatCode>0</c:formatCode>
                <c:ptCount val="72"/>
                <c:pt idx="0">
                  <c:v>95.999999999999915</c:v>
                </c:pt>
                <c:pt idx="1">
                  <c:v>81.239999999999995</c:v>
                </c:pt>
                <c:pt idx="2">
                  <c:v>81.239999999999995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131.20000000000047</c:v>
                </c:pt>
                <c:pt idx="61">
                  <c:v>81.239999999999995</c:v>
                </c:pt>
                <c:pt idx="62">
                  <c:v>81.239999999999995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4D-40B7-B40B-2700809EDEFD}"/>
            </c:ext>
          </c:extLst>
        </c:ser>
        <c:ser>
          <c:idx val="3"/>
          <c:order val="3"/>
          <c:tx>
            <c:strRef>
              <c:f>Output!$A$7:$B$7</c:f>
              <c:strCache>
                <c:ptCount val="2"/>
                <c:pt idx="0">
                  <c:v>sc01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Output!$C$7:$BV$7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68.300000000000523</c:v>
                </c:pt>
                <c:pt idx="55">
                  <c:v>60.159999999999989</c:v>
                </c:pt>
                <c:pt idx="56">
                  <c:v>60.159999999999989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4D-40B7-B40B-2700809EDEFD}"/>
            </c:ext>
          </c:extLst>
        </c:ser>
        <c:ser>
          <c:idx val="4"/>
          <c:order val="4"/>
          <c:tx>
            <c:strRef>
              <c:f>Output!$A$8:$B$8</c:f>
              <c:strCache>
                <c:ptCount val="2"/>
                <c:pt idx="0">
                  <c:v>sc01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Output!$C$8:$BV$8</c:f>
              <c:numCache>
                <c:formatCode>0</c:formatCode>
                <c:ptCount val="72"/>
                <c:pt idx="0">
                  <c:v>194.4</c:v>
                </c:pt>
                <c:pt idx="1">
                  <c:v>162.20399480519475</c:v>
                </c:pt>
                <c:pt idx="2">
                  <c:v>77.760000000000005</c:v>
                </c:pt>
                <c:pt idx="3">
                  <c:v>194.4</c:v>
                </c:pt>
                <c:pt idx="4">
                  <c:v>77.760000000000005</c:v>
                </c:pt>
                <c:pt idx="5">
                  <c:v>77.760000000000005</c:v>
                </c:pt>
                <c:pt idx="6">
                  <c:v>92.300000000000935</c:v>
                </c:pt>
                <c:pt idx="7">
                  <c:v>98.069549575758003</c:v>
                </c:pt>
                <c:pt idx="8">
                  <c:v>77.760000000000005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127.70000000000064</c:v>
                </c:pt>
                <c:pt idx="19">
                  <c:v>110.83533834586476</c:v>
                </c:pt>
                <c:pt idx="20">
                  <c:v>77.760000000000005</c:v>
                </c:pt>
                <c:pt idx="21">
                  <c:v>117.60000000000021</c:v>
                </c:pt>
                <c:pt idx="22">
                  <c:v>77.760000000000005</c:v>
                </c:pt>
                <c:pt idx="23">
                  <c:v>77.760000000000005</c:v>
                </c:pt>
                <c:pt idx="24">
                  <c:v>137.40000000000046</c:v>
                </c:pt>
                <c:pt idx="25">
                  <c:v>174.79999999999967</c:v>
                </c:pt>
                <c:pt idx="26">
                  <c:v>77.760000000000005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194.4</c:v>
                </c:pt>
                <c:pt idx="31">
                  <c:v>92.761658627088408</c:v>
                </c:pt>
                <c:pt idx="32">
                  <c:v>77.760000000000005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194.4</c:v>
                </c:pt>
                <c:pt idx="37">
                  <c:v>130.4136363636363</c:v>
                </c:pt>
                <c:pt idx="38">
                  <c:v>77.760000000000005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194.4</c:v>
                </c:pt>
                <c:pt idx="43">
                  <c:v>179.94667005721692</c:v>
                </c:pt>
                <c:pt idx="44">
                  <c:v>77.760000000000005</c:v>
                </c:pt>
                <c:pt idx="45">
                  <c:v>77.760000000000005</c:v>
                </c:pt>
                <c:pt idx="46">
                  <c:v>77.760000000000005</c:v>
                </c:pt>
                <c:pt idx="47">
                  <c:v>77.760000000000005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194.4</c:v>
                </c:pt>
                <c:pt idx="55">
                  <c:v>194.4</c:v>
                </c:pt>
                <c:pt idx="56">
                  <c:v>77.760000000000005</c:v>
                </c:pt>
                <c:pt idx="57">
                  <c:v>117.69999999999997</c:v>
                </c:pt>
                <c:pt idx="58">
                  <c:v>119.69999999999997</c:v>
                </c:pt>
                <c:pt idx="59">
                  <c:v>77.760000000000005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194.4</c:v>
                </c:pt>
                <c:pt idx="67">
                  <c:v>189.86209625668414</c:v>
                </c:pt>
                <c:pt idx="68">
                  <c:v>77.760000000000005</c:v>
                </c:pt>
                <c:pt idx="69">
                  <c:v>194.4</c:v>
                </c:pt>
                <c:pt idx="70">
                  <c:v>77.760000000000005</c:v>
                </c:pt>
                <c:pt idx="71">
                  <c:v>77.760000000000005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4D-40B7-B40B-2700809EDEFD}"/>
            </c:ext>
          </c:extLst>
        </c:ser>
        <c:ser>
          <c:idx val="5"/>
          <c:order val="5"/>
          <c:tx>
            <c:strRef>
              <c:f>Output!$A$9:$B$9</c:f>
              <c:strCache>
                <c:ptCount val="2"/>
                <c:pt idx="0">
                  <c:v>sc01</c:v>
                </c:pt>
                <c:pt idx="1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Output!$C$9:$BV$9</c:f>
              <c:numCache>
                <c:formatCode>0</c:formatCode>
                <c:ptCount val="7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475.83947643979076</c:v>
                </c:pt>
                <c:pt idx="21">
                  <c:v>500</c:v>
                </c:pt>
                <c:pt idx="22">
                  <c:v>500</c:v>
                </c:pt>
                <c:pt idx="23">
                  <c:v>475.83947643979076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448.72300884955757</c:v>
                </c:pt>
                <c:pt idx="57">
                  <c:v>500</c:v>
                </c:pt>
                <c:pt idx="58">
                  <c:v>500</c:v>
                </c:pt>
                <c:pt idx="59">
                  <c:v>448.72300884955757</c:v>
                </c:pt>
                <c:pt idx="60">
                  <c:v>500</c:v>
                </c:pt>
                <c:pt idx="61">
                  <c:v>500</c:v>
                </c:pt>
                <c:pt idx="62">
                  <c:v>500</c:v>
                </c:pt>
                <c:pt idx="63">
                  <c:v>500</c:v>
                </c:pt>
                <c:pt idx="64">
                  <c:v>500</c:v>
                </c:pt>
                <c:pt idx="65">
                  <c:v>500</c:v>
                </c:pt>
                <c:pt idx="66">
                  <c:v>500</c:v>
                </c:pt>
                <c:pt idx="67">
                  <c:v>500</c:v>
                </c:pt>
                <c:pt idx="68">
                  <c:v>500</c:v>
                </c:pt>
                <c:pt idx="69">
                  <c:v>500</c:v>
                </c:pt>
                <c:pt idx="70">
                  <c:v>500</c:v>
                </c:pt>
                <c:pt idx="71">
                  <c:v>462.79102040816355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4D-40B7-B40B-2700809EDEFD}"/>
            </c:ext>
          </c:extLst>
        </c:ser>
        <c:ser>
          <c:idx val="6"/>
          <c:order val="6"/>
          <c:tx>
            <c:strRef>
              <c:f>Output!$A$10:$B$10</c:f>
              <c:strCache>
                <c:ptCount val="2"/>
                <c:pt idx="0">
                  <c:v>sc01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Output!$C$10:$BV$10</c:f>
              <c:numCache>
                <c:formatCode>0</c:formatCode>
                <c:ptCount val="72"/>
                <c:pt idx="0">
                  <c:v>500</c:v>
                </c:pt>
                <c:pt idx="1">
                  <c:v>500</c:v>
                </c:pt>
                <c:pt idx="2">
                  <c:v>204.40272727272736</c:v>
                </c:pt>
                <c:pt idx="3">
                  <c:v>500</c:v>
                </c:pt>
                <c:pt idx="4">
                  <c:v>500</c:v>
                </c:pt>
                <c:pt idx="5">
                  <c:v>100</c:v>
                </c:pt>
                <c:pt idx="6">
                  <c:v>500</c:v>
                </c:pt>
                <c:pt idx="7">
                  <c:v>500</c:v>
                </c:pt>
                <c:pt idx="8">
                  <c:v>205.55304347826049</c:v>
                </c:pt>
                <c:pt idx="9">
                  <c:v>500</c:v>
                </c:pt>
                <c:pt idx="10">
                  <c:v>500</c:v>
                </c:pt>
                <c:pt idx="11">
                  <c:v>141.81304347826048</c:v>
                </c:pt>
                <c:pt idx="12">
                  <c:v>500</c:v>
                </c:pt>
                <c:pt idx="13">
                  <c:v>500</c:v>
                </c:pt>
                <c:pt idx="14">
                  <c:v>200.7222222222228</c:v>
                </c:pt>
                <c:pt idx="15">
                  <c:v>500</c:v>
                </c:pt>
                <c:pt idx="16">
                  <c:v>500</c:v>
                </c:pt>
                <c:pt idx="17">
                  <c:v>100</c:v>
                </c:pt>
                <c:pt idx="18">
                  <c:v>500</c:v>
                </c:pt>
                <c:pt idx="19">
                  <c:v>500</c:v>
                </c:pt>
                <c:pt idx="20">
                  <c:v>100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500</c:v>
                </c:pt>
                <c:pt idx="25">
                  <c:v>500</c:v>
                </c:pt>
                <c:pt idx="26">
                  <c:v>139.33999999999986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500</c:v>
                </c:pt>
                <c:pt idx="31">
                  <c:v>500</c:v>
                </c:pt>
                <c:pt idx="32">
                  <c:v>224.54000000000002</c:v>
                </c:pt>
                <c:pt idx="33">
                  <c:v>500</c:v>
                </c:pt>
                <c:pt idx="34">
                  <c:v>500</c:v>
                </c:pt>
                <c:pt idx="35">
                  <c:v>138.09999999999994</c:v>
                </c:pt>
                <c:pt idx="36">
                  <c:v>500</c:v>
                </c:pt>
                <c:pt idx="37">
                  <c:v>500</c:v>
                </c:pt>
                <c:pt idx="38">
                  <c:v>337.64000000000016</c:v>
                </c:pt>
                <c:pt idx="39">
                  <c:v>500</c:v>
                </c:pt>
                <c:pt idx="40">
                  <c:v>500</c:v>
                </c:pt>
                <c:pt idx="41">
                  <c:v>225.00000000000037</c:v>
                </c:pt>
                <c:pt idx="42">
                  <c:v>500</c:v>
                </c:pt>
                <c:pt idx="43">
                  <c:v>500</c:v>
                </c:pt>
                <c:pt idx="44">
                  <c:v>231.1399999999999</c:v>
                </c:pt>
                <c:pt idx="45">
                  <c:v>500</c:v>
                </c:pt>
                <c:pt idx="46">
                  <c:v>500</c:v>
                </c:pt>
                <c:pt idx="47">
                  <c:v>231.1399999999999</c:v>
                </c:pt>
                <c:pt idx="48">
                  <c:v>500</c:v>
                </c:pt>
                <c:pt idx="49">
                  <c:v>500</c:v>
                </c:pt>
                <c:pt idx="50">
                  <c:v>336.5545454545454</c:v>
                </c:pt>
                <c:pt idx="51">
                  <c:v>500</c:v>
                </c:pt>
                <c:pt idx="52">
                  <c:v>500</c:v>
                </c:pt>
                <c:pt idx="53">
                  <c:v>336.5545454545454</c:v>
                </c:pt>
                <c:pt idx="54">
                  <c:v>500</c:v>
                </c:pt>
                <c:pt idx="55">
                  <c:v>500</c:v>
                </c:pt>
                <c:pt idx="56">
                  <c:v>100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500</c:v>
                </c:pt>
                <c:pt idx="61">
                  <c:v>500</c:v>
                </c:pt>
                <c:pt idx="62">
                  <c:v>193.78653061224483</c:v>
                </c:pt>
                <c:pt idx="63">
                  <c:v>500</c:v>
                </c:pt>
                <c:pt idx="64">
                  <c:v>500</c:v>
                </c:pt>
                <c:pt idx="65">
                  <c:v>100</c:v>
                </c:pt>
                <c:pt idx="66">
                  <c:v>500</c:v>
                </c:pt>
                <c:pt idx="67">
                  <c:v>500</c:v>
                </c:pt>
                <c:pt idx="68">
                  <c:v>311.34000000000037</c:v>
                </c:pt>
                <c:pt idx="69">
                  <c:v>500</c:v>
                </c:pt>
                <c:pt idx="70">
                  <c:v>500</c:v>
                </c:pt>
                <c:pt idx="7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4D-40B7-B40B-2700809EDEFD}"/>
            </c:ext>
          </c:extLst>
        </c:ser>
        <c:ser>
          <c:idx val="7"/>
          <c:order val="7"/>
          <c:tx>
            <c:strRef>
              <c:f>Output!$A$11:$B$11</c:f>
              <c:strCache>
                <c:ptCount val="2"/>
                <c:pt idx="0">
                  <c:v>sc01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Output!$C$11:$BV$11</c:f>
              <c:numCache>
                <c:formatCode>0</c:formatCode>
                <c:ptCount val="72"/>
                <c:pt idx="0">
                  <c:v>500</c:v>
                </c:pt>
                <c:pt idx="1">
                  <c:v>500</c:v>
                </c:pt>
                <c:pt idx="2">
                  <c:v>100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500</c:v>
                </c:pt>
                <c:pt idx="7">
                  <c:v>500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500</c:v>
                </c:pt>
                <c:pt idx="13">
                  <c:v>500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500</c:v>
                </c:pt>
                <c:pt idx="31">
                  <c:v>500</c:v>
                </c:pt>
                <c:pt idx="32">
                  <c:v>100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500</c:v>
                </c:pt>
                <c:pt idx="37">
                  <c:v>500</c:v>
                </c:pt>
                <c:pt idx="38">
                  <c:v>100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500</c:v>
                </c:pt>
                <c:pt idx="49">
                  <c:v>500</c:v>
                </c:pt>
                <c:pt idx="50">
                  <c:v>100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500</c:v>
                </c:pt>
                <c:pt idx="61">
                  <c:v>500</c:v>
                </c:pt>
                <c:pt idx="62">
                  <c:v>100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500</c:v>
                </c:pt>
                <c:pt idx="67">
                  <c:v>500</c:v>
                </c:pt>
                <c:pt idx="68">
                  <c:v>100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4D-40B7-B40B-2700809EDEFD}"/>
            </c:ext>
          </c:extLst>
        </c:ser>
        <c:ser>
          <c:idx val="8"/>
          <c:order val="8"/>
          <c:tx>
            <c:strRef>
              <c:f>Output!$A$12:$B$12</c:f>
              <c:strCache>
                <c:ptCount val="2"/>
                <c:pt idx="0">
                  <c:v>sc01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Output!$C$12:$BV$12</c:f>
              <c:numCache>
                <c:formatCode>0</c:formatCode>
                <c:ptCount val="72"/>
                <c:pt idx="0">
                  <c:v>667.5</c:v>
                </c:pt>
                <c:pt idx="1">
                  <c:v>667.5</c:v>
                </c:pt>
                <c:pt idx="2">
                  <c:v>667.5</c:v>
                </c:pt>
                <c:pt idx="3">
                  <c:v>667.5</c:v>
                </c:pt>
                <c:pt idx="4">
                  <c:v>667.5</c:v>
                </c:pt>
                <c:pt idx="5">
                  <c:v>667.5</c:v>
                </c:pt>
                <c:pt idx="6">
                  <c:v>667.5</c:v>
                </c:pt>
                <c:pt idx="7">
                  <c:v>667.5</c:v>
                </c:pt>
                <c:pt idx="8">
                  <c:v>667.5</c:v>
                </c:pt>
                <c:pt idx="9">
                  <c:v>667.5</c:v>
                </c:pt>
                <c:pt idx="10">
                  <c:v>667.5</c:v>
                </c:pt>
                <c:pt idx="11">
                  <c:v>667.5</c:v>
                </c:pt>
                <c:pt idx="12">
                  <c:v>667.5</c:v>
                </c:pt>
                <c:pt idx="13">
                  <c:v>667.5</c:v>
                </c:pt>
                <c:pt idx="14">
                  <c:v>667.5</c:v>
                </c:pt>
                <c:pt idx="15">
                  <c:v>667.5</c:v>
                </c:pt>
                <c:pt idx="16">
                  <c:v>667.5</c:v>
                </c:pt>
                <c:pt idx="17">
                  <c:v>667.5</c:v>
                </c:pt>
                <c:pt idx="18">
                  <c:v>667.5</c:v>
                </c:pt>
                <c:pt idx="19">
                  <c:v>667.5</c:v>
                </c:pt>
                <c:pt idx="20">
                  <c:v>667.5</c:v>
                </c:pt>
                <c:pt idx="21">
                  <c:v>667.5</c:v>
                </c:pt>
                <c:pt idx="22">
                  <c:v>667.5</c:v>
                </c:pt>
                <c:pt idx="23">
                  <c:v>667.5</c:v>
                </c:pt>
                <c:pt idx="24">
                  <c:v>667.5</c:v>
                </c:pt>
                <c:pt idx="25">
                  <c:v>667.5</c:v>
                </c:pt>
                <c:pt idx="26">
                  <c:v>667.5</c:v>
                </c:pt>
                <c:pt idx="27">
                  <c:v>667.5</c:v>
                </c:pt>
                <c:pt idx="28">
                  <c:v>667.5</c:v>
                </c:pt>
                <c:pt idx="29">
                  <c:v>667.5</c:v>
                </c:pt>
                <c:pt idx="30">
                  <c:v>667.5</c:v>
                </c:pt>
                <c:pt idx="31">
                  <c:v>667.5</c:v>
                </c:pt>
                <c:pt idx="32">
                  <c:v>667.5</c:v>
                </c:pt>
                <c:pt idx="33">
                  <c:v>667.5</c:v>
                </c:pt>
                <c:pt idx="34">
                  <c:v>667.5</c:v>
                </c:pt>
                <c:pt idx="35">
                  <c:v>667.5</c:v>
                </c:pt>
                <c:pt idx="36">
                  <c:v>667.5</c:v>
                </c:pt>
                <c:pt idx="37">
                  <c:v>667.5</c:v>
                </c:pt>
                <c:pt idx="38">
                  <c:v>667.5</c:v>
                </c:pt>
                <c:pt idx="39">
                  <c:v>667.5</c:v>
                </c:pt>
                <c:pt idx="40">
                  <c:v>667.5</c:v>
                </c:pt>
                <c:pt idx="41">
                  <c:v>667.5</c:v>
                </c:pt>
                <c:pt idx="42">
                  <c:v>667.5</c:v>
                </c:pt>
                <c:pt idx="43">
                  <c:v>667.5</c:v>
                </c:pt>
                <c:pt idx="44">
                  <c:v>667.5</c:v>
                </c:pt>
                <c:pt idx="45">
                  <c:v>667.5</c:v>
                </c:pt>
                <c:pt idx="46">
                  <c:v>667.5</c:v>
                </c:pt>
                <c:pt idx="47">
                  <c:v>667.5</c:v>
                </c:pt>
                <c:pt idx="48">
                  <c:v>667.5</c:v>
                </c:pt>
                <c:pt idx="49">
                  <c:v>667.5</c:v>
                </c:pt>
                <c:pt idx="50">
                  <c:v>667.5</c:v>
                </c:pt>
                <c:pt idx="51">
                  <c:v>667.5</c:v>
                </c:pt>
                <c:pt idx="52">
                  <c:v>667.5</c:v>
                </c:pt>
                <c:pt idx="53">
                  <c:v>667.5</c:v>
                </c:pt>
                <c:pt idx="54">
                  <c:v>667.5</c:v>
                </c:pt>
                <c:pt idx="55">
                  <c:v>667.5</c:v>
                </c:pt>
                <c:pt idx="56">
                  <c:v>667.5</c:v>
                </c:pt>
                <c:pt idx="57">
                  <c:v>667.5</c:v>
                </c:pt>
                <c:pt idx="58">
                  <c:v>667.5</c:v>
                </c:pt>
                <c:pt idx="59">
                  <c:v>667.5</c:v>
                </c:pt>
                <c:pt idx="60">
                  <c:v>667.5</c:v>
                </c:pt>
                <c:pt idx="61">
                  <c:v>667.5</c:v>
                </c:pt>
                <c:pt idx="62">
                  <c:v>667.5</c:v>
                </c:pt>
                <c:pt idx="63">
                  <c:v>667.5</c:v>
                </c:pt>
                <c:pt idx="64">
                  <c:v>667.5</c:v>
                </c:pt>
                <c:pt idx="65">
                  <c:v>667.5</c:v>
                </c:pt>
                <c:pt idx="66">
                  <c:v>667.5</c:v>
                </c:pt>
                <c:pt idx="67">
                  <c:v>667.5</c:v>
                </c:pt>
                <c:pt idx="68">
                  <c:v>667.5</c:v>
                </c:pt>
                <c:pt idx="69">
                  <c:v>667.5</c:v>
                </c:pt>
                <c:pt idx="70">
                  <c:v>667.5</c:v>
                </c:pt>
                <c:pt idx="71">
                  <c:v>667.5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4D-40B7-B40B-2700809EDEFD}"/>
            </c:ext>
          </c:extLst>
        </c:ser>
        <c:ser>
          <c:idx val="9"/>
          <c:order val="9"/>
          <c:tx>
            <c:strRef>
              <c:f>Output!$A$13:$B$13</c:f>
              <c:strCache>
                <c:ptCount val="2"/>
                <c:pt idx="0">
                  <c:v>sc01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Output!$C$13:$BV$13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4D-40B7-B40B-2700809EDEFD}"/>
            </c:ext>
          </c:extLst>
        </c:ser>
        <c:ser>
          <c:idx val="10"/>
          <c:order val="10"/>
          <c:tx>
            <c:strRef>
              <c:f>Output!$A$14:$B$14</c:f>
              <c:strCache>
                <c:ptCount val="2"/>
                <c:pt idx="0">
                  <c:v>sc01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Output!$C$14:$BV$14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4D-40B7-B40B-2700809EDEFD}"/>
            </c:ext>
          </c:extLst>
        </c:ser>
        <c:ser>
          <c:idx val="11"/>
          <c:order val="11"/>
          <c:tx>
            <c:strRef>
              <c:f>Output!$A$15:$B$15</c:f>
              <c:strCache>
                <c:ptCount val="2"/>
                <c:pt idx="0">
                  <c:v>sc01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Output!$C$15:$BV$15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C4D-40B7-B40B-2700809EDEFD}"/>
            </c:ext>
          </c:extLst>
        </c:ser>
        <c:ser>
          <c:idx val="12"/>
          <c:order val="12"/>
          <c:tx>
            <c:strRef>
              <c:f>Output!$A$16:$B$16</c:f>
              <c:strCache>
                <c:ptCount val="2"/>
                <c:pt idx="0">
                  <c:v>sc01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Output!$C$16:$BV$16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C4D-40B7-B40B-2700809EDEFD}"/>
            </c:ext>
          </c:extLst>
        </c:ser>
        <c:ser>
          <c:idx val="13"/>
          <c:order val="13"/>
          <c:tx>
            <c:strRef>
              <c:f>Output!$A$17:$B$17</c:f>
              <c:strCache>
                <c:ptCount val="2"/>
                <c:pt idx="0">
                  <c:v>sc01</c:v>
                </c:pt>
                <c:pt idx="1">
                  <c:v>RunOfRiver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Output!$C$17:$BV$17</c:f>
              <c:numCache>
                <c:formatCode>0</c:formatCode>
                <c:ptCount val="72"/>
                <c:pt idx="0">
                  <c:v>150</c:v>
                </c:pt>
                <c:pt idx="1">
                  <c:v>150</c:v>
                </c:pt>
                <c:pt idx="2">
                  <c:v>149.99727272727273</c:v>
                </c:pt>
                <c:pt idx="3">
                  <c:v>150</c:v>
                </c:pt>
                <c:pt idx="4">
                  <c:v>150</c:v>
                </c:pt>
                <c:pt idx="5">
                  <c:v>67.340000000000117</c:v>
                </c:pt>
                <c:pt idx="6">
                  <c:v>150</c:v>
                </c:pt>
                <c:pt idx="7">
                  <c:v>150</c:v>
                </c:pt>
                <c:pt idx="8">
                  <c:v>128.08695652173921</c:v>
                </c:pt>
                <c:pt idx="9">
                  <c:v>150</c:v>
                </c:pt>
                <c:pt idx="10">
                  <c:v>150</c:v>
                </c:pt>
                <c:pt idx="11">
                  <c:v>128.08695652173921</c:v>
                </c:pt>
                <c:pt idx="12">
                  <c:v>150</c:v>
                </c:pt>
                <c:pt idx="13">
                  <c:v>150</c:v>
                </c:pt>
                <c:pt idx="14">
                  <c:v>147.77777777777791</c:v>
                </c:pt>
                <c:pt idx="15">
                  <c:v>150</c:v>
                </c:pt>
                <c:pt idx="16">
                  <c:v>150</c:v>
                </c:pt>
                <c:pt idx="17">
                  <c:v>97.7</c:v>
                </c:pt>
                <c:pt idx="18">
                  <c:v>150</c:v>
                </c:pt>
                <c:pt idx="19">
                  <c:v>150</c:v>
                </c:pt>
                <c:pt idx="20">
                  <c:v>94.400523560209322</c:v>
                </c:pt>
                <c:pt idx="21">
                  <c:v>150</c:v>
                </c:pt>
                <c:pt idx="22">
                  <c:v>150</c:v>
                </c:pt>
                <c:pt idx="23">
                  <c:v>7.9005235602096491</c:v>
                </c:pt>
                <c:pt idx="24">
                  <c:v>150</c:v>
                </c:pt>
                <c:pt idx="25">
                  <c:v>148.47529411764702</c:v>
                </c:pt>
                <c:pt idx="26">
                  <c:v>0</c:v>
                </c:pt>
                <c:pt idx="27">
                  <c:v>150</c:v>
                </c:pt>
                <c:pt idx="28">
                  <c:v>148.47529411764702</c:v>
                </c:pt>
                <c:pt idx="29">
                  <c:v>0</c:v>
                </c:pt>
                <c:pt idx="30">
                  <c:v>150</c:v>
                </c:pt>
                <c:pt idx="31">
                  <c:v>119.69387755102044</c:v>
                </c:pt>
                <c:pt idx="32">
                  <c:v>0</c:v>
                </c:pt>
                <c:pt idx="33">
                  <c:v>150</c:v>
                </c:pt>
                <c:pt idx="34">
                  <c:v>0</c:v>
                </c:pt>
                <c:pt idx="35">
                  <c:v>0</c:v>
                </c:pt>
                <c:pt idx="36">
                  <c:v>150</c:v>
                </c:pt>
                <c:pt idx="37">
                  <c:v>114.18636363636368</c:v>
                </c:pt>
                <c:pt idx="38">
                  <c:v>0</c:v>
                </c:pt>
                <c:pt idx="39">
                  <c:v>150</c:v>
                </c:pt>
                <c:pt idx="40">
                  <c:v>22.799999999999933</c:v>
                </c:pt>
                <c:pt idx="41">
                  <c:v>0</c:v>
                </c:pt>
                <c:pt idx="42">
                  <c:v>150</c:v>
                </c:pt>
                <c:pt idx="43">
                  <c:v>126.986013986014</c:v>
                </c:pt>
                <c:pt idx="44">
                  <c:v>0</c:v>
                </c:pt>
                <c:pt idx="45">
                  <c:v>150</c:v>
                </c:pt>
                <c:pt idx="46">
                  <c:v>0</c:v>
                </c:pt>
                <c:pt idx="47">
                  <c:v>0</c:v>
                </c:pt>
                <c:pt idx="48">
                  <c:v>150</c:v>
                </c:pt>
                <c:pt idx="49">
                  <c:v>150</c:v>
                </c:pt>
                <c:pt idx="50">
                  <c:v>12.545454545454536</c:v>
                </c:pt>
                <c:pt idx="51">
                  <c:v>150</c:v>
                </c:pt>
                <c:pt idx="52">
                  <c:v>150</c:v>
                </c:pt>
                <c:pt idx="53">
                  <c:v>12.545454545454536</c:v>
                </c:pt>
                <c:pt idx="54">
                  <c:v>150</c:v>
                </c:pt>
                <c:pt idx="55">
                  <c:v>150</c:v>
                </c:pt>
                <c:pt idx="56">
                  <c:v>84.256991150442445</c:v>
                </c:pt>
                <c:pt idx="57">
                  <c:v>150</c:v>
                </c:pt>
                <c:pt idx="58">
                  <c:v>150</c:v>
                </c:pt>
                <c:pt idx="59">
                  <c:v>42.616991150442431</c:v>
                </c:pt>
                <c:pt idx="60">
                  <c:v>150</c:v>
                </c:pt>
                <c:pt idx="61">
                  <c:v>150</c:v>
                </c:pt>
                <c:pt idx="62">
                  <c:v>139.27346938775528</c:v>
                </c:pt>
                <c:pt idx="63">
                  <c:v>150</c:v>
                </c:pt>
                <c:pt idx="64">
                  <c:v>150</c:v>
                </c:pt>
                <c:pt idx="65">
                  <c:v>111.89999999999978</c:v>
                </c:pt>
                <c:pt idx="66">
                  <c:v>150</c:v>
                </c:pt>
                <c:pt idx="67">
                  <c:v>150</c:v>
                </c:pt>
                <c:pt idx="68">
                  <c:v>150</c:v>
                </c:pt>
                <c:pt idx="69">
                  <c:v>150</c:v>
                </c:pt>
                <c:pt idx="70">
                  <c:v>150</c:v>
                </c:pt>
                <c:pt idx="71">
                  <c:v>104.44897959183683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C4D-40B7-B40B-2700809EDEFD}"/>
            </c:ext>
          </c:extLst>
        </c:ser>
        <c:ser>
          <c:idx val="14"/>
          <c:order val="14"/>
          <c:tx>
            <c:strRef>
              <c:f>Output!$A$18:$B$18</c:f>
              <c:strCache>
                <c:ptCount val="2"/>
                <c:pt idx="0">
                  <c:v>sc01</c:v>
                </c:pt>
                <c:pt idx="1">
                  <c:v>StorageHydro1_Basin1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Output!$C$18:$BV$18</c:f>
              <c:numCache>
                <c:formatCode>0</c:formatCode>
                <c:ptCount val="72"/>
                <c:pt idx="0">
                  <c:v>200</c:v>
                </c:pt>
                <c:pt idx="1">
                  <c:v>15.456005194804993</c:v>
                </c:pt>
                <c:pt idx="2">
                  <c:v>0</c:v>
                </c:pt>
                <c:pt idx="3">
                  <c:v>200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50.259636742874207</c:v>
                </c:pt>
                <c:pt idx="8">
                  <c:v>0</c:v>
                </c:pt>
                <c:pt idx="9">
                  <c:v>200</c:v>
                </c:pt>
                <c:pt idx="10">
                  <c:v>19.429186318632478</c:v>
                </c:pt>
                <c:pt idx="11">
                  <c:v>0</c:v>
                </c:pt>
                <c:pt idx="12">
                  <c:v>200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200</c:v>
                </c:pt>
                <c:pt idx="19">
                  <c:v>112.46466165413536</c:v>
                </c:pt>
                <c:pt idx="20">
                  <c:v>0</c:v>
                </c:pt>
                <c:pt idx="21">
                  <c:v>200</c:v>
                </c:pt>
                <c:pt idx="22">
                  <c:v>48.439999999999927</c:v>
                </c:pt>
                <c:pt idx="23">
                  <c:v>0</c:v>
                </c:pt>
                <c:pt idx="24">
                  <c:v>200</c:v>
                </c:pt>
                <c:pt idx="25">
                  <c:v>45.22470588235322</c:v>
                </c:pt>
                <c:pt idx="26">
                  <c:v>0</c:v>
                </c:pt>
                <c:pt idx="27">
                  <c:v>200</c:v>
                </c:pt>
                <c:pt idx="28">
                  <c:v>45.22470588235322</c:v>
                </c:pt>
                <c:pt idx="29">
                  <c:v>0</c:v>
                </c:pt>
                <c:pt idx="30">
                  <c:v>47.135186147187483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200</c:v>
                </c:pt>
                <c:pt idx="37">
                  <c:v>0</c:v>
                </c:pt>
                <c:pt idx="38">
                  <c:v>0</c:v>
                </c:pt>
                <c:pt idx="39">
                  <c:v>188.60000000000016</c:v>
                </c:pt>
                <c:pt idx="40">
                  <c:v>0</c:v>
                </c:pt>
                <c:pt idx="41">
                  <c:v>0</c:v>
                </c:pt>
                <c:pt idx="42">
                  <c:v>200</c:v>
                </c:pt>
                <c:pt idx="43">
                  <c:v>111.26731595676959</c:v>
                </c:pt>
                <c:pt idx="44">
                  <c:v>0</c:v>
                </c:pt>
                <c:pt idx="45">
                  <c:v>170.94000000000059</c:v>
                </c:pt>
                <c:pt idx="46">
                  <c:v>0</c:v>
                </c:pt>
                <c:pt idx="47">
                  <c:v>0</c:v>
                </c:pt>
                <c:pt idx="48">
                  <c:v>200</c:v>
                </c:pt>
                <c:pt idx="49">
                  <c:v>0</c:v>
                </c:pt>
                <c:pt idx="50">
                  <c:v>0</c:v>
                </c:pt>
                <c:pt idx="51">
                  <c:v>200</c:v>
                </c:pt>
                <c:pt idx="52">
                  <c:v>0</c:v>
                </c:pt>
                <c:pt idx="53">
                  <c:v>0</c:v>
                </c:pt>
                <c:pt idx="54">
                  <c:v>200</c:v>
                </c:pt>
                <c:pt idx="55">
                  <c:v>78.239999999999924</c:v>
                </c:pt>
                <c:pt idx="56">
                  <c:v>0</c:v>
                </c:pt>
                <c:pt idx="57">
                  <c:v>200</c:v>
                </c:pt>
                <c:pt idx="58">
                  <c:v>0</c:v>
                </c:pt>
                <c:pt idx="59">
                  <c:v>0</c:v>
                </c:pt>
                <c:pt idx="60">
                  <c:v>200</c:v>
                </c:pt>
                <c:pt idx="61">
                  <c:v>78.405367965367887</c:v>
                </c:pt>
                <c:pt idx="62">
                  <c:v>0</c:v>
                </c:pt>
                <c:pt idx="63">
                  <c:v>200</c:v>
                </c:pt>
                <c:pt idx="64">
                  <c:v>0</c:v>
                </c:pt>
                <c:pt idx="65">
                  <c:v>0</c:v>
                </c:pt>
                <c:pt idx="66">
                  <c:v>200</c:v>
                </c:pt>
                <c:pt idx="67">
                  <c:v>91.137903743315647</c:v>
                </c:pt>
                <c:pt idx="68">
                  <c:v>0</c:v>
                </c:pt>
                <c:pt idx="69">
                  <c:v>200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4D-40B7-B40B-2700809EDEFD}"/>
            </c:ext>
          </c:extLst>
        </c:ser>
        <c:ser>
          <c:idx val="15"/>
          <c:order val="15"/>
          <c:tx>
            <c:strRef>
              <c:f>Output!$A$19:$B$19</c:f>
              <c:strCache>
                <c:ptCount val="2"/>
                <c:pt idx="0">
                  <c:v>sc01</c:v>
                </c:pt>
                <c:pt idx="1">
                  <c:v>StorageHydro2_Basin1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Output!$C$19:$BV$19</c:f>
              <c:numCache>
                <c:formatCode>0</c:formatCode>
                <c:ptCount val="72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78.600000000000065</c:v>
                </c:pt>
                <c:pt idx="4">
                  <c:v>0</c:v>
                </c:pt>
                <c:pt idx="5">
                  <c:v>0</c:v>
                </c:pt>
                <c:pt idx="6">
                  <c:v>136.99999999999986</c:v>
                </c:pt>
                <c:pt idx="7">
                  <c:v>0</c:v>
                </c:pt>
                <c:pt idx="8">
                  <c:v>0</c:v>
                </c:pt>
                <c:pt idx="9">
                  <c:v>136.99999999999986</c:v>
                </c:pt>
                <c:pt idx="10">
                  <c:v>0</c:v>
                </c:pt>
                <c:pt idx="11">
                  <c:v>0</c:v>
                </c:pt>
                <c:pt idx="12">
                  <c:v>104.29999999999967</c:v>
                </c:pt>
                <c:pt idx="13">
                  <c:v>0</c:v>
                </c:pt>
                <c:pt idx="14">
                  <c:v>0</c:v>
                </c:pt>
                <c:pt idx="15">
                  <c:v>17.699999999999825</c:v>
                </c:pt>
                <c:pt idx="16">
                  <c:v>0</c:v>
                </c:pt>
                <c:pt idx="17">
                  <c:v>0</c:v>
                </c:pt>
                <c:pt idx="18">
                  <c:v>200</c:v>
                </c:pt>
                <c:pt idx="19">
                  <c:v>0</c:v>
                </c:pt>
                <c:pt idx="20">
                  <c:v>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  <c:pt idx="24">
                  <c:v>184.60000000000016</c:v>
                </c:pt>
                <c:pt idx="25">
                  <c:v>0</c:v>
                </c:pt>
                <c:pt idx="26">
                  <c:v>0</c:v>
                </c:pt>
                <c:pt idx="27">
                  <c:v>184.60000000000016</c:v>
                </c:pt>
                <c:pt idx="28">
                  <c:v>0</c:v>
                </c:pt>
                <c:pt idx="29">
                  <c:v>0</c:v>
                </c:pt>
                <c:pt idx="30">
                  <c:v>137.16481385281205</c:v>
                </c:pt>
                <c:pt idx="31">
                  <c:v>0</c:v>
                </c:pt>
                <c:pt idx="32">
                  <c:v>0</c:v>
                </c:pt>
                <c:pt idx="33">
                  <c:v>76.500000000000284</c:v>
                </c:pt>
                <c:pt idx="34">
                  <c:v>0</c:v>
                </c:pt>
                <c:pt idx="35">
                  <c:v>0</c:v>
                </c:pt>
                <c:pt idx="36">
                  <c:v>65.799999999999699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159.40000000000003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84.899999999999594</c:v>
                </c:pt>
                <c:pt idx="49">
                  <c:v>0</c:v>
                </c:pt>
                <c:pt idx="50">
                  <c:v>0</c:v>
                </c:pt>
                <c:pt idx="51">
                  <c:v>67.200000000000088</c:v>
                </c:pt>
                <c:pt idx="52">
                  <c:v>0</c:v>
                </c:pt>
                <c:pt idx="53">
                  <c:v>0</c:v>
                </c:pt>
                <c:pt idx="54">
                  <c:v>200</c:v>
                </c:pt>
                <c:pt idx="55">
                  <c:v>0</c:v>
                </c:pt>
                <c:pt idx="56">
                  <c:v>0</c:v>
                </c:pt>
                <c:pt idx="57">
                  <c:v>200</c:v>
                </c:pt>
                <c:pt idx="58">
                  <c:v>0</c:v>
                </c:pt>
                <c:pt idx="59">
                  <c:v>0</c:v>
                </c:pt>
                <c:pt idx="60">
                  <c:v>200</c:v>
                </c:pt>
                <c:pt idx="61">
                  <c:v>0</c:v>
                </c:pt>
                <c:pt idx="62">
                  <c:v>0</c:v>
                </c:pt>
                <c:pt idx="63">
                  <c:v>78.900000000000247</c:v>
                </c:pt>
                <c:pt idx="64">
                  <c:v>0</c:v>
                </c:pt>
                <c:pt idx="65">
                  <c:v>0</c:v>
                </c:pt>
                <c:pt idx="66">
                  <c:v>6.0137005347628119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C4D-40B7-B40B-2700809EDEFD}"/>
            </c:ext>
          </c:extLst>
        </c:ser>
        <c:ser>
          <c:idx val="16"/>
          <c:order val="16"/>
          <c:tx>
            <c:strRef>
              <c:f>Output!$A$20:$B$20</c:f>
              <c:strCache>
                <c:ptCount val="2"/>
                <c:pt idx="0">
                  <c:v>sc01</c:v>
                </c:pt>
                <c:pt idx="1">
                  <c:v>StorageHydro3_Basin1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Output!$C$20:$BV$20</c:f>
              <c:numCache>
                <c:formatCode>0</c:formatCode>
                <c:ptCount val="72"/>
                <c:pt idx="0">
                  <c:v>200</c:v>
                </c:pt>
                <c:pt idx="1">
                  <c:v>200</c:v>
                </c:pt>
                <c:pt idx="2">
                  <c:v>0</c:v>
                </c:pt>
                <c:pt idx="3">
                  <c:v>200</c:v>
                </c:pt>
                <c:pt idx="4">
                  <c:v>87.840000000000359</c:v>
                </c:pt>
                <c:pt idx="5">
                  <c:v>0</c:v>
                </c:pt>
                <c:pt idx="6">
                  <c:v>200</c:v>
                </c:pt>
                <c:pt idx="7">
                  <c:v>144.27081368136788</c:v>
                </c:pt>
                <c:pt idx="8">
                  <c:v>0</c:v>
                </c:pt>
                <c:pt idx="9">
                  <c:v>200</c:v>
                </c:pt>
                <c:pt idx="10">
                  <c:v>144.27081368136788</c:v>
                </c:pt>
                <c:pt idx="11">
                  <c:v>0</c:v>
                </c:pt>
                <c:pt idx="12">
                  <c:v>200</c:v>
                </c:pt>
                <c:pt idx="13">
                  <c:v>178.2000000000003</c:v>
                </c:pt>
                <c:pt idx="14">
                  <c:v>0</c:v>
                </c:pt>
                <c:pt idx="15">
                  <c:v>200</c:v>
                </c:pt>
                <c:pt idx="16">
                  <c:v>16.799999999999869</c:v>
                </c:pt>
                <c:pt idx="17">
                  <c:v>0</c:v>
                </c:pt>
                <c:pt idx="18">
                  <c:v>200</c:v>
                </c:pt>
                <c:pt idx="19">
                  <c:v>200</c:v>
                </c:pt>
                <c:pt idx="20">
                  <c:v>0</c:v>
                </c:pt>
                <c:pt idx="21">
                  <c:v>200</c:v>
                </c:pt>
                <c:pt idx="22">
                  <c:v>200</c:v>
                </c:pt>
                <c:pt idx="23">
                  <c:v>0</c:v>
                </c:pt>
                <c:pt idx="24">
                  <c:v>200</c:v>
                </c:pt>
                <c:pt idx="25">
                  <c:v>200</c:v>
                </c:pt>
                <c:pt idx="26">
                  <c:v>11.000000000000398</c:v>
                </c:pt>
                <c:pt idx="27">
                  <c:v>200</c:v>
                </c:pt>
                <c:pt idx="28">
                  <c:v>200</c:v>
                </c:pt>
                <c:pt idx="29">
                  <c:v>11.000000000000398</c:v>
                </c:pt>
                <c:pt idx="30">
                  <c:v>200</c:v>
                </c:pt>
                <c:pt idx="31">
                  <c:v>141.74446382189132</c:v>
                </c:pt>
                <c:pt idx="32">
                  <c:v>0</c:v>
                </c:pt>
                <c:pt idx="33">
                  <c:v>200</c:v>
                </c:pt>
                <c:pt idx="34">
                  <c:v>109.99999999999993</c:v>
                </c:pt>
                <c:pt idx="35">
                  <c:v>0</c:v>
                </c:pt>
                <c:pt idx="36">
                  <c:v>200</c:v>
                </c:pt>
                <c:pt idx="37">
                  <c:v>200</c:v>
                </c:pt>
                <c:pt idx="38">
                  <c:v>0</c:v>
                </c:pt>
                <c:pt idx="39">
                  <c:v>200</c:v>
                </c:pt>
                <c:pt idx="40">
                  <c:v>200</c:v>
                </c:pt>
                <c:pt idx="41">
                  <c:v>0</c:v>
                </c:pt>
                <c:pt idx="42">
                  <c:v>200</c:v>
                </c:pt>
                <c:pt idx="43">
                  <c:v>200</c:v>
                </c:pt>
                <c:pt idx="44">
                  <c:v>0</c:v>
                </c:pt>
                <c:pt idx="45">
                  <c:v>200</c:v>
                </c:pt>
                <c:pt idx="46">
                  <c:v>192.33999999999995</c:v>
                </c:pt>
                <c:pt idx="47">
                  <c:v>0</c:v>
                </c:pt>
                <c:pt idx="48">
                  <c:v>200</c:v>
                </c:pt>
                <c:pt idx="49">
                  <c:v>181.89999999999966</c:v>
                </c:pt>
                <c:pt idx="50">
                  <c:v>0</c:v>
                </c:pt>
                <c:pt idx="51">
                  <c:v>200</c:v>
                </c:pt>
                <c:pt idx="52">
                  <c:v>120.30000000000035</c:v>
                </c:pt>
                <c:pt idx="53">
                  <c:v>0</c:v>
                </c:pt>
                <c:pt idx="54">
                  <c:v>200</c:v>
                </c:pt>
                <c:pt idx="55">
                  <c:v>200</c:v>
                </c:pt>
                <c:pt idx="56">
                  <c:v>0</c:v>
                </c:pt>
                <c:pt idx="57">
                  <c:v>200</c:v>
                </c:pt>
                <c:pt idx="58">
                  <c:v>200</c:v>
                </c:pt>
                <c:pt idx="59">
                  <c:v>0</c:v>
                </c:pt>
                <c:pt idx="60">
                  <c:v>200</c:v>
                </c:pt>
                <c:pt idx="61">
                  <c:v>160.85463203463203</c:v>
                </c:pt>
                <c:pt idx="62">
                  <c:v>0</c:v>
                </c:pt>
                <c:pt idx="63">
                  <c:v>200</c:v>
                </c:pt>
                <c:pt idx="64">
                  <c:v>91.800000000000054</c:v>
                </c:pt>
                <c:pt idx="65">
                  <c:v>0</c:v>
                </c:pt>
                <c:pt idx="66">
                  <c:v>200</c:v>
                </c:pt>
                <c:pt idx="67">
                  <c:v>200</c:v>
                </c:pt>
                <c:pt idx="68">
                  <c:v>0</c:v>
                </c:pt>
                <c:pt idx="69">
                  <c:v>200</c:v>
                </c:pt>
                <c:pt idx="70">
                  <c:v>108.63999999999984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C4D-40B7-B40B-2700809EDEFD}"/>
            </c:ext>
          </c:extLst>
        </c:ser>
        <c:ser>
          <c:idx val="17"/>
          <c:order val="17"/>
          <c:tx>
            <c:strRef>
              <c:f>Output!$A$21:$B$21</c:f>
              <c:strCache>
                <c:ptCount val="2"/>
                <c:pt idx="0">
                  <c:v>sc01</c:v>
                </c:pt>
                <c:pt idx="1">
                  <c:v>PumpedStorageHydro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Output!$C$1:$BV$3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Output!$C$21:$BV$21</c:f>
              <c:numCache>
                <c:formatCode>0</c:formatCode>
                <c:ptCount val="7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4D-40B7-B40B-2700809ED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48111"/>
        <c:axId val="408245615"/>
      </c:areaChart>
      <c:catAx>
        <c:axId val="4082481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Load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08245615"/>
        <c:crosses val="autoZero"/>
        <c:auto val="1"/>
        <c:lblAlgn val="ctr"/>
        <c:lblOffset val="100"/>
        <c:noMultiLvlLbl val="0"/>
      </c:catAx>
      <c:valAx>
        <c:axId val="40824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Output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082481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Energy!$A$4:$B$4</c:f>
              <c:strCache>
                <c:ptCount val="2"/>
                <c:pt idx="0">
                  <c:v>sc01</c:v>
                </c:pt>
                <c:pt idx="1">
                  <c:v>Nuclear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Energy!$C$4:$BV$4</c:f>
              <c:numCache>
                <c:formatCode>0</c:formatCode>
                <c:ptCount val="72"/>
                <c:pt idx="0">
                  <c:v>67900.800000000003</c:v>
                </c:pt>
                <c:pt idx="1">
                  <c:v>237652.80000000002</c:v>
                </c:pt>
                <c:pt idx="2">
                  <c:v>101851.20000000001</c:v>
                </c:pt>
                <c:pt idx="3">
                  <c:v>27777.600000000002</c:v>
                </c:pt>
                <c:pt idx="4">
                  <c:v>97221.6</c:v>
                </c:pt>
                <c:pt idx="5">
                  <c:v>41666.400000000001</c:v>
                </c:pt>
                <c:pt idx="6">
                  <c:v>46296.000000000007</c:v>
                </c:pt>
                <c:pt idx="7">
                  <c:v>231480.00000000003</c:v>
                </c:pt>
                <c:pt idx="8">
                  <c:v>92592.000000000015</c:v>
                </c:pt>
                <c:pt idx="9">
                  <c:v>18518.400000000001</c:v>
                </c:pt>
                <c:pt idx="10">
                  <c:v>80246.400000000009</c:v>
                </c:pt>
                <c:pt idx="11">
                  <c:v>49382.400000000001</c:v>
                </c:pt>
                <c:pt idx="12">
                  <c:v>64814.400000000009</c:v>
                </c:pt>
                <c:pt idx="13">
                  <c:v>226850.4</c:v>
                </c:pt>
                <c:pt idx="14">
                  <c:v>97221.6</c:v>
                </c:pt>
                <c:pt idx="15">
                  <c:v>23148.000000000004</c:v>
                </c:pt>
                <c:pt idx="16">
                  <c:v>100308</c:v>
                </c:pt>
                <c:pt idx="17">
                  <c:v>61728.000000000007</c:v>
                </c:pt>
                <c:pt idx="18">
                  <c:v>58641.600000000006</c:v>
                </c:pt>
                <c:pt idx="19">
                  <c:v>205245.60000000003</c:v>
                </c:pt>
                <c:pt idx="20">
                  <c:v>87962.400000000009</c:v>
                </c:pt>
                <c:pt idx="21">
                  <c:v>25462.800000000003</c:v>
                </c:pt>
                <c:pt idx="22">
                  <c:v>118826.40000000001</c:v>
                </c:pt>
                <c:pt idx="23">
                  <c:v>59413.200000000004</c:v>
                </c:pt>
                <c:pt idx="24">
                  <c:v>67900.800000000003</c:v>
                </c:pt>
                <c:pt idx="25">
                  <c:v>237652.80000000002</c:v>
                </c:pt>
                <c:pt idx="26">
                  <c:v>101851.20000000001</c:v>
                </c:pt>
                <c:pt idx="27">
                  <c:v>20833.2</c:v>
                </c:pt>
                <c:pt idx="28">
                  <c:v>90277.200000000012</c:v>
                </c:pt>
                <c:pt idx="29">
                  <c:v>55555.200000000004</c:v>
                </c:pt>
                <c:pt idx="30">
                  <c:v>64814.400000000009</c:v>
                </c:pt>
                <c:pt idx="31">
                  <c:v>226850.4</c:v>
                </c:pt>
                <c:pt idx="32">
                  <c:v>97221.6</c:v>
                </c:pt>
                <c:pt idx="33">
                  <c:v>20833.2</c:v>
                </c:pt>
                <c:pt idx="34">
                  <c:v>97221.6</c:v>
                </c:pt>
                <c:pt idx="35">
                  <c:v>48610.8</c:v>
                </c:pt>
                <c:pt idx="36">
                  <c:v>84876</c:v>
                </c:pt>
                <c:pt idx="37">
                  <c:v>203702.40000000002</c:v>
                </c:pt>
                <c:pt idx="38">
                  <c:v>118826.40000000001</c:v>
                </c:pt>
                <c:pt idx="39">
                  <c:v>20833.2</c:v>
                </c:pt>
                <c:pt idx="40">
                  <c:v>97221.6</c:v>
                </c:pt>
                <c:pt idx="41">
                  <c:v>48610.8</c:v>
                </c:pt>
                <c:pt idx="42">
                  <c:v>67900.800000000003</c:v>
                </c:pt>
                <c:pt idx="43">
                  <c:v>220677.6</c:v>
                </c:pt>
                <c:pt idx="44">
                  <c:v>118826.40000000001</c:v>
                </c:pt>
                <c:pt idx="45">
                  <c:v>20833.2</c:v>
                </c:pt>
                <c:pt idx="46">
                  <c:v>97221.6</c:v>
                </c:pt>
                <c:pt idx="47">
                  <c:v>48610.8</c:v>
                </c:pt>
                <c:pt idx="48">
                  <c:v>77160.000000000015</c:v>
                </c:pt>
                <c:pt idx="49">
                  <c:v>185184.00000000003</c:v>
                </c:pt>
                <c:pt idx="50">
                  <c:v>108024.00000000001</c:v>
                </c:pt>
                <c:pt idx="51">
                  <c:v>23148.000000000004</c:v>
                </c:pt>
                <c:pt idx="52">
                  <c:v>100308</c:v>
                </c:pt>
                <c:pt idx="53">
                  <c:v>61728.000000000007</c:v>
                </c:pt>
                <c:pt idx="54">
                  <c:v>50925.600000000006</c:v>
                </c:pt>
                <c:pt idx="55">
                  <c:v>237652.80000000002</c:v>
                </c:pt>
                <c:pt idx="56">
                  <c:v>118826.40000000001</c:v>
                </c:pt>
                <c:pt idx="57">
                  <c:v>20833.2</c:v>
                </c:pt>
                <c:pt idx="58">
                  <c:v>90277.200000000012</c:v>
                </c:pt>
                <c:pt idx="59">
                  <c:v>55555.200000000004</c:v>
                </c:pt>
                <c:pt idx="60">
                  <c:v>32407.200000000004</c:v>
                </c:pt>
                <c:pt idx="61">
                  <c:v>243054.00000000003</c:v>
                </c:pt>
                <c:pt idx="62">
                  <c:v>113425.2</c:v>
                </c:pt>
                <c:pt idx="63">
                  <c:v>20833.2</c:v>
                </c:pt>
                <c:pt idx="64">
                  <c:v>90277.200000000012</c:v>
                </c:pt>
                <c:pt idx="65">
                  <c:v>55555.200000000004</c:v>
                </c:pt>
                <c:pt idx="66">
                  <c:v>52468.800000000003</c:v>
                </c:pt>
                <c:pt idx="67">
                  <c:v>183640.80000000002</c:v>
                </c:pt>
                <c:pt idx="68">
                  <c:v>78703.200000000012</c:v>
                </c:pt>
                <c:pt idx="69">
                  <c:v>43209.599999999999</c:v>
                </c:pt>
                <c:pt idx="70">
                  <c:v>140431.20000000001</c:v>
                </c:pt>
                <c:pt idx="71">
                  <c:v>75616.800000000017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4-4198-B7EE-040A529CD17C}"/>
            </c:ext>
          </c:extLst>
        </c:ser>
        <c:ser>
          <c:idx val="1"/>
          <c:order val="1"/>
          <c:tx>
            <c:strRef>
              <c:f>Energy!$A$5:$B$5</c:f>
              <c:strCache>
                <c:ptCount val="2"/>
                <c:pt idx="0">
                  <c:v>sc01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Energy!$C$5:$BV$5</c:f>
              <c:numCache>
                <c:formatCode>0</c:formatCode>
                <c:ptCount val="72"/>
                <c:pt idx="0">
                  <c:v>20697.599999999999</c:v>
                </c:pt>
                <c:pt idx="1">
                  <c:v>72441.599999999991</c:v>
                </c:pt>
                <c:pt idx="2">
                  <c:v>31046.399999999994</c:v>
                </c:pt>
                <c:pt idx="3">
                  <c:v>8467.1999999999989</c:v>
                </c:pt>
                <c:pt idx="4">
                  <c:v>29635.199999999993</c:v>
                </c:pt>
                <c:pt idx="5">
                  <c:v>12700.799999999997</c:v>
                </c:pt>
                <c:pt idx="6">
                  <c:v>14111.999999999998</c:v>
                </c:pt>
                <c:pt idx="7">
                  <c:v>70559.999999999985</c:v>
                </c:pt>
                <c:pt idx="8">
                  <c:v>28223.999999999996</c:v>
                </c:pt>
                <c:pt idx="9">
                  <c:v>5644.7999999999993</c:v>
                </c:pt>
                <c:pt idx="10">
                  <c:v>24460.799999999996</c:v>
                </c:pt>
                <c:pt idx="11">
                  <c:v>15052.799999999997</c:v>
                </c:pt>
                <c:pt idx="12">
                  <c:v>19756.8</c:v>
                </c:pt>
                <c:pt idx="13">
                  <c:v>69148.799999999988</c:v>
                </c:pt>
                <c:pt idx="14">
                  <c:v>29635.199999999993</c:v>
                </c:pt>
                <c:pt idx="15">
                  <c:v>7055.9999999999991</c:v>
                </c:pt>
                <c:pt idx="16">
                  <c:v>30575.999999999996</c:v>
                </c:pt>
                <c:pt idx="17">
                  <c:v>18815.999999999996</c:v>
                </c:pt>
                <c:pt idx="18">
                  <c:v>17875.199999999997</c:v>
                </c:pt>
                <c:pt idx="19">
                  <c:v>62563.19999999999</c:v>
                </c:pt>
                <c:pt idx="20">
                  <c:v>26812.799999999996</c:v>
                </c:pt>
                <c:pt idx="21">
                  <c:v>7761.5999999999985</c:v>
                </c:pt>
                <c:pt idx="22">
                  <c:v>36220.799999999996</c:v>
                </c:pt>
                <c:pt idx="23">
                  <c:v>18110.399999999998</c:v>
                </c:pt>
                <c:pt idx="24">
                  <c:v>20697.599999999999</c:v>
                </c:pt>
                <c:pt idx="25">
                  <c:v>72441.599999999991</c:v>
                </c:pt>
                <c:pt idx="26">
                  <c:v>31046.399999999994</c:v>
                </c:pt>
                <c:pt idx="27">
                  <c:v>6350.3999999999987</c:v>
                </c:pt>
                <c:pt idx="28">
                  <c:v>27518.399999999998</c:v>
                </c:pt>
                <c:pt idx="29">
                  <c:v>16934.399999999998</c:v>
                </c:pt>
                <c:pt idx="30">
                  <c:v>19756.8</c:v>
                </c:pt>
                <c:pt idx="31">
                  <c:v>69148.799999999988</c:v>
                </c:pt>
                <c:pt idx="32">
                  <c:v>29635.199999999993</c:v>
                </c:pt>
                <c:pt idx="33">
                  <c:v>6350.3999999999987</c:v>
                </c:pt>
                <c:pt idx="34">
                  <c:v>29635.199999999993</c:v>
                </c:pt>
                <c:pt idx="35">
                  <c:v>14817.599999999997</c:v>
                </c:pt>
                <c:pt idx="36">
                  <c:v>25871.999999999996</c:v>
                </c:pt>
                <c:pt idx="37">
                  <c:v>62092.799999999988</c:v>
                </c:pt>
                <c:pt idx="38">
                  <c:v>36220.799999999996</c:v>
                </c:pt>
                <c:pt idx="39">
                  <c:v>6350.3999999999987</c:v>
                </c:pt>
                <c:pt idx="40">
                  <c:v>29635.199999999993</c:v>
                </c:pt>
                <c:pt idx="41">
                  <c:v>14817.599999999997</c:v>
                </c:pt>
                <c:pt idx="42">
                  <c:v>20697.599999999999</c:v>
                </c:pt>
                <c:pt idx="43">
                  <c:v>67267.199999999983</c:v>
                </c:pt>
                <c:pt idx="44">
                  <c:v>36220.799999999996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23519.999999999996</c:v>
                </c:pt>
                <c:pt idx="49">
                  <c:v>56447.999999999993</c:v>
                </c:pt>
                <c:pt idx="50">
                  <c:v>32928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15523.199999999997</c:v>
                </c:pt>
                <c:pt idx="55">
                  <c:v>72441.599999999991</c:v>
                </c:pt>
                <c:pt idx="56">
                  <c:v>36220.799999999996</c:v>
                </c:pt>
                <c:pt idx="57">
                  <c:v>6350.3999999999987</c:v>
                </c:pt>
                <c:pt idx="58">
                  <c:v>27518.399999999998</c:v>
                </c:pt>
                <c:pt idx="59">
                  <c:v>16934.399999999998</c:v>
                </c:pt>
                <c:pt idx="60">
                  <c:v>9878.4</c:v>
                </c:pt>
                <c:pt idx="61">
                  <c:v>74088</c:v>
                </c:pt>
                <c:pt idx="62">
                  <c:v>34574.399999999994</c:v>
                </c:pt>
                <c:pt idx="63">
                  <c:v>6350.3999999999987</c:v>
                </c:pt>
                <c:pt idx="64">
                  <c:v>27518.399999999998</c:v>
                </c:pt>
                <c:pt idx="65">
                  <c:v>16934.399999999998</c:v>
                </c:pt>
                <c:pt idx="66">
                  <c:v>38371.468363636144</c:v>
                </c:pt>
                <c:pt idx="67">
                  <c:v>55977.599999999991</c:v>
                </c:pt>
                <c:pt idx="68">
                  <c:v>23990.399999999998</c:v>
                </c:pt>
                <c:pt idx="69">
                  <c:v>15500.800000000001</c:v>
                </c:pt>
                <c:pt idx="70">
                  <c:v>42806.399999999994</c:v>
                </c:pt>
                <c:pt idx="71">
                  <c:v>23049.599999999999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D4-4198-B7EE-040A529CD17C}"/>
            </c:ext>
          </c:extLst>
        </c:ser>
        <c:ser>
          <c:idx val="2"/>
          <c:order val="2"/>
          <c:tx>
            <c:strRef>
              <c:f>Energy!$A$6:$B$6</c:f>
              <c:strCache>
                <c:ptCount val="2"/>
                <c:pt idx="0">
                  <c:v>sc01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Energy!$C$6:$BV$6</c:f>
              <c:numCache>
                <c:formatCode>0</c:formatCode>
                <c:ptCount val="72"/>
                <c:pt idx="0">
                  <c:v>8447.9999999999927</c:v>
                </c:pt>
                <c:pt idx="1">
                  <c:v>25021.919999999998</c:v>
                </c:pt>
                <c:pt idx="2">
                  <c:v>10723.68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5510.4000000000206</c:v>
                </c:pt>
                <c:pt idx="61">
                  <c:v>25590.6</c:v>
                </c:pt>
                <c:pt idx="62">
                  <c:v>11942.279999999999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D4-4198-B7EE-040A529CD17C}"/>
            </c:ext>
          </c:extLst>
        </c:ser>
        <c:ser>
          <c:idx val="3"/>
          <c:order val="3"/>
          <c:tx>
            <c:strRef>
              <c:f>Energy!$A$7:$B$7</c:f>
              <c:strCache>
                <c:ptCount val="2"/>
                <c:pt idx="0">
                  <c:v>sc01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Energy!$C$7:$BV$7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4507.8000000000347</c:v>
                </c:pt>
                <c:pt idx="55">
                  <c:v>18529.279999999995</c:v>
                </c:pt>
                <c:pt idx="56">
                  <c:v>9264.6399999999976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D4-4198-B7EE-040A529CD17C}"/>
            </c:ext>
          </c:extLst>
        </c:ser>
        <c:ser>
          <c:idx val="4"/>
          <c:order val="4"/>
          <c:tx>
            <c:strRef>
              <c:f>Energy!$A$8:$B$8</c:f>
              <c:strCache>
                <c:ptCount val="2"/>
                <c:pt idx="0">
                  <c:v>sc01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Energy!$C$8:$BV$8</c:f>
              <c:numCache>
                <c:formatCode>0</c:formatCode>
                <c:ptCount val="72"/>
                <c:pt idx="0">
                  <c:v>17107.2</c:v>
                </c:pt>
                <c:pt idx="1">
                  <c:v>49958.830399999992</c:v>
                </c:pt>
                <c:pt idx="2">
                  <c:v>10264.320000000002</c:v>
                </c:pt>
                <c:pt idx="3">
                  <c:v>6998.4000000000005</c:v>
                </c:pt>
                <c:pt idx="4">
                  <c:v>9797.760000000002</c:v>
                </c:pt>
                <c:pt idx="5">
                  <c:v>4199.04</c:v>
                </c:pt>
                <c:pt idx="6">
                  <c:v>5538.0000000000564</c:v>
                </c:pt>
                <c:pt idx="7">
                  <c:v>29420.864872727401</c:v>
                </c:pt>
                <c:pt idx="8">
                  <c:v>9331.2000000000007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9705.2000000000498</c:v>
                </c:pt>
                <c:pt idx="19">
                  <c:v>29482.200000000026</c:v>
                </c:pt>
                <c:pt idx="20">
                  <c:v>8864.6400000000012</c:v>
                </c:pt>
                <c:pt idx="21">
                  <c:v>3880.800000000007</c:v>
                </c:pt>
                <c:pt idx="22">
                  <c:v>11975.04</c:v>
                </c:pt>
                <c:pt idx="23">
                  <c:v>5987.52</c:v>
                </c:pt>
                <c:pt idx="24">
                  <c:v>12091.200000000041</c:v>
                </c:pt>
                <c:pt idx="25">
                  <c:v>53838.3999999999</c:v>
                </c:pt>
                <c:pt idx="26">
                  <c:v>10264.320000000002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16329.600000000002</c:v>
                </c:pt>
                <c:pt idx="31">
                  <c:v>27271.927636363991</c:v>
                </c:pt>
                <c:pt idx="32">
                  <c:v>9797.760000000002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21384</c:v>
                </c:pt>
                <c:pt idx="37">
                  <c:v>34429.199999999983</c:v>
                </c:pt>
                <c:pt idx="38">
                  <c:v>11975.04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17107.2</c:v>
                </c:pt>
                <c:pt idx="43">
                  <c:v>51464.747636364045</c:v>
                </c:pt>
                <c:pt idx="44">
                  <c:v>11975.04</c:v>
                </c:pt>
                <c:pt idx="45">
                  <c:v>2099.52</c:v>
                </c:pt>
                <c:pt idx="46">
                  <c:v>9797.760000000002</c:v>
                </c:pt>
                <c:pt idx="47">
                  <c:v>4898.880000000001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12830.400000000001</c:v>
                </c:pt>
                <c:pt idx="55">
                  <c:v>59875.200000000004</c:v>
                </c:pt>
                <c:pt idx="56">
                  <c:v>11975.04</c:v>
                </c:pt>
                <c:pt idx="57">
                  <c:v>3177.8999999999992</c:v>
                </c:pt>
                <c:pt idx="58">
                  <c:v>14004.899999999998</c:v>
                </c:pt>
                <c:pt idx="59">
                  <c:v>5598.7200000000012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13219.2</c:v>
                </c:pt>
                <c:pt idx="67">
                  <c:v>45187.178909090835</c:v>
                </c:pt>
                <c:pt idx="68">
                  <c:v>7931.52</c:v>
                </c:pt>
                <c:pt idx="69">
                  <c:v>10886.400000000001</c:v>
                </c:pt>
                <c:pt idx="70">
                  <c:v>14152.320000000002</c:v>
                </c:pt>
                <c:pt idx="71">
                  <c:v>7620.4800000000005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D4-4198-B7EE-040A529CD17C}"/>
            </c:ext>
          </c:extLst>
        </c:ser>
        <c:ser>
          <c:idx val="5"/>
          <c:order val="5"/>
          <c:tx>
            <c:strRef>
              <c:f>Energy!$A$9:$B$9</c:f>
              <c:strCache>
                <c:ptCount val="2"/>
                <c:pt idx="0">
                  <c:v>sc01</c:v>
                </c:pt>
                <c:pt idx="1">
                  <c:v>CCGT_1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Energy!$C$9:$BV$9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66000</c:v>
                </c:pt>
                <c:pt idx="3">
                  <c:v>18000</c:v>
                </c:pt>
                <c:pt idx="4">
                  <c:v>63000</c:v>
                </c:pt>
                <c:pt idx="5">
                  <c:v>27000</c:v>
                </c:pt>
                <c:pt idx="6">
                  <c:v>30000</c:v>
                </c:pt>
                <c:pt idx="7">
                  <c:v>150000</c:v>
                </c:pt>
                <c:pt idx="8">
                  <c:v>60000</c:v>
                </c:pt>
                <c:pt idx="9">
                  <c:v>12000</c:v>
                </c:pt>
                <c:pt idx="10">
                  <c:v>52000</c:v>
                </c:pt>
                <c:pt idx="11">
                  <c:v>32000</c:v>
                </c:pt>
                <c:pt idx="12">
                  <c:v>42000</c:v>
                </c:pt>
                <c:pt idx="13">
                  <c:v>147000</c:v>
                </c:pt>
                <c:pt idx="14">
                  <c:v>63000</c:v>
                </c:pt>
                <c:pt idx="15">
                  <c:v>15000</c:v>
                </c:pt>
                <c:pt idx="16">
                  <c:v>65000</c:v>
                </c:pt>
                <c:pt idx="17">
                  <c:v>40000</c:v>
                </c:pt>
                <c:pt idx="18">
                  <c:v>38000</c:v>
                </c:pt>
                <c:pt idx="19">
                  <c:v>133000</c:v>
                </c:pt>
                <c:pt idx="20">
                  <c:v>54245.700314136142</c:v>
                </c:pt>
                <c:pt idx="21">
                  <c:v>16500</c:v>
                </c:pt>
                <c:pt idx="22">
                  <c:v>77000</c:v>
                </c:pt>
                <c:pt idx="23">
                  <c:v>36639.639685863884</c:v>
                </c:pt>
                <c:pt idx="24">
                  <c:v>44000</c:v>
                </c:pt>
                <c:pt idx="25">
                  <c:v>154000</c:v>
                </c:pt>
                <c:pt idx="26">
                  <c:v>66000</c:v>
                </c:pt>
                <c:pt idx="27">
                  <c:v>13500</c:v>
                </c:pt>
                <c:pt idx="28">
                  <c:v>58500</c:v>
                </c:pt>
                <c:pt idx="29">
                  <c:v>36000</c:v>
                </c:pt>
                <c:pt idx="30">
                  <c:v>42000</c:v>
                </c:pt>
                <c:pt idx="31">
                  <c:v>147000</c:v>
                </c:pt>
                <c:pt idx="32">
                  <c:v>63000</c:v>
                </c:pt>
                <c:pt idx="33">
                  <c:v>13500</c:v>
                </c:pt>
                <c:pt idx="34">
                  <c:v>63000</c:v>
                </c:pt>
                <c:pt idx="35">
                  <c:v>31500</c:v>
                </c:pt>
                <c:pt idx="36">
                  <c:v>55000</c:v>
                </c:pt>
                <c:pt idx="37">
                  <c:v>132000</c:v>
                </c:pt>
                <c:pt idx="38">
                  <c:v>77000</c:v>
                </c:pt>
                <c:pt idx="39">
                  <c:v>13500</c:v>
                </c:pt>
                <c:pt idx="40">
                  <c:v>63000</c:v>
                </c:pt>
                <c:pt idx="41">
                  <c:v>31500</c:v>
                </c:pt>
                <c:pt idx="42">
                  <c:v>44000</c:v>
                </c:pt>
                <c:pt idx="43">
                  <c:v>143000</c:v>
                </c:pt>
                <c:pt idx="44">
                  <c:v>77000</c:v>
                </c:pt>
                <c:pt idx="45">
                  <c:v>13500</c:v>
                </c:pt>
                <c:pt idx="46">
                  <c:v>63000</c:v>
                </c:pt>
                <c:pt idx="47">
                  <c:v>31500</c:v>
                </c:pt>
                <c:pt idx="48">
                  <c:v>50000</c:v>
                </c:pt>
                <c:pt idx="49">
                  <c:v>120000</c:v>
                </c:pt>
                <c:pt idx="50">
                  <c:v>70000</c:v>
                </c:pt>
                <c:pt idx="51">
                  <c:v>15000</c:v>
                </c:pt>
                <c:pt idx="52">
                  <c:v>65000</c:v>
                </c:pt>
                <c:pt idx="53">
                  <c:v>40000</c:v>
                </c:pt>
                <c:pt idx="54">
                  <c:v>33000</c:v>
                </c:pt>
                <c:pt idx="55">
                  <c:v>154000</c:v>
                </c:pt>
                <c:pt idx="56">
                  <c:v>69103.34336283186</c:v>
                </c:pt>
                <c:pt idx="57">
                  <c:v>13500</c:v>
                </c:pt>
                <c:pt idx="58">
                  <c:v>58500</c:v>
                </c:pt>
                <c:pt idx="59">
                  <c:v>32308.056637168142</c:v>
                </c:pt>
                <c:pt idx="60">
                  <c:v>21000</c:v>
                </c:pt>
                <c:pt idx="61">
                  <c:v>157500</c:v>
                </c:pt>
                <c:pt idx="62">
                  <c:v>73500</c:v>
                </c:pt>
                <c:pt idx="63">
                  <c:v>13500</c:v>
                </c:pt>
                <c:pt idx="64">
                  <c:v>58500</c:v>
                </c:pt>
                <c:pt idx="65">
                  <c:v>36000</c:v>
                </c:pt>
                <c:pt idx="66">
                  <c:v>34000</c:v>
                </c:pt>
                <c:pt idx="67">
                  <c:v>119000</c:v>
                </c:pt>
                <c:pt idx="68">
                  <c:v>51000</c:v>
                </c:pt>
                <c:pt idx="69">
                  <c:v>28000</c:v>
                </c:pt>
                <c:pt idx="70">
                  <c:v>91000</c:v>
                </c:pt>
                <c:pt idx="71">
                  <c:v>45353.520000000033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D4-4198-B7EE-040A529CD17C}"/>
            </c:ext>
          </c:extLst>
        </c:ser>
        <c:ser>
          <c:idx val="6"/>
          <c:order val="6"/>
          <c:tx>
            <c:strRef>
              <c:f>Energy!$A$10:$B$10</c:f>
              <c:strCache>
                <c:ptCount val="2"/>
                <c:pt idx="0">
                  <c:v>sc01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Energy!$C$10:$BV$10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26981.160000000011</c:v>
                </c:pt>
                <c:pt idx="3">
                  <c:v>18000</c:v>
                </c:pt>
                <c:pt idx="4">
                  <c:v>63000</c:v>
                </c:pt>
                <c:pt idx="5">
                  <c:v>5400</c:v>
                </c:pt>
                <c:pt idx="6">
                  <c:v>30000</c:v>
                </c:pt>
                <c:pt idx="7">
                  <c:v>150000</c:v>
                </c:pt>
                <c:pt idx="8">
                  <c:v>24666.36521739126</c:v>
                </c:pt>
                <c:pt idx="9">
                  <c:v>12000</c:v>
                </c:pt>
                <c:pt idx="10">
                  <c:v>52000</c:v>
                </c:pt>
                <c:pt idx="11">
                  <c:v>9076.0347826086709</c:v>
                </c:pt>
                <c:pt idx="12">
                  <c:v>42000</c:v>
                </c:pt>
                <c:pt idx="13">
                  <c:v>147000</c:v>
                </c:pt>
                <c:pt idx="14">
                  <c:v>25291.000000000073</c:v>
                </c:pt>
                <c:pt idx="15">
                  <c:v>15000</c:v>
                </c:pt>
                <c:pt idx="16">
                  <c:v>65000</c:v>
                </c:pt>
                <c:pt idx="17">
                  <c:v>8000</c:v>
                </c:pt>
                <c:pt idx="18">
                  <c:v>38000</c:v>
                </c:pt>
                <c:pt idx="19">
                  <c:v>133000</c:v>
                </c:pt>
                <c:pt idx="20">
                  <c:v>11400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44000</c:v>
                </c:pt>
                <c:pt idx="25">
                  <c:v>154000</c:v>
                </c:pt>
                <c:pt idx="26">
                  <c:v>18392.879999999979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42000</c:v>
                </c:pt>
                <c:pt idx="31">
                  <c:v>147000</c:v>
                </c:pt>
                <c:pt idx="32">
                  <c:v>28292.040000000005</c:v>
                </c:pt>
                <c:pt idx="33">
                  <c:v>13500</c:v>
                </c:pt>
                <c:pt idx="34">
                  <c:v>63000</c:v>
                </c:pt>
                <c:pt idx="35">
                  <c:v>8700.2999999999975</c:v>
                </c:pt>
                <c:pt idx="36">
                  <c:v>55000</c:v>
                </c:pt>
                <c:pt idx="37">
                  <c:v>132000</c:v>
                </c:pt>
                <c:pt idx="38">
                  <c:v>51996.560000000027</c:v>
                </c:pt>
                <c:pt idx="39">
                  <c:v>13500</c:v>
                </c:pt>
                <c:pt idx="40">
                  <c:v>63000</c:v>
                </c:pt>
                <c:pt idx="41">
                  <c:v>14175.000000000024</c:v>
                </c:pt>
                <c:pt idx="42">
                  <c:v>44000</c:v>
                </c:pt>
                <c:pt idx="43">
                  <c:v>143000</c:v>
                </c:pt>
                <c:pt idx="44">
                  <c:v>35595.559999999983</c:v>
                </c:pt>
                <c:pt idx="45">
                  <c:v>13500</c:v>
                </c:pt>
                <c:pt idx="46">
                  <c:v>63000</c:v>
                </c:pt>
                <c:pt idx="47">
                  <c:v>14561.819999999994</c:v>
                </c:pt>
                <c:pt idx="48">
                  <c:v>50000</c:v>
                </c:pt>
                <c:pt idx="49">
                  <c:v>120000</c:v>
                </c:pt>
                <c:pt idx="50">
                  <c:v>47117.636363636353</c:v>
                </c:pt>
                <c:pt idx="51">
                  <c:v>15000</c:v>
                </c:pt>
                <c:pt idx="52">
                  <c:v>65000</c:v>
                </c:pt>
                <c:pt idx="53">
                  <c:v>26924.363636363629</c:v>
                </c:pt>
                <c:pt idx="54">
                  <c:v>33000</c:v>
                </c:pt>
                <c:pt idx="55">
                  <c:v>154000</c:v>
                </c:pt>
                <c:pt idx="56">
                  <c:v>15400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21000</c:v>
                </c:pt>
                <c:pt idx="61">
                  <c:v>157500</c:v>
                </c:pt>
                <c:pt idx="62">
                  <c:v>28486.619999999988</c:v>
                </c:pt>
                <c:pt idx="63">
                  <c:v>13500</c:v>
                </c:pt>
                <c:pt idx="64">
                  <c:v>58500</c:v>
                </c:pt>
                <c:pt idx="65">
                  <c:v>7200</c:v>
                </c:pt>
                <c:pt idx="66">
                  <c:v>34000</c:v>
                </c:pt>
                <c:pt idx="67">
                  <c:v>119000</c:v>
                </c:pt>
                <c:pt idx="68">
                  <c:v>31756.680000000037</c:v>
                </c:pt>
                <c:pt idx="69">
                  <c:v>28000</c:v>
                </c:pt>
                <c:pt idx="70">
                  <c:v>91000</c:v>
                </c:pt>
                <c:pt idx="71">
                  <c:v>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D4-4198-B7EE-040A529CD17C}"/>
            </c:ext>
          </c:extLst>
        </c:ser>
        <c:ser>
          <c:idx val="7"/>
          <c:order val="7"/>
          <c:tx>
            <c:strRef>
              <c:f>Energy!$A$11:$B$11</c:f>
              <c:strCache>
                <c:ptCount val="2"/>
                <c:pt idx="0">
                  <c:v>sc01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Energy!$C$11:$BV$11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13200.000000000002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30000</c:v>
                </c:pt>
                <c:pt idx="7">
                  <c:v>150000</c:v>
                </c:pt>
                <c:pt idx="8">
                  <c:v>12000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42000</c:v>
                </c:pt>
                <c:pt idx="13">
                  <c:v>147000</c:v>
                </c:pt>
                <c:pt idx="14">
                  <c:v>12600.000000000002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42000</c:v>
                </c:pt>
                <c:pt idx="31">
                  <c:v>147000</c:v>
                </c:pt>
                <c:pt idx="32">
                  <c:v>12600.000000000002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55000</c:v>
                </c:pt>
                <c:pt idx="37">
                  <c:v>132000</c:v>
                </c:pt>
                <c:pt idx="38">
                  <c:v>15400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50000</c:v>
                </c:pt>
                <c:pt idx="49">
                  <c:v>120000</c:v>
                </c:pt>
                <c:pt idx="50">
                  <c:v>14000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21000</c:v>
                </c:pt>
                <c:pt idx="61">
                  <c:v>157500</c:v>
                </c:pt>
                <c:pt idx="62">
                  <c:v>14700.000000000002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34000</c:v>
                </c:pt>
                <c:pt idx="67">
                  <c:v>119000</c:v>
                </c:pt>
                <c:pt idx="68">
                  <c:v>10200.000000000002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D4-4198-B7EE-040A529CD17C}"/>
            </c:ext>
          </c:extLst>
        </c:ser>
        <c:ser>
          <c:idx val="8"/>
          <c:order val="8"/>
          <c:tx>
            <c:strRef>
              <c:f>Energy!$A$12:$B$12</c:f>
              <c:strCache>
                <c:ptCount val="2"/>
                <c:pt idx="0">
                  <c:v>sc01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Energy!$C$12:$BV$12</c:f>
              <c:numCache>
                <c:formatCode>0</c:formatCode>
                <c:ptCount val="72"/>
                <c:pt idx="0">
                  <c:v>58739.999999999993</c:v>
                </c:pt>
                <c:pt idx="1">
                  <c:v>205590</c:v>
                </c:pt>
                <c:pt idx="2">
                  <c:v>88110</c:v>
                </c:pt>
                <c:pt idx="3">
                  <c:v>24030</c:v>
                </c:pt>
                <c:pt idx="4">
                  <c:v>84105</c:v>
                </c:pt>
                <c:pt idx="5">
                  <c:v>36045</c:v>
                </c:pt>
                <c:pt idx="6">
                  <c:v>40050</c:v>
                </c:pt>
                <c:pt idx="7">
                  <c:v>200250</c:v>
                </c:pt>
                <c:pt idx="8">
                  <c:v>80100</c:v>
                </c:pt>
                <c:pt idx="9">
                  <c:v>16020</c:v>
                </c:pt>
                <c:pt idx="10">
                  <c:v>69420</c:v>
                </c:pt>
                <c:pt idx="11">
                  <c:v>42720</c:v>
                </c:pt>
                <c:pt idx="12">
                  <c:v>56070</c:v>
                </c:pt>
                <c:pt idx="13">
                  <c:v>196245</c:v>
                </c:pt>
                <c:pt idx="14">
                  <c:v>84105</c:v>
                </c:pt>
                <c:pt idx="15">
                  <c:v>20025</c:v>
                </c:pt>
                <c:pt idx="16">
                  <c:v>86774.999999999985</c:v>
                </c:pt>
                <c:pt idx="17">
                  <c:v>53400</c:v>
                </c:pt>
                <c:pt idx="18">
                  <c:v>50730</c:v>
                </c:pt>
                <c:pt idx="19">
                  <c:v>177555</c:v>
                </c:pt>
                <c:pt idx="20">
                  <c:v>76095</c:v>
                </c:pt>
                <c:pt idx="21">
                  <c:v>22027.5</c:v>
                </c:pt>
                <c:pt idx="22">
                  <c:v>102795</c:v>
                </c:pt>
                <c:pt idx="23">
                  <c:v>51397.5</c:v>
                </c:pt>
                <c:pt idx="24">
                  <c:v>58739.999999999993</c:v>
                </c:pt>
                <c:pt idx="25">
                  <c:v>205590</c:v>
                </c:pt>
                <c:pt idx="26">
                  <c:v>88110</c:v>
                </c:pt>
                <c:pt idx="27">
                  <c:v>18022.5</c:v>
                </c:pt>
                <c:pt idx="28">
                  <c:v>78097.5</c:v>
                </c:pt>
                <c:pt idx="29">
                  <c:v>48060</c:v>
                </c:pt>
                <c:pt idx="30">
                  <c:v>56070</c:v>
                </c:pt>
                <c:pt idx="31">
                  <c:v>196245</c:v>
                </c:pt>
                <c:pt idx="32">
                  <c:v>84105</c:v>
                </c:pt>
                <c:pt idx="33">
                  <c:v>18022.5</c:v>
                </c:pt>
                <c:pt idx="34">
                  <c:v>84105</c:v>
                </c:pt>
                <c:pt idx="35">
                  <c:v>42052.5</c:v>
                </c:pt>
                <c:pt idx="36">
                  <c:v>73425</c:v>
                </c:pt>
                <c:pt idx="37">
                  <c:v>176220</c:v>
                </c:pt>
                <c:pt idx="38">
                  <c:v>102795</c:v>
                </c:pt>
                <c:pt idx="39">
                  <c:v>18022.5</c:v>
                </c:pt>
                <c:pt idx="40">
                  <c:v>84105</c:v>
                </c:pt>
                <c:pt idx="41">
                  <c:v>42052.5</c:v>
                </c:pt>
                <c:pt idx="42">
                  <c:v>58739.999999999993</c:v>
                </c:pt>
                <c:pt idx="43">
                  <c:v>190905</c:v>
                </c:pt>
                <c:pt idx="44">
                  <c:v>102795</c:v>
                </c:pt>
                <c:pt idx="45">
                  <c:v>18022.5</c:v>
                </c:pt>
                <c:pt idx="46">
                  <c:v>84105</c:v>
                </c:pt>
                <c:pt idx="47">
                  <c:v>42052.5</c:v>
                </c:pt>
                <c:pt idx="48">
                  <c:v>66750</c:v>
                </c:pt>
                <c:pt idx="49">
                  <c:v>160200</c:v>
                </c:pt>
                <c:pt idx="50">
                  <c:v>93450</c:v>
                </c:pt>
                <c:pt idx="51">
                  <c:v>20025</c:v>
                </c:pt>
                <c:pt idx="52">
                  <c:v>86774.999999999985</c:v>
                </c:pt>
                <c:pt idx="53">
                  <c:v>53400</c:v>
                </c:pt>
                <c:pt idx="54">
                  <c:v>44055</c:v>
                </c:pt>
                <c:pt idx="55">
                  <c:v>205590</c:v>
                </c:pt>
                <c:pt idx="56">
                  <c:v>102795</c:v>
                </c:pt>
                <c:pt idx="57">
                  <c:v>18022.5</c:v>
                </c:pt>
                <c:pt idx="58">
                  <c:v>78097.5</c:v>
                </c:pt>
                <c:pt idx="59">
                  <c:v>48060</c:v>
                </c:pt>
                <c:pt idx="60">
                  <c:v>28035</c:v>
                </c:pt>
                <c:pt idx="61">
                  <c:v>210262.5</c:v>
                </c:pt>
                <c:pt idx="62">
                  <c:v>98122.5</c:v>
                </c:pt>
                <c:pt idx="63">
                  <c:v>18022.5</c:v>
                </c:pt>
                <c:pt idx="64">
                  <c:v>78097.5</c:v>
                </c:pt>
                <c:pt idx="65">
                  <c:v>48060</c:v>
                </c:pt>
                <c:pt idx="66">
                  <c:v>45390</c:v>
                </c:pt>
                <c:pt idx="67">
                  <c:v>158865</c:v>
                </c:pt>
                <c:pt idx="68">
                  <c:v>68085</c:v>
                </c:pt>
                <c:pt idx="69">
                  <c:v>37379.999999999993</c:v>
                </c:pt>
                <c:pt idx="70">
                  <c:v>121485</c:v>
                </c:pt>
                <c:pt idx="71">
                  <c:v>65414.999999999993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D4-4198-B7EE-040A529CD17C}"/>
            </c:ext>
          </c:extLst>
        </c:ser>
        <c:ser>
          <c:idx val="9"/>
          <c:order val="9"/>
          <c:tx>
            <c:strRef>
              <c:f>Energy!$A$13:$B$13</c:f>
              <c:strCache>
                <c:ptCount val="2"/>
                <c:pt idx="0">
                  <c:v>sc01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Energy!$C$13:$BV$13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D4-4198-B7EE-040A529CD17C}"/>
            </c:ext>
          </c:extLst>
        </c:ser>
        <c:ser>
          <c:idx val="10"/>
          <c:order val="10"/>
          <c:tx>
            <c:strRef>
              <c:f>Energy!$A$14:$B$14</c:f>
              <c:strCache>
                <c:ptCount val="2"/>
                <c:pt idx="0">
                  <c:v>sc01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Energy!$C$14:$BV$14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D4-4198-B7EE-040A529CD17C}"/>
            </c:ext>
          </c:extLst>
        </c:ser>
        <c:ser>
          <c:idx val="11"/>
          <c:order val="11"/>
          <c:tx>
            <c:strRef>
              <c:f>Energy!$A$15:$B$15</c:f>
              <c:strCache>
                <c:ptCount val="2"/>
                <c:pt idx="0">
                  <c:v>sc01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Energy!$C$15:$BV$15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D4-4198-B7EE-040A529CD17C}"/>
            </c:ext>
          </c:extLst>
        </c:ser>
        <c:ser>
          <c:idx val="12"/>
          <c:order val="12"/>
          <c:tx>
            <c:strRef>
              <c:f>Energy!$A$16:$B$16</c:f>
              <c:strCache>
                <c:ptCount val="2"/>
                <c:pt idx="0">
                  <c:v>sc01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Energy!$C$16:$BV$16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D4-4198-B7EE-040A529CD17C}"/>
            </c:ext>
          </c:extLst>
        </c:ser>
        <c:ser>
          <c:idx val="13"/>
          <c:order val="13"/>
          <c:tx>
            <c:strRef>
              <c:f>Energy!$A$17:$B$17</c:f>
              <c:strCache>
                <c:ptCount val="2"/>
                <c:pt idx="0">
                  <c:v>sc01</c:v>
                </c:pt>
                <c:pt idx="1">
                  <c:v>RunOfRiver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Energy!$C$17:$BV$17</c:f>
              <c:numCache>
                <c:formatCode>0</c:formatCode>
                <c:ptCount val="72"/>
                <c:pt idx="0">
                  <c:v>13200</c:v>
                </c:pt>
                <c:pt idx="1">
                  <c:v>46199.999999999993</c:v>
                </c:pt>
                <c:pt idx="2">
                  <c:v>19799.64</c:v>
                </c:pt>
                <c:pt idx="3">
                  <c:v>5399.9999999999991</c:v>
                </c:pt>
                <c:pt idx="4">
                  <c:v>18900</c:v>
                </c:pt>
                <c:pt idx="5">
                  <c:v>3636.3600000000065</c:v>
                </c:pt>
                <c:pt idx="6">
                  <c:v>9000</c:v>
                </c:pt>
                <c:pt idx="7">
                  <c:v>45000</c:v>
                </c:pt>
                <c:pt idx="8">
                  <c:v>15370.434782608705</c:v>
                </c:pt>
                <c:pt idx="9">
                  <c:v>3599.9999999999995</c:v>
                </c:pt>
                <c:pt idx="10">
                  <c:v>15600</c:v>
                </c:pt>
                <c:pt idx="11">
                  <c:v>8197.5652173913095</c:v>
                </c:pt>
                <c:pt idx="12">
                  <c:v>12600</c:v>
                </c:pt>
                <c:pt idx="13">
                  <c:v>44100</c:v>
                </c:pt>
                <c:pt idx="14">
                  <c:v>18620.000000000018</c:v>
                </c:pt>
                <c:pt idx="15">
                  <c:v>4500</c:v>
                </c:pt>
                <c:pt idx="16">
                  <c:v>19500</c:v>
                </c:pt>
                <c:pt idx="17">
                  <c:v>7816.0000000000009</c:v>
                </c:pt>
                <c:pt idx="18">
                  <c:v>11400</c:v>
                </c:pt>
                <c:pt idx="19">
                  <c:v>39900</c:v>
                </c:pt>
                <c:pt idx="20">
                  <c:v>10761.659685863864</c:v>
                </c:pt>
                <c:pt idx="21">
                  <c:v>4950</c:v>
                </c:pt>
                <c:pt idx="22">
                  <c:v>23099.999999999996</c:v>
                </c:pt>
                <c:pt idx="23">
                  <c:v>608.34031413614298</c:v>
                </c:pt>
                <c:pt idx="24">
                  <c:v>13200</c:v>
                </c:pt>
                <c:pt idx="25">
                  <c:v>45730.390588235285</c:v>
                </c:pt>
                <c:pt idx="26">
                  <c:v>0</c:v>
                </c:pt>
                <c:pt idx="27">
                  <c:v>4050</c:v>
                </c:pt>
                <c:pt idx="28">
                  <c:v>17371.609411764701</c:v>
                </c:pt>
                <c:pt idx="29">
                  <c:v>0</c:v>
                </c:pt>
                <c:pt idx="30">
                  <c:v>12600</c:v>
                </c:pt>
                <c:pt idx="31">
                  <c:v>35190.000000000015</c:v>
                </c:pt>
                <c:pt idx="32">
                  <c:v>0</c:v>
                </c:pt>
                <c:pt idx="33">
                  <c:v>4050</c:v>
                </c:pt>
                <c:pt idx="34">
                  <c:v>0</c:v>
                </c:pt>
                <c:pt idx="35">
                  <c:v>0</c:v>
                </c:pt>
                <c:pt idx="36">
                  <c:v>16500</c:v>
                </c:pt>
                <c:pt idx="37">
                  <c:v>30145.200000000012</c:v>
                </c:pt>
                <c:pt idx="38">
                  <c:v>0</c:v>
                </c:pt>
                <c:pt idx="39">
                  <c:v>4050</c:v>
                </c:pt>
                <c:pt idx="40">
                  <c:v>2872.7999999999915</c:v>
                </c:pt>
                <c:pt idx="41">
                  <c:v>0</c:v>
                </c:pt>
                <c:pt idx="42">
                  <c:v>13200</c:v>
                </c:pt>
                <c:pt idx="43">
                  <c:v>36318.000000000007</c:v>
                </c:pt>
                <c:pt idx="44">
                  <c:v>0</c:v>
                </c:pt>
                <c:pt idx="45">
                  <c:v>4050</c:v>
                </c:pt>
                <c:pt idx="46">
                  <c:v>0</c:v>
                </c:pt>
                <c:pt idx="47">
                  <c:v>0</c:v>
                </c:pt>
                <c:pt idx="48">
                  <c:v>15000</c:v>
                </c:pt>
                <c:pt idx="49">
                  <c:v>36000</c:v>
                </c:pt>
                <c:pt idx="50">
                  <c:v>1756.3636363636354</c:v>
                </c:pt>
                <c:pt idx="51">
                  <c:v>4500</c:v>
                </c:pt>
                <c:pt idx="52">
                  <c:v>19500</c:v>
                </c:pt>
                <c:pt idx="53">
                  <c:v>1003.6363636363629</c:v>
                </c:pt>
                <c:pt idx="54">
                  <c:v>9900</c:v>
                </c:pt>
                <c:pt idx="55">
                  <c:v>46199.999999999993</c:v>
                </c:pt>
                <c:pt idx="56">
                  <c:v>12975.576637168135</c:v>
                </c:pt>
                <c:pt idx="57">
                  <c:v>4050</c:v>
                </c:pt>
                <c:pt idx="58">
                  <c:v>17550</c:v>
                </c:pt>
                <c:pt idx="59">
                  <c:v>3068.4233628318548</c:v>
                </c:pt>
                <c:pt idx="60">
                  <c:v>6300</c:v>
                </c:pt>
                <c:pt idx="61">
                  <c:v>47250</c:v>
                </c:pt>
                <c:pt idx="62">
                  <c:v>20473.200000000026</c:v>
                </c:pt>
                <c:pt idx="63">
                  <c:v>4050</c:v>
                </c:pt>
                <c:pt idx="64">
                  <c:v>17550</c:v>
                </c:pt>
                <c:pt idx="65">
                  <c:v>8056.7999999999847</c:v>
                </c:pt>
                <c:pt idx="66">
                  <c:v>10200</c:v>
                </c:pt>
                <c:pt idx="67">
                  <c:v>35699.999999999993</c:v>
                </c:pt>
                <c:pt idx="68">
                  <c:v>15299.999999999998</c:v>
                </c:pt>
                <c:pt idx="69">
                  <c:v>8400</c:v>
                </c:pt>
                <c:pt idx="70">
                  <c:v>27300</c:v>
                </c:pt>
                <c:pt idx="71">
                  <c:v>10236.000000000009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D4-4198-B7EE-040A529CD17C}"/>
            </c:ext>
          </c:extLst>
        </c:ser>
        <c:ser>
          <c:idx val="14"/>
          <c:order val="14"/>
          <c:tx>
            <c:strRef>
              <c:f>Energy!$A$18:$B$18</c:f>
              <c:strCache>
                <c:ptCount val="2"/>
                <c:pt idx="0">
                  <c:v>sc01</c:v>
                </c:pt>
                <c:pt idx="1">
                  <c:v>StorageHydro1_Basin1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Energy!$C$18:$BV$18</c:f>
              <c:numCache>
                <c:formatCode>0</c:formatCode>
                <c:ptCount val="72"/>
                <c:pt idx="0">
                  <c:v>17600</c:v>
                </c:pt>
                <c:pt idx="1">
                  <c:v>4760.4495999999381</c:v>
                </c:pt>
                <c:pt idx="2">
                  <c:v>0</c:v>
                </c:pt>
                <c:pt idx="3">
                  <c:v>7200</c:v>
                </c:pt>
                <c:pt idx="4">
                  <c:v>0</c:v>
                </c:pt>
                <c:pt idx="5">
                  <c:v>0</c:v>
                </c:pt>
                <c:pt idx="6">
                  <c:v>12000</c:v>
                </c:pt>
                <c:pt idx="7">
                  <c:v>15077.891022862263</c:v>
                </c:pt>
                <c:pt idx="8">
                  <c:v>0</c:v>
                </c:pt>
                <c:pt idx="9">
                  <c:v>4800.0000000000009</c:v>
                </c:pt>
                <c:pt idx="10">
                  <c:v>2020.6353771377778</c:v>
                </c:pt>
                <c:pt idx="11">
                  <c:v>0</c:v>
                </c:pt>
                <c:pt idx="12">
                  <c:v>16800</c:v>
                </c:pt>
                <c:pt idx="13">
                  <c:v>0</c:v>
                </c:pt>
                <c:pt idx="14">
                  <c:v>0</c:v>
                </c:pt>
                <c:pt idx="15">
                  <c:v>6000</c:v>
                </c:pt>
                <c:pt idx="16">
                  <c:v>0</c:v>
                </c:pt>
                <c:pt idx="17">
                  <c:v>0</c:v>
                </c:pt>
                <c:pt idx="18">
                  <c:v>15200.000000000002</c:v>
                </c:pt>
                <c:pt idx="19">
                  <c:v>29915.600000000006</c:v>
                </c:pt>
                <c:pt idx="20">
                  <c:v>0</c:v>
                </c:pt>
                <c:pt idx="21">
                  <c:v>6600.0000000000009</c:v>
                </c:pt>
                <c:pt idx="22">
                  <c:v>7459.7599999999884</c:v>
                </c:pt>
                <c:pt idx="23">
                  <c:v>0</c:v>
                </c:pt>
                <c:pt idx="24">
                  <c:v>17600</c:v>
                </c:pt>
                <c:pt idx="25">
                  <c:v>13929.209411764794</c:v>
                </c:pt>
                <c:pt idx="26">
                  <c:v>0</c:v>
                </c:pt>
                <c:pt idx="27">
                  <c:v>5400</c:v>
                </c:pt>
                <c:pt idx="28">
                  <c:v>5291.290588235327</c:v>
                </c:pt>
                <c:pt idx="29">
                  <c:v>0</c:v>
                </c:pt>
                <c:pt idx="30">
                  <c:v>3959.3556363637485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22000</c:v>
                </c:pt>
                <c:pt idx="37">
                  <c:v>0</c:v>
                </c:pt>
                <c:pt idx="38">
                  <c:v>0</c:v>
                </c:pt>
                <c:pt idx="39">
                  <c:v>5092.2000000000044</c:v>
                </c:pt>
                <c:pt idx="40">
                  <c:v>0</c:v>
                </c:pt>
                <c:pt idx="41">
                  <c:v>0</c:v>
                </c:pt>
                <c:pt idx="42">
                  <c:v>17600</c:v>
                </c:pt>
                <c:pt idx="43">
                  <c:v>31822.452363636105</c:v>
                </c:pt>
                <c:pt idx="44">
                  <c:v>0</c:v>
                </c:pt>
                <c:pt idx="45">
                  <c:v>4615.3800000000156</c:v>
                </c:pt>
                <c:pt idx="46">
                  <c:v>0</c:v>
                </c:pt>
                <c:pt idx="47">
                  <c:v>0</c:v>
                </c:pt>
                <c:pt idx="48">
                  <c:v>20000</c:v>
                </c:pt>
                <c:pt idx="49">
                  <c:v>0</c:v>
                </c:pt>
                <c:pt idx="50">
                  <c:v>0</c:v>
                </c:pt>
                <c:pt idx="51">
                  <c:v>6000</c:v>
                </c:pt>
                <c:pt idx="52">
                  <c:v>0</c:v>
                </c:pt>
                <c:pt idx="53">
                  <c:v>0</c:v>
                </c:pt>
                <c:pt idx="54">
                  <c:v>13200.000000000002</c:v>
                </c:pt>
                <c:pt idx="55">
                  <c:v>24097.919999999976</c:v>
                </c:pt>
                <c:pt idx="56">
                  <c:v>0</c:v>
                </c:pt>
                <c:pt idx="57">
                  <c:v>5400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24697.690909090885</c:v>
                </c:pt>
                <c:pt idx="62">
                  <c:v>0</c:v>
                </c:pt>
                <c:pt idx="63">
                  <c:v>5400</c:v>
                </c:pt>
                <c:pt idx="64">
                  <c:v>0</c:v>
                </c:pt>
                <c:pt idx="65">
                  <c:v>0</c:v>
                </c:pt>
                <c:pt idx="66">
                  <c:v>13600.000000000002</c:v>
                </c:pt>
                <c:pt idx="67">
                  <c:v>21690.821090909125</c:v>
                </c:pt>
                <c:pt idx="68">
                  <c:v>0</c:v>
                </c:pt>
                <c:pt idx="69">
                  <c:v>11200.000000000002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D4-4198-B7EE-040A529CD17C}"/>
            </c:ext>
          </c:extLst>
        </c:ser>
        <c:ser>
          <c:idx val="15"/>
          <c:order val="15"/>
          <c:tx>
            <c:strRef>
              <c:f>Energy!$A$19:$B$19</c:f>
              <c:strCache>
                <c:ptCount val="2"/>
                <c:pt idx="0">
                  <c:v>sc01</c:v>
                </c:pt>
                <c:pt idx="1">
                  <c:v>StorageHydro2_Basin1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Energy!$C$19:$BV$19</c:f>
              <c:numCache>
                <c:formatCode>0</c:formatCode>
                <c:ptCount val="72"/>
                <c:pt idx="0">
                  <c:v>17600</c:v>
                </c:pt>
                <c:pt idx="1">
                  <c:v>0</c:v>
                </c:pt>
                <c:pt idx="2">
                  <c:v>0</c:v>
                </c:pt>
                <c:pt idx="3">
                  <c:v>2829.6000000000017</c:v>
                </c:pt>
                <c:pt idx="4">
                  <c:v>0</c:v>
                </c:pt>
                <c:pt idx="5">
                  <c:v>0</c:v>
                </c:pt>
                <c:pt idx="6">
                  <c:v>8219.9999999999891</c:v>
                </c:pt>
                <c:pt idx="7">
                  <c:v>0</c:v>
                </c:pt>
                <c:pt idx="8">
                  <c:v>0</c:v>
                </c:pt>
                <c:pt idx="9">
                  <c:v>3287.9999999999964</c:v>
                </c:pt>
                <c:pt idx="10">
                  <c:v>0</c:v>
                </c:pt>
                <c:pt idx="11">
                  <c:v>0</c:v>
                </c:pt>
                <c:pt idx="12">
                  <c:v>8761.1999999999716</c:v>
                </c:pt>
                <c:pt idx="13">
                  <c:v>0</c:v>
                </c:pt>
                <c:pt idx="14">
                  <c:v>0</c:v>
                </c:pt>
                <c:pt idx="15">
                  <c:v>530.99999999999477</c:v>
                </c:pt>
                <c:pt idx="16">
                  <c:v>0</c:v>
                </c:pt>
                <c:pt idx="17">
                  <c:v>0</c:v>
                </c:pt>
                <c:pt idx="18">
                  <c:v>15200.000000000002</c:v>
                </c:pt>
                <c:pt idx="19">
                  <c:v>0</c:v>
                </c:pt>
                <c:pt idx="20">
                  <c:v>0</c:v>
                </c:pt>
                <c:pt idx="21">
                  <c:v>6600.0000000000009</c:v>
                </c:pt>
                <c:pt idx="22">
                  <c:v>0</c:v>
                </c:pt>
                <c:pt idx="23">
                  <c:v>0</c:v>
                </c:pt>
                <c:pt idx="24">
                  <c:v>16244.800000000012</c:v>
                </c:pt>
                <c:pt idx="25">
                  <c:v>0</c:v>
                </c:pt>
                <c:pt idx="26">
                  <c:v>0</c:v>
                </c:pt>
                <c:pt idx="27">
                  <c:v>4984.2000000000044</c:v>
                </c:pt>
                <c:pt idx="28">
                  <c:v>0</c:v>
                </c:pt>
                <c:pt idx="29">
                  <c:v>0</c:v>
                </c:pt>
                <c:pt idx="30">
                  <c:v>11521.84436363621</c:v>
                </c:pt>
                <c:pt idx="31">
                  <c:v>0</c:v>
                </c:pt>
                <c:pt idx="32">
                  <c:v>0</c:v>
                </c:pt>
                <c:pt idx="33">
                  <c:v>2065.5000000000077</c:v>
                </c:pt>
                <c:pt idx="34">
                  <c:v>0</c:v>
                </c:pt>
                <c:pt idx="35">
                  <c:v>0</c:v>
                </c:pt>
                <c:pt idx="36">
                  <c:v>7237.9999999999654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14027.200000000004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8489.99999999996</c:v>
                </c:pt>
                <c:pt idx="49">
                  <c:v>0</c:v>
                </c:pt>
                <c:pt idx="50">
                  <c:v>0</c:v>
                </c:pt>
                <c:pt idx="51">
                  <c:v>2016.0000000000027</c:v>
                </c:pt>
                <c:pt idx="52">
                  <c:v>0</c:v>
                </c:pt>
                <c:pt idx="53">
                  <c:v>0</c:v>
                </c:pt>
                <c:pt idx="54">
                  <c:v>13200.000000000002</c:v>
                </c:pt>
                <c:pt idx="55">
                  <c:v>0</c:v>
                </c:pt>
                <c:pt idx="56">
                  <c:v>0</c:v>
                </c:pt>
                <c:pt idx="57">
                  <c:v>5400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0</c:v>
                </c:pt>
                <c:pt idx="62">
                  <c:v>0</c:v>
                </c:pt>
                <c:pt idx="63">
                  <c:v>2130.3000000000065</c:v>
                </c:pt>
                <c:pt idx="64">
                  <c:v>0</c:v>
                </c:pt>
                <c:pt idx="65">
                  <c:v>0</c:v>
                </c:pt>
                <c:pt idx="66">
                  <c:v>408.93163636387118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2D4-4198-B7EE-040A529CD17C}"/>
            </c:ext>
          </c:extLst>
        </c:ser>
        <c:ser>
          <c:idx val="16"/>
          <c:order val="16"/>
          <c:tx>
            <c:strRef>
              <c:f>Energy!$A$20:$B$20</c:f>
              <c:strCache>
                <c:ptCount val="2"/>
                <c:pt idx="0">
                  <c:v>sc01</c:v>
                </c:pt>
                <c:pt idx="1">
                  <c:v>StorageHydro3_Basin1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Energy!$C$20:$BV$20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0</c:v>
                </c:pt>
                <c:pt idx="3">
                  <c:v>7200</c:v>
                </c:pt>
                <c:pt idx="4">
                  <c:v>11067.840000000047</c:v>
                </c:pt>
                <c:pt idx="5">
                  <c:v>0</c:v>
                </c:pt>
                <c:pt idx="6">
                  <c:v>12000</c:v>
                </c:pt>
                <c:pt idx="7">
                  <c:v>43281.244104410362</c:v>
                </c:pt>
                <c:pt idx="8">
                  <c:v>0</c:v>
                </c:pt>
                <c:pt idx="9">
                  <c:v>4800.0000000000009</c:v>
                </c:pt>
                <c:pt idx="10">
                  <c:v>15004.164622862259</c:v>
                </c:pt>
                <c:pt idx="11">
                  <c:v>0</c:v>
                </c:pt>
                <c:pt idx="12">
                  <c:v>16800</c:v>
                </c:pt>
                <c:pt idx="13">
                  <c:v>52390.80000000009</c:v>
                </c:pt>
                <c:pt idx="14">
                  <c:v>0</c:v>
                </c:pt>
                <c:pt idx="15">
                  <c:v>6000</c:v>
                </c:pt>
                <c:pt idx="16">
                  <c:v>2183.9999999999832</c:v>
                </c:pt>
                <c:pt idx="17">
                  <c:v>0</c:v>
                </c:pt>
                <c:pt idx="18">
                  <c:v>15200.000000000002</c:v>
                </c:pt>
                <c:pt idx="19">
                  <c:v>53200</c:v>
                </c:pt>
                <c:pt idx="20">
                  <c:v>0</c:v>
                </c:pt>
                <c:pt idx="21">
                  <c:v>6600.0000000000009</c:v>
                </c:pt>
                <c:pt idx="22">
                  <c:v>30800</c:v>
                </c:pt>
                <c:pt idx="23">
                  <c:v>0</c:v>
                </c:pt>
                <c:pt idx="24">
                  <c:v>17600</c:v>
                </c:pt>
                <c:pt idx="25">
                  <c:v>61600</c:v>
                </c:pt>
                <c:pt idx="26">
                  <c:v>1452.0000000000525</c:v>
                </c:pt>
                <c:pt idx="27">
                  <c:v>5400</c:v>
                </c:pt>
                <c:pt idx="28">
                  <c:v>23400.000000000004</c:v>
                </c:pt>
                <c:pt idx="29">
                  <c:v>792.00000000002865</c:v>
                </c:pt>
                <c:pt idx="30">
                  <c:v>16800</c:v>
                </c:pt>
                <c:pt idx="31">
                  <c:v>41672.872363636045</c:v>
                </c:pt>
                <c:pt idx="32">
                  <c:v>0</c:v>
                </c:pt>
                <c:pt idx="33">
                  <c:v>5400</c:v>
                </c:pt>
                <c:pt idx="34">
                  <c:v>13859.999999999991</c:v>
                </c:pt>
                <c:pt idx="35">
                  <c:v>0</c:v>
                </c:pt>
                <c:pt idx="36">
                  <c:v>22000</c:v>
                </c:pt>
                <c:pt idx="37">
                  <c:v>52800.000000000007</c:v>
                </c:pt>
                <c:pt idx="38">
                  <c:v>0</c:v>
                </c:pt>
                <c:pt idx="39">
                  <c:v>5400</c:v>
                </c:pt>
                <c:pt idx="40">
                  <c:v>25200.000000000004</c:v>
                </c:pt>
                <c:pt idx="41">
                  <c:v>0</c:v>
                </c:pt>
                <c:pt idx="42">
                  <c:v>17600</c:v>
                </c:pt>
                <c:pt idx="43">
                  <c:v>57200</c:v>
                </c:pt>
                <c:pt idx="44">
                  <c:v>0</c:v>
                </c:pt>
                <c:pt idx="45">
                  <c:v>5400</c:v>
                </c:pt>
                <c:pt idx="46">
                  <c:v>24234.839999999997</c:v>
                </c:pt>
                <c:pt idx="47">
                  <c:v>0</c:v>
                </c:pt>
                <c:pt idx="48">
                  <c:v>20000</c:v>
                </c:pt>
                <c:pt idx="49">
                  <c:v>43655.99999999992</c:v>
                </c:pt>
                <c:pt idx="50">
                  <c:v>0</c:v>
                </c:pt>
                <c:pt idx="51">
                  <c:v>6000</c:v>
                </c:pt>
                <c:pt idx="52">
                  <c:v>15639.000000000045</c:v>
                </c:pt>
                <c:pt idx="53">
                  <c:v>0</c:v>
                </c:pt>
                <c:pt idx="54">
                  <c:v>13200.000000000002</c:v>
                </c:pt>
                <c:pt idx="55">
                  <c:v>61600</c:v>
                </c:pt>
                <c:pt idx="56">
                  <c:v>0</c:v>
                </c:pt>
                <c:pt idx="57">
                  <c:v>5400</c:v>
                </c:pt>
                <c:pt idx="58">
                  <c:v>23400.000000000004</c:v>
                </c:pt>
                <c:pt idx="59">
                  <c:v>0</c:v>
                </c:pt>
                <c:pt idx="60">
                  <c:v>8400</c:v>
                </c:pt>
                <c:pt idx="61">
                  <c:v>50669.209090909091</c:v>
                </c:pt>
                <c:pt idx="62">
                  <c:v>0</c:v>
                </c:pt>
                <c:pt idx="63">
                  <c:v>5400</c:v>
                </c:pt>
                <c:pt idx="64">
                  <c:v>10740.600000000006</c:v>
                </c:pt>
                <c:pt idx="65">
                  <c:v>0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0</c:v>
                </c:pt>
                <c:pt idx="69">
                  <c:v>11200.000000000002</c:v>
                </c:pt>
                <c:pt idx="70">
                  <c:v>19772.479999999974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2D4-4198-B7EE-040A529CD17C}"/>
            </c:ext>
          </c:extLst>
        </c:ser>
        <c:ser>
          <c:idx val="17"/>
          <c:order val="17"/>
          <c:tx>
            <c:strRef>
              <c:f>Energy!$A$21:$B$21</c:f>
              <c:strCache>
                <c:ptCount val="2"/>
                <c:pt idx="0">
                  <c:v>sc01</c:v>
                </c:pt>
                <c:pt idx="1">
                  <c:v>PumpedStorageHydro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Energy!$C$21:$BV$21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26400.000000000004</c:v>
                </c:pt>
                <c:pt idx="3">
                  <c:v>7200</c:v>
                </c:pt>
                <c:pt idx="4">
                  <c:v>25200.000000000004</c:v>
                </c:pt>
                <c:pt idx="5">
                  <c:v>10800</c:v>
                </c:pt>
                <c:pt idx="6">
                  <c:v>12000</c:v>
                </c:pt>
                <c:pt idx="7">
                  <c:v>60000</c:v>
                </c:pt>
                <c:pt idx="8">
                  <c:v>24000</c:v>
                </c:pt>
                <c:pt idx="9">
                  <c:v>4800.0000000000009</c:v>
                </c:pt>
                <c:pt idx="10">
                  <c:v>20800</c:v>
                </c:pt>
                <c:pt idx="11">
                  <c:v>12800</c:v>
                </c:pt>
                <c:pt idx="12">
                  <c:v>16800</c:v>
                </c:pt>
                <c:pt idx="13">
                  <c:v>58800.000000000007</c:v>
                </c:pt>
                <c:pt idx="14">
                  <c:v>25200.000000000004</c:v>
                </c:pt>
                <c:pt idx="15">
                  <c:v>6000</c:v>
                </c:pt>
                <c:pt idx="16">
                  <c:v>26000</c:v>
                </c:pt>
                <c:pt idx="17">
                  <c:v>16000</c:v>
                </c:pt>
                <c:pt idx="18">
                  <c:v>15200.000000000002</c:v>
                </c:pt>
                <c:pt idx="19">
                  <c:v>53200</c:v>
                </c:pt>
                <c:pt idx="20">
                  <c:v>22800</c:v>
                </c:pt>
                <c:pt idx="21">
                  <c:v>6600.0000000000009</c:v>
                </c:pt>
                <c:pt idx="22">
                  <c:v>30800</c:v>
                </c:pt>
                <c:pt idx="23">
                  <c:v>15400</c:v>
                </c:pt>
                <c:pt idx="24">
                  <c:v>17600</c:v>
                </c:pt>
                <c:pt idx="25">
                  <c:v>61600</c:v>
                </c:pt>
                <c:pt idx="26">
                  <c:v>26400.000000000004</c:v>
                </c:pt>
                <c:pt idx="27">
                  <c:v>5400</c:v>
                </c:pt>
                <c:pt idx="28">
                  <c:v>23400.000000000004</c:v>
                </c:pt>
                <c:pt idx="29">
                  <c:v>14400</c:v>
                </c:pt>
                <c:pt idx="30">
                  <c:v>16800</c:v>
                </c:pt>
                <c:pt idx="31">
                  <c:v>58800.000000000007</c:v>
                </c:pt>
                <c:pt idx="32">
                  <c:v>25200.000000000004</c:v>
                </c:pt>
                <c:pt idx="33">
                  <c:v>5400</c:v>
                </c:pt>
                <c:pt idx="34">
                  <c:v>25200.000000000004</c:v>
                </c:pt>
                <c:pt idx="35">
                  <c:v>12600.000000000002</c:v>
                </c:pt>
                <c:pt idx="36">
                  <c:v>22000</c:v>
                </c:pt>
                <c:pt idx="37">
                  <c:v>52800.000000000007</c:v>
                </c:pt>
                <c:pt idx="38">
                  <c:v>30800</c:v>
                </c:pt>
                <c:pt idx="39">
                  <c:v>5400</c:v>
                </c:pt>
                <c:pt idx="40">
                  <c:v>25200.000000000004</c:v>
                </c:pt>
                <c:pt idx="41">
                  <c:v>12600.000000000002</c:v>
                </c:pt>
                <c:pt idx="42">
                  <c:v>17600</c:v>
                </c:pt>
                <c:pt idx="43">
                  <c:v>57200</c:v>
                </c:pt>
                <c:pt idx="44">
                  <c:v>30800</c:v>
                </c:pt>
                <c:pt idx="45">
                  <c:v>5400</c:v>
                </c:pt>
                <c:pt idx="46">
                  <c:v>25200.000000000004</c:v>
                </c:pt>
                <c:pt idx="47">
                  <c:v>12600.000000000002</c:v>
                </c:pt>
                <c:pt idx="48">
                  <c:v>20000</c:v>
                </c:pt>
                <c:pt idx="49">
                  <c:v>48000</c:v>
                </c:pt>
                <c:pt idx="50">
                  <c:v>28000</c:v>
                </c:pt>
                <c:pt idx="51">
                  <c:v>6000</c:v>
                </c:pt>
                <c:pt idx="52">
                  <c:v>26000</c:v>
                </c:pt>
                <c:pt idx="53">
                  <c:v>16000</c:v>
                </c:pt>
                <c:pt idx="54">
                  <c:v>13200.000000000002</c:v>
                </c:pt>
                <c:pt idx="55">
                  <c:v>61600</c:v>
                </c:pt>
                <c:pt idx="56">
                  <c:v>30800</c:v>
                </c:pt>
                <c:pt idx="57">
                  <c:v>5400</c:v>
                </c:pt>
                <c:pt idx="58">
                  <c:v>23400.000000000004</c:v>
                </c:pt>
                <c:pt idx="59">
                  <c:v>14400</c:v>
                </c:pt>
                <c:pt idx="60">
                  <c:v>8400</c:v>
                </c:pt>
                <c:pt idx="61">
                  <c:v>63000</c:v>
                </c:pt>
                <c:pt idx="62">
                  <c:v>29400.000000000004</c:v>
                </c:pt>
                <c:pt idx="63">
                  <c:v>5400</c:v>
                </c:pt>
                <c:pt idx="64">
                  <c:v>23400.000000000004</c:v>
                </c:pt>
                <c:pt idx="65">
                  <c:v>14400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20400.000000000004</c:v>
                </c:pt>
                <c:pt idx="69">
                  <c:v>11200.000000000002</c:v>
                </c:pt>
                <c:pt idx="70">
                  <c:v>36400</c:v>
                </c:pt>
                <c:pt idx="71">
                  <c:v>19600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2D4-4198-B7EE-040A529CD17C}"/>
            </c:ext>
          </c:extLst>
        </c:ser>
        <c:ser>
          <c:idx val="18"/>
          <c:order val="18"/>
          <c:tx>
            <c:strRef>
              <c:f>Energy!$A$22:$B$22</c:f>
              <c:strCache>
                <c:ptCount val="2"/>
                <c:pt idx="0">
                  <c:v>sc02</c:v>
                </c:pt>
                <c:pt idx="1">
                  <c:v>Nuclear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Energy!$C$22:$BV$22</c:f>
              <c:numCache>
                <c:formatCode>0</c:formatCode>
                <c:ptCount val="72"/>
                <c:pt idx="0">
                  <c:v>67900.800000000003</c:v>
                </c:pt>
                <c:pt idx="1">
                  <c:v>237652.80000000002</c:v>
                </c:pt>
                <c:pt idx="2">
                  <c:v>101851.20000000001</c:v>
                </c:pt>
                <c:pt idx="3">
                  <c:v>27777.600000000002</c:v>
                </c:pt>
                <c:pt idx="4">
                  <c:v>97221.6</c:v>
                </c:pt>
                <c:pt idx="5">
                  <c:v>41666.400000000001</c:v>
                </c:pt>
                <c:pt idx="6">
                  <c:v>46296.000000000007</c:v>
                </c:pt>
                <c:pt idx="7">
                  <c:v>231480.00000000003</c:v>
                </c:pt>
                <c:pt idx="8">
                  <c:v>92592.000000000015</c:v>
                </c:pt>
                <c:pt idx="9">
                  <c:v>18518.400000000001</c:v>
                </c:pt>
                <c:pt idx="10">
                  <c:v>80246.400000000009</c:v>
                </c:pt>
                <c:pt idx="11">
                  <c:v>49382.400000000001</c:v>
                </c:pt>
                <c:pt idx="12">
                  <c:v>64814.400000000009</c:v>
                </c:pt>
                <c:pt idx="13">
                  <c:v>226850.4</c:v>
                </c:pt>
                <c:pt idx="14">
                  <c:v>97221.6</c:v>
                </c:pt>
                <c:pt idx="15">
                  <c:v>23148.000000000004</c:v>
                </c:pt>
                <c:pt idx="16">
                  <c:v>100308</c:v>
                </c:pt>
                <c:pt idx="17">
                  <c:v>61728.000000000007</c:v>
                </c:pt>
                <c:pt idx="18">
                  <c:v>58641.600000000006</c:v>
                </c:pt>
                <c:pt idx="19">
                  <c:v>205245.60000000003</c:v>
                </c:pt>
                <c:pt idx="20">
                  <c:v>87962.400000000009</c:v>
                </c:pt>
                <c:pt idx="21">
                  <c:v>25462.800000000003</c:v>
                </c:pt>
                <c:pt idx="22">
                  <c:v>118826.40000000001</c:v>
                </c:pt>
                <c:pt idx="23">
                  <c:v>59413.200000000004</c:v>
                </c:pt>
                <c:pt idx="24">
                  <c:v>67900.800000000003</c:v>
                </c:pt>
                <c:pt idx="25">
                  <c:v>237652.80000000002</c:v>
                </c:pt>
                <c:pt idx="26">
                  <c:v>101851.20000000001</c:v>
                </c:pt>
                <c:pt idx="27">
                  <c:v>20833.2</c:v>
                </c:pt>
                <c:pt idx="28">
                  <c:v>90277.200000000012</c:v>
                </c:pt>
                <c:pt idx="29">
                  <c:v>55555.200000000004</c:v>
                </c:pt>
                <c:pt idx="30">
                  <c:v>64814.400000000009</c:v>
                </c:pt>
                <c:pt idx="31">
                  <c:v>226850.4</c:v>
                </c:pt>
                <c:pt idx="32">
                  <c:v>97221.6</c:v>
                </c:pt>
                <c:pt idx="33">
                  <c:v>20833.2</c:v>
                </c:pt>
                <c:pt idx="34">
                  <c:v>97221.6</c:v>
                </c:pt>
                <c:pt idx="35">
                  <c:v>48610.8</c:v>
                </c:pt>
                <c:pt idx="36">
                  <c:v>84876</c:v>
                </c:pt>
                <c:pt idx="37">
                  <c:v>203702.40000000002</c:v>
                </c:pt>
                <c:pt idx="38">
                  <c:v>118826.40000000001</c:v>
                </c:pt>
                <c:pt idx="39">
                  <c:v>20833.2</c:v>
                </c:pt>
                <c:pt idx="40">
                  <c:v>97221.6</c:v>
                </c:pt>
                <c:pt idx="41">
                  <c:v>48610.8</c:v>
                </c:pt>
                <c:pt idx="42">
                  <c:v>67900.800000000003</c:v>
                </c:pt>
                <c:pt idx="43">
                  <c:v>220677.6</c:v>
                </c:pt>
                <c:pt idx="44">
                  <c:v>118826.40000000001</c:v>
                </c:pt>
                <c:pt idx="45">
                  <c:v>20833.2</c:v>
                </c:pt>
                <c:pt idx="46">
                  <c:v>97221.6</c:v>
                </c:pt>
                <c:pt idx="47">
                  <c:v>48610.8</c:v>
                </c:pt>
                <c:pt idx="48">
                  <c:v>77160.000000000015</c:v>
                </c:pt>
                <c:pt idx="49">
                  <c:v>185184.00000000003</c:v>
                </c:pt>
                <c:pt idx="50">
                  <c:v>108024.00000000001</c:v>
                </c:pt>
                <c:pt idx="51">
                  <c:v>23148.000000000004</c:v>
                </c:pt>
                <c:pt idx="52">
                  <c:v>100308</c:v>
                </c:pt>
                <c:pt idx="53">
                  <c:v>61728.000000000007</c:v>
                </c:pt>
                <c:pt idx="54">
                  <c:v>50925.600000000006</c:v>
                </c:pt>
                <c:pt idx="55">
                  <c:v>237652.80000000002</c:v>
                </c:pt>
                <c:pt idx="56">
                  <c:v>118826.40000000001</c:v>
                </c:pt>
                <c:pt idx="57">
                  <c:v>20833.2</c:v>
                </c:pt>
                <c:pt idx="58">
                  <c:v>90277.200000000012</c:v>
                </c:pt>
                <c:pt idx="59">
                  <c:v>55555.200000000004</c:v>
                </c:pt>
                <c:pt idx="60">
                  <c:v>32407.200000000004</c:v>
                </c:pt>
                <c:pt idx="61">
                  <c:v>243054.00000000003</c:v>
                </c:pt>
                <c:pt idx="62">
                  <c:v>113425.2</c:v>
                </c:pt>
                <c:pt idx="63">
                  <c:v>20833.2</c:v>
                </c:pt>
                <c:pt idx="64">
                  <c:v>90277.200000000012</c:v>
                </c:pt>
                <c:pt idx="65">
                  <c:v>55555.200000000004</c:v>
                </c:pt>
                <c:pt idx="66">
                  <c:v>52468.800000000003</c:v>
                </c:pt>
                <c:pt idx="67">
                  <c:v>183640.80000000002</c:v>
                </c:pt>
                <c:pt idx="68">
                  <c:v>78703.200000000012</c:v>
                </c:pt>
                <c:pt idx="69">
                  <c:v>43209.599999999999</c:v>
                </c:pt>
                <c:pt idx="70">
                  <c:v>140431.20000000001</c:v>
                </c:pt>
                <c:pt idx="71">
                  <c:v>75616.800000000017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2D4-4198-B7EE-040A529CD17C}"/>
            </c:ext>
          </c:extLst>
        </c:ser>
        <c:ser>
          <c:idx val="19"/>
          <c:order val="19"/>
          <c:tx>
            <c:strRef>
              <c:f>Energy!$A$23:$B$23</c:f>
              <c:strCache>
                <c:ptCount val="2"/>
                <c:pt idx="0">
                  <c:v>sc02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Energy!$C$23:$BV$23</c:f>
              <c:numCache>
                <c:formatCode>0</c:formatCode>
                <c:ptCount val="72"/>
                <c:pt idx="0">
                  <c:v>20697.599999999999</c:v>
                </c:pt>
                <c:pt idx="1">
                  <c:v>72441.599999999991</c:v>
                </c:pt>
                <c:pt idx="2">
                  <c:v>31046.399999999994</c:v>
                </c:pt>
                <c:pt idx="3">
                  <c:v>8467.1999999999989</c:v>
                </c:pt>
                <c:pt idx="4">
                  <c:v>29635.199999999993</c:v>
                </c:pt>
                <c:pt idx="5">
                  <c:v>12700.799999999997</c:v>
                </c:pt>
                <c:pt idx="6">
                  <c:v>14111.999999999998</c:v>
                </c:pt>
                <c:pt idx="7">
                  <c:v>70559.999999999985</c:v>
                </c:pt>
                <c:pt idx="8">
                  <c:v>28223.999999999996</c:v>
                </c:pt>
                <c:pt idx="9">
                  <c:v>5644.7999999999993</c:v>
                </c:pt>
                <c:pt idx="10">
                  <c:v>24460.799999999996</c:v>
                </c:pt>
                <c:pt idx="11">
                  <c:v>15052.799999999997</c:v>
                </c:pt>
                <c:pt idx="12">
                  <c:v>19756.8</c:v>
                </c:pt>
                <c:pt idx="13">
                  <c:v>69148.799999999988</c:v>
                </c:pt>
                <c:pt idx="14">
                  <c:v>29635.199999999993</c:v>
                </c:pt>
                <c:pt idx="15">
                  <c:v>7055.9999999999991</c:v>
                </c:pt>
                <c:pt idx="16">
                  <c:v>30575.999999999996</c:v>
                </c:pt>
                <c:pt idx="17">
                  <c:v>18815.999999999996</c:v>
                </c:pt>
                <c:pt idx="18">
                  <c:v>17875.199999999997</c:v>
                </c:pt>
                <c:pt idx="19">
                  <c:v>62563.19999999999</c:v>
                </c:pt>
                <c:pt idx="20">
                  <c:v>26812.799999999996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20697.599999999999</c:v>
                </c:pt>
                <c:pt idx="25">
                  <c:v>72441.599999999991</c:v>
                </c:pt>
                <c:pt idx="26">
                  <c:v>31046.399999999994</c:v>
                </c:pt>
                <c:pt idx="27">
                  <c:v>6350.3999999999987</c:v>
                </c:pt>
                <c:pt idx="28">
                  <c:v>27518.399999999998</c:v>
                </c:pt>
                <c:pt idx="29">
                  <c:v>16934.399999999998</c:v>
                </c:pt>
                <c:pt idx="30">
                  <c:v>19756.8</c:v>
                </c:pt>
                <c:pt idx="31">
                  <c:v>69148.799999999988</c:v>
                </c:pt>
                <c:pt idx="32">
                  <c:v>29635.199999999993</c:v>
                </c:pt>
                <c:pt idx="33">
                  <c:v>6350.3999999999987</c:v>
                </c:pt>
                <c:pt idx="34">
                  <c:v>29635.199999999993</c:v>
                </c:pt>
                <c:pt idx="35">
                  <c:v>14817.599999999997</c:v>
                </c:pt>
                <c:pt idx="36">
                  <c:v>25871.999999999996</c:v>
                </c:pt>
                <c:pt idx="37">
                  <c:v>62092.799999999988</c:v>
                </c:pt>
                <c:pt idx="38">
                  <c:v>36220.799999999996</c:v>
                </c:pt>
                <c:pt idx="39">
                  <c:v>6350.3999999999987</c:v>
                </c:pt>
                <c:pt idx="40">
                  <c:v>29635.199999999993</c:v>
                </c:pt>
                <c:pt idx="41">
                  <c:v>14817.599999999997</c:v>
                </c:pt>
                <c:pt idx="42">
                  <c:v>20697.599999999999</c:v>
                </c:pt>
                <c:pt idx="43">
                  <c:v>67267.199999999983</c:v>
                </c:pt>
                <c:pt idx="44">
                  <c:v>36220.799999999996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9878.4</c:v>
                </c:pt>
                <c:pt idx="61">
                  <c:v>74088</c:v>
                </c:pt>
                <c:pt idx="62">
                  <c:v>34574.399999999994</c:v>
                </c:pt>
                <c:pt idx="63">
                  <c:v>6350.3999999999987</c:v>
                </c:pt>
                <c:pt idx="64">
                  <c:v>27518.399999999998</c:v>
                </c:pt>
                <c:pt idx="65">
                  <c:v>16934.399999999998</c:v>
                </c:pt>
                <c:pt idx="66">
                  <c:v>15993.599999999997</c:v>
                </c:pt>
                <c:pt idx="67">
                  <c:v>55977.599999999991</c:v>
                </c:pt>
                <c:pt idx="68">
                  <c:v>23990.399999999998</c:v>
                </c:pt>
                <c:pt idx="69">
                  <c:v>13171.199999999999</c:v>
                </c:pt>
                <c:pt idx="70">
                  <c:v>42806.399999999994</c:v>
                </c:pt>
                <c:pt idx="71">
                  <c:v>23049.599999999999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2D4-4198-B7EE-040A529CD17C}"/>
            </c:ext>
          </c:extLst>
        </c:ser>
        <c:ser>
          <c:idx val="20"/>
          <c:order val="20"/>
          <c:tx>
            <c:strRef>
              <c:f>Energy!$A$24:$B$24</c:f>
              <c:strCache>
                <c:ptCount val="2"/>
                <c:pt idx="0">
                  <c:v>sc02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Energy!$C$24:$BV$24</c:f>
              <c:numCache>
                <c:formatCode>0</c:formatCode>
                <c:ptCount val="72"/>
                <c:pt idx="0">
                  <c:v>8447.9999999999927</c:v>
                </c:pt>
                <c:pt idx="1">
                  <c:v>25021.919999999998</c:v>
                </c:pt>
                <c:pt idx="2">
                  <c:v>10723.68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19273.999999999942</c:v>
                </c:pt>
                <c:pt idx="49">
                  <c:v>39009.599999999933</c:v>
                </c:pt>
                <c:pt idx="50">
                  <c:v>11373.6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9570.0000000000309</c:v>
                </c:pt>
                <c:pt idx="55">
                  <c:v>25021.919999999998</c:v>
                </c:pt>
                <c:pt idx="56">
                  <c:v>12510.96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8530.2000000000007</c:v>
                </c:pt>
                <c:pt idx="61">
                  <c:v>63976.5</c:v>
                </c:pt>
                <c:pt idx="62">
                  <c:v>11942.279999999999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6311.6476000003704</c:v>
                </c:pt>
                <c:pt idx="67">
                  <c:v>48015.211236363946</c:v>
                </c:pt>
                <c:pt idx="68">
                  <c:v>8286.48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2D4-4198-B7EE-040A529CD17C}"/>
            </c:ext>
          </c:extLst>
        </c:ser>
        <c:ser>
          <c:idx val="21"/>
          <c:order val="21"/>
          <c:tx>
            <c:strRef>
              <c:f>Energy!$A$25:$B$25</c:f>
              <c:strCache>
                <c:ptCount val="2"/>
                <c:pt idx="0">
                  <c:v>sc02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Energy!$C$25:$BV$25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6015.9999999999991</c:v>
                </c:pt>
                <c:pt idx="49">
                  <c:v>14438.399999999998</c:v>
                </c:pt>
                <c:pt idx="50">
                  <c:v>8422.4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4090.8799999999992</c:v>
                </c:pt>
                <c:pt idx="67">
                  <c:v>14318.079999999998</c:v>
                </c:pt>
                <c:pt idx="68">
                  <c:v>6136.32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2D4-4198-B7EE-040A529CD17C}"/>
            </c:ext>
          </c:extLst>
        </c:ser>
        <c:ser>
          <c:idx val="22"/>
          <c:order val="22"/>
          <c:tx>
            <c:strRef>
              <c:f>Energy!$A$26:$B$26</c:f>
              <c:strCache>
                <c:ptCount val="2"/>
                <c:pt idx="0">
                  <c:v>sc02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Energy!$C$26:$BV$26</c:f>
              <c:numCache>
                <c:formatCode>0</c:formatCode>
                <c:ptCount val="72"/>
                <c:pt idx="0">
                  <c:v>17107.2</c:v>
                </c:pt>
                <c:pt idx="1">
                  <c:v>49958.830399999992</c:v>
                </c:pt>
                <c:pt idx="2">
                  <c:v>10264.320000000002</c:v>
                </c:pt>
                <c:pt idx="3">
                  <c:v>6998.4000000000005</c:v>
                </c:pt>
                <c:pt idx="4">
                  <c:v>9797.760000000002</c:v>
                </c:pt>
                <c:pt idx="5">
                  <c:v>4199.04</c:v>
                </c:pt>
                <c:pt idx="6">
                  <c:v>5538.0000000000564</c:v>
                </c:pt>
                <c:pt idx="7">
                  <c:v>38669.99999999992</c:v>
                </c:pt>
                <c:pt idx="8">
                  <c:v>9331.2000000000007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14774.400000000001</c:v>
                </c:pt>
                <c:pt idx="19">
                  <c:v>51710.400000000009</c:v>
                </c:pt>
                <c:pt idx="20">
                  <c:v>8864.6400000000012</c:v>
                </c:pt>
                <c:pt idx="21">
                  <c:v>6415.2000000000007</c:v>
                </c:pt>
                <c:pt idx="22">
                  <c:v>11975.04</c:v>
                </c:pt>
                <c:pt idx="23">
                  <c:v>5987.52</c:v>
                </c:pt>
                <c:pt idx="24">
                  <c:v>12091.200000000032</c:v>
                </c:pt>
                <c:pt idx="25">
                  <c:v>53838.3999999999</c:v>
                </c:pt>
                <c:pt idx="26">
                  <c:v>10264.320000000002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16329.600000000002</c:v>
                </c:pt>
                <c:pt idx="31">
                  <c:v>57153.600000000006</c:v>
                </c:pt>
                <c:pt idx="32">
                  <c:v>9797.760000000002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21384</c:v>
                </c:pt>
                <c:pt idx="37">
                  <c:v>51321.600000000006</c:v>
                </c:pt>
                <c:pt idx="38">
                  <c:v>11975.04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17107.2</c:v>
                </c:pt>
                <c:pt idx="43">
                  <c:v>55598.400000000009</c:v>
                </c:pt>
                <c:pt idx="44">
                  <c:v>11975.04</c:v>
                </c:pt>
                <c:pt idx="45">
                  <c:v>5248.8</c:v>
                </c:pt>
                <c:pt idx="46">
                  <c:v>24494.400000000001</c:v>
                </c:pt>
                <c:pt idx="47">
                  <c:v>4898.880000000001</c:v>
                </c:pt>
                <c:pt idx="48">
                  <c:v>19440</c:v>
                </c:pt>
                <c:pt idx="49">
                  <c:v>46656.000000000007</c:v>
                </c:pt>
                <c:pt idx="50">
                  <c:v>10886.400000000001</c:v>
                </c:pt>
                <c:pt idx="51">
                  <c:v>5832.0000000000009</c:v>
                </c:pt>
                <c:pt idx="52">
                  <c:v>16767.000000000051</c:v>
                </c:pt>
                <c:pt idx="53">
                  <c:v>6220.8</c:v>
                </c:pt>
                <c:pt idx="54">
                  <c:v>12830.400000000001</c:v>
                </c:pt>
                <c:pt idx="55">
                  <c:v>57522.079999999958</c:v>
                </c:pt>
                <c:pt idx="56">
                  <c:v>11975.04</c:v>
                </c:pt>
                <c:pt idx="57">
                  <c:v>5248.8</c:v>
                </c:pt>
                <c:pt idx="58">
                  <c:v>9097.9200000000019</c:v>
                </c:pt>
                <c:pt idx="59">
                  <c:v>5598.7200000000012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13219.2</c:v>
                </c:pt>
                <c:pt idx="67">
                  <c:v>46267.200000000004</c:v>
                </c:pt>
                <c:pt idx="68">
                  <c:v>7931.52</c:v>
                </c:pt>
                <c:pt idx="69">
                  <c:v>10886.400000000001</c:v>
                </c:pt>
                <c:pt idx="70">
                  <c:v>33924.799999999967</c:v>
                </c:pt>
                <c:pt idx="71">
                  <c:v>7620.4800000000005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2D4-4198-B7EE-040A529CD17C}"/>
            </c:ext>
          </c:extLst>
        </c:ser>
        <c:ser>
          <c:idx val="23"/>
          <c:order val="23"/>
          <c:tx>
            <c:strRef>
              <c:f>Energy!$A$27:$B$27</c:f>
              <c:strCache>
                <c:ptCount val="2"/>
                <c:pt idx="0">
                  <c:v>sc02</c:v>
                </c:pt>
                <c:pt idx="1">
                  <c:v>CCGT_1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Energy!$C$27:$BV$27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66000</c:v>
                </c:pt>
                <c:pt idx="3">
                  <c:v>18000</c:v>
                </c:pt>
                <c:pt idx="4">
                  <c:v>63000</c:v>
                </c:pt>
                <c:pt idx="5">
                  <c:v>27000</c:v>
                </c:pt>
                <c:pt idx="6">
                  <c:v>30000</c:v>
                </c:pt>
                <c:pt idx="7">
                  <c:v>150000</c:v>
                </c:pt>
                <c:pt idx="8">
                  <c:v>60000</c:v>
                </c:pt>
                <c:pt idx="9">
                  <c:v>12000</c:v>
                </c:pt>
                <c:pt idx="10">
                  <c:v>52000</c:v>
                </c:pt>
                <c:pt idx="11">
                  <c:v>32000</c:v>
                </c:pt>
                <c:pt idx="12">
                  <c:v>42000</c:v>
                </c:pt>
                <c:pt idx="13">
                  <c:v>147000</c:v>
                </c:pt>
                <c:pt idx="14">
                  <c:v>63000</c:v>
                </c:pt>
                <c:pt idx="15">
                  <c:v>15000</c:v>
                </c:pt>
                <c:pt idx="16">
                  <c:v>65000</c:v>
                </c:pt>
                <c:pt idx="17">
                  <c:v>40000</c:v>
                </c:pt>
                <c:pt idx="18">
                  <c:v>38000</c:v>
                </c:pt>
                <c:pt idx="19">
                  <c:v>133000</c:v>
                </c:pt>
                <c:pt idx="20">
                  <c:v>57000</c:v>
                </c:pt>
                <c:pt idx="21">
                  <c:v>16500</c:v>
                </c:pt>
                <c:pt idx="22">
                  <c:v>77000</c:v>
                </c:pt>
                <c:pt idx="23">
                  <c:v>38500</c:v>
                </c:pt>
                <c:pt idx="24">
                  <c:v>44000</c:v>
                </c:pt>
                <c:pt idx="25">
                  <c:v>154000</c:v>
                </c:pt>
                <c:pt idx="26">
                  <c:v>66000</c:v>
                </c:pt>
                <c:pt idx="27">
                  <c:v>13500</c:v>
                </c:pt>
                <c:pt idx="28">
                  <c:v>58500</c:v>
                </c:pt>
                <c:pt idx="29">
                  <c:v>36000</c:v>
                </c:pt>
                <c:pt idx="30">
                  <c:v>42000</c:v>
                </c:pt>
                <c:pt idx="31">
                  <c:v>147000</c:v>
                </c:pt>
                <c:pt idx="32">
                  <c:v>63000</c:v>
                </c:pt>
                <c:pt idx="33">
                  <c:v>13500</c:v>
                </c:pt>
                <c:pt idx="34">
                  <c:v>63000</c:v>
                </c:pt>
                <c:pt idx="35">
                  <c:v>31500</c:v>
                </c:pt>
                <c:pt idx="36">
                  <c:v>55000</c:v>
                </c:pt>
                <c:pt idx="37">
                  <c:v>132000</c:v>
                </c:pt>
                <c:pt idx="38">
                  <c:v>77000</c:v>
                </c:pt>
                <c:pt idx="39">
                  <c:v>13500</c:v>
                </c:pt>
                <c:pt idx="40">
                  <c:v>63000</c:v>
                </c:pt>
                <c:pt idx="41">
                  <c:v>31500</c:v>
                </c:pt>
                <c:pt idx="42">
                  <c:v>44000</c:v>
                </c:pt>
                <c:pt idx="43">
                  <c:v>143000</c:v>
                </c:pt>
                <c:pt idx="44">
                  <c:v>77000</c:v>
                </c:pt>
                <c:pt idx="45">
                  <c:v>13500</c:v>
                </c:pt>
                <c:pt idx="46">
                  <c:v>63000</c:v>
                </c:pt>
                <c:pt idx="47">
                  <c:v>31500</c:v>
                </c:pt>
                <c:pt idx="48">
                  <c:v>50000</c:v>
                </c:pt>
                <c:pt idx="49">
                  <c:v>120000</c:v>
                </c:pt>
                <c:pt idx="50">
                  <c:v>70000</c:v>
                </c:pt>
                <c:pt idx="51">
                  <c:v>15000</c:v>
                </c:pt>
                <c:pt idx="52">
                  <c:v>65000</c:v>
                </c:pt>
                <c:pt idx="53">
                  <c:v>40000</c:v>
                </c:pt>
                <c:pt idx="54">
                  <c:v>33000</c:v>
                </c:pt>
                <c:pt idx="55">
                  <c:v>154000</c:v>
                </c:pt>
                <c:pt idx="56">
                  <c:v>77000</c:v>
                </c:pt>
                <c:pt idx="57">
                  <c:v>13500</c:v>
                </c:pt>
                <c:pt idx="58">
                  <c:v>58500</c:v>
                </c:pt>
                <c:pt idx="59">
                  <c:v>36000</c:v>
                </c:pt>
                <c:pt idx="60">
                  <c:v>21000</c:v>
                </c:pt>
                <c:pt idx="61">
                  <c:v>157500</c:v>
                </c:pt>
                <c:pt idx="62">
                  <c:v>73500</c:v>
                </c:pt>
                <c:pt idx="63">
                  <c:v>13500</c:v>
                </c:pt>
                <c:pt idx="64">
                  <c:v>58500</c:v>
                </c:pt>
                <c:pt idx="65">
                  <c:v>36000</c:v>
                </c:pt>
                <c:pt idx="66">
                  <c:v>34000</c:v>
                </c:pt>
                <c:pt idx="67">
                  <c:v>119000</c:v>
                </c:pt>
                <c:pt idx="68">
                  <c:v>51000</c:v>
                </c:pt>
                <c:pt idx="69">
                  <c:v>28000</c:v>
                </c:pt>
                <c:pt idx="70">
                  <c:v>91000</c:v>
                </c:pt>
                <c:pt idx="71">
                  <c:v>49000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2D4-4198-B7EE-040A529CD17C}"/>
            </c:ext>
          </c:extLst>
        </c:ser>
        <c:ser>
          <c:idx val="24"/>
          <c:order val="24"/>
          <c:tx>
            <c:strRef>
              <c:f>Energy!$A$28:$B$28</c:f>
              <c:strCache>
                <c:ptCount val="2"/>
                <c:pt idx="0">
                  <c:v>sc02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Energy!$C$28:$BV$28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26981.160000000011</c:v>
                </c:pt>
                <c:pt idx="3">
                  <c:v>18000</c:v>
                </c:pt>
                <c:pt idx="4">
                  <c:v>63000</c:v>
                </c:pt>
                <c:pt idx="5">
                  <c:v>5400</c:v>
                </c:pt>
                <c:pt idx="6">
                  <c:v>30000</c:v>
                </c:pt>
                <c:pt idx="7">
                  <c:v>150000</c:v>
                </c:pt>
                <c:pt idx="8">
                  <c:v>27821.843478260831</c:v>
                </c:pt>
                <c:pt idx="9">
                  <c:v>12000</c:v>
                </c:pt>
                <c:pt idx="10">
                  <c:v>52000</c:v>
                </c:pt>
                <c:pt idx="11">
                  <c:v>10758.956521739108</c:v>
                </c:pt>
                <c:pt idx="12">
                  <c:v>42000</c:v>
                </c:pt>
                <c:pt idx="13">
                  <c:v>147000</c:v>
                </c:pt>
                <c:pt idx="14">
                  <c:v>30647.800000000076</c:v>
                </c:pt>
                <c:pt idx="15">
                  <c:v>15000</c:v>
                </c:pt>
                <c:pt idx="16">
                  <c:v>65000</c:v>
                </c:pt>
                <c:pt idx="17">
                  <c:v>8000</c:v>
                </c:pt>
                <c:pt idx="18">
                  <c:v>38000</c:v>
                </c:pt>
                <c:pt idx="19">
                  <c:v>133000</c:v>
                </c:pt>
                <c:pt idx="20">
                  <c:v>20880.228062827253</c:v>
                </c:pt>
                <c:pt idx="21">
                  <c:v>16500</c:v>
                </c:pt>
                <c:pt idx="22">
                  <c:v>74480.559999999983</c:v>
                </c:pt>
                <c:pt idx="23">
                  <c:v>14103.311937172793</c:v>
                </c:pt>
                <c:pt idx="24">
                  <c:v>44000</c:v>
                </c:pt>
                <c:pt idx="25">
                  <c:v>154000</c:v>
                </c:pt>
                <c:pt idx="26">
                  <c:v>18392.879999999979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42000</c:v>
                </c:pt>
                <c:pt idx="31">
                  <c:v>147000</c:v>
                </c:pt>
                <c:pt idx="32">
                  <c:v>28292.040000000005</c:v>
                </c:pt>
                <c:pt idx="33">
                  <c:v>13500</c:v>
                </c:pt>
                <c:pt idx="34">
                  <c:v>63000</c:v>
                </c:pt>
                <c:pt idx="35">
                  <c:v>8700.2999999999975</c:v>
                </c:pt>
                <c:pt idx="36">
                  <c:v>55000</c:v>
                </c:pt>
                <c:pt idx="37">
                  <c:v>132000</c:v>
                </c:pt>
                <c:pt idx="38">
                  <c:v>51996.560000000027</c:v>
                </c:pt>
                <c:pt idx="39">
                  <c:v>13500</c:v>
                </c:pt>
                <c:pt idx="40">
                  <c:v>63000</c:v>
                </c:pt>
                <c:pt idx="41">
                  <c:v>14175.000000000024</c:v>
                </c:pt>
                <c:pt idx="42">
                  <c:v>44000</c:v>
                </c:pt>
                <c:pt idx="43">
                  <c:v>143000</c:v>
                </c:pt>
                <c:pt idx="44">
                  <c:v>35595.559999999983</c:v>
                </c:pt>
                <c:pt idx="45">
                  <c:v>13500</c:v>
                </c:pt>
                <c:pt idx="46">
                  <c:v>63000</c:v>
                </c:pt>
                <c:pt idx="47">
                  <c:v>14561.819999999994</c:v>
                </c:pt>
                <c:pt idx="48">
                  <c:v>50000</c:v>
                </c:pt>
                <c:pt idx="49">
                  <c:v>120000</c:v>
                </c:pt>
                <c:pt idx="50">
                  <c:v>47465.600000000086</c:v>
                </c:pt>
                <c:pt idx="51">
                  <c:v>15000</c:v>
                </c:pt>
                <c:pt idx="52">
                  <c:v>65000</c:v>
                </c:pt>
                <c:pt idx="53">
                  <c:v>21707.199999999993</c:v>
                </c:pt>
                <c:pt idx="54">
                  <c:v>33000</c:v>
                </c:pt>
                <c:pt idx="55">
                  <c:v>154000</c:v>
                </c:pt>
                <c:pt idx="56">
                  <c:v>30314.695575221245</c:v>
                </c:pt>
                <c:pt idx="57">
                  <c:v>13500</c:v>
                </c:pt>
                <c:pt idx="58">
                  <c:v>55825.38</c:v>
                </c:pt>
                <c:pt idx="59">
                  <c:v>12692.784424778758</c:v>
                </c:pt>
                <c:pt idx="60">
                  <c:v>21000</c:v>
                </c:pt>
                <c:pt idx="61">
                  <c:v>157500</c:v>
                </c:pt>
                <c:pt idx="62">
                  <c:v>33289.217260273996</c:v>
                </c:pt>
                <c:pt idx="63">
                  <c:v>13500</c:v>
                </c:pt>
                <c:pt idx="64">
                  <c:v>58500</c:v>
                </c:pt>
                <c:pt idx="65">
                  <c:v>7581.4027397260124</c:v>
                </c:pt>
                <c:pt idx="66">
                  <c:v>34000</c:v>
                </c:pt>
                <c:pt idx="67">
                  <c:v>119000</c:v>
                </c:pt>
                <c:pt idx="68">
                  <c:v>17333.880000000045</c:v>
                </c:pt>
                <c:pt idx="69">
                  <c:v>28000</c:v>
                </c:pt>
                <c:pt idx="70">
                  <c:v>91000</c:v>
                </c:pt>
                <c:pt idx="71">
                  <c:v>11510.32000000004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2D4-4198-B7EE-040A529CD17C}"/>
            </c:ext>
          </c:extLst>
        </c:ser>
        <c:ser>
          <c:idx val="25"/>
          <c:order val="25"/>
          <c:tx>
            <c:strRef>
              <c:f>Energy!$A$29:$B$29</c:f>
              <c:strCache>
                <c:ptCount val="2"/>
                <c:pt idx="0">
                  <c:v>sc02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Energy!$C$29:$BV$29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13200.000000000002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30000</c:v>
                </c:pt>
                <c:pt idx="7">
                  <c:v>150000</c:v>
                </c:pt>
                <c:pt idx="8">
                  <c:v>12000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42000</c:v>
                </c:pt>
                <c:pt idx="13">
                  <c:v>147000</c:v>
                </c:pt>
                <c:pt idx="14">
                  <c:v>12600.000000000002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42000</c:v>
                </c:pt>
                <c:pt idx="31">
                  <c:v>147000</c:v>
                </c:pt>
                <c:pt idx="32">
                  <c:v>12600.000000000002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55000</c:v>
                </c:pt>
                <c:pt idx="37">
                  <c:v>132000</c:v>
                </c:pt>
                <c:pt idx="38">
                  <c:v>15400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50000</c:v>
                </c:pt>
                <c:pt idx="49">
                  <c:v>120000</c:v>
                </c:pt>
                <c:pt idx="50">
                  <c:v>14000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33000</c:v>
                </c:pt>
                <c:pt idx="55">
                  <c:v>154000</c:v>
                </c:pt>
                <c:pt idx="56">
                  <c:v>15400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21000</c:v>
                </c:pt>
                <c:pt idx="61">
                  <c:v>157500</c:v>
                </c:pt>
                <c:pt idx="62">
                  <c:v>14700.000000000002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34000</c:v>
                </c:pt>
                <c:pt idx="67">
                  <c:v>119000</c:v>
                </c:pt>
                <c:pt idx="68">
                  <c:v>10200.000000000002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2D4-4198-B7EE-040A529CD17C}"/>
            </c:ext>
          </c:extLst>
        </c:ser>
        <c:ser>
          <c:idx val="26"/>
          <c:order val="26"/>
          <c:tx>
            <c:strRef>
              <c:f>Energy!$A$30:$B$30</c:f>
              <c:strCache>
                <c:ptCount val="2"/>
                <c:pt idx="0">
                  <c:v>sc02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Energy!$C$30:$BV$30</c:f>
              <c:numCache>
                <c:formatCode>0</c:formatCode>
                <c:ptCount val="72"/>
                <c:pt idx="0">
                  <c:v>58739.999999999993</c:v>
                </c:pt>
                <c:pt idx="1">
                  <c:v>205590</c:v>
                </c:pt>
                <c:pt idx="2">
                  <c:v>88110</c:v>
                </c:pt>
                <c:pt idx="3">
                  <c:v>24030</c:v>
                </c:pt>
                <c:pt idx="4">
                  <c:v>84105</c:v>
                </c:pt>
                <c:pt idx="5">
                  <c:v>36045</c:v>
                </c:pt>
                <c:pt idx="6">
                  <c:v>40050</c:v>
                </c:pt>
                <c:pt idx="7">
                  <c:v>200250</c:v>
                </c:pt>
                <c:pt idx="8">
                  <c:v>80100</c:v>
                </c:pt>
                <c:pt idx="9">
                  <c:v>16020</c:v>
                </c:pt>
                <c:pt idx="10">
                  <c:v>69420</c:v>
                </c:pt>
                <c:pt idx="11">
                  <c:v>42720</c:v>
                </c:pt>
                <c:pt idx="12">
                  <c:v>56070</c:v>
                </c:pt>
                <c:pt idx="13">
                  <c:v>196245</c:v>
                </c:pt>
                <c:pt idx="14">
                  <c:v>84105</c:v>
                </c:pt>
                <c:pt idx="15">
                  <c:v>20025</c:v>
                </c:pt>
                <c:pt idx="16">
                  <c:v>86774.999999999985</c:v>
                </c:pt>
                <c:pt idx="17">
                  <c:v>53400</c:v>
                </c:pt>
                <c:pt idx="18">
                  <c:v>50730</c:v>
                </c:pt>
                <c:pt idx="19">
                  <c:v>177555</c:v>
                </c:pt>
                <c:pt idx="20">
                  <c:v>76095</c:v>
                </c:pt>
                <c:pt idx="21">
                  <c:v>22027.5</c:v>
                </c:pt>
                <c:pt idx="22">
                  <c:v>102795</c:v>
                </c:pt>
                <c:pt idx="23">
                  <c:v>51397.5</c:v>
                </c:pt>
                <c:pt idx="24">
                  <c:v>58739.999999999993</c:v>
                </c:pt>
                <c:pt idx="25">
                  <c:v>205590</c:v>
                </c:pt>
                <c:pt idx="26">
                  <c:v>88110</c:v>
                </c:pt>
                <c:pt idx="27">
                  <c:v>18022.5</c:v>
                </c:pt>
                <c:pt idx="28">
                  <c:v>78097.5</c:v>
                </c:pt>
                <c:pt idx="29">
                  <c:v>48060</c:v>
                </c:pt>
                <c:pt idx="30">
                  <c:v>56070</c:v>
                </c:pt>
                <c:pt idx="31">
                  <c:v>196245</c:v>
                </c:pt>
                <c:pt idx="32">
                  <c:v>84105</c:v>
                </c:pt>
                <c:pt idx="33">
                  <c:v>18022.5</c:v>
                </c:pt>
                <c:pt idx="34">
                  <c:v>84105</c:v>
                </c:pt>
                <c:pt idx="35">
                  <c:v>42052.5</c:v>
                </c:pt>
                <c:pt idx="36">
                  <c:v>73425</c:v>
                </c:pt>
                <c:pt idx="37">
                  <c:v>176220</c:v>
                </c:pt>
                <c:pt idx="38">
                  <c:v>102795</c:v>
                </c:pt>
                <c:pt idx="39">
                  <c:v>18022.5</c:v>
                </c:pt>
                <c:pt idx="40">
                  <c:v>84105</c:v>
                </c:pt>
                <c:pt idx="41">
                  <c:v>42052.5</c:v>
                </c:pt>
                <c:pt idx="42">
                  <c:v>58739.999999999993</c:v>
                </c:pt>
                <c:pt idx="43">
                  <c:v>190905</c:v>
                </c:pt>
                <c:pt idx="44">
                  <c:v>102795</c:v>
                </c:pt>
                <c:pt idx="45">
                  <c:v>18022.5</c:v>
                </c:pt>
                <c:pt idx="46">
                  <c:v>84105</c:v>
                </c:pt>
                <c:pt idx="47">
                  <c:v>42052.5</c:v>
                </c:pt>
                <c:pt idx="48">
                  <c:v>66750</c:v>
                </c:pt>
                <c:pt idx="49">
                  <c:v>160200</c:v>
                </c:pt>
                <c:pt idx="50">
                  <c:v>93450</c:v>
                </c:pt>
                <c:pt idx="51">
                  <c:v>20025</c:v>
                </c:pt>
                <c:pt idx="52">
                  <c:v>86774.999999999985</c:v>
                </c:pt>
                <c:pt idx="53">
                  <c:v>53400</c:v>
                </c:pt>
                <c:pt idx="54">
                  <c:v>44055</c:v>
                </c:pt>
                <c:pt idx="55">
                  <c:v>205590</c:v>
                </c:pt>
                <c:pt idx="56">
                  <c:v>102795</c:v>
                </c:pt>
                <c:pt idx="57">
                  <c:v>18022.5</c:v>
                </c:pt>
                <c:pt idx="58">
                  <c:v>78097.5</c:v>
                </c:pt>
                <c:pt idx="59">
                  <c:v>48060</c:v>
                </c:pt>
                <c:pt idx="60">
                  <c:v>28035</c:v>
                </c:pt>
                <c:pt idx="61">
                  <c:v>210262.5</c:v>
                </c:pt>
                <c:pt idx="62">
                  <c:v>98122.5</c:v>
                </c:pt>
                <c:pt idx="63">
                  <c:v>18022.5</c:v>
                </c:pt>
                <c:pt idx="64">
                  <c:v>78097.5</c:v>
                </c:pt>
                <c:pt idx="65">
                  <c:v>48060</c:v>
                </c:pt>
                <c:pt idx="66">
                  <c:v>45390</c:v>
                </c:pt>
                <c:pt idx="67">
                  <c:v>158865</c:v>
                </c:pt>
                <c:pt idx="68">
                  <c:v>68085</c:v>
                </c:pt>
                <c:pt idx="69">
                  <c:v>37379.999999999993</c:v>
                </c:pt>
                <c:pt idx="70">
                  <c:v>121485</c:v>
                </c:pt>
                <c:pt idx="71">
                  <c:v>65414.999999999993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2D4-4198-B7EE-040A529CD17C}"/>
            </c:ext>
          </c:extLst>
        </c:ser>
        <c:ser>
          <c:idx val="27"/>
          <c:order val="27"/>
          <c:tx>
            <c:strRef>
              <c:f>Energy!$A$31:$B$31</c:f>
              <c:strCache>
                <c:ptCount val="2"/>
                <c:pt idx="0">
                  <c:v>sc02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Energy!$C$31:$BV$31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2D4-4198-B7EE-040A529CD17C}"/>
            </c:ext>
          </c:extLst>
        </c:ser>
        <c:ser>
          <c:idx val="28"/>
          <c:order val="28"/>
          <c:tx>
            <c:strRef>
              <c:f>Energy!$A$32:$B$32</c:f>
              <c:strCache>
                <c:ptCount val="2"/>
                <c:pt idx="0">
                  <c:v>sc02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Energy!$C$32:$BV$32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2D4-4198-B7EE-040A529CD17C}"/>
            </c:ext>
          </c:extLst>
        </c:ser>
        <c:ser>
          <c:idx val="29"/>
          <c:order val="29"/>
          <c:tx>
            <c:strRef>
              <c:f>Energy!$A$33:$B$33</c:f>
              <c:strCache>
                <c:ptCount val="2"/>
                <c:pt idx="0">
                  <c:v>sc02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Energy!$C$33:$BV$33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2D4-4198-B7EE-040A529CD17C}"/>
            </c:ext>
          </c:extLst>
        </c:ser>
        <c:ser>
          <c:idx val="30"/>
          <c:order val="30"/>
          <c:tx>
            <c:strRef>
              <c:f>Energy!$A$34:$B$34</c:f>
              <c:strCache>
                <c:ptCount val="2"/>
                <c:pt idx="0">
                  <c:v>sc02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Energy!$C$34:$BV$34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2D4-4198-B7EE-040A529CD17C}"/>
            </c:ext>
          </c:extLst>
        </c:ser>
        <c:ser>
          <c:idx val="31"/>
          <c:order val="31"/>
          <c:tx>
            <c:strRef>
              <c:f>Energy!$A$35:$B$35</c:f>
              <c:strCache>
                <c:ptCount val="2"/>
                <c:pt idx="0">
                  <c:v>sc02</c:v>
                </c:pt>
                <c:pt idx="1">
                  <c:v>RunOfRiver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Energy!$C$35:$BV$35</c:f>
              <c:numCache>
                <c:formatCode>0</c:formatCode>
                <c:ptCount val="72"/>
                <c:pt idx="0">
                  <c:v>13200</c:v>
                </c:pt>
                <c:pt idx="1">
                  <c:v>46199.999999999993</c:v>
                </c:pt>
                <c:pt idx="2">
                  <c:v>19799.64</c:v>
                </c:pt>
                <c:pt idx="3">
                  <c:v>5399.9999999999991</c:v>
                </c:pt>
                <c:pt idx="4">
                  <c:v>18900</c:v>
                </c:pt>
                <c:pt idx="5">
                  <c:v>3636.3600000000065</c:v>
                </c:pt>
                <c:pt idx="6">
                  <c:v>9000</c:v>
                </c:pt>
                <c:pt idx="7">
                  <c:v>45000</c:v>
                </c:pt>
                <c:pt idx="8">
                  <c:v>12214.956521739134</c:v>
                </c:pt>
                <c:pt idx="9">
                  <c:v>3599.9999999999995</c:v>
                </c:pt>
                <c:pt idx="10">
                  <c:v>15600</c:v>
                </c:pt>
                <c:pt idx="11">
                  <c:v>6514.6434782608712</c:v>
                </c:pt>
                <c:pt idx="12">
                  <c:v>12600</c:v>
                </c:pt>
                <c:pt idx="13">
                  <c:v>44100</c:v>
                </c:pt>
                <c:pt idx="14">
                  <c:v>13263.20000000001</c:v>
                </c:pt>
                <c:pt idx="15">
                  <c:v>4500</c:v>
                </c:pt>
                <c:pt idx="16">
                  <c:v>19500</c:v>
                </c:pt>
                <c:pt idx="17">
                  <c:v>7816.0000000000009</c:v>
                </c:pt>
                <c:pt idx="18">
                  <c:v>11400</c:v>
                </c:pt>
                <c:pt idx="19">
                  <c:v>39900</c:v>
                </c:pt>
                <c:pt idx="20">
                  <c:v>4078.9319371727875</c:v>
                </c:pt>
                <c:pt idx="21">
                  <c:v>4950</c:v>
                </c:pt>
                <c:pt idx="22">
                  <c:v>23099.999999999996</c:v>
                </c:pt>
                <c:pt idx="23">
                  <c:v>2755.0680628272339</c:v>
                </c:pt>
                <c:pt idx="24">
                  <c:v>13200</c:v>
                </c:pt>
                <c:pt idx="25">
                  <c:v>42818.812235294121</c:v>
                </c:pt>
                <c:pt idx="26">
                  <c:v>0</c:v>
                </c:pt>
                <c:pt idx="27">
                  <c:v>4050</c:v>
                </c:pt>
                <c:pt idx="28">
                  <c:v>16265.587764705881</c:v>
                </c:pt>
                <c:pt idx="29">
                  <c:v>0</c:v>
                </c:pt>
                <c:pt idx="30">
                  <c:v>12600</c:v>
                </c:pt>
                <c:pt idx="31">
                  <c:v>27210.960000000028</c:v>
                </c:pt>
                <c:pt idx="32">
                  <c:v>0</c:v>
                </c:pt>
                <c:pt idx="33">
                  <c:v>4050</c:v>
                </c:pt>
                <c:pt idx="34">
                  <c:v>5387.0399999999754</c:v>
                </c:pt>
                <c:pt idx="35">
                  <c:v>0</c:v>
                </c:pt>
                <c:pt idx="36">
                  <c:v>16500</c:v>
                </c:pt>
                <c:pt idx="37">
                  <c:v>22874.584615384625</c:v>
                </c:pt>
                <c:pt idx="38">
                  <c:v>0</c:v>
                </c:pt>
                <c:pt idx="39">
                  <c:v>4050</c:v>
                </c:pt>
                <c:pt idx="40">
                  <c:v>7465.0153846153798</c:v>
                </c:pt>
                <c:pt idx="41">
                  <c:v>0</c:v>
                </c:pt>
                <c:pt idx="42">
                  <c:v>13200</c:v>
                </c:pt>
                <c:pt idx="43">
                  <c:v>33639.599999999999</c:v>
                </c:pt>
                <c:pt idx="44">
                  <c:v>0</c:v>
                </c:pt>
                <c:pt idx="45">
                  <c:v>4050</c:v>
                </c:pt>
                <c:pt idx="46">
                  <c:v>0</c:v>
                </c:pt>
                <c:pt idx="47">
                  <c:v>0</c:v>
                </c:pt>
                <c:pt idx="48">
                  <c:v>15000</c:v>
                </c:pt>
                <c:pt idx="49">
                  <c:v>36000</c:v>
                </c:pt>
                <c:pt idx="50">
                  <c:v>0</c:v>
                </c:pt>
                <c:pt idx="51">
                  <c:v>4500</c:v>
                </c:pt>
                <c:pt idx="52">
                  <c:v>18371.999999999996</c:v>
                </c:pt>
                <c:pt idx="53">
                  <c:v>0</c:v>
                </c:pt>
                <c:pt idx="54">
                  <c:v>9900</c:v>
                </c:pt>
                <c:pt idx="55">
                  <c:v>46199.999999999993</c:v>
                </c:pt>
                <c:pt idx="56">
                  <c:v>7738.7044247787635</c:v>
                </c:pt>
                <c:pt idx="57">
                  <c:v>4050</c:v>
                </c:pt>
                <c:pt idx="58">
                  <c:v>17550</c:v>
                </c:pt>
                <c:pt idx="59">
                  <c:v>3618.0955752212399</c:v>
                </c:pt>
                <c:pt idx="60">
                  <c:v>6300</c:v>
                </c:pt>
                <c:pt idx="61">
                  <c:v>47250</c:v>
                </c:pt>
                <c:pt idx="62">
                  <c:v>15670.602739726028</c:v>
                </c:pt>
                <c:pt idx="63">
                  <c:v>4050</c:v>
                </c:pt>
                <c:pt idx="64">
                  <c:v>17550</c:v>
                </c:pt>
                <c:pt idx="65">
                  <c:v>7675.3972602739732</c:v>
                </c:pt>
                <c:pt idx="66">
                  <c:v>10200</c:v>
                </c:pt>
                <c:pt idx="67">
                  <c:v>35699.999999999993</c:v>
                </c:pt>
                <c:pt idx="68">
                  <c:v>15299.999999999998</c:v>
                </c:pt>
                <c:pt idx="69">
                  <c:v>8400</c:v>
                </c:pt>
                <c:pt idx="70">
                  <c:v>27300</c:v>
                </c:pt>
                <c:pt idx="71">
                  <c:v>4879.2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2D4-4198-B7EE-040A529CD17C}"/>
            </c:ext>
          </c:extLst>
        </c:ser>
        <c:ser>
          <c:idx val="32"/>
          <c:order val="32"/>
          <c:tx>
            <c:strRef>
              <c:f>Energy!$A$36:$B$36</c:f>
              <c:strCache>
                <c:ptCount val="2"/>
                <c:pt idx="0">
                  <c:v>sc02</c:v>
                </c:pt>
                <c:pt idx="1">
                  <c:v>StorageHydro1_Basin1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Energy!$C$36:$BV$36</c:f>
              <c:numCache>
                <c:formatCode>0</c:formatCode>
                <c:ptCount val="72"/>
                <c:pt idx="0">
                  <c:v>17600</c:v>
                </c:pt>
                <c:pt idx="1">
                  <c:v>4760.4495999999381</c:v>
                </c:pt>
                <c:pt idx="2">
                  <c:v>0</c:v>
                </c:pt>
                <c:pt idx="3">
                  <c:v>7200</c:v>
                </c:pt>
                <c:pt idx="4">
                  <c:v>0</c:v>
                </c:pt>
                <c:pt idx="5">
                  <c:v>0</c:v>
                </c:pt>
                <c:pt idx="6">
                  <c:v>12000</c:v>
                </c:pt>
                <c:pt idx="7">
                  <c:v>17692.289405940664</c:v>
                </c:pt>
                <c:pt idx="8">
                  <c:v>0</c:v>
                </c:pt>
                <c:pt idx="9">
                  <c:v>4800.0000000000009</c:v>
                </c:pt>
                <c:pt idx="10">
                  <c:v>6133.3269940594291</c:v>
                </c:pt>
                <c:pt idx="11">
                  <c:v>0</c:v>
                </c:pt>
                <c:pt idx="12">
                  <c:v>16800</c:v>
                </c:pt>
                <c:pt idx="13">
                  <c:v>0</c:v>
                </c:pt>
                <c:pt idx="14">
                  <c:v>0</c:v>
                </c:pt>
                <c:pt idx="15">
                  <c:v>6000</c:v>
                </c:pt>
                <c:pt idx="16">
                  <c:v>0</c:v>
                </c:pt>
                <c:pt idx="17">
                  <c:v>0</c:v>
                </c:pt>
                <c:pt idx="18">
                  <c:v>15200.000000000002</c:v>
                </c:pt>
                <c:pt idx="19">
                  <c:v>7687.4000000000688</c:v>
                </c:pt>
                <c:pt idx="20">
                  <c:v>0</c:v>
                </c:pt>
                <c:pt idx="21">
                  <c:v>1927.2000000000003</c:v>
                </c:pt>
                <c:pt idx="22">
                  <c:v>0</c:v>
                </c:pt>
                <c:pt idx="23">
                  <c:v>0</c:v>
                </c:pt>
                <c:pt idx="24">
                  <c:v>17600</c:v>
                </c:pt>
                <c:pt idx="25">
                  <c:v>16233.046802823355</c:v>
                </c:pt>
                <c:pt idx="26">
                  <c:v>0</c:v>
                </c:pt>
                <c:pt idx="27">
                  <c:v>5400</c:v>
                </c:pt>
                <c:pt idx="28">
                  <c:v>6166.4495971764054</c:v>
                </c:pt>
                <c:pt idx="29">
                  <c:v>0</c:v>
                </c:pt>
                <c:pt idx="30">
                  <c:v>15481.199999999961</c:v>
                </c:pt>
                <c:pt idx="31">
                  <c:v>0</c:v>
                </c:pt>
                <c:pt idx="32">
                  <c:v>0</c:v>
                </c:pt>
                <c:pt idx="33">
                  <c:v>2065.5000000000077</c:v>
                </c:pt>
                <c:pt idx="34">
                  <c:v>0</c:v>
                </c:pt>
                <c:pt idx="35">
                  <c:v>0</c:v>
                </c:pt>
                <c:pt idx="36">
                  <c:v>22000</c:v>
                </c:pt>
                <c:pt idx="37">
                  <c:v>0</c:v>
                </c:pt>
                <c:pt idx="38">
                  <c:v>0</c:v>
                </c:pt>
                <c:pt idx="39">
                  <c:v>5092.2000000000044</c:v>
                </c:pt>
                <c:pt idx="40">
                  <c:v>0</c:v>
                </c:pt>
                <c:pt idx="41">
                  <c:v>0</c:v>
                </c:pt>
                <c:pt idx="42">
                  <c:v>17600</c:v>
                </c:pt>
                <c:pt idx="43">
                  <c:v>30367.200000000146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7280.00000000002</c:v>
                </c:pt>
                <c:pt idx="49">
                  <c:v>0</c:v>
                </c:pt>
                <c:pt idx="50">
                  <c:v>0</c:v>
                </c:pt>
                <c:pt idx="51">
                  <c:v>2184.0000000000059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4276.0287999999919</c:v>
                </c:pt>
                <c:pt idx="62">
                  <c:v>0</c:v>
                </c:pt>
                <c:pt idx="63">
                  <c:v>4071.6000000000026</c:v>
                </c:pt>
                <c:pt idx="64">
                  <c:v>0</c:v>
                </c:pt>
                <c:pt idx="65">
                  <c:v>0</c:v>
                </c:pt>
                <c:pt idx="66">
                  <c:v>13600.000000000002</c:v>
                </c:pt>
                <c:pt idx="67">
                  <c:v>0</c:v>
                </c:pt>
                <c:pt idx="68">
                  <c:v>0</c:v>
                </c:pt>
                <c:pt idx="69">
                  <c:v>11200.000000000002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2D4-4198-B7EE-040A529CD17C}"/>
            </c:ext>
          </c:extLst>
        </c:ser>
        <c:ser>
          <c:idx val="33"/>
          <c:order val="33"/>
          <c:tx>
            <c:strRef>
              <c:f>Energy!$A$37:$B$37</c:f>
              <c:strCache>
                <c:ptCount val="2"/>
                <c:pt idx="0">
                  <c:v>sc02</c:v>
                </c:pt>
                <c:pt idx="1">
                  <c:v>StorageHydro2_Basin1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Energy!$C$37:$BV$37</c:f>
              <c:numCache>
                <c:formatCode>0</c:formatCode>
                <c:ptCount val="72"/>
                <c:pt idx="0">
                  <c:v>17600</c:v>
                </c:pt>
                <c:pt idx="1">
                  <c:v>0</c:v>
                </c:pt>
                <c:pt idx="2">
                  <c:v>0</c:v>
                </c:pt>
                <c:pt idx="3">
                  <c:v>2829.6000000000017</c:v>
                </c:pt>
                <c:pt idx="4">
                  <c:v>0</c:v>
                </c:pt>
                <c:pt idx="5">
                  <c:v>0</c:v>
                </c:pt>
                <c:pt idx="6">
                  <c:v>8219.9999999999891</c:v>
                </c:pt>
                <c:pt idx="7">
                  <c:v>0</c:v>
                </c:pt>
                <c:pt idx="8">
                  <c:v>0</c:v>
                </c:pt>
                <c:pt idx="9">
                  <c:v>3287.9999999999964</c:v>
                </c:pt>
                <c:pt idx="10">
                  <c:v>0</c:v>
                </c:pt>
                <c:pt idx="11">
                  <c:v>0</c:v>
                </c:pt>
                <c:pt idx="12">
                  <c:v>8761.1999999999716</c:v>
                </c:pt>
                <c:pt idx="13">
                  <c:v>0</c:v>
                </c:pt>
                <c:pt idx="14">
                  <c:v>0</c:v>
                </c:pt>
                <c:pt idx="15">
                  <c:v>530.99999999999477</c:v>
                </c:pt>
                <c:pt idx="16">
                  <c:v>0</c:v>
                </c:pt>
                <c:pt idx="17">
                  <c:v>0</c:v>
                </c:pt>
                <c:pt idx="18">
                  <c:v>10130.800000000036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16244.800000000012</c:v>
                </c:pt>
                <c:pt idx="25">
                  <c:v>607.7409618826058</c:v>
                </c:pt>
                <c:pt idx="26">
                  <c:v>0</c:v>
                </c:pt>
                <c:pt idx="27">
                  <c:v>4984.2000000000044</c:v>
                </c:pt>
                <c:pt idx="28">
                  <c:v>230.86263811774313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7237.9999999999654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14027.200000000004</c:v>
                </c:pt>
                <c:pt idx="43">
                  <c:v>0</c:v>
                </c:pt>
                <c:pt idx="44">
                  <c:v>0</c:v>
                </c:pt>
                <c:pt idx="45">
                  <c:v>1466.1000000000183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3860.999999999985</c:v>
                </c:pt>
                <c:pt idx="55">
                  <c:v>0</c:v>
                </c:pt>
                <c:pt idx="56">
                  <c:v>0</c:v>
                </c:pt>
                <c:pt idx="57">
                  <c:v>1579.4999999999939</c:v>
                </c:pt>
                <c:pt idx="58">
                  <c:v>0</c:v>
                </c:pt>
                <c:pt idx="59">
                  <c:v>0</c:v>
                </c:pt>
                <c:pt idx="60">
                  <c:v>5380.2000000000062</c:v>
                </c:pt>
                <c:pt idx="61">
                  <c:v>0</c:v>
                </c:pt>
                <c:pt idx="62">
                  <c:v>0</c:v>
                </c:pt>
                <c:pt idx="63">
                  <c:v>3458.7000000000044</c:v>
                </c:pt>
                <c:pt idx="64">
                  <c:v>0</c:v>
                </c:pt>
                <c:pt idx="65">
                  <c:v>0</c:v>
                </c:pt>
                <c:pt idx="66">
                  <c:v>12384.272399999651</c:v>
                </c:pt>
                <c:pt idx="67">
                  <c:v>0</c:v>
                </c:pt>
                <c:pt idx="68">
                  <c:v>0</c:v>
                </c:pt>
                <c:pt idx="69">
                  <c:v>2329.6000000000045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42D4-4198-B7EE-040A529CD17C}"/>
            </c:ext>
          </c:extLst>
        </c:ser>
        <c:ser>
          <c:idx val="34"/>
          <c:order val="34"/>
          <c:tx>
            <c:strRef>
              <c:f>Energy!$A$38:$B$38</c:f>
              <c:strCache>
                <c:ptCount val="2"/>
                <c:pt idx="0">
                  <c:v>sc02</c:v>
                </c:pt>
                <c:pt idx="1">
                  <c:v>StorageHydro3_Basin1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Energy!$C$38:$BV$38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0</c:v>
                </c:pt>
                <c:pt idx="3">
                  <c:v>7200</c:v>
                </c:pt>
                <c:pt idx="4">
                  <c:v>11067.840000000047</c:v>
                </c:pt>
                <c:pt idx="5">
                  <c:v>0</c:v>
                </c:pt>
                <c:pt idx="6">
                  <c:v>12000</c:v>
                </c:pt>
                <c:pt idx="7">
                  <c:v>31417.710594059445</c:v>
                </c:pt>
                <c:pt idx="8">
                  <c:v>0</c:v>
                </c:pt>
                <c:pt idx="9">
                  <c:v>4800.0000000000009</c:v>
                </c:pt>
                <c:pt idx="10">
                  <c:v>10891.473005940608</c:v>
                </c:pt>
                <c:pt idx="11">
                  <c:v>0</c:v>
                </c:pt>
                <c:pt idx="12">
                  <c:v>16800</c:v>
                </c:pt>
                <c:pt idx="13">
                  <c:v>52390.80000000009</c:v>
                </c:pt>
                <c:pt idx="14">
                  <c:v>0</c:v>
                </c:pt>
                <c:pt idx="15">
                  <c:v>6000</c:v>
                </c:pt>
                <c:pt idx="16">
                  <c:v>2183.9999999999832</c:v>
                </c:pt>
                <c:pt idx="17">
                  <c:v>0</c:v>
                </c:pt>
                <c:pt idx="18">
                  <c:v>15200.000000000002</c:v>
                </c:pt>
                <c:pt idx="19">
                  <c:v>53200</c:v>
                </c:pt>
                <c:pt idx="20">
                  <c:v>0</c:v>
                </c:pt>
                <c:pt idx="21">
                  <c:v>6600.0000000000009</c:v>
                </c:pt>
                <c:pt idx="22">
                  <c:v>0</c:v>
                </c:pt>
                <c:pt idx="23">
                  <c:v>0</c:v>
                </c:pt>
                <c:pt idx="24">
                  <c:v>17600</c:v>
                </c:pt>
                <c:pt idx="25">
                  <c:v>61600</c:v>
                </c:pt>
                <c:pt idx="26">
                  <c:v>1452.0000000000525</c:v>
                </c:pt>
                <c:pt idx="27">
                  <c:v>5400</c:v>
                </c:pt>
                <c:pt idx="28">
                  <c:v>23400.000000000004</c:v>
                </c:pt>
                <c:pt idx="29">
                  <c:v>792.00000000002865</c:v>
                </c:pt>
                <c:pt idx="30">
                  <c:v>16800</c:v>
                </c:pt>
                <c:pt idx="31">
                  <c:v>19770.240000000038</c:v>
                </c:pt>
                <c:pt idx="32">
                  <c:v>0</c:v>
                </c:pt>
                <c:pt idx="33">
                  <c:v>5400</c:v>
                </c:pt>
                <c:pt idx="34">
                  <c:v>8472.9600000000155</c:v>
                </c:pt>
                <c:pt idx="35">
                  <c:v>0</c:v>
                </c:pt>
                <c:pt idx="36">
                  <c:v>22000</c:v>
                </c:pt>
                <c:pt idx="37">
                  <c:v>43178.215384615381</c:v>
                </c:pt>
                <c:pt idx="38">
                  <c:v>0</c:v>
                </c:pt>
                <c:pt idx="39">
                  <c:v>5400</c:v>
                </c:pt>
                <c:pt idx="40">
                  <c:v>20607.784615384615</c:v>
                </c:pt>
                <c:pt idx="41">
                  <c:v>0</c:v>
                </c:pt>
                <c:pt idx="42">
                  <c:v>17600</c:v>
                </c:pt>
                <c:pt idx="43">
                  <c:v>57200</c:v>
                </c:pt>
                <c:pt idx="44">
                  <c:v>0</c:v>
                </c:pt>
                <c:pt idx="45">
                  <c:v>5400</c:v>
                </c:pt>
                <c:pt idx="46">
                  <c:v>9538.2000000000044</c:v>
                </c:pt>
                <c:pt idx="47">
                  <c:v>0</c:v>
                </c:pt>
                <c:pt idx="48">
                  <c:v>20000</c:v>
                </c:pt>
                <c:pt idx="49">
                  <c:v>0</c:v>
                </c:pt>
                <c:pt idx="50">
                  <c:v>0</c:v>
                </c:pt>
                <c:pt idx="51">
                  <c:v>6000</c:v>
                </c:pt>
                <c:pt idx="52">
                  <c:v>0</c:v>
                </c:pt>
                <c:pt idx="53">
                  <c:v>0</c:v>
                </c:pt>
                <c:pt idx="54">
                  <c:v>13200.000000000002</c:v>
                </c:pt>
                <c:pt idx="55">
                  <c:v>0</c:v>
                </c:pt>
                <c:pt idx="56">
                  <c:v>0</c:v>
                </c:pt>
                <c:pt idx="57">
                  <c:v>5400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32704.971199999974</c:v>
                </c:pt>
                <c:pt idx="62">
                  <c:v>0</c:v>
                </c:pt>
                <c:pt idx="63">
                  <c:v>5400</c:v>
                </c:pt>
                <c:pt idx="64">
                  <c:v>10740.600000000006</c:v>
                </c:pt>
                <c:pt idx="65">
                  <c:v>0</c:v>
                </c:pt>
                <c:pt idx="66">
                  <c:v>13600.000000000002</c:v>
                </c:pt>
                <c:pt idx="67">
                  <c:v>5877.5087636360204</c:v>
                </c:pt>
                <c:pt idx="68">
                  <c:v>0</c:v>
                </c:pt>
                <c:pt idx="69">
                  <c:v>11200.000000000002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2D4-4198-B7EE-040A529CD17C}"/>
            </c:ext>
          </c:extLst>
        </c:ser>
        <c:ser>
          <c:idx val="35"/>
          <c:order val="35"/>
          <c:tx>
            <c:strRef>
              <c:f>Energy!$A$39:$B$39</c:f>
              <c:strCache>
                <c:ptCount val="2"/>
                <c:pt idx="0">
                  <c:v>sc02</c:v>
                </c:pt>
                <c:pt idx="1">
                  <c:v>PumpedStorageHydro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Energy!$C$39:$BV$39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26400.000000000004</c:v>
                </c:pt>
                <c:pt idx="3">
                  <c:v>7200</c:v>
                </c:pt>
                <c:pt idx="4">
                  <c:v>25200.000000000004</c:v>
                </c:pt>
                <c:pt idx="5">
                  <c:v>10800</c:v>
                </c:pt>
                <c:pt idx="6">
                  <c:v>12000</c:v>
                </c:pt>
                <c:pt idx="7">
                  <c:v>60000</c:v>
                </c:pt>
                <c:pt idx="8">
                  <c:v>24000</c:v>
                </c:pt>
                <c:pt idx="9">
                  <c:v>4800.0000000000009</c:v>
                </c:pt>
                <c:pt idx="10">
                  <c:v>20800</c:v>
                </c:pt>
                <c:pt idx="11">
                  <c:v>12800</c:v>
                </c:pt>
                <c:pt idx="12">
                  <c:v>16800</c:v>
                </c:pt>
                <c:pt idx="13">
                  <c:v>58800.000000000007</c:v>
                </c:pt>
                <c:pt idx="14">
                  <c:v>25200.000000000004</c:v>
                </c:pt>
                <c:pt idx="15">
                  <c:v>6000</c:v>
                </c:pt>
                <c:pt idx="16">
                  <c:v>26000</c:v>
                </c:pt>
                <c:pt idx="17">
                  <c:v>16000</c:v>
                </c:pt>
                <c:pt idx="18">
                  <c:v>15200.000000000002</c:v>
                </c:pt>
                <c:pt idx="19">
                  <c:v>53200</c:v>
                </c:pt>
                <c:pt idx="20">
                  <c:v>22800</c:v>
                </c:pt>
                <c:pt idx="21">
                  <c:v>6600.0000000000009</c:v>
                </c:pt>
                <c:pt idx="22">
                  <c:v>30800</c:v>
                </c:pt>
                <c:pt idx="23">
                  <c:v>15400</c:v>
                </c:pt>
                <c:pt idx="24">
                  <c:v>17600</c:v>
                </c:pt>
                <c:pt idx="25">
                  <c:v>61600</c:v>
                </c:pt>
                <c:pt idx="26">
                  <c:v>26400.000000000004</c:v>
                </c:pt>
                <c:pt idx="27">
                  <c:v>5400</c:v>
                </c:pt>
                <c:pt idx="28">
                  <c:v>23400.000000000004</c:v>
                </c:pt>
                <c:pt idx="29">
                  <c:v>14400</c:v>
                </c:pt>
                <c:pt idx="30">
                  <c:v>16800</c:v>
                </c:pt>
                <c:pt idx="31">
                  <c:v>58800.000000000007</c:v>
                </c:pt>
                <c:pt idx="32">
                  <c:v>25200.000000000004</c:v>
                </c:pt>
                <c:pt idx="33">
                  <c:v>5400</c:v>
                </c:pt>
                <c:pt idx="34">
                  <c:v>25200.000000000004</c:v>
                </c:pt>
                <c:pt idx="35">
                  <c:v>12600.000000000002</c:v>
                </c:pt>
                <c:pt idx="36">
                  <c:v>22000</c:v>
                </c:pt>
                <c:pt idx="37">
                  <c:v>52800.000000000007</c:v>
                </c:pt>
                <c:pt idx="38">
                  <c:v>30800</c:v>
                </c:pt>
                <c:pt idx="39">
                  <c:v>5400</c:v>
                </c:pt>
                <c:pt idx="40">
                  <c:v>25200.000000000004</c:v>
                </c:pt>
                <c:pt idx="41">
                  <c:v>12600.000000000002</c:v>
                </c:pt>
                <c:pt idx="42">
                  <c:v>17600</c:v>
                </c:pt>
                <c:pt idx="43">
                  <c:v>57200</c:v>
                </c:pt>
                <c:pt idx="44">
                  <c:v>30800</c:v>
                </c:pt>
                <c:pt idx="45">
                  <c:v>5400</c:v>
                </c:pt>
                <c:pt idx="46">
                  <c:v>25200.000000000004</c:v>
                </c:pt>
                <c:pt idx="47">
                  <c:v>12600.000000000002</c:v>
                </c:pt>
                <c:pt idx="48">
                  <c:v>20000</c:v>
                </c:pt>
                <c:pt idx="49">
                  <c:v>48000</c:v>
                </c:pt>
                <c:pt idx="50">
                  <c:v>28000</c:v>
                </c:pt>
                <c:pt idx="51">
                  <c:v>6000</c:v>
                </c:pt>
                <c:pt idx="52">
                  <c:v>26000</c:v>
                </c:pt>
                <c:pt idx="53">
                  <c:v>16000</c:v>
                </c:pt>
                <c:pt idx="54">
                  <c:v>13200.000000000002</c:v>
                </c:pt>
                <c:pt idx="55">
                  <c:v>61600</c:v>
                </c:pt>
                <c:pt idx="56">
                  <c:v>30800</c:v>
                </c:pt>
                <c:pt idx="57">
                  <c:v>5400</c:v>
                </c:pt>
                <c:pt idx="58">
                  <c:v>23400.000000000004</c:v>
                </c:pt>
                <c:pt idx="59">
                  <c:v>14400</c:v>
                </c:pt>
                <c:pt idx="60">
                  <c:v>8400</c:v>
                </c:pt>
                <c:pt idx="61">
                  <c:v>63000</c:v>
                </c:pt>
                <c:pt idx="62">
                  <c:v>29400.000000000004</c:v>
                </c:pt>
                <c:pt idx="63">
                  <c:v>5400</c:v>
                </c:pt>
                <c:pt idx="64">
                  <c:v>23400.000000000004</c:v>
                </c:pt>
                <c:pt idx="65">
                  <c:v>14400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20400.000000000004</c:v>
                </c:pt>
                <c:pt idx="69">
                  <c:v>11200.000000000002</c:v>
                </c:pt>
                <c:pt idx="70">
                  <c:v>36400</c:v>
                </c:pt>
                <c:pt idx="71">
                  <c:v>19600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2D4-4198-B7EE-040A529CD17C}"/>
            </c:ext>
          </c:extLst>
        </c:ser>
        <c:ser>
          <c:idx val="36"/>
          <c:order val="36"/>
          <c:tx>
            <c:strRef>
              <c:f>Energy!$A$40:$B$40</c:f>
              <c:strCache>
                <c:ptCount val="2"/>
                <c:pt idx="0">
                  <c:v>sc03</c:v>
                </c:pt>
                <c:pt idx="1">
                  <c:v>Nuclear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Energy!$C$40:$BV$40</c:f>
              <c:numCache>
                <c:formatCode>0</c:formatCode>
                <c:ptCount val="72"/>
                <c:pt idx="0">
                  <c:v>67900.800000000003</c:v>
                </c:pt>
                <c:pt idx="1">
                  <c:v>237652.80000000002</c:v>
                </c:pt>
                <c:pt idx="2">
                  <c:v>101851.20000000001</c:v>
                </c:pt>
                <c:pt idx="3">
                  <c:v>27777.600000000002</c:v>
                </c:pt>
                <c:pt idx="4">
                  <c:v>97221.6</c:v>
                </c:pt>
                <c:pt idx="5">
                  <c:v>41666.400000000001</c:v>
                </c:pt>
                <c:pt idx="6">
                  <c:v>46296.000000000007</c:v>
                </c:pt>
                <c:pt idx="7">
                  <c:v>231480.00000000003</c:v>
                </c:pt>
                <c:pt idx="8">
                  <c:v>92592.000000000015</c:v>
                </c:pt>
                <c:pt idx="9">
                  <c:v>18518.400000000001</c:v>
                </c:pt>
                <c:pt idx="10">
                  <c:v>80246.400000000009</c:v>
                </c:pt>
                <c:pt idx="11">
                  <c:v>49382.400000000001</c:v>
                </c:pt>
                <c:pt idx="12">
                  <c:v>64814.400000000009</c:v>
                </c:pt>
                <c:pt idx="13">
                  <c:v>226850.4</c:v>
                </c:pt>
                <c:pt idx="14">
                  <c:v>97221.6</c:v>
                </c:pt>
                <c:pt idx="15">
                  <c:v>23148.000000000004</c:v>
                </c:pt>
                <c:pt idx="16">
                  <c:v>100308</c:v>
                </c:pt>
                <c:pt idx="17">
                  <c:v>61728.000000000007</c:v>
                </c:pt>
                <c:pt idx="18">
                  <c:v>58641.600000000006</c:v>
                </c:pt>
                <c:pt idx="19">
                  <c:v>205245.60000000003</c:v>
                </c:pt>
                <c:pt idx="20">
                  <c:v>87962.400000000009</c:v>
                </c:pt>
                <c:pt idx="21">
                  <c:v>25462.800000000003</c:v>
                </c:pt>
                <c:pt idx="22">
                  <c:v>118826.40000000001</c:v>
                </c:pt>
                <c:pt idx="23">
                  <c:v>59413.200000000004</c:v>
                </c:pt>
                <c:pt idx="24">
                  <c:v>67900.800000000003</c:v>
                </c:pt>
                <c:pt idx="25">
                  <c:v>237652.80000000002</c:v>
                </c:pt>
                <c:pt idx="26">
                  <c:v>101851.20000000001</c:v>
                </c:pt>
                <c:pt idx="27">
                  <c:v>20833.2</c:v>
                </c:pt>
                <c:pt idx="28">
                  <c:v>90277.200000000012</c:v>
                </c:pt>
                <c:pt idx="29">
                  <c:v>55555.200000000004</c:v>
                </c:pt>
                <c:pt idx="30">
                  <c:v>64814.400000000009</c:v>
                </c:pt>
                <c:pt idx="31">
                  <c:v>226850.4</c:v>
                </c:pt>
                <c:pt idx="32">
                  <c:v>97221.6</c:v>
                </c:pt>
                <c:pt idx="33">
                  <c:v>20833.2</c:v>
                </c:pt>
                <c:pt idx="34">
                  <c:v>97221.6</c:v>
                </c:pt>
                <c:pt idx="35">
                  <c:v>48610.8</c:v>
                </c:pt>
                <c:pt idx="36">
                  <c:v>84876</c:v>
                </c:pt>
                <c:pt idx="37">
                  <c:v>203702.40000000002</c:v>
                </c:pt>
                <c:pt idx="38">
                  <c:v>118826.40000000001</c:v>
                </c:pt>
                <c:pt idx="39">
                  <c:v>20833.2</c:v>
                </c:pt>
                <c:pt idx="40">
                  <c:v>97221.6</c:v>
                </c:pt>
                <c:pt idx="41">
                  <c:v>48610.8</c:v>
                </c:pt>
                <c:pt idx="42">
                  <c:v>67900.800000000003</c:v>
                </c:pt>
                <c:pt idx="43">
                  <c:v>220677.6</c:v>
                </c:pt>
                <c:pt idx="44">
                  <c:v>118826.40000000001</c:v>
                </c:pt>
                <c:pt idx="45">
                  <c:v>20833.2</c:v>
                </c:pt>
                <c:pt idx="46">
                  <c:v>97221.6</c:v>
                </c:pt>
                <c:pt idx="47">
                  <c:v>48610.8</c:v>
                </c:pt>
                <c:pt idx="48">
                  <c:v>77160.000000000015</c:v>
                </c:pt>
                <c:pt idx="49">
                  <c:v>185184.00000000003</c:v>
                </c:pt>
                <c:pt idx="50">
                  <c:v>108024.00000000001</c:v>
                </c:pt>
                <c:pt idx="51">
                  <c:v>23148.000000000004</c:v>
                </c:pt>
                <c:pt idx="52">
                  <c:v>100308</c:v>
                </c:pt>
                <c:pt idx="53">
                  <c:v>61728.000000000007</c:v>
                </c:pt>
                <c:pt idx="54">
                  <c:v>50925.600000000006</c:v>
                </c:pt>
                <c:pt idx="55">
                  <c:v>237652.80000000002</c:v>
                </c:pt>
                <c:pt idx="56">
                  <c:v>118826.40000000001</c:v>
                </c:pt>
                <c:pt idx="57">
                  <c:v>20833.2</c:v>
                </c:pt>
                <c:pt idx="58">
                  <c:v>90277.200000000012</c:v>
                </c:pt>
                <c:pt idx="59">
                  <c:v>55555.200000000004</c:v>
                </c:pt>
                <c:pt idx="60">
                  <c:v>32407.200000000004</c:v>
                </c:pt>
                <c:pt idx="61">
                  <c:v>243054.00000000003</c:v>
                </c:pt>
                <c:pt idx="62">
                  <c:v>113425.2</c:v>
                </c:pt>
                <c:pt idx="63">
                  <c:v>20833.2</c:v>
                </c:pt>
                <c:pt idx="64">
                  <c:v>90277.200000000012</c:v>
                </c:pt>
                <c:pt idx="65">
                  <c:v>55555.200000000004</c:v>
                </c:pt>
                <c:pt idx="66">
                  <c:v>52468.800000000003</c:v>
                </c:pt>
                <c:pt idx="67">
                  <c:v>183640.80000000002</c:v>
                </c:pt>
                <c:pt idx="68">
                  <c:v>78703.200000000012</c:v>
                </c:pt>
                <c:pt idx="69">
                  <c:v>43209.599999999999</c:v>
                </c:pt>
                <c:pt idx="70">
                  <c:v>140431.20000000001</c:v>
                </c:pt>
                <c:pt idx="71">
                  <c:v>75616.800000000017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2D4-4198-B7EE-040A529CD17C}"/>
            </c:ext>
          </c:extLst>
        </c:ser>
        <c:ser>
          <c:idx val="37"/>
          <c:order val="37"/>
          <c:tx>
            <c:strRef>
              <c:f>Energy!$A$41:$B$41</c:f>
              <c:strCache>
                <c:ptCount val="2"/>
                <c:pt idx="0">
                  <c:v>sc03</c:v>
                </c:pt>
                <c:pt idx="1">
                  <c:v>DomesticCoal_Anthracite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Energy!$C$41:$BV$41</c:f>
              <c:numCache>
                <c:formatCode>0</c:formatCode>
                <c:ptCount val="72"/>
                <c:pt idx="0">
                  <c:v>20697.599999999999</c:v>
                </c:pt>
                <c:pt idx="1">
                  <c:v>72441.599999999991</c:v>
                </c:pt>
                <c:pt idx="2">
                  <c:v>31046.399999999994</c:v>
                </c:pt>
                <c:pt idx="3">
                  <c:v>8467.1999999999989</c:v>
                </c:pt>
                <c:pt idx="4">
                  <c:v>29635.199999999993</c:v>
                </c:pt>
                <c:pt idx="5">
                  <c:v>12700.799999999997</c:v>
                </c:pt>
                <c:pt idx="6">
                  <c:v>34206.000000000058</c:v>
                </c:pt>
                <c:pt idx="7">
                  <c:v>97438.355054545522</c:v>
                </c:pt>
                <c:pt idx="8">
                  <c:v>28223.999999999996</c:v>
                </c:pt>
                <c:pt idx="9">
                  <c:v>5644.7999999999993</c:v>
                </c:pt>
                <c:pt idx="10">
                  <c:v>24460.799999999996</c:v>
                </c:pt>
                <c:pt idx="11">
                  <c:v>15052.799999999997</c:v>
                </c:pt>
                <c:pt idx="12">
                  <c:v>19756.8</c:v>
                </c:pt>
                <c:pt idx="13">
                  <c:v>69148.799999999988</c:v>
                </c:pt>
                <c:pt idx="14">
                  <c:v>29635.199999999993</c:v>
                </c:pt>
                <c:pt idx="15">
                  <c:v>7055.9999999999991</c:v>
                </c:pt>
                <c:pt idx="16">
                  <c:v>30575.999999999996</c:v>
                </c:pt>
                <c:pt idx="17">
                  <c:v>18815.999999999996</c:v>
                </c:pt>
                <c:pt idx="18">
                  <c:v>17875.199999999997</c:v>
                </c:pt>
                <c:pt idx="19">
                  <c:v>62563.19999999999</c:v>
                </c:pt>
                <c:pt idx="20">
                  <c:v>26812.799999999996</c:v>
                </c:pt>
                <c:pt idx="21">
                  <c:v>7761.5999999999985</c:v>
                </c:pt>
                <c:pt idx="22">
                  <c:v>36220.799999999996</c:v>
                </c:pt>
                <c:pt idx="23">
                  <c:v>18110.399999999998</c:v>
                </c:pt>
                <c:pt idx="24">
                  <c:v>20697.599999999999</c:v>
                </c:pt>
                <c:pt idx="25">
                  <c:v>75433.835324235566</c:v>
                </c:pt>
                <c:pt idx="26">
                  <c:v>31046.399999999994</c:v>
                </c:pt>
                <c:pt idx="27">
                  <c:v>6350.3999999999987</c:v>
                </c:pt>
                <c:pt idx="28">
                  <c:v>28655.060821219355</c:v>
                </c:pt>
                <c:pt idx="29">
                  <c:v>16934.399999999998</c:v>
                </c:pt>
                <c:pt idx="30">
                  <c:v>19756.8</c:v>
                </c:pt>
                <c:pt idx="31">
                  <c:v>69148.799999999988</c:v>
                </c:pt>
                <c:pt idx="32">
                  <c:v>29635.199999999993</c:v>
                </c:pt>
                <c:pt idx="33">
                  <c:v>6350.3999999999987</c:v>
                </c:pt>
                <c:pt idx="34">
                  <c:v>29635.199999999993</c:v>
                </c:pt>
                <c:pt idx="35">
                  <c:v>14817.599999999997</c:v>
                </c:pt>
                <c:pt idx="36">
                  <c:v>25871.999999999996</c:v>
                </c:pt>
                <c:pt idx="37">
                  <c:v>62092.799999999988</c:v>
                </c:pt>
                <c:pt idx="38">
                  <c:v>36220.799999999996</c:v>
                </c:pt>
                <c:pt idx="39">
                  <c:v>6350.3999999999987</c:v>
                </c:pt>
                <c:pt idx="40">
                  <c:v>29635.199999999993</c:v>
                </c:pt>
                <c:pt idx="41">
                  <c:v>14817.599999999997</c:v>
                </c:pt>
                <c:pt idx="42">
                  <c:v>20697.599999999999</c:v>
                </c:pt>
                <c:pt idx="43">
                  <c:v>67267.199999999983</c:v>
                </c:pt>
                <c:pt idx="44">
                  <c:v>36220.799999999996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23519.999999999996</c:v>
                </c:pt>
                <c:pt idx="49">
                  <c:v>56447.999999999993</c:v>
                </c:pt>
                <c:pt idx="50">
                  <c:v>32928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15523.199999999997</c:v>
                </c:pt>
                <c:pt idx="55">
                  <c:v>72441.599999999991</c:v>
                </c:pt>
                <c:pt idx="56">
                  <c:v>36220.799999999996</c:v>
                </c:pt>
                <c:pt idx="57">
                  <c:v>6350.3999999999987</c:v>
                </c:pt>
                <c:pt idx="58">
                  <c:v>27518.399999999998</c:v>
                </c:pt>
                <c:pt idx="59">
                  <c:v>16934.399999999998</c:v>
                </c:pt>
                <c:pt idx="60">
                  <c:v>19693.800000000021</c:v>
                </c:pt>
                <c:pt idx="61">
                  <c:v>74088</c:v>
                </c:pt>
                <c:pt idx="62">
                  <c:v>34574.399999999994</c:v>
                </c:pt>
                <c:pt idx="63">
                  <c:v>6350.3999999999987</c:v>
                </c:pt>
                <c:pt idx="64">
                  <c:v>27518.399999999998</c:v>
                </c:pt>
                <c:pt idx="65">
                  <c:v>16934.399999999998</c:v>
                </c:pt>
                <c:pt idx="66">
                  <c:v>38780.400000000016</c:v>
                </c:pt>
                <c:pt idx="67">
                  <c:v>55977.599999999991</c:v>
                </c:pt>
                <c:pt idx="68">
                  <c:v>23990.399999999998</c:v>
                </c:pt>
                <c:pt idx="69">
                  <c:v>15500.800000000001</c:v>
                </c:pt>
                <c:pt idx="70">
                  <c:v>42806.399999999994</c:v>
                </c:pt>
                <c:pt idx="71">
                  <c:v>23049.599999999999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2D4-4198-B7EE-040A529CD17C}"/>
            </c:ext>
          </c:extLst>
        </c:ser>
        <c:ser>
          <c:idx val="38"/>
          <c:order val="38"/>
          <c:tx>
            <c:strRef>
              <c:f>Energy!$A$42:$B$42</c:f>
              <c:strCache>
                <c:ptCount val="2"/>
                <c:pt idx="0">
                  <c:v>sc03</c:v>
                </c:pt>
                <c:pt idx="1">
                  <c:v>BrownLignite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Energy!$C$42:$BV$42</c:f>
              <c:numCache>
                <c:formatCode>0</c:formatCode>
                <c:ptCount val="72"/>
                <c:pt idx="0">
                  <c:v>8447.9999999999927</c:v>
                </c:pt>
                <c:pt idx="1">
                  <c:v>25021.919999999998</c:v>
                </c:pt>
                <c:pt idx="2">
                  <c:v>10723.68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12751.199999999933</c:v>
                </c:pt>
                <c:pt idx="31">
                  <c:v>54107.760000000075</c:v>
                </c:pt>
                <c:pt idx="32">
                  <c:v>10236.239999999998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8530.2000000000007</c:v>
                </c:pt>
                <c:pt idx="61">
                  <c:v>63976.5</c:v>
                </c:pt>
                <c:pt idx="62">
                  <c:v>11942.279999999999</c:v>
                </c:pt>
                <c:pt idx="63">
                  <c:v>5483.7</c:v>
                </c:pt>
                <c:pt idx="64">
                  <c:v>23095.800000000007</c:v>
                </c:pt>
                <c:pt idx="65">
                  <c:v>5849.28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2D4-4198-B7EE-040A529CD17C}"/>
            </c:ext>
          </c:extLst>
        </c:ser>
        <c:ser>
          <c:idx val="39"/>
          <c:order val="39"/>
          <c:tx>
            <c:strRef>
              <c:f>Energy!$A$43:$B$43</c:f>
              <c:strCache>
                <c:ptCount val="2"/>
                <c:pt idx="0">
                  <c:v>sc03</c:v>
                </c:pt>
                <c:pt idx="1">
                  <c:v>ImportedCoal_SubBituminous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Energy!$C$43:$BV$43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12633.600000000002</c:v>
                </c:pt>
                <c:pt idx="31">
                  <c:v>17687.039999999997</c:v>
                </c:pt>
                <c:pt idx="32">
                  <c:v>7580.1599999999989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9570.0000000000491</c:v>
                </c:pt>
                <c:pt idx="55">
                  <c:v>42627.199999999975</c:v>
                </c:pt>
                <c:pt idx="56">
                  <c:v>9264.6399999999976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2D4-4198-B7EE-040A529CD17C}"/>
            </c:ext>
          </c:extLst>
        </c:ser>
        <c:ser>
          <c:idx val="40"/>
          <c:order val="40"/>
          <c:tx>
            <c:strRef>
              <c:f>Energy!$A$44:$B$44</c:f>
              <c:strCache>
                <c:ptCount val="2"/>
                <c:pt idx="0">
                  <c:v>sc03</c:v>
                </c:pt>
                <c:pt idx="1">
                  <c:v>ImportedCoal_Bituminous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Energy!$C$44:$BV$44</c:f>
              <c:numCache>
                <c:formatCode>0</c:formatCode>
                <c:ptCount val="72"/>
                <c:pt idx="0">
                  <c:v>17107.2</c:v>
                </c:pt>
                <c:pt idx="1">
                  <c:v>49958.830399999992</c:v>
                </c:pt>
                <c:pt idx="2">
                  <c:v>10264.320000000002</c:v>
                </c:pt>
                <c:pt idx="3">
                  <c:v>6998.4000000000005</c:v>
                </c:pt>
                <c:pt idx="4">
                  <c:v>9797.760000000002</c:v>
                </c:pt>
                <c:pt idx="5">
                  <c:v>4199.04</c:v>
                </c:pt>
                <c:pt idx="6">
                  <c:v>11664.000000000002</c:v>
                </c:pt>
                <c:pt idx="7">
                  <c:v>58320.000000000007</c:v>
                </c:pt>
                <c:pt idx="8">
                  <c:v>9331.2000000000007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14774.400000000001</c:v>
                </c:pt>
                <c:pt idx="19">
                  <c:v>20684.160000000003</c:v>
                </c:pt>
                <c:pt idx="20">
                  <c:v>8864.6400000000012</c:v>
                </c:pt>
                <c:pt idx="21">
                  <c:v>6415.2000000000007</c:v>
                </c:pt>
                <c:pt idx="22">
                  <c:v>11975.04</c:v>
                </c:pt>
                <c:pt idx="23">
                  <c:v>5987.52</c:v>
                </c:pt>
                <c:pt idx="24">
                  <c:v>12091.200000000041</c:v>
                </c:pt>
                <c:pt idx="25">
                  <c:v>53838.399999999863</c:v>
                </c:pt>
                <c:pt idx="26">
                  <c:v>10264.320000000002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16329.600000000002</c:v>
                </c:pt>
                <c:pt idx="31">
                  <c:v>57153.600000000006</c:v>
                </c:pt>
                <c:pt idx="32">
                  <c:v>9797.760000000002</c:v>
                </c:pt>
                <c:pt idx="33">
                  <c:v>5248.8</c:v>
                </c:pt>
                <c:pt idx="34">
                  <c:v>24494.400000000001</c:v>
                </c:pt>
                <c:pt idx="35">
                  <c:v>4898.880000000001</c:v>
                </c:pt>
                <c:pt idx="36">
                  <c:v>21384</c:v>
                </c:pt>
                <c:pt idx="37">
                  <c:v>31750.799999999988</c:v>
                </c:pt>
                <c:pt idx="38">
                  <c:v>11975.04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17107.2</c:v>
                </c:pt>
                <c:pt idx="43">
                  <c:v>55598.400000000009</c:v>
                </c:pt>
                <c:pt idx="44">
                  <c:v>11975.04</c:v>
                </c:pt>
                <c:pt idx="45">
                  <c:v>5248.8</c:v>
                </c:pt>
                <c:pt idx="46">
                  <c:v>9797.760000000002</c:v>
                </c:pt>
                <c:pt idx="47">
                  <c:v>4898.880000000001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12830.400000000001</c:v>
                </c:pt>
                <c:pt idx="55">
                  <c:v>59875.200000000004</c:v>
                </c:pt>
                <c:pt idx="56">
                  <c:v>11975.04</c:v>
                </c:pt>
                <c:pt idx="57">
                  <c:v>5248.8</c:v>
                </c:pt>
                <c:pt idx="58">
                  <c:v>14004.899999999998</c:v>
                </c:pt>
                <c:pt idx="59">
                  <c:v>5598.7200000000012</c:v>
                </c:pt>
                <c:pt idx="60">
                  <c:v>8164.8000000000011</c:v>
                </c:pt>
                <c:pt idx="61">
                  <c:v>61236.000000000007</c:v>
                </c:pt>
                <c:pt idx="62">
                  <c:v>11430.720000000001</c:v>
                </c:pt>
                <c:pt idx="63">
                  <c:v>5248.8</c:v>
                </c:pt>
                <c:pt idx="64">
                  <c:v>22744.800000000003</c:v>
                </c:pt>
                <c:pt idx="65">
                  <c:v>5598.7200000000012</c:v>
                </c:pt>
                <c:pt idx="66">
                  <c:v>13219.2</c:v>
                </c:pt>
                <c:pt idx="67">
                  <c:v>19277.999999999953</c:v>
                </c:pt>
                <c:pt idx="68">
                  <c:v>7931.52</c:v>
                </c:pt>
                <c:pt idx="69">
                  <c:v>10886.400000000001</c:v>
                </c:pt>
                <c:pt idx="70">
                  <c:v>14152.320000000002</c:v>
                </c:pt>
                <c:pt idx="71">
                  <c:v>7620.4800000000005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2D4-4198-B7EE-040A529CD17C}"/>
            </c:ext>
          </c:extLst>
        </c:ser>
        <c:ser>
          <c:idx val="41"/>
          <c:order val="41"/>
          <c:tx>
            <c:strRef>
              <c:f>Energy!$A$45:$B$45</c:f>
              <c:strCache>
                <c:ptCount val="2"/>
                <c:pt idx="0">
                  <c:v>sc03</c:v>
                </c:pt>
                <c:pt idx="1">
                  <c:v>CCGT_1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Energy!$C$45:$BV$45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66000</c:v>
                </c:pt>
                <c:pt idx="3">
                  <c:v>18000</c:v>
                </c:pt>
                <c:pt idx="4">
                  <c:v>63000</c:v>
                </c:pt>
                <c:pt idx="5">
                  <c:v>27000</c:v>
                </c:pt>
                <c:pt idx="6">
                  <c:v>30000</c:v>
                </c:pt>
                <c:pt idx="7">
                  <c:v>150000</c:v>
                </c:pt>
                <c:pt idx="8">
                  <c:v>58036.799999999988</c:v>
                </c:pt>
                <c:pt idx="9">
                  <c:v>12000</c:v>
                </c:pt>
                <c:pt idx="10">
                  <c:v>52000</c:v>
                </c:pt>
                <c:pt idx="11">
                  <c:v>20473.599999999991</c:v>
                </c:pt>
                <c:pt idx="12">
                  <c:v>42000</c:v>
                </c:pt>
                <c:pt idx="13">
                  <c:v>147000</c:v>
                </c:pt>
                <c:pt idx="14">
                  <c:v>50211.000000000102</c:v>
                </c:pt>
                <c:pt idx="15">
                  <c:v>15000</c:v>
                </c:pt>
                <c:pt idx="16">
                  <c:v>65000</c:v>
                </c:pt>
                <c:pt idx="17">
                  <c:v>19816.000000000004</c:v>
                </c:pt>
                <c:pt idx="18">
                  <c:v>38000</c:v>
                </c:pt>
                <c:pt idx="19">
                  <c:v>133000</c:v>
                </c:pt>
                <c:pt idx="20">
                  <c:v>55513.726492146605</c:v>
                </c:pt>
                <c:pt idx="21">
                  <c:v>16500</c:v>
                </c:pt>
                <c:pt idx="22">
                  <c:v>77000</c:v>
                </c:pt>
                <c:pt idx="23">
                  <c:v>30835.613507853432</c:v>
                </c:pt>
                <c:pt idx="24">
                  <c:v>44000</c:v>
                </c:pt>
                <c:pt idx="25">
                  <c:v>154000</c:v>
                </c:pt>
                <c:pt idx="26">
                  <c:v>59029.282211765116</c:v>
                </c:pt>
                <c:pt idx="27">
                  <c:v>13500</c:v>
                </c:pt>
                <c:pt idx="28">
                  <c:v>58500</c:v>
                </c:pt>
                <c:pt idx="29">
                  <c:v>32197.790297326428</c:v>
                </c:pt>
                <c:pt idx="30">
                  <c:v>42000</c:v>
                </c:pt>
                <c:pt idx="31">
                  <c:v>147000</c:v>
                </c:pt>
                <c:pt idx="32">
                  <c:v>63000</c:v>
                </c:pt>
                <c:pt idx="33">
                  <c:v>13500</c:v>
                </c:pt>
                <c:pt idx="34">
                  <c:v>63000</c:v>
                </c:pt>
                <c:pt idx="35">
                  <c:v>31500</c:v>
                </c:pt>
                <c:pt idx="36">
                  <c:v>55000</c:v>
                </c:pt>
                <c:pt idx="37">
                  <c:v>132000</c:v>
                </c:pt>
                <c:pt idx="38">
                  <c:v>77000</c:v>
                </c:pt>
                <c:pt idx="39">
                  <c:v>13500</c:v>
                </c:pt>
                <c:pt idx="40">
                  <c:v>63000</c:v>
                </c:pt>
                <c:pt idx="41">
                  <c:v>31500</c:v>
                </c:pt>
                <c:pt idx="42">
                  <c:v>44000</c:v>
                </c:pt>
                <c:pt idx="43">
                  <c:v>143000</c:v>
                </c:pt>
                <c:pt idx="44">
                  <c:v>77000</c:v>
                </c:pt>
                <c:pt idx="45">
                  <c:v>13500</c:v>
                </c:pt>
                <c:pt idx="46">
                  <c:v>63000</c:v>
                </c:pt>
                <c:pt idx="47">
                  <c:v>31500</c:v>
                </c:pt>
                <c:pt idx="48">
                  <c:v>50000</c:v>
                </c:pt>
                <c:pt idx="49">
                  <c:v>120000</c:v>
                </c:pt>
                <c:pt idx="50">
                  <c:v>70000</c:v>
                </c:pt>
                <c:pt idx="51">
                  <c:v>15000</c:v>
                </c:pt>
                <c:pt idx="52">
                  <c:v>65000</c:v>
                </c:pt>
                <c:pt idx="53">
                  <c:v>40000</c:v>
                </c:pt>
                <c:pt idx="54">
                  <c:v>33000</c:v>
                </c:pt>
                <c:pt idx="55">
                  <c:v>154000</c:v>
                </c:pt>
                <c:pt idx="56">
                  <c:v>65909.410619469025</c:v>
                </c:pt>
                <c:pt idx="57">
                  <c:v>13500</c:v>
                </c:pt>
                <c:pt idx="58">
                  <c:v>58500</c:v>
                </c:pt>
                <c:pt idx="59">
                  <c:v>30814.789380530976</c:v>
                </c:pt>
                <c:pt idx="60">
                  <c:v>21000</c:v>
                </c:pt>
                <c:pt idx="61">
                  <c:v>157500</c:v>
                </c:pt>
                <c:pt idx="62">
                  <c:v>59579.100000000035</c:v>
                </c:pt>
                <c:pt idx="63">
                  <c:v>13500</c:v>
                </c:pt>
                <c:pt idx="64">
                  <c:v>58500</c:v>
                </c:pt>
                <c:pt idx="65">
                  <c:v>24611.454545454581</c:v>
                </c:pt>
                <c:pt idx="66">
                  <c:v>34000</c:v>
                </c:pt>
                <c:pt idx="67">
                  <c:v>119000</c:v>
                </c:pt>
                <c:pt idx="68">
                  <c:v>51000</c:v>
                </c:pt>
                <c:pt idx="69">
                  <c:v>28000</c:v>
                </c:pt>
                <c:pt idx="70">
                  <c:v>91000</c:v>
                </c:pt>
                <c:pt idx="71">
                  <c:v>21289.520000000059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2D4-4198-B7EE-040A529CD17C}"/>
            </c:ext>
          </c:extLst>
        </c:ser>
        <c:ser>
          <c:idx val="42"/>
          <c:order val="42"/>
          <c:tx>
            <c:strRef>
              <c:f>Energy!$A$46:$B$46</c:f>
              <c:strCache>
                <c:ptCount val="2"/>
                <c:pt idx="0">
                  <c:v>sc03</c:v>
                </c:pt>
                <c:pt idx="1">
                  <c:v>CCGT_2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Energy!$C$46:$BV$46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26981.160000000011</c:v>
                </c:pt>
                <c:pt idx="3">
                  <c:v>18000</c:v>
                </c:pt>
                <c:pt idx="4">
                  <c:v>63000</c:v>
                </c:pt>
                <c:pt idx="5">
                  <c:v>5400</c:v>
                </c:pt>
                <c:pt idx="6">
                  <c:v>30000</c:v>
                </c:pt>
                <c:pt idx="7">
                  <c:v>150000</c:v>
                </c:pt>
                <c:pt idx="8">
                  <c:v>12000</c:v>
                </c:pt>
                <c:pt idx="9">
                  <c:v>12000</c:v>
                </c:pt>
                <c:pt idx="10">
                  <c:v>48224.800000000061</c:v>
                </c:pt>
                <c:pt idx="11">
                  <c:v>6400</c:v>
                </c:pt>
                <c:pt idx="12">
                  <c:v>42000</c:v>
                </c:pt>
                <c:pt idx="13">
                  <c:v>147000</c:v>
                </c:pt>
                <c:pt idx="14">
                  <c:v>12600.000000000002</c:v>
                </c:pt>
                <c:pt idx="15">
                  <c:v>15000</c:v>
                </c:pt>
                <c:pt idx="16">
                  <c:v>41183.999999999985</c:v>
                </c:pt>
                <c:pt idx="17">
                  <c:v>8000</c:v>
                </c:pt>
                <c:pt idx="18">
                  <c:v>38000</c:v>
                </c:pt>
                <c:pt idx="19">
                  <c:v>133000</c:v>
                </c:pt>
                <c:pt idx="20">
                  <c:v>11400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44000</c:v>
                </c:pt>
                <c:pt idx="25">
                  <c:v>154000</c:v>
                </c:pt>
                <c:pt idx="26">
                  <c:v>13200.000000000002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42000</c:v>
                </c:pt>
                <c:pt idx="31">
                  <c:v>147000</c:v>
                </c:pt>
                <c:pt idx="32">
                  <c:v>12600.000000000002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55000</c:v>
                </c:pt>
                <c:pt idx="37">
                  <c:v>132000</c:v>
                </c:pt>
                <c:pt idx="38">
                  <c:v>38578.882580645128</c:v>
                </c:pt>
                <c:pt idx="39">
                  <c:v>13500</c:v>
                </c:pt>
                <c:pt idx="40">
                  <c:v>63000</c:v>
                </c:pt>
                <c:pt idx="41">
                  <c:v>8685.9501466275633</c:v>
                </c:pt>
                <c:pt idx="42">
                  <c:v>44000</c:v>
                </c:pt>
                <c:pt idx="43">
                  <c:v>143000</c:v>
                </c:pt>
                <c:pt idx="44">
                  <c:v>35595.559999999983</c:v>
                </c:pt>
                <c:pt idx="45">
                  <c:v>13500</c:v>
                </c:pt>
                <c:pt idx="46">
                  <c:v>62034.840000000011</c:v>
                </c:pt>
                <c:pt idx="47">
                  <c:v>14561.819999999994</c:v>
                </c:pt>
                <c:pt idx="48">
                  <c:v>50000</c:v>
                </c:pt>
                <c:pt idx="49">
                  <c:v>120000</c:v>
                </c:pt>
                <c:pt idx="50">
                  <c:v>44643.45454545453</c:v>
                </c:pt>
                <c:pt idx="51">
                  <c:v>15000</c:v>
                </c:pt>
                <c:pt idx="52">
                  <c:v>54639.000000000036</c:v>
                </c:pt>
                <c:pt idx="53">
                  <c:v>25510.545454545449</c:v>
                </c:pt>
                <c:pt idx="54">
                  <c:v>33000</c:v>
                </c:pt>
                <c:pt idx="55">
                  <c:v>154000</c:v>
                </c:pt>
                <c:pt idx="56">
                  <c:v>15400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21000</c:v>
                </c:pt>
                <c:pt idx="61">
                  <c:v>157500</c:v>
                </c:pt>
                <c:pt idx="62">
                  <c:v>14700.000000000002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34000</c:v>
                </c:pt>
                <c:pt idx="67">
                  <c:v>119000</c:v>
                </c:pt>
                <c:pt idx="68">
                  <c:v>11356.680000000051</c:v>
                </c:pt>
                <c:pt idx="69">
                  <c:v>28000</c:v>
                </c:pt>
                <c:pt idx="70">
                  <c:v>66357.940800000011</c:v>
                </c:pt>
                <c:pt idx="71">
                  <c:v>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2D4-4198-B7EE-040A529CD17C}"/>
            </c:ext>
          </c:extLst>
        </c:ser>
        <c:ser>
          <c:idx val="43"/>
          <c:order val="43"/>
          <c:tx>
            <c:strRef>
              <c:f>Energy!$A$47:$B$47</c:f>
              <c:strCache>
                <c:ptCount val="2"/>
                <c:pt idx="0">
                  <c:v>sc03</c:v>
                </c:pt>
                <c:pt idx="1">
                  <c:v>CCGT_3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Energy!$C$47:$BV$47</c:f>
              <c:numCache>
                <c:formatCode>0</c:formatCode>
                <c:ptCount val="72"/>
                <c:pt idx="0">
                  <c:v>44000</c:v>
                </c:pt>
                <c:pt idx="1">
                  <c:v>154000</c:v>
                </c:pt>
                <c:pt idx="2">
                  <c:v>13200.000000000002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42000</c:v>
                </c:pt>
                <c:pt idx="13">
                  <c:v>140590.80000000013</c:v>
                </c:pt>
                <c:pt idx="14">
                  <c:v>12600.000000000002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55000</c:v>
                </c:pt>
                <c:pt idx="37">
                  <c:v>132000</c:v>
                </c:pt>
                <c:pt idx="38">
                  <c:v>15400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50000</c:v>
                </c:pt>
                <c:pt idx="49">
                  <c:v>115655.99999999997</c:v>
                </c:pt>
                <c:pt idx="50">
                  <c:v>14000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34000</c:v>
                </c:pt>
                <c:pt idx="67">
                  <c:v>119000</c:v>
                </c:pt>
                <c:pt idx="68">
                  <c:v>10200.000000000002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2D4-4198-B7EE-040A529CD17C}"/>
            </c:ext>
          </c:extLst>
        </c:ser>
        <c:ser>
          <c:idx val="44"/>
          <c:order val="44"/>
          <c:tx>
            <c:strRef>
              <c:f>Energy!$A$48:$B$48</c:f>
              <c:strCache>
                <c:ptCount val="2"/>
                <c:pt idx="0">
                  <c:v>sc03</c:v>
                </c:pt>
                <c:pt idx="1">
                  <c:v>CCGT_4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Energy!$C$48:$BV$48</c:f>
              <c:numCache>
                <c:formatCode>0</c:formatCode>
                <c:ptCount val="72"/>
                <c:pt idx="0">
                  <c:v>58739.999999999993</c:v>
                </c:pt>
                <c:pt idx="1">
                  <c:v>205590</c:v>
                </c:pt>
                <c:pt idx="2">
                  <c:v>88110</c:v>
                </c:pt>
                <c:pt idx="3">
                  <c:v>24030</c:v>
                </c:pt>
                <c:pt idx="4">
                  <c:v>84105</c:v>
                </c:pt>
                <c:pt idx="5">
                  <c:v>36045</c:v>
                </c:pt>
                <c:pt idx="6">
                  <c:v>40050</c:v>
                </c:pt>
                <c:pt idx="7">
                  <c:v>200250</c:v>
                </c:pt>
                <c:pt idx="8">
                  <c:v>80100</c:v>
                </c:pt>
                <c:pt idx="9">
                  <c:v>16020</c:v>
                </c:pt>
                <c:pt idx="10">
                  <c:v>69420</c:v>
                </c:pt>
                <c:pt idx="11">
                  <c:v>42720</c:v>
                </c:pt>
                <c:pt idx="12">
                  <c:v>56070</c:v>
                </c:pt>
                <c:pt idx="13">
                  <c:v>196245</c:v>
                </c:pt>
                <c:pt idx="14">
                  <c:v>84105</c:v>
                </c:pt>
                <c:pt idx="15">
                  <c:v>20025</c:v>
                </c:pt>
                <c:pt idx="16">
                  <c:v>86774.999999999985</c:v>
                </c:pt>
                <c:pt idx="17">
                  <c:v>53400</c:v>
                </c:pt>
                <c:pt idx="18">
                  <c:v>50730</c:v>
                </c:pt>
                <c:pt idx="19">
                  <c:v>177555</c:v>
                </c:pt>
                <c:pt idx="20">
                  <c:v>76095</c:v>
                </c:pt>
                <c:pt idx="21">
                  <c:v>22027.5</c:v>
                </c:pt>
                <c:pt idx="22">
                  <c:v>102795</c:v>
                </c:pt>
                <c:pt idx="23">
                  <c:v>51397.5</c:v>
                </c:pt>
                <c:pt idx="24">
                  <c:v>58739.999999999993</c:v>
                </c:pt>
                <c:pt idx="25">
                  <c:v>205590</c:v>
                </c:pt>
                <c:pt idx="26">
                  <c:v>88110</c:v>
                </c:pt>
                <c:pt idx="27">
                  <c:v>18022.5</c:v>
                </c:pt>
                <c:pt idx="28">
                  <c:v>78097.5</c:v>
                </c:pt>
                <c:pt idx="29">
                  <c:v>48060</c:v>
                </c:pt>
                <c:pt idx="30">
                  <c:v>56070</c:v>
                </c:pt>
                <c:pt idx="31">
                  <c:v>196245</c:v>
                </c:pt>
                <c:pt idx="32">
                  <c:v>84105</c:v>
                </c:pt>
                <c:pt idx="33">
                  <c:v>18022.5</c:v>
                </c:pt>
                <c:pt idx="34">
                  <c:v>84105</c:v>
                </c:pt>
                <c:pt idx="35">
                  <c:v>42052.5</c:v>
                </c:pt>
                <c:pt idx="36">
                  <c:v>73425</c:v>
                </c:pt>
                <c:pt idx="37">
                  <c:v>176220</c:v>
                </c:pt>
                <c:pt idx="38">
                  <c:v>102795</c:v>
                </c:pt>
                <c:pt idx="39">
                  <c:v>18022.5</c:v>
                </c:pt>
                <c:pt idx="40">
                  <c:v>84105</c:v>
                </c:pt>
                <c:pt idx="41">
                  <c:v>42052.5</c:v>
                </c:pt>
                <c:pt idx="42">
                  <c:v>58739.999999999993</c:v>
                </c:pt>
                <c:pt idx="43">
                  <c:v>190905</c:v>
                </c:pt>
                <c:pt idx="44">
                  <c:v>102795</c:v>
                </c:pt>
                <c:pt idx="45">
                  <c:v>18022.5</c:v>
                </c:pt>
                <c:pt idx="46">
                  <c:v>84105</c:v>
                </c:pt>
                <c:pt idx="47">
                  <c:v>42052.5</c:v>
                </c:pt>
                <c:pt idx="48">
                  <c:v>66750</c:v>
                </c:pt>
                <c:pt idx="49">
                  <c:v>160200</c:v>
                </c:pt>
                <c:pt idx="50">
                  <c:v>93450</c:v>
                </c:pt>
                <c:pt idx="51">
                  <c:v>20025</c:v>
                </c:pt>
                <c:pt idx="52">
                  <c:v>86774.999999999985</c:v>
                </c:pt>
                <c:pt idx="53">
                  <c:v>53400</c:v>
                </c:pt>
                <c:pt idx="54">
                  <c:v>44055</c:v>
                </c:pt>
                <c:pt idx="55">
                  <c:v>205590</c:v>
                </c:pt>
                <c:pt idx="56">
                  <c:v>102795</c:v>
                </c:pt>
                <c:pt idx="57">
                  <c:v>18022.5</c:v>
                </c:pt>
                <c:pt idx="58">
                  <c:v>78097.5</c:v>
                </c:pt>
                <c:pt idx="59">
                  <c:v>48060</c:v>
                </c:pt>
                <c:pt idx="60">
                  <c:v>28035</c:v>
                </c:pt>
                <c:pt idx="61">
                  <c:v>210262.5</c:v>
                </c:pt>
                <c:pt idx="62">
                  <c:v>98122.5</c:v>
                </c:pt>
                <c:pt idx="63">
                  <c:v>18022.5</c:v>
                </c:pt>
                <c:pt idx="64">
                  <c:v>78097.5</c:v>
                </c:pt>
                <c:pt idx="65">
                  <c:v>48060</c:v>
                </c:pt>
                <c:pt idx="66">
                  <c:v>45390</c:v>
                </c:pt>
                <c:pt idx="67">
                  <c:v>158865</c:v>
                </c:pt>
                <c:pt idx="68">
                  <c:v>68085</c:v>
                </c:pt>
                <c:pt idx="69">
                  <c:v>37379.999999999993</c:v>
                </c:pt>
                <c:pt idx="70">
                  <c:v>121485</c:v>
                </c:pt>
                <c:pt idx="71">
                  <c:v>65414.999999999993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2D4-4198-B7EE-040A529CD17C}"/>
            </c:ext>
          </c:extLst>
        </c:ser>
        <c:ser>
          <c:idx val="45"/>
          <c:order val="45"/>
          <c:tx>
            <c:strRef>
              <c:f>Energy!$A$49:$B$49</c:f>
              <c:strCache>
                <c:ptCount val="2"/>
                <c:pt idx="0">
                  <c:v>sc03</c:v>
                </c:pt>
                <c:pt idx="1">
                  <c:v>OCGT_1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Energy!$C$49:$BV$49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2D4-4198-B7EE-040A529CD17C}"/>
            </c:ext>
          </c:extLst>
        </c:ser>
        <c:ser>
          <c:idx val="46"/>
          <c:order val="46"/>
          <c:tx>
            <c:strRef>
              <c:f>Energy!$A$50:$B$50</c:f>
              <c:strCache>
                <c:ptCount val="2"/>
                <c:pt idx="0">
                  <c:v>sc03</c:v>
                </c:pt>
                <c:pt idx="1">
                  <c:v>OCGT_2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Energy!$C$50:$BV$50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2D4-4198-B7EE-040A529CD17C}"/>
            </c:ext>
          </c:extLst>
        </c:ser>
        <c:ser>
          <c:idx val="47"/>
          <c:order val="47"/>
          <c:tx>
            <c:strRef>
              <c:f>Energy!$A$51:$B$51</c:f>
              <c:strCache>
                <c:ptCount val="2"/>
                <c:pt idx="0">
                  <c:v>sc03</c:v>
                </c:pt>
                <c:pt idx="1">
                  <c:v>OCGT_3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Energy!$C$51:$BV$51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2D4-4198-B7EE-040A529CD17C}"/>
            </c:ext>
          </c:extLst>
        </c:ser>
        <c:ser>
          <c:idx val="48"/>
          <c:order val="48"/>
          <c:tx>
            <c:strRef>
              <c:f>Energy!$A$52:$B$52</c:f>
              <c:strCache>
                <c:ptCount val="2"/>
                <c:pt idx="0">
                  <c:v>sc03</c:v>
                </c:pt>
                <c:pt idx="1">
                  <c:v>FuelOilGas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Energy!$C$52:$BV$52</c:f>
              <c:numCache>
                <c:formatCode>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2D4-4198-B7EE-040A529CD17C}"/>
            </c:ext>
          </c:extLst>
        </c:ser>
        <c:ser>
          <c:idx val="49"/>
          <c:order val="49"/>
          <c:tx>
            <c:strRef>
              <c:f>Energy!$A$53:$B$53</c:f>
              <c:strCache>
                <c:ptCount val="2"/>
                <c:pt idx="0">
                  <c:v>sc03</c:v>
                </c:pt>
                <c:pt idx="1">
                  <c:v>RunOfRiver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Energy!$C$53:$BV$53</c:f>
              <c:numCache>
                <c:formatCode>0</c:formatCode>
                <c:ptCount val="72"/>
                <c:pt idx="0">
                  <c:v>13200</c:v>
                </c:pt>
                <c:pt idx="1">
                  <c:v>46199.999999999993</c:v>
                </c:pt>
                <c:pt idx="2">
                  <c:v>19799.64</c:v>
                </c:pt>
                <c:pt idx="3">
                  <c:v>5399.9999999999991</c:v>
                </c:pt>
                <c:pt idx="4">
                  <c:v>18900</c:v>
                </c:pt>
                <c:pt idx="5">
                  <c:v>3636.3600000000065</c:v>
                </c:pt>
                <c:pt idx="6">
                  <c:v>9000</c:v>
                </c:pt>
                <c:pt idx="7">
                  <c:v>45000</c:v>
                </c:pt>
                <c:pt idx="8">
                  <c:v>18000</c:v>
                </c:pt>
                <c:pt idx="9">
                  <c:v>3599.9999999999995</c:v>
                </c:pt>
                <c:pt idx="10">
                  <c:v>15600</c:v>
                </c:pt>
                <c:pt idx="11">
                  <c:v>9600</c:v>
                </c:pt>
                <c:pt idx="12">
                  <c:v>12600</c:v>
                </c:pt>
                <c:pt idx="13">
                  <c:v>44100</c:v>
                </c:pt>
                <c:pt idx="14">
                  <c:v>18900</c:v>
                </c:pt>
                <c:pt idx="15">
                  <c:v>4500</c:v>
                </c:pt>
                <c:pt idx="16">
                  <c:v>19500</c:v>
                </c:pt>
                <c:pt idx="17">
                  <c:v>12000</c:v>
                </c:pt>
                <c:pt idx="18">
                  <c:v>11400</c:v>
                </c:pt>
                <c:pt idx="19">
                  <c:v>39900</c:v>
                </c:pt>
                <c:pt idx="20">
                  <c:v>9493.633507853403</c:v>
                </c:pt>
                <c:pt idx="21">
                  <c:v>4950</c:v>
                </c:pt>
                <c:pt idx="22">
                  <c:v>23099.999999999996</c:v>
                </c:pt>
                <c:pt idx="23">
                  <c:v>6412.366492146597</c:v>
                </c:pt>
                <c:pt idx="24">
                  <c:v>13200</c:v>
                </c:pt>
                <c:pt idx="25">
                  <c:v>46199.999999999993</c:v>
                </c:pt>
                <c:pt idx="26">
                  <c:v>2180.3294117647079</c:v>
                </c:pt>
                <c:pt idx="27">
                  <c:v>4050</c:v>
                </c:pt>
                <c:pt idx="28">
                  <c:v>17550</c:v>
                </c:pt>
                <c:pt idx="29">
                  <c:v>1189.2705882352957</c:v>
                </c:pt>
                <c:pt idx="30">
                  <c:v>12600</c:v>
                </c:pt>
                <c:pt idx="31">
                  <c:v>26447.399999999998</c:v>
                </c:pt>
                <c:pt idx="32">
                  <c:v>0</c:v>
                </c:pt>
                <c:pt idx="33">
                  <c:v>4050</c:v>
                </c:pt>
                <c:pt idx="34">
                  <c:v>11334.599999999999</c:v>
                </c:pt>
                <c:pt idx="35">
                  <c:v>0</c:v>
                </c:pt>
                <c:pt idx="36">
                  <c:v>16500</c:v>
                </c:pt>
                <c:pt idx="37">
                  <c:v>32823.600000000006</c:v>
                </c:pt>
                <c:pt idx="38">
                  <c:v>0</c:v>
                </c:pt>
                <c:pt idx="39">
                  <c:v>4050</c:v>
                </c:pt>
                <c:pt idx="40">
                  <c:v>2872.7999999999915</c:v>
                </c:pt>
                <c:pt idx="41">
                  <c:v>0</c:v>
                </c:pt>
                <c:pt idx="42">
                  <c:v>13200</c:v>
                </c:pt>
                <c:pt idx="43">
                  <c:v>38996.399999999994</c:v>
                </c:pt>
                <c:pt idx="44">
                  <c:v>0</c:v>
                </c:pt>
                <c:pt idx="45">
                  <c:v>4050</c:v>
                </c:pt>
                <c:pt idx="46">
                  <c:v>0</c:v>
                </c:pt>
                <c:pt idx="47">
                  <c:v>0</c:v>
                </c:pt>
                <c:pt idx="48">
                  <c:v>15000</c:v>
                </c:pt>
                <c:pt idx="49">
                  <c:v>36000</c:v>
                </c:pt>
                <c:pt idx="50">
                  <c:v>4230.545454545455</c:v>
                </c:pt>
                <c:pt idx="51">
                  <c:v>4500</c:v>
                </c:pt>
                <c:pt idx="52">
                  <c:v>19500</c:v>
                </c:pt>
                <c:pt idx="53">
                  <c:v>2417.4545454545455</c:v>
                </c:pt>
                <c:pt idx="54">
                  <c:v>9900</c:v>
                </c:pt>
                <c:pt idx="55">
                  <c:v>46199.999999999993</c:v>
                </c:pt>
                <c:pt idx="56">
                  <c:v>16169.509380530968</c:v>
                </c:pt>
                <c:pt idx="57">
                  <c:v>4050</c:v>
                </c:pt>
                <c:pt idx="58">
                  <c:v>17550</c:v>
                </c:pt>
                <c:pt idx="59">
                  <c:v>4561.6906194690237</c:v>
                </c:pt>
                <c:pt idx="60">
                  <c:v>6300</c:v>
                </c:pt>
                <c:pt idx="61">
                  <c:v>47250</c:v>
                </c:pt>
                <c:pt idx="62">
                  <c:v>22050</c:v>
                </c:pt>
                <c:pt idx="63">
                  <c:v>4050</c:v>
                </c:pt>
                <c:pt idx="64">
                  <c:v>17550</c:v>
                </c:pt>
                <c:pt idx="65">
                  <c:v>10799.999999999998</c:v>
                </c:pt>
                <c:pt idx="66">
                  <c:v>10200</c:v>
                </c:pt>
                <c:pt idx="67">
                  <c:v>35699.999999999993</c:v>
                </c:pt>
                <c:pt idx="68">
                  <c:v>15299.999999999998</c:v>
                </c:pt>
                <c:pt idx="69">
                  <c:v>8400</c:v>
                </c:pt>
                <c:pt idx="70">
                  <c:v>27300</c:v>
                </c:pt>
                <c:pt idx="71">
                  <c:v>14700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2D4-4198-B7EE-040A529CD17C}"/>
            </c:ext>
          </c:extLst>
        </c:ser>
        <c:ser>
          <c:idx val="50"/>
          <c:order val="50"/>
          <c:tx>
            <c:strRef>
              <c:f>Energy!$A$54:$B$54</c:f>
              <c:strCache>
                <c:ptCount val="2"/>
                <c:pt idx="0">
                  <c:v>sc03</c:v>
                </c:pt>
                <c:pt idx="1">
                  <c:v>StorageHydro1_Basin1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Energy!$C$54:$BV$54</c:f>
              <c:numCache>
                <c:formatCode>0</c:formatCode>
                <c:ptCount val="72"/>
                <c:pt idx="0">
                  <c:v>17600</c:v>
                </c:pt>
                <c:pt idx="1">
                  <c:v>4760.4495999999381</c:v>
                </c:pt>
                <c:pt idx="2">
                  <c:v>0</c:v>
                </c:pt>
                <c:pt idx="3">
                  <c:v>7200</c:v>
                </c:pt>
                <c:pt idx="4">
                  <c:v>0</c:v>
                </c:pt>
                <c:pt idx="5">
                  <c:v>0</c:v>
                </c:pt>
                <c:pt idx="6">
                  <c:v>12000</c:v>
                </c:pt>
                <c:pt idx="7">
                  <c:v>60000</c:v>
                </c:pt>
                <c:pt idx="8">
                  <c:v>0</c:v>
                </c:pt>
                <c:pt idx="9">
                  <c:v>4800.0000000000009</c:v>
                </c:pt>
                <c:pt idx="10">
                  <c:v>0</c:v>
                </c:pt>
                <c:pt idx="11">
                  <c:v>0</c:v>
                </c:pt>
                <c:pt idx="12">
                  <c:v>16800</c:v>
                </c:pt>
                <c:pt idx="13">
                  <c:v>0</c:v>
                </c:pt>
                <c:pt idx="14">
                  <c:v>0</c:v>
                </c:pt>
                <c:pt idx="15">
                  <c:v>6000</c:v>
                </c:pt>
                <c:pt idx="16">
                  <c:v>0</c:v>
                </c:pt>
                <c:pt idx="17">
                  <c:v>0</c:v>
                </c:pt>
                <c:pt idx="18">
                  <c:v>15200.000000000002</c:v>
                </c:pt>
                <c:pt idx="19">
                  <c:v>38713.640000000036</c:v>
                </c:pt>
                <c:pt idx="20">
                  <c:v>0</c:v>
                </c:pt>
                <c:pt idx="21">
                  <c:v>6600.0000000000009</c:v>
                </c:pt>
                <c:pt idx="22">
                  <c:v>7459.7599999999884</c:v>
                </c:pt>
                <c:pt idx="23">
                  <c:v>0</c:v>
                </c:pt>
                <c:pt idx="24">
                  <c:v>17600</c:v>
                </c:pt>
                <c:pt idx="25">
                  <c:v>10467.364675764476</c:v>
                </c:pt>
                <c:pt idx="26">
                  <c:v>0</c:v>
                </c:pt>
                <c:pt idx="27">
                  <c:v>5400</c:v>
                </c:pt>
                <c:pt idx="28">
                  <c:v>3976.2391787806619</c:v>
                </c:pt>
                <c:pt idx="29">
                  <c:v>0</c:v>
                </c:pt>
                <c:pt idx="30">
                  <c:v>16800</c:v>
                </c:pt>
                <c:pt idx="31">
                  <c:v>36939.000000000022</c:v>
                </c:pt>
                <c:pt idx="32">
                  <c:v>0</c:v>
                </c:pt>
                <c:pt idx="33">
                  <c:v>5400</c:v>
                </c:pt>
                <c:pt idx="34">
                  <c:v>15831.000000000011</c:v>
                </c:pt>
                <c:pt idx="35">
                  <c:v>0</c:v>
                </c:pt>
                <c:pt idx="36">
                  <c:v>11717.078715328509</c:v>
                </c:pt>
                <c:pt idx="37">
                  <c:v>0</c:v>
                </c:pt>
                <c:pt idx="38">
                  <c:v>0</c:v>
                </c:pt>
                <c:pt idx="39">
                  <c:v>791.61023012610053</c:v>
                </c:pt>
                <c:pt idx="40">
                  <c:v>0</c:v>
                </c:pt>
                <c:pt idx="41">
                  <c:v>0</c:v>
                </c:pt>
                <c:pt idx="42">
                  <c:v>17600</c:v>
                </c:pt>
                <c:pt idx="43">
                  <c:v>25010.400000000147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20000</c:v>
                </c:pt>
                <c:pt idx="49">
                  <c:v>0</c:v>
                </c:pt>
                <c:pt idx="50">
                  <c:v>0</c:v>
                </c:pt>
                <c:pt idx="51">
                  <c:v>6000</c:v>
                </c:pt>
                <c:pt idx="52">
                  <c:v>0</c:v>
                </c:pt>
                <c:pt idx="53">
                  <c:v>0</c:v>
                </c:pt>
                <c:pt idx="54">
                  <c:v>13200.000000000002</c:v>
                </c:pt>
                <c:pt idx="55">
                  <c:v>0</c:v>
                </c:pt>
                <c:pt idx="56">
                  <c:v>0</c:v>
                </c:pt>
                <c:pt idx="57">
                  <c:v>5400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63000</c:v>
                </c:pt>
                <c:pt idx="62">
                  <c:v>0</c:v>
                </c:pt>
                <c:pt idx="63">
                  <c:v>4897.8000000000138</c:v>
                </c:pt>
                <c:pt idx="64">
                  <c:v>0</c:v>
                </c:pt>
                <c:pt idx="65">
                  <c:v>0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0</c:v>
                </c:pt>
                <c:pt idx="69">
                  <c:v>11200.000000000002</c:v>
                </c:pt>
                <c:pt idx="70">
                  <c:v>8014.5391999999929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2D4-4198-B7EE-040A529CD17C}"/>
            </c:ext>
          </c:extLst>
        </c:ser>
        <c:ser>
          <c:idx val="51"/>
          <c:order val="51"/>
          <c:tx>
            <c:strRef>
              <c:f>Energy!$A$55:$B$55</c:f>
              <c:strCache>
                <c:ptCount val="2"/>
                <c:pt idx="0">
                  <c:v>sc03</c:v>
                </c:pt>
                <c:pt idx="1">
                  <c:v>StorageHydro2_Basin1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Energy!$C$55:$BV$55</c:f>
              <c:numCache>
                <c:formatCode>0</c:formatCode>
                <c:ptCount val="72"/>
                <c:pt idx="0">
                  <c:v>17600</c:v>
                </c:pt>
                <c:pt idx="1">
                  <c:v>0</c:v>
                </c:pt>
                <c:pt idx="2">
                  <c:v>0</c:v>
                </c:pt>
                <c:pt idx="3">
                  <c:v>2829.6000000000017</c:v>
                </c:pt>
                <c:pt idx="4">
                  <c:v>0</c:v>
                </c:pt>
                <c:pt idx="5">
                  <c:v>0</c:v>
                </c:pt>
                <c:pt idx="6">
                  <c:v>12000</c:v>
                </c:pt>
                <c:pt idx="7">
                  <c:v>32581.644945454591</c:v>
                </c:pt>
                <c:pt idx="8">
                  <c:v>0</c:v>
                </c:pt>
                <c:pt idx="9">
                  <c:v>3287.9999999999964</c:v>
                </c:pt>
                <c:pt idx="10">
                  <c:v>0</c:v>
                </c:pt>
                <c:pt idx="11">
                  <c:v>0</c:v>
                </c:pt>
                <c:pt idx="12">
                  <c:v>8761.1999999999716</c:v>
                </c:pt>
                <c:pt idx="13">
                  <c:v>0</c:v>
                </c:pt>
                <c:pt idx="14">
                  <c:v>0</c:v>
                </c:pt>
                <c:pt idx="15">
                  <c:v>530.99999999999477</c:v>
                </c:pt>
                <c:pt idx="16">
                  <c:v>0</c:v>
                </c:pt>
                <c:pt idx="17">
                  <c:v>0</c:v>
                </c:pt>
                <c:pt idx="18">
                  <c:v>10130.800000000036</c:v>
                </c:pt>
                <c:pt idx="19">
                  <c:v>0</c:v>
                </c:pt>
                <c:pt idx="20">
                  <c:v>0</c:v>
                </c:pt>
                <c:pt idx="21">
                  <c:v>4065.6000000000008</c:v>
                </c:pt>
                <c:pt idx="22">
                  <c:v>0</c:v>
                </c:pt>
                <c:pt idx="23">
                  <c:v>0</c:v>
                </c:pt>
                <c:pt idx="24">
                  <c:v>16244.800000000012</c:v>
                </c:pt>
                <c:pt idx="25">
                  <c:v>0</c:v>
                </c:pt>
                <c:pt idx="26">
                  <c:v>0</c:v>
                </c:pt>
                <c:pt idx="27">
                  <c:v>4984.2000000000044</c:v>
                </c:pt>
                <c:pt idx="28">
                  <c:v>0</c:v>
                </c:pt>
                <c:pt idx="29">
                  <c:v>0</c:v>
                </c:pt>
                <c:pt idx="30">
                  <c:v>15296.400000000056</c:v>
                </c:pt>
                <c:pt idx="31">
                  <c:v>0</c:v>
                </c:pt>
                <c:pt idx="32">
                  <c:v>0</c:v>
                </c:pt>
                <c:pt idx="33">
                  <c:v>4916.7000000000171</c:v>
                </c:pt>
                <c:pt idx="34">
                  <c:v>0</c:v>
                </c:pt>
                <c:pt idx="35">
                  <c:v>0</c:v>
                </c:pt>
                <c:pt idx="36">
                  <c:v>17520.921284671458</c:v>
                </c:pt>
                <c:pt idx="37">
                  <c:v>0</c:v>
                </c:pt>
                <c:pt idx="38">
                  <c:v>0</c:v>
                </c:pt>
                <c:pt idx="39">
                  <c:v>4300.5897698739036</c:v>
                </c:pt>
                <c:pt idx="40">
                  <c:v>0</c:v>
                </c:pt>
                <c:pt idx="41">
                  <c:v>0</c:v>
                </c:pt>
                <c:pt idx="42">
                  <c:v>14027.200000000004</c:v>
                </c:pt>
                <c:pt idx="43">
                  <c:v>0</c:v>
                </c:pt>
                <c:pt idx="44">
                  <c:v>0</c:v>
                </c:pt>
                <c:pt idx="45">
                  <c:v>1466.1000000000183</c:v>
                </c:pt>
                <c:pt idx="46">
                  <c:v>0</c:v>
                </c:pt>
                <c:pt idx="47">
                  <c:v>0</c:v>
                </c:pt>
                <c:pt idx="48">
                  <c:v>8489.99999999996</c:v>
                </c:pt>
                <c:pt idx="49">
                  <c:v>0</c:v>
                </c:pt>
                <c:pt idx="50">
                  <c:v>0</c:v>
                </c:pt>
                <c:pt idx="51">
                  <c:v>2016.0000000000027</c:v>
                </c:pt>
                <c:pt idx="52">
                  <c:v>0</c:v>
                </c:pt>
                <c:pt idx="53">
                  <c:v>0</c:v>
                </c:pt>
                <c:pt idx="54">
                  <c:v>8137.7999999999865</c:v>
                </c:pt>
                <c:pt idx="55">
                  <c:v>0</c:v>
                </c:pt>
                <c:pt idx="56">
                  <c:v>0</c:v>
                </c:pt>
                <c:pt idx="57">
                  <c:v>3329.0999999999945</c:v>
                </c:pt>
                <c:pt idx="58">
                  <c:v>0</c:v>
                </c:pt>
                <c:pt idx="59">
                  <c:v>0</c:v>
                </c:pt>
                <c:pt idx="60">
                  <c:v>8400</c:v>
                </c:pt>
                <c:pt idx="61">
                  <c:v>7244.9999999999718</c:v>
                </c:pt>
                <c:pt idx="62">
                  <c:v>0</c:v>
                </c:pt>
                <c:pt idx="63">
                  <c:v>5400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2D4-4198-B7EE-040A529CD17C}"/>
            </c:ext>
          </c:extLst>
        </c:ser>
        <c:ser>
          <c:idx val="52"/>
          <c:order val="52"/>
          <c:tx>
            <c:strRef>
              <c:f>Energy!$A$56:$B$56</c:f>
              <c:strCache>
                <c:ptCount val="2"/>
                <c:pt idx="0">
                  <c:v>sc03</c:v>
                </c:pt>
                <c:pt idx="1">
                  <c:v>StorageHydro3_Basin1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Energy!$C$56:$BV$56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0</c:v>
                </c:pt>
                <c:pt idx="3">
                  <c:v>7200</c:v>
                </c:pt>
                <c:pt idx="4">
                  <c:v>11067.840000000047</c:v>
                </c:pt>
                <c:pt idx="5">
                  <c:v>0</c:v>
                </c:pt>
                <c:pt idx="6">
                  <c:v>12000</c:v>
                </c:pt>
                <c:pt idx="7">
                  <c:v>60000</c:v>
                </c:pt>
                <c:pt idx="8">
                  <c:v>24000</c:v>
                </c:pt>
                <c:pt idx="9">
                  <c:v>4800.0000000000009</c:v>
                </c:pt>
                <c:pt idx="10">
                  <c:v>20800</c:v>
                </c:pt>
                <c:pt idx="11">
                  <c:v>12800</c:v>
                </c:pt>
                <c:pt idx="12">
                  <c:v>16800</c:v>
                </c:pt>
                <c:pt idx="13">
                  <c:v>58800.000000000007</c:v>
                </c:pt>
                <c:pt idx="14">
                  <c:v>25200.000000000004</c:v>
                </c:pt>
                <c:pt idx="15">
                  <c:v>6000</c:v>
                </c:pt>
                <c:pt idx="16">
                  <c:v>26000</c:v>
                </c:pt>
                <c:pt idx="17">
                  <c:v>16000</c:v>
                </c:pt>
                <c:pt idx="18">
                  <c:v>15200.000000000002</c:v>
                </c:pt>
                <c:pt idx="19">
                  <c:v>53200</c:v>
                </c:pt>
                <c:pt idx="20">
                  <c:v>0</c:v>
                </c:pt>
                <c:pt idx="21">
                  <c:v>6600.0000000000009</c:v>
                </c:pt>
                <c:pt idx="22">
                  <c:v>30800</c:v>
                </c:pt>
                <c:pt idx="23">
                  <c:v>0</c:v>
                </c:pt>
                <c:pt idx="24">
                  <c:v>17600</c:v>
                </c:pt>
                <c:pt idx="25">
                  <c:v>61600</c:v>
                </c:pt>
                <c:pt idx="26">
                  <c:v>11435.268376470218</c:v>
                </c:pt>
                <c:pt idx="27">
                  <c:v>5400</c:v>
                </c:pt>
                <c:pt idx="28">
                  <c:v>23400.000000000004</c:v>
                </c:pt>
                <c:pt idx="29">
                  <c:v>3404.939114438313</c:v>
                </c:pt>
                <c:pt idx="30">
                  <c:v>16800</c:v>
                </c:pt>
                <c:pt idx="31">
                  <c:v>58800.000000000007</c:v>
                </c:pt>
                <c:pt idx="32">
                  <c:v>10475.640000000005</c:v>
                </c:pt>
                <c:pt idx="33">
                  <c:v>5400</c:v>
                </c:pt>
                <c:pt idx="34">
                  <c:v>25200.000000000004</c:v>
                </c:pt>
                <c:pt idx="35">
                  <c:v>3801.4199999999969</c:v>
                </c:pt>
                <c:pt idx="36">
                  <c:v>22000</c:v>
                </c:pt>
                <c:pt idx="37">
                  <c:v>52800.000000000007</c:v>
                </c:pt>
                <c:pt idx="38">
                  <c:v>13417.677419354901</c:v>
                </c:pt>
                <c:pt idx="39">
                  <c:v>5400</c:v>
                </c:pt>
                <c:pt idx="40">
                  <c:v>25200.000000000004</c:v>
                </c:pt>
                <c:pt idx="41">
                  <c:v>5489.0498533724594</c:v>
                </c:pt>
                <c:pt idx="42">
                  <c:v>17600</c:v>
                </c:pt>
                <c:pt idx="43">
                  <c:v>57200</c:v>
                </c:pt>
                <c:pt idx="44">
                  <c:v>0</c:v>
                </c:pt>
                <c:pt idx="45">
                  <c:v>5400</c:v>
                </c:pt>
                <c:pt idx="46">
                  <c:v>25200.000000000004</c:v>
                </c:pt>
                <c:pt idx="47">
                  <c:v>0</c:v>
                </c:pt>
                <c:pt idx="48">
                  <c:v>20000</c:v>
                </c:pt>
                <c:pt idx="49">
                  <c:v>48000</c:v>
                </c:pt>
                <c:pt idx="50">
                  <c:v>0</c:v>
                </c:pt>
                <c:pt idx="51">
                  <c:v>6000</c:v>
                </c:pt>
                <c:pt idx="52">
                  <c:v>26000</c:v>
                </c:pt>
                <c:pt idx="53">
                  <c:v>0</c:v>
                </c:pt>
                <c:pt idx="54">
                  <c:v>13200.000000000002</c:v>
                </c:pt>
                <c:pt idx="55">
                  <c:v>61600</c:v>
                </c:pt>
                <c:pt idx="56">
                  <c:v>0</c:v>
                </c:pt>
                <c:pt idx="57">
                  <c:v>5400</c:v>
                </c:pt>
                <c:pt idx="58">
                  <c:v>23400.000000000004</c:v>
                </c:pt>
                <c:pt idx="59">
                  <c:v>0</c:v>
                </c:pt>
                <c:pt idx="60">
                  <c:v>8400</c:v>
                </c:pt>
                <c:pt idx="61">
                  <c:v>63000</c:v>
                </c:pt>
                <c:pt idx="62">
                  <c:v>29400.000000000004</c:v>
                </c:pt>
                <c:pt idx="63">
                  <c:v>5400</c:v>
                </c:pt>
                <c:pt idx="64">
                  <c:v>23400.000000000004</c:v>
                </c:pt>
                <c:pt idx="65">
                  <c:v>4397.3454545453969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20400.000000000004</c:v>
                </c:pt>
                <c:pt idx="69">
                  <c:v>11200.000000000002</c:v>
                </c:pt>
                <c:pt idx="70">
                  <c:v>36400</c:v>
                </c:pt>
                <c:pt idx="71">
                  <c:v>19600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2D4-4198-B7EE-040A529CD17C}"/>
            </c:ext>
          </c:extLst>
        </c:ser>
        <c:ser>
          <c:idx val="53"/>
          <c:order val="53"/>
          <c:tx>
            <c:strRef>
              <c:f>Energy!$A$57:$B$57</c:f>
              <c:strCache>
                <c:ptCount val="2"/>
                <c:pt idx="0">
                  <c:v>sc03</c:v>
                </c:pt>
                <c:pt idx="1">
                  <c:v>PumpedStorageHydro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cat>
            <c:multiLvlStrRef>
              <c:f>Energy!$C$1:$BV$3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Energy!$C$57:$BV$57</c:f>
              <c:numCache>
                <c:formatCode>0</c:formatCode>
                <c:ptCount val="72"/>
                <c:pt idx="0">
                  <c:v>17600</c:v>
                </c:pt>
                <c:pt idx="1">
                  <c:v>61600</c:v>
                </c:pt>
                <c:pt idx="2">
                  <c:v>26400.000000000004</c:v>
                </c:pt>
                <c:pt idx="3">
                  <c:v>7200</c:v>
                </c:pt>
                <c:pt idx="4">
                  <c:v>25200.000000000004</c:v>
                </c:pt>
                <c:pt idx="5">
                  <c:v>10800</c:v>
                </c:pt>
                <c:pt idx="6">
                  <c:v>12000</c:v>
                </c:pt>
                <c:pt idx="7">
                  <c:v>60000</c:v>
                </c:pt>
                <c:pt idx="8">
                  <c:v>24000</c:v>
                </c:pt>
                <c:pt idx="9">
                  <c:v>4800.0000000000009</c:v>
                </c:pt>
                <c:pt idx="10">
                  <c:v>20800</c:v>
                </c:pt>
                <c:pt idx="11">
                  <c:v>12800</c:v>
                </c:pt>
                <c:pt idx="12">
                  <c:v>16800</c:v>
                </c:pt>
                <c:pt idx="13">
                  <c:v>58800.000000000007</c:v>
                </c:pt>
                <c:pt idx="14">
                  <c:v>25200.000000000004</c:v>
                </c:pt>
                <c:pt idx="15">
                  <c:v>6000</c:v>
                </c:pt>
                <c:pt idx="16">
                  <c:v>26000</c:v>
                </c:pt>
                <c:pt idx="17">
                  <c:v>16000</c:v>
                </c:pt>
                <c:pt idx="18">
                  <c:v>15200.000000000002</c:v>
                </c:pt>
                <c:pt idx="19">
                  <c:v>53200</c:v>
                </c:pt>
                <c:pt idx="20">
                  <c:v>22800</c:v>
                </c:pt>
                <c:pt idx="21">
                  <c:v>6600.0000000000009</c:v>
                </c:pt>
                <c:pt idx="22">
                  <c:v>30800</c:v>
                </c:pt>
                <c:pt idx="23">
                  <c:v>15400</c:v>
                </c:pt>
                <c:pt idx="24">
                  <c:v>17600</c:v>
                </c:pt>
                <c:pt idx="25">
                  <c:v>61600</c:v>
                </c:pt>
                <c:pt idx="26">
                  <c:v>26400.000000000004</c:v>
                </c:pt>
                <c:pt idx="27">
                  <c:v>5400</c:v>
                </c:pt>
                <c:pt idx="28">
                  <c:v>23400.000000000004</c:v>
                </c:pt>
                <c:pt idx="29">
                  <c:v>14400</c:v>
                </c:pt>
                <c:pt idx="30">
                  <c:v>16800</c:v>
                </c:pt>
                <c:pt idx="31">
                  <c:v>58800.000000000007</c:v>
                </c:pt>
                <c:pt idx="32">
                  <c:v>25200.000000000004</c:v>
                </c:pt>
                <c:pt idx="33">
                  <c:v>5400</c:v>
                </c:pt>
                <c:pt idx="34">
                  <c:v>25200.000000000004</c:v>
                </c:pt>
                <c:pt idx="35">
                  <c:v>12600.000000000002</c:v>
                </c:pt>
                <c:pt idx="36">
                  <c:v>22000</c:v>
                </c:pt>
                <c:pt idx="37">
                  <c:v>52800.000000000007</c:v>
                </c:pt>
                <c:pt idx="38">
                  <c:v>30800</c:v>
                </c:pt>
                <c:pt idx="39">
                  <c:v>5400</c:v>
                </c:pt>
                <c:pt idx="40">
                  <c:v>25200.000000000004</c:v>
                </c:pt>
                <c:pt idx="41">
                  <c:v>12600.000000000002</c:v>
                </c:pt>
                <c:pt idx="42">
                  <c:v>17600</c:v>
                </c:pt>
                <c:pt idx="43">
                  <c:v>57200</c:v>
                </c:pt>
                <c:pt idx="44">
                  <c:v>30800</c:v>
                </c:pt>
                <c:pt idx="45">
                  <c:v>5400</c:v>
                </c:pt>
                <c:pt idx="46">
                  <c:v>25200.000000000004</c:v>
                </c:pt>
                <c:pt idx="47">
                  <c:v>12600.000000000002</c:v>
                </c:pt>
                <c:pt idx="48">
                  <c:v>20000</c:v>
                </c:pt>
                <c:pt idx="49">
                  <c:v>48000</c:v>
                </c:pt>
                <c:pt idx="50">
                  <c:v>28000</c:v>
                </c:pt>
                <c:pt idx="51">
                  <c:v>6000</c:v>
                </c:pt>
                <c:pt idx="52">
                  <c:v>26000</c:v>
                </c:pt>
                <c:pt idx="53">
                  <c:v>16000</c:v>
                </c:pt>
                <c:pt idx="54">
                  <c:v>13200.000000000002</c:v>
                </c:pt>
                <c:pt idx="55">
                  <c:v>61600</c:v>
                </c:pt>
                <c:pt idx="56">
                  <c:v>30800</c:v>
                </c:pt>
                <c:pt idx="57">
                  <c:v>5400</c:v>
                </c:pt>
                <c:pt idx="58">
                  <c:v>23400.000000000004</c:v>
                </c:pt>
                <c:pt idx="59">
                  <c:v>14400</c:v>
                </c:pt>
                <c:pt idx="60">
                  <c:v>8400</c:v>
                </c:pt>
                <c:pt idx="61">
                  <c:v>63000</c:v>
                </c:pt>
                <c:pt idx="62">
                  <c:v>29400.000000000004</c:v>
                </c:pt>
                <c:pt idx="63">
                  <c:v>5400</c:v>
                </c:pt>
                <c:pt idx="64">
                  <c:v>23400.000000000004</c:v>
                </c:pt>
                <c:pt idx="65">
                  <c:v>14400</c:v>
                </c:pt>
                <c:pt idx="66">
                  <c:v>13600.000000000002</c:v>
                </c:pt>
                <c:pt idx="67">
                  <c:v>47600</c:v>
                </c:pt>
                <c:pt idx="68">
                  <c:v>20400.000000000004</c:v>
                </c:pt>
                <c:pt idx="69">
                  <c:v>11200.000000000002</c:v>
                </c:pt>
                <c:pt idx="70">
                  <c:v>36400</c:v>
                </c:pt>
                <c:pt idx="71">
                  <c:v>19600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2D4-4198-B7EE-040A529CD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48943"/>
        <c:axId val="408248111"/>
      </c:areaChart>
      <c:catAx>
        <c:axId val="408248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Load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08248111"/>
        <c:crosses val="autoZero"/>
        <c:auto val="1"/>
        <c:lblAlgn val="ctr"/>
        <c:lblOffset val="100"/>
        <c:noMultiLvlLbl val="0"/>
      </c:catAx>
      <c:valAx>
        <c:axId val="40824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Energy [MWh]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082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478863489588525"/>
          <c:y val="5.917750008351013E-2"/>
          <c:w val="0.19702185599425315"/>
          <c:h val="0.9129919877994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WtrReserve!$A$2:$B$2</c:f>
              <c:strCache>
                <c:ptCount val="2"/>
                <c:pt idx="0">
                  <c:v>sc01</c:v>
                </c:pt>
                <c:pt idx="1">
                  <c:v>Reservoir1_Basin1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WtrReserve!$C$1:$N$1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WtrReserve!$C$2:$N$2</c:f>
              <c:numCache>
                <c:formatCode>0</c:formatCode>
                <c:ptCount val="12"/>
                <c:pt idx="0">
                  <c:v>493.86996800000014</c:v>
                </c:pt>
                <c:pt idx="1">
                  <c:v>498.68992000000003</c:v>
                </c:pt>
                <c:pt idx="2">
                  <c:v>600</c:v>
                </c:pt>
                <c:pt idx="3">
                  <c:v>600</c:v>
                </c:pt>
                <c:pt idx="4">
                  <c:v>549.25923999999964</c:v>
                </c:pt>
                <c:pt idx="5">
                  <c:v>563.0181878787871</c:v>
                </c:pt>
                <c:pt idx="6">
                  <c:v>487.17421454545371</c:v>
                </c:pt>
                <c:pt idx="7">
                  <c:v>348.02762666666666</c:v>
                </c:pt>
                <c:pt idx="8">
                  <c:v>299.20415999999994</c:v>
                </c:pt>
                <c:pt idx="9">
                  <c:v>200</c:v>
                </c:pt>
                <c:pt idx="10">
                  <c:v>234.19276363636376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DA-41FE-96A2-6C17BB1DA28C}"/>
            </c:ext>
          </c:extLst>
        </c:ser>
        <c:ser>
          <c:idx val="1"/>
          <c:order val="1"/>
          <c:tx>
            <c:strRef>
              <c:f>WtrReserve!$A$3:$B$3</c:f>
              <c:strCache>
                <c:ptCount val="2"/>
                <c:pt idx="0">
                  <c:v>sc01</c:v>
                </c:pt>
                <c:pt idx="1">
                  <c:v>Reservoir2_Basin1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WtrReserve!$C$1:$N$1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WtrReserve!$C$3:$N$3</c:f>
              <c:numCache>
                <c:formatCode>0</c:formatCode>
                <c:ptCount val="12"/>
                <c:pt idx="0">
                  <c:v>509.03925333333331</c:v>
                </c:pt>
                <c:pt idx="1">
                  <c:v>487.3717333333334</c:v>
                </c:pt>
                <c:pt idx="2">
                  <c:v>488.2706933333335</c:v>
                </c:pt>
                <c:pt idx="3">
                  <c:v>427.00882666666683</c:v>
                </c:pt>
                <c:pt idx="4">
                  <c:v>400.70693333333344</c:v>
                </c:pt>
                <c:pt idx="5">
                  <c:v>367.33898545454605</c:v>
                </c:pt>
                <c:pt idx="6">
                  <c:v>357.40783878787954</c:v>
                </c:pt>
                <c:pt idx="7">
                  <c:v>334.22042545454616</c:v>
                </c:pt>
                <c:pt idx="8">
                  <c:v>315.01162545454633</c:v>
                </c:pt>
                <c:pt idx="9">
                  <c:v>281.67050545454629</c:v>
                </c:pt>
                <c:pt idx="10">
                  <c:v>340.65910545454625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DA-41FE-96A2-6C17BB1DA28C}"/>
            </c:ext>
          </c:extLst>
        </c:ser>
        <c:ser>
          <c:idx val="2"/>
          <c:order val="2"/>
          <c:tx>
            <c:strRef>
              <c:f>WtrReserve!$A$4:$B$4</c:f>
              <c:strCache>
                <c:ptCount val="2"/>
                <c:pt idx="0">
                  <c:v>sc01</c:v>
                </c:pt>
                <c:pt idx="1">
                  <c:v>Reservoir3_Basin1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WtrReserve!$C$1:$N$1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WtrReserve!$C$4:$N$4</c:f>
              <c:numCache>
                <c:formatCode>0</c:formatCode>
                <c:ptCount val="12"/>
                <c:pt idx="0">
                  <c:v>646.55524412121213</c:v>
                </c:pt>
                <c:pt idx="1">
                  <c:v>680.39654545454596</c:v>
                </c:pt>
                <c:pt idx="2">
                  <c:v>800</c:v>
                </c:pt>
                <c:pt idx="3">
                  <c:v>772.23301818181824</c:v>
                </c:pt>
                <c:pt idx="4">
                  <c:v>695.61135151515168</c:v>
                </c:pt>
                <c:pt idx="5">
                  <c:v>637.24532242424357</c:v>
                </c:pt>
                <c:pt idx="6">
                  <c:v>467.98235272727368</c:v>
                </c:pt>
                <c:pt idx="7">
                  <c:v>391.84056969696985</c:v>
                </c:pt>
                <c:pt idx="8">
                  <c:v>284.192387878788</c:v>
                </c:pt>
                <c:pt idx="9">
                  <c:v>200</c:v>
                </c:pt>
                <c:pt idx="10">
                  <c:v>200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DA-41FE-96A2-6C17BB1DA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025200"/>
        <c:axId val="386028944"/>
      </c:lineChart>
      <c:catAx>
        <c:axId val="38602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028944"/>
        <c:crosses val="autoZero"/>
        <c:auto val="1"/>
        <c:lblAlgn val="ctr"/>
        <c:lblOffset val="100"/>
        <c:noMultiLvlLbl val="0"/>
      </c:catAx>
      <c:valAx>
        <c:axId val="38602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Water</a:t>
                </a:r>
                <a:r>
                  <a:rPr lang="es-ES" baseline="0"/>
                  <a:t> reserve [hm</a:t>
                </a:r>
                <a:r>
                  <a:rPr lang="es-ES" baseline="30000"/>
                  <a:t>3</a:t>
                </a:r>
                <a:r>
                  <a:rPr lang="es-ES" baseline="0"/>
                  <a:t>]</a:t>
                </a:r>
                <a:endParaRPr lang="es-E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02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WtrValue!$A$2:$B$2</c:f>
              <c:strCache>
                <c:ptCount val="2"/>
                <c:pt idx="0">
                  <c:v>sc01</c:v>
                </c:pt>
                <c:pt idx="1">
                  <c:v>Reservoir1_Basin1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WtrValue!$C$1:$N$1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WtrValue!$C$2:$N$2</c:f>
              <c:numCache>
                <c:formatCode>0</c:formatCode>
                <c:ptCount val="12"/>
                <c:pt idx="0">
                  <c:v>39.838709677419359</c:v>
                </c:pt>
                <c:pt idx="1">
                  <c:v>44.642857142857146</c:v>
                </c:pt>
                <c:pt idx="2">
                  <c:v>40.322580645161288</c:v>
                </c:pt>
                <c:pt idx="3">
                  <c:v>41.666666666666664</c:v>
                </c:pt>
                <c:pt idx="4">
                  <c:v>40.322580645161288</c:v>
                </c:pt>
                <c:pt idx="5">
                  <c:v>41.666666666666664</c:v>
                </c:pt>
                <c:pt idx="6">
                  <c:v>40.322580645161288</c:v>
                </c:pt>
                <c:pt idx="7">
                  <c:v>40.322580645161288</c:v>
                </c:pt>
                <c:pt idx="8">
                  <c:v>41.666666666666664</c:v>
                </c:pt>
                <c:pt idx="9">
                  <c:v>40.322580645161288</c:v>
                </c:pt>
                <c:pt idx="10">
                  <c:v>39.999999999999993</c:v>
                </c:pt>
                <c:pt idx="11">
                  <c:v>38.709677419354833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6C-4B41-AD78-2EEA318B66BD}"/>
            </c:ext>
          </c:extLst>
        </c:ser>
        <c:ser>
          <c:idx val="1"/>
          <c:order val="1"/>
          <c:tx>
            <c:strRef>
              <c:f>WtrValue!$A$3:$B$3</c:f>
              <c:strCache>
                <c:ptCount val="2"/>
                <c:pt idx="0">
                  <c:v>sc01</c:v>
                </c:pt>
                <c:pt idx="1">
                  <c:v>Reservoir2_Basin1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WtrValue!$C$1:$N$1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WtrValue!$C$3:$N$3</c:f>
              <c:numCache>
                <c:formatCode>0</c:formatCode>
                <c:ptCount val="12"/>
                <c:pt idx="0">
                  <c:v>40.322580645161295</c:v>
                </c:pt>
                <c:pt idx="1">
                  <c:v>44.642857142857146</c:v>
                </c:pt>
                <c:pt idx="2">
                  <c:v>40.322580645161288</c:v>
                </c:pt>
                <c:pt idx="3">
                  <c:v>41.666666666666664</c:v>
                </c:pt>
                <c:pt idx="4">
                  <c:v>40.322580645161288</c:v>
                </c:pt>
                <c:pt idx="5">
                  <c:v>41.666666666666664</c:v>
                </c:pt>
                <c:pt idx="6">
                  <c:v>40.322580645161288</c:v>
                </c:pt>
                <c:pt idx="7">
                  <c:v>40.322580645161288</c:v>
                </c:pt>
                <c:pt idx="8">
                  <c:v>41.666666666666664</c:v>
                </c:pt>
                <c:pt idx="9">
                  <c:v>40.322580645161288</c:v>
                </c:pt>
                <c:pt idx="10">
                  <c:v>41.666666666666664</c:v>
                </c:pt>
                <c:pt idx="11">
                  <c:v>40.322580645161288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6C-4B41-AD78-2EEA318B66BD}"/>
            </c:ext>
          </c:extLst>
        </c:ser>
        <c:ser>
          <c:idx val="2"/>
          <c:order val="2"/>
          <c:tx>
            <c:strRef>
              <c:f>WtrValue!$A$4:$B$4</c:f>
              <c:strCache>
                <c:ptCount val="2"/>
                <c:pt idx="0">
                  <c:v>sc01</c:v>
                </c:pt>
                <c:pt idx="1">
                  <c:v>Reservoir3_Basin1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WtrValue!$C$1:$N$1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WtrValue!$C$4:$N$4</c:f>
              <c:numCache>
                <c:formatCode>0</c:formatCode>
                <c:ptCount val="12"/>
                <c:pt idx="0">
                  <c:v>19.677419354838712</c:v>
                </c:pt>
                <c:pt idx="1">
                  <c:v>22.321428571428573</c:v>
                </c:pt>
                <c:pt idx="2">
                  <c:v>20.161290322580644</c:v>
                </c:pt>
                <c:pt idx="3">
                  <c:v>20.833333333333332</c:v>
                </c:pt>
                <c:pt idx="4">
                  <c:v>20.161290322580644</c:v>
                </c:pt>
                <c:pt idx="5">
                  <c:v>20.833333333333332</c:v>
                </c:pt>
                <c:pt idx="6">
                  <c:v>20.161290322580644</c:v>
                </c:pt>
                <c:pt idx="7">
                  <c:v>20.161290322580644</c:v>
                </c:pt>
                <c:pt idx="8">
                  <c:v>20.833333333333332</c:v>
                </c:pt>
                <c:pt idx="9">
                  <c:v>20.161290322580644</c:v>
                </c:pt>
                <c:pt idx="10">
                  <c:v>19.999999999999996</c:v>
                </c:pt>
                <c:pt idx="11">
                  <c:v>18.548387096774196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6C-4B41-AD78-2EEA318B66BD}"/>
            </c:ext>
          </c:extLst>
        </c:ser>
        <c:ser>
          <c:idx val="3"/>
          <c:order val="3"/>
          <c:tx>
            <c:strRef>
              <c:f>WtrValue!$A$5:$B$5</c:f>
              <c:strCache>
                <c:ptCount val="2"/>
                <c:pt idx="0">
                  <c:v>sc02</c:v>
                </c:pt>
                <c:pt idx="1">
                  <c:v>Reservoir1_Basin1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WtrValue!$C$1:$N$1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WtrValue!$C$5:$N$5</c:f>
              <c:numCache>
                <c:formatCode>0</c:formatCode>
                <c:ptCount val="12"/>
                <c:pt idx="0">
                  <c:v>39.838709677419359</c:v>
                </c:pt>
                <c:pt idx="1">
                  <c:v>46.428571428571438</c:v>
                </c:pt>
                <c:pt idx="2">
                  <c:v>41.935483870967744</c:v>
                </c:pt>
                <c:pt idx="3">
                  <c:v>43.333333333333336</c:v>
                </c:pt>
                <c:pt idx="4">
                  <c:v>41.935483870967744</c:v>
                </c:pt>
                <c:pt idx="5">
                  <c:v>43.333333333333336</c:v>
                </c:pt>
                <c:pt idx="6">
                  <c:v>41.935483870967744</c:v>
                </c:pt>
                <c:pt idx="7">
                  <c:v>41.935483870967744</c:v>
                </c:pt>
                <c:pt idx="8">
                  <c:v>43.333333333333336</c:v>
                </c:pt>
                <c:pt idx="9">
                  <c:v>41.935483870967744</c:v>
                </c:pt>
                <c:pt idx="10">
                  <c:v>43.333333333333336</c:v>
                </c:pt>
                <c:pt idx="11">
                  <c:v>41.935483870967744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6C-4B41-AD78-2EEA318B66BD}"/>
            </c:ext>
          </c:extLst>
        </c:ser>
        <c:ser>
          <c:idx val="4"/>
          <c:order val="4"/>
          <c:tx>
            <c:strRef>
              <c:f>WtrValue!$A$6:$B$6</c:f>
              <c:strCache>
                <c:ptCount val="2"/>
                <c:pt idx="0">
                  <c:v>sc02</c:v>
                </c:pt>
                <c:pt idx="1">
                  <c:v>Reservoir2_Basin1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WtrValue!$C$1:$N$1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WtrValue!$C$6:$N$6</c:f>
              <c:numCache>
                <c:formatCode>0</c:formatCode>
                <c:ptCount val="12"/>
                <c:pt idx="0">
                  <c:v>40.322580645161295</c:v>
                </c:pt>
                <c:pt idx="1">
                  <c:v>46.428571428571438</c:v>
                </c:pt>
                <c:pt idx="2">
                  <c:v>41.935483870967744</c:v>
                </c:pt>
                <c:pt idx="3">
                  <c:v>43.333333333333336</c:v>
                </c:pt>
                <c:pt idx="4">
                  <c:v>41.935483870967744</c:v>
                </c:pt>
                <c:pt idx="5">
                  <c:v>43.333333333333336</c:v>
                </c:pt>
                <c:pt idx="6">
                  <c:v>41.935483870967744</c:v>
                </c:pt>
                <c:pt idx="7">
                  <c:v>41.935483870967744</c:v>
                </c:pt>
                <c:pt idx="8">
                  <c:v>43.333333333333336</c:v>
                </c:pt>
                <c:pt idx="9">
                  <c:v>41.935483870967744</c:v>
                </c:pt>
                <c:pt idx="10">
                  <c:v>43.333333333333336</c:v>
                </c:pt>
                <c:pt idx="11">
                  <c:v>41.935483870967744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6C-4B41-AD78-2EEA318B66BD}"/>
            </c:ext>
          </c:extLst>
        </c:ser>
        <c:ser>
          <c:idx val="5"/>
          <c:order val="5"/>
          <c:tx>
            <c:strRef>
              <c:f>WtrValue!$A$7:$B$7</c:f>
              <c:strCache>
                <c:ptCount val="2"/>
                <c:pt idx="0">
                  <c:v>sc02</c:v>
                </c:pt>
                <c:pt idx="1">
                  <c:v>Reservoir3_Basin1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WtrValue!$C$1:$N$1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WtrValue!$C$7:$N$7</c:f>
              <c:numCache>
                <c:formatCode>0</c:formatCode>
                <c:ptCount val="12"/>
                <c:pt idx="0">
                  <c:v>19.677419354838712</c:v>
                </c:pt>
                <c:pt idx="1">
                  <c:v>23.214285714285719</c:v>
                </c:pt>
                <c:pt idx="2">
                  <c:v>20.967741935483872</c:v>
                </c:pt>
                <c:pt idx="3">
                  <c:v>21.666666666666668</c:v>
                </c:pt>
                <c:pt idx="4">
                  <c:v>20.967741935483872</c:v>
                </c:pt>
                <c:pt idx="5">
                  <c:v>21.666666666666668</c:v>
                </c:pt>
                <c:pt idx="6">
                  <c:v>20.967741935483872</c:v>
                </c:pt>
                <c:pt idx="7">
                  <c:v>20.967741935483872</c:v>
                </c:pt>
                <c:pt idx="8">
                  <c:v>21.666666666666668</c:v>
                </c:pt>
                <c:pt idx="9">
                  <c:v>20.967741935483872</c:v>
                </c:pt>
                <c:pt idx="10">
                  <c:v>21.666666666666668</c:v>
                </c:pt>
                <c:pt idx="11">
                  <c:v>20.967741935483872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6C-4B41-AD78-2EEA318B66BD}"/>
            </c:ext>
          </c:extLst>
        </c:ser>
        <c:ser>
          <c:idx val="6"/>
          <c:order val="6"/>
          <c:tx>
            <c:strRef>
              <c:f>WtrValue!$A$8:$B$8</c:f>
              <c:strCache>
                <c:ptCount val="2"/>
                <c:pt idx="0">
                  <c:v>sc03</c:v>
                </c:pt>
                <c:pt idx="1">
                  <c:v>Reservoir1_Basin1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WtrValue!$C$1:$N$1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WtrValue!$C$8:$N$8</c:f>
              <c:numCache>
                <c:formatCode>0</c:formatCode>
                <c:ptCount val="12"/>
                <c:pt idx="0">
                  <c:v>39.838709677419359</c:v>
                </c:pt>
                <c:pt idx="1">
                  <c:v>32.142857142857089</c:v>
                </c:pt>
                <c:pt idx="2">
                  <c:v>29.032258064516082</c:v>
                </c:pt>
                <c:pt idx="3">
                  <c:v>29.99999999999995</c:v>
                </c:pt>
                <c:pt idx="4">
                  <c:v>33.870967741935473</c:v>
                </c:pt>
                <c:pt idx="5">
                  <c:v>34.999999999999993</c:v>
                </c:pt>
                <c:pt idx="6">
                  <c:v>33.870967741935473</c:v>
                </c:pt>
                <c:pt idx="7">
                  <c:v>33.870967741935473</c:v>
                </c:pt>
                <c:pt idx="8">
                  <c:v>34.999999999999993</c:v>
                </c:pt>
                <c:pt idx="9">
                  <c:v>33.870967741935473</c:v>
                </c:pt>
                <c:pt idx="10">
                  <c:v>34.999999999999993</c:v>
                </c:pt>
                <c:pt idx="11">
                  <c:v>12.499999999999996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66C-4B41-AD78-2EEA318B66BD}"/>
            </c:ext>
          </c:extLst>
        </c:ser>
        <c:ser>
          <c:idx val="7"/>
          <c:order val="7"/>
          <c:tx>
            <c:strRef>
              <c:f>WtrValue!$A$9:$B$9</c:f>
              <c:strCache>
                <c:ptCount val="2"/>
                <c:pt idx="0">
                  <c:v>sc03</c:v>
                </c:pt>
                <c:pt idx="1">
                  <c:v>Reservoir2_Basin1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WtrValue!$C$1:$N$1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WtrValue!$C$9:$N$9</c:f>
              <c:numCache>
                <c:formatCode>0</c:formatCode>
                <c:ptCount val="12"/>
                <c:pt idx="0">
                  <c:v>40.322580645161295</c:v>
                </c:pt>
                <c:pt idx="1">
                  <c:v>37.499999999999986</c:v>
                </c:pt>
                <c:pt idx="2">
                  <c:v>33.870967741935473</c:v>
                </c:pt>
                <c:pt idx="3">
                  <c:v>34.999999999999986</c:v>
                </c:pt>
                <c:pt idx="4">
                  <c:v>33.870967741935473</c:v>
                </c:pt>
                <c:pt idx="5">
                  <c:v>34.999999999999986</c:v>
                </c:pt>
                <c:pt idx="6">
                  <c:v>33.870967741935473</c:v>
                </c:pt>
                <c:pt idx="7">
                  <c:v>33.870967741935473</c:v>
                </c:pt>
                <c:pt idx="8">
                  <c:v>34.999999999999986</c:v>
                </c:pt>
                <c:pt idx="9">
                  <c:v>33.870967741935473</c:v>
                </c:pt>
                <c:pt idx="10">
                  <c:v>34.999999999999986</c:v>
                </c:pt>
                <c:pt idx="11">
                  <c:v>33.870967741935473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66C-4B41-AD78-2EEA318B66BD}"/>
            </c:ext>
          </c:extLst>
        </c:ser>
        <c:ser>
          <c:idx val="8"/>
          <c:order val="8"/>
          <c:tx>
            <c:strRef>
              <c:f>WtrValue!$A$10:$B$10</c:f>
              <c:strCache>
                <c:ptCount val="2"/>
                <c:pt idx="0">
                  <c:v>sc03</c:v>
                </c:pt>
                <c:pt idx="1">
                  <c:v>Reservoir3_Basin1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WtrValue!$C$1:$N$1</c:f>
              <c:strCache>
                <c:ptCount val="12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  <c:pt idx="6">
                  <c:v>p07</c:v>
                </c:pt>
                <c:pt idx="7">
                  <c:v>p08</c:v>
                </c:pt>
                <c:pt idx="8">
                  <c:v>p09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WtrValue!$C$10:$N$10</c:f>
              <c:numCache>
                <c:formatCode>0</c:formatCode>
                <c:ptCount val="12"/>
                <c:pt idx="0">
                  <c:v>19.677419354838712</c:v>
                </c:pt>
                <c:pt idx="1">
                  <c:v>13.392857142857132</c:v>
                </c:pt>
                <c:pt idx="2">
                  <c:v>12.096774193548384</c:v>
                </c:pt>
                <c:pt idx="3">
                  <c:v>12.499999999999996</c:v>
                </c:pt>
                <c:pt idx="4">
                  <c:v>12.096774193548384</c:v>
                </c:pt>
                <c:pt idx="5">
                  <c:v>12.499999999999996</c:v>
                </c:pt>
                <c:pt idx="6">
                  <c:v>12.499999999999998</c:v>
                </c:pt>
                <c:pt idx="7">
                  <c:v>12.499999999999998</c:v>
                </c:pt>
                <c:pt idx="8">
                  <c:v>12.916666666666666</c:v>
                </c:pt>
                <c:pt idx="9">
                  <c:v>12.499999999999998</c:v>
                </c:pt>
                <c:pt idx="10">
                  <c:v>12.499999999999996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66C-4B41-AD78-2EEA318B6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905632"/>
        <c:axId val="610898976"/>
      </c:lineChart>
      <c:catAx>
        <c:axId val="61090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898976"/>
        <c:crosses val="autoZero"/>
        <c:auto val="1"/>
        <c:lblAlgn val="ctr"/>
        <c:lblOffset val="100"/>
        <c:noMultiLvlLbl val="0"/>
      </c:catAx>
      <c:valAx>
        <c:axId val="6108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Water value [EUR/MWh]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90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SRMC!$A$4</c:f>
              <c:strCache>
                <c:ptCount val="1"/>
                <c:pt idx="0">
                  <c:v>sc01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SRMC!$B$1:$BU$3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SRMC!$B$4:$BU$4</c:f>
              <c:numCache>
                <c:formatCode>0</c:formatCode>
                <c:ptCount val="72"/>
                <c:pt idx="0">
                  <c:v>52.000000000000007</c:v>
                </c:pt>
                <c:pt idx="1">
                  <c:v>50</c:v>
                </c:pt>
                <c:pt idx="2">
                  <c:v>30.999999999999996</c:v>
                </c:pt>
                <c:pt idx="3">
                  <c:v>51.20000000000001</c:v>
                </c:pt>
                <c:pt idx="4">
                  <c:v>48.800000000000004</c:v>
                </c:pt>
                <c:pt idx="5">
                  <c:v>30.999999999999996</c:v>
                </c:pt>
                <c:pt idx="6">
                  <c:v>50</c:v>
                </c:pt>
                <c:pt idx="7">
                  <c:v>50</c:v>
                </c:pt>
                <c:pt idx="8">
                  <c:v>30.999999999999996</c:v>
                </c:pt>
                <c:pt idx="9">
                  <c:v>49.999999999999993</c:v>
                </c:pt>
                <c:pt idx="10">
                  <c:v>49.999999999999993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31</c:v>
                </c:pt>
                <c:pt idx="15">
                  <c:v>50</c:v>
                </c:pt>
                <c:pt idx="16">
                  <c:v>50</c:v>
                </c:pt>
                <c:pt idx="17">
                  <c:v>31.000000000000007</c:v>
                </c:pt>
                <c:pt idx="18">
                  <c:v>50</c:v>
                </c:pt>
                <c:pt idx="19">
                  <c:v>50</c:v>
                </c:pt>
                <c:pt idx="20">
                  <c:v>30.000000000000004</c:v>
                </c:pt>
                <c:pt idx="21">
                  <c:v>50</c:v>
                </c:pt>
                <c:pt idx="22">
                  <c:v>50.000000000000007</c:v>
                </c:pt>
                <c:pt idx="23">
                  <c:v>30.000000000000004</c:v>
                </c:pt>
                <c:pt idx="24">
                  <c:v>50</c:v>
                </c:pt>
                <c:pt idx="25">
                  <c:v>50</c:v>
                </c:pt>
                <c:pt idx="26">
                  <c:v>30.999999999999996</c:v>
                </c:pt>
                <c:pt idx="27">
                  <c:v>50</c:v>
                </c:pt>
                <c:pt idx="28">
                  <c:v>50</c:v>
                </c:pt>
                <c:pt idx="29">
                  <c:v>84.833333333333343</c:v>
                </c:pt>
                <c:pt idx="30">
                  <c:v>50</c:v>
                </c:pt>
                <c:pt idx="31">
                  <c:v>50</c:v>
                </c:pt>
                <c:pt idx="32">
                  <c:v>31</c:v>
                </c:pt>
                <c:pt idx="33">
                  <c:v>50</c:v>
                </c:pt>
                <c:pt idx="34">
                  <c:v>50</c:v>
                </c:pt>
                <c:pt idx="35">
                  <c:v>31</c:v>
                </c:pt>
                <c:pt idx="36">
                  <c:v>50</c:v>
                </c:pt>
                <c:pt idx="37">
                  <c:v>50</c:v>
                </c:pt>
                <c:pt idx="38">
                  <c:v>31</c:v>
                </c:pt>
                <c:pt idx="39">
                  <c:v>50</c:v>
                </c:pt>
                <c:pt idx="40">
                  <c:v>49.999999999999993</c:v>
                </c:pt>
                <c:pt idx="41">
                  <c:v>31</c:v>
                </c:pt>
                <c:pt idx="42">
                  <c:v>50</c:v>
                </c:pt>
                <c:pt idx="43">
                  <c:v>50</c:v>
                </c:pt>
                <c:pt idx="44">
                  <c:v>0</c:v>
                </c:pt>
                <c:pt idx="45">
                  <c:v>50</c:v>
                </c:pt>
                <c:pt idx="46">
                  <c:v>50</c:v>
                </c:pt>
                <c:pt idx="47">
                  <c:v>106.77777777777777</c:v>
                </c:pt>
                <c:pt idx="48">
                  <c:v>50.000000000000007</c:v>
                </c:pt>
                <c:pt idx="49">
                  <c:v>50</c:v>
                </c:pt>
                <c:pt idx="50">
                  <c:v>0</c:v>
                </c:pt>
                <c:pt idx="51">
                  <c:v>50</c:v>
                </c:pt>
                <c:pt idx="52">
                  <c:v>50</c:v>
                </c:pt>
                <c:pt idx="53">
                  <c:v>85.25</c:v>
                </c:pt>
                <c:pt idx="54">
                  <c:v>52.000000000000007</c:v>
                </c:pt>
                <c:pt idx="55">
                  <c:v>50.000000000000007</c:v>
                </c:pt>
                <c:pt idx="56">
                  <c:v>30.000000000000004</c:v>
                </c:pt>
                <c:pt idx="57">
                  <c:v>50</c:v>
                </c:pt>
                <c:pt idx="58">
                  <c:v>50</c:v>
                </c:pt>
                <c:pt idx="59">
                  <c:v>30.000000000000004</c:v>
                </c:pt>
                <c:pt idx="60">
                  <c:v>52.000000000000007</c:v>
                </c:pt>
                <c:pt idx="61">
                  <c:v>47.999999999999993</c:v>
                </c:pt>
                <c:pt idx="62">
                  <c:v>31.000000000000004</c:v>
                </c:pt>
                <c:pt idx="63">
                  <c:v>52.000000000000007</c:v>
                </c:pt>
                <c:pt idx="64">
                  <c:v>47.999999999999993</c:v>
                </c:pt>
                <c:pt idx="65">
                  <c:v>31.000000000000011</c:v>
                </c:pt>
                <c:pt idx="66">
                  <c:v>54</c:v>
                </c:pt>
                <c:pt idx="67">
                  <c:v>50</c:v>
                </c:pt>
                <c:pt idx="68">
                  <c:v>31</c:v>
                </c:pt>
                <c:pt idx="69">
                  <c:v>54</c:v>
                </c:pt>
                <c:pt idx="70">
                  <c:v>46</c:v>
                </c:pt>
                <c:pt idx="7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BF-4749-834F-37F5A18E276E}"/>
            </c:ext>
          </c:extLst>
        </c:ser>
        <c:ser>
          <c:idx val="1"/>
          <c:order val="1"/>
          <c:tx>
            <c:strRef>
              <c:f>SRMC!$A$5</c:f>
              <c:strCache>
                <c:ptCount val="1"/>
                <c:pt idx="0">
                  <c:v>sc02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SRMC!$B$1:$BU$3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SRMC!$B$5:$BU$5</c:f>
              <c:numCache>
                <c:formatCode>0</c:formatCode>
                <c:ptCount val="72"/>
                <c:pt idx="0">
                  <c:v>52.000000000000007</c:v>
                </c:pt>
                <c:pt idx="1">
                  <c:v>50</c:v>
                </c:pt>
                <c:pt idx="2">
                  <c:v>30.999999999999996</c:v>
                </c:pt>
                <c:pt idx="3">
                  <c:v>51.20000000000001</c:v>
                </c:pt>
                <c:pt idx="4">
                  <c:v>48.800000000000004</c:v>
                </c:pt>
                <c:pt idx="5">
                  <c:v>30.999999999999996</c:v>
                </c:pt>
                <c:pt idx="6">
                  <c:v>50.000000000000007</c:v>
                </c:pt>
                <c:pt idx="7">
                  <c:v>49.999999999999993</c:v>
                </c:pt>
                <c:pt idx="8">
                  <c:v>30.999999999999996</c:v>
                </c:pt>
                <c:pt idx="9">
                  <c:v>57.000000000000007</c:v>
                </c:pt>
                <c:pt idx="10">
                  <c:v>57.769230769230809</c:v>
                </c:pt>
                <c:pt idx="11">
                  <c:v>31.000000000000004</c:v>
                </c:pt>
                <c:pt idx="12">
                  <c:v>52.000000000000014</c:v>
                </c:pt>
                <c:pt idx="13">
                  <c:v>52.000000000000014</c:v>
                </c:pt>
                <c:pt idx="14">
                  <c:v>31.000000000000004</c:v>
                </c:pt>
                <c:pt idx="15">
                  <c:v>52.000000000000007</c:v>
                </c:pt>
                <c:pt idx="16">
                  <c:v>52.000000000000014</c:v>
                </c:pt>
                <c:pt idx="17">
                  <c:v>31.000000000000007</c:v>
                </c:pt>
                <c:pt idx="18">
                  <c:v>52.000000000000014</c:v>
                </c:pt>
                <c:pt idx="19">
                  <c:v>52.000000000000007</c:v>
                </c:pt>
                <c:pt idx="20">
                  <c:v>0</c:v>
                </c:pt>
                <c:pt idx="21">
                  <c:v>52.000000000000007</c:v>
                </c:pt>
                <c:pt idx="22">
                  <c:v>30.999999999999996</c:v>
                </c:pt>
                <c:pt idx="23">
                  <c:v>76.896103896103895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30.999999999999996</c:v>
                </c:pt>
                <c:pt idx="27">
                  <c:v>58.518518518518533</c:v>
                </c:pt>
                <c:pt idx="28">
                  <c:v>57.264957264957332</c:v>
                </c:pt>
                <c:pt idx="29">
                  <c:v>90.500000000000028</c:v>
                </c:pt>
                <c:pt idx="30">
                  <c:v>52.000000000000014</c:v>
                </c:pt>
                <c:pt idx="31">
                  <c:v>52.000000000000014</c:v>
                </c:pt>
                <c:pt idx="32">
                  <c:v>31.000000000000004</c:v>
                </c:pt>
                <c:pt idx="33">
                  <c:v>52.000000000000021</c:v>
                </c:pt>
                <c:pt idx="34">
                  <c:v>52.000000000000014</c:v>
                </c:pt>
                <c:pt idx="35">
                  <c:v>31.000000000000004</c:v>
                </c:pt>
                <c:pt idx="36">
                  <c:v>52.000000000000014</c:v>
                </c:pt>
                <c:pt idx="37">
                  <c:v>52</c:v>
                </c:pt>
                <c:pt idx="38">
                  <c:v>30.999999999999996</c:v>
                </c:pt>
                <c:pt idx="39">
                  <c:v>52.000000000000021</c:v>
                </c:pt>
                <c:pt idx="40">
                  <c:v>52</c:v>
                </c:pt>
                <c:pt idx="41">
                  <c:v>31.000000000000004</c:v>
                </c:pt>
                <c:pt idx="42">
                  <c:v>52.000000000000007</c:v>
                </c:pt>
                <c:pt idx="43">
                  <c:v>52.000000000000007</c:v>
                </c:pt>
                <c:pt idx="44">
                  <c:v>0</c:v>
                </c:pt>
                <c:pt idx="45">
                  <c:v>52.000000000000021</c:v>
                </c:pt>
                <c:pt idx="46">
                  <c:v>52.000000000000014</c:v>
                </c:pt>
                <c:pt idx="47">
                  <c:v>106.77777777777779</c:v>
                </c:pt>
                <c:pt idx="48">
                  <c:v>52</c:v>
                </c:pt>
                <c:pt idx="49">
                  <c:v>52.000000000000007</c:v>
                </c:pt>
                <c:pt idx="50">
                  <c:v>30.999999999999996</c:v>
                </c:pt>
                <c:pt idx="51">
                  <c:v>52.000000000000007</c:v>
                </c:pt>
                <c:pt idx="52">
                  <c:v>49.999999999999993</c:v>
                </c:pt>
                <c:pt idx="53">
                  <c:v>30.999999999999996</c:v>
                </c:pt>
                <c:pt idx="54">
                  <c:v>52.000000000000007</c:v>
                </c:pt>
                <c:pt idx="55">
                  <c:v>49.999999999999993</c:v>
                </c:pt>
                <c:pt idx="56">
                  <c:v>30.999999999999996</c:v>
                </c:pt>
                <c:pt idx="57">
                  <c:v>52.000000000000021</c:v>
                </c:pt>
                <c:pt idx="58">
                  <c:v>31.000000000000004</c:v>
                </c:pt>
                <c:pt idx="59">
                  <c:v>31.000000000000004</c:v>
                </c:pt>
                <c:pt idx="60">
                  <c:v>52.000000000000014</c:v>
                </c:pt>
                <c:pt idx="61">
                  <c:v>52.000000000000014</c:v>
                </c:pt>
                <c:pt idx="62">
                  <c:v>31.000000000000004</c:v>
                </c:pt>
                <c:pt idx="63">
                  <c:v>52.000000000000021</c:v>
                </c:pt>
                <c:pt idx="64">
                  <c:v>52.000000000000014</c:v>
                </c:pt>
                <c:pt idx="65">
                  <c:v>31.000000000000004</c:v>
                </c:pt>
                <c:pt idx="66">
                  <c:v>52.000000000000014</c:v>
                </c:pt>
                <c:pt idx="67">
                  <c:v>52.000000000000014</c:v>
                </c:pt>
                <c:pt idx="68">
                  <c:v>31.000000000000004</c:v>
                </c:pt>
                <c:pt idx="69">
                  <c:v>52.000000000000014</c:v>
                </c:pt>
                <c:pt idx="70">
                  <c:v>49.999999999999993</c:v>
                </c:pt>
                <c:pt idx="71">
                  <c:v>31.000000000000004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BF-4749-834F-37F5A18E276E}"/>
            </c:ext>
          </c:extLst>
        </c:ser>
        <c:ser>
          <c:idx val="2"/>
          <c:order val="2"/>
          <c:tx>
            <c:strRef>
              <c:f>SRMC!$A$6</c:f>
              <c:strCache>
                <c:ptCount val="1"/>
                <c:pt idx="0">
                  <c:v>sc03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SRMC!$B$1:$BU$3</c:f>
              <c:multiLvlStrCache>
                <c:ptCount val="72"/>
                <c:lvl>
                  <c:pt idx="0">
                    <c:v>n01</c:v>
                  </c:pt>
                  <c:pt idx="1">
                    <c:v>n02</c:v>
                  </c:pt>
                  <c:pt idx="2">
                    <c:v>n03</c:v>
                  </c:pt>
                  <c:pt idx="3">
                    <c:v>n01</c:v>
                  </c:pt>
                  <c:pt idx="4">
                    <c:v>n02</c:v>
                  </c:pt>
                  <c:pt idx="5">
                    <c:v>n03</c:v>
                  </c:pt>
                  <c:pt idx="6">
                    <c:v>n01</c:v>
                  </c:pt>
                  <c:pt idx="7">
                    <c:v>n02</c:v>
                  </c:pt>
                  <c:pt idx="8">
                    <c:v>n03</c:v>
                  </c:pt>
                  <c:pt idx="9">
                    <c:v>n01</c:v>
                  </c:pt>
                  <c:pt idx="10">
                    <c:v>n02</c:v>
                  </c:pt>
                  <c:pt idx="11">
                    <c:v>n03</c:v>
                  </c:pt>
                  <c:pt idx="12">
                    <c:v>n01</c:v>
                  </c:pt>
                  <c:pt idx="13">
                    <c:v>n02</c:v>
                  </c:pt>
                  <c:pt idx="14">
                    <c:v>n03</c:v>
                  </c:pt>
                  <c:pt idx="15">
                    <c:v>n01</c:v>
                  </c:pt>
                  <c:pt idx="16">
                    <c:v>n02</c:v>
                  </c:pt>
                  <c:pt idx="17">
                    <c:v>n03</c:v>
                  </c:pt>
                  <c:pt idx="18">
                    <c:v>n01</c:v>
                  </c:pt>
                  <c:pt idx="19">
                    <c:v>n02</c:v>
                  </c:pt>
                  <c:pt idx="20">
                    <c:v>n03</c:v>
                  </c:pt>
                  <c:pt idx="21">
                    <c:v>n01</c:v>
                  </c:pt>
                  <c:pt idx="22">
                    <c:v>n02</c:v>
                  </c:pt>
                  <c:pt idx="23">
                    <c:v>n03</c:v>
                  </c:pt>
                  <c:pt idx="24">
                    <c:v>n01</c:v>
                  </c:pt>
                  <c:pt idx="25">
                    <c:v>n02</c:v>
                  </c:pt>
                  <c:pt idx="26">
                    <c:v>n03</c:v>
                  </c:pt>
                  <c:pt idx="27">
                    <c:v>n01</c:v>
                  </c:pt>
                  <c:pt idx="28">
                    <c:v>n02</c:v>
                  </c:pt>
                  <c:pt idx="29">
                    <c:v>n03</c:v>
                  </c:pt>
                  <c:pt idx="30">
                    <c:v>n01</c:v>
                  </c:pt>
                  <c:pt idx="31">
                    <c:v>n02</c:v>
                  </c:pt>
                  <c:pt idx="32">
                    <c:v>n03</c:v>
                  </c:pt>
                  <c:pt idx="33">
                    <c:v>n01</c:v>
                  </c:pt>
                  <c:pt idx="34">
                    <c:v>n02</c:v>
                  </c:pt>
                  <c:pt idx="35">
                    <c:v>n03</c:v>
                  </c:pt>
                  <c:pt idx="36">
                    <c:v>n01</c:v>
                  </c:pt>
                  <c:pt idx="37">
                    <c:v>n02</c:v>
                  </c:pt>
                  <c:pt idx="38">
                    <c:v>n03</c:v>
                  </c:pt>
                  <c:pt idx="39">
                    <c:v>n01</c:v>
                  </c:pt>
                  <c:pt idx="40">
                    <c:v>n02</c:v>
                  </c:pt>
                  <c:pt idx="41">
                    <c:v>n03</c:v>
                  </c:pt>
                  <c:pt idx="42">
                    <c:v>n01</c:v>
                  </c:pt>
                  <c:pt idx="43">
                    <c:v>n02</c:v>
                  </c:pt>
                  <c:pt idx="44">
                    <c:v>n03</c:v>
                  </c:pt>
                  <c:pt idx="45">
                    <c:v>n01</c:v>
                  </c:pt>
                  <c:pt idx="46">
                    <c:v>n02</c:v>
                  </c:pt>
                  <c:pt idx="47">
                    <c:v>n03</c:v>
                  </c:pt>
                  <c:pt idx="48">
                    <c:v>n01</c:v>
                  </c:pt>
                  <c:pt idx="49">
                    <c:v>n02</c:v>
                  </c:pt>
                  <c:pt idx="50">
                    <c:v>n03</c:v>
                  </c:pt>
                  <c:pt idx="51">
                    <c:v>n01</c:v>
                  </c:pt>
                  <c:pt idx="52">
                    <c:v>n02</c:v>
                  </c:pt>
                  <c:pt idx="53">
                    <c:v>n03</c:v>
                  </c:pt>
                  <c:pt idx="54">
                    <c:v>n01</c:v>
                  </c:pt>
                  <c:pt idx="55">
                    <c:v>n02</c:v>
                  </c:pt>
                  <c:pt idx="56">
                    <c:v>n03</c:v>
                  </c:pt>
                  <c:pt idx="57">
                    <c:v>n01</c:v>
                  </c:pt>
                  <c:pt idx="58">
                    <c:v>n02</c:v>
                  </c:pt>
                  <c:pt idx="59">
                    <c:v>n03</c:v>
                  </c:pt>
                  <c:pt idx="60">
                    <c:v>n01</c:v>
                  </c:pt>
                  <c:pt idx="61">
                    <c:v>n02</c:v>
                  </c:pt>
                  <c:pt idx="62">
                    <c:v>n03</c:v>
                  </c:pt>
                  <c:pt idx="63">
                    <c:v>n01</c:v>
                  </c:pt>
                  <c:pt idx="64">
                    <c:v>n02</c:v>
                  </c:pt>
                  <c:pt idx="65">
                    <c:v>n03</c:v>
                  </c:pt>
                  <c:pt idx="66">
                    <c:v>n01</c:v>
                  </c:pt>
                  <c:pt idx="67">
                    <c:v>n02</c:v>
                  </c:pt>
                  <c:pt idx="68">
                    <c:v>n03</c:v>
                  </c:pt>
                  <c:pt idx="69">
                    <c:v>n01</c:v>
                  </c:pt>
                  <c:pt idx="70">
                    <c:v>n02</c:v>
                  </c:pt>
                  <c:pt idx="71">
                    <c:v>n03</c:v>
                  </c:pt>
                </c:lvl>
                <c:lvl>
                  <c:pt idx="0">
                    <c:v>WeekDay</c:v>
                  </c:pt>
                  <c:pt idx="1">
                    <c:v>WeekDay</c:v>
                  </c:pt>
                  <c:pt idx="2">
                    <c:v>WeekDay</c:v>
                  </c:pt>
                  <c:pt idx="3">
                    <c:v>WeekEnd</c:v>
                  </c:pt>
                  <c:pt idx="4">
                    <c:v>WeekEnd</c:v>
                  </c:pt>
                  <c:pt idx="5">
                    <c:v>WeekEnd</c:v>
                  </c:pt>
                  <c:pt idx="6">
                    <c:v>WeekDay</c:v>
                  </c:pt>
                  <c:pt idx="7">
                    <c:v>WeekDay</c:v>
                  </c:pt>
                  <c:pt idx="8">
                    <c:v>WeekDay</c:v>
                  </c:pt>
                  <c:pt idx="9">
                    <c:v>WeekEnd</c:v>
                  </c:pt>
                  <c:pt idx="10">
                    <c:v>WeekEnd</c:v>
                  </c:pt>
                  <c:pt idx="11">
                    <c:v>WeekEnd</c:v>
                  </c:pt>
                  <c:pt idx="12">
                    <c:v>WeekDay</c:v>
                  </c:pt>
                  <c:pt idx="13">
                    <c:v>WeekDay</c:v>
                  </c:pt>
                  <c:pt idx="14">
                    <c:v>WeekDay</c:v>
                  </c:pt>
                  <c:pt idx="15">
                    <c:v>WeekEnd</c:v>
                  </c:pt>
                  <c:pt idx="16">
                    <c:v>WeekEnd</c:v>
                  </c:pt>
                  <c:pt idx="17">
                    <c:v>WeekEnd</c:v>
                  </c:pt>
                  <c:pt idx="18">
                    <c:v>WeekDay</c:v>
                  </c:pt>
                  <c:pt idx="19">
                    <c:v>WeekDay</c:v>
                  </c:pt>
                  <c:pt idx="20">
                    <c:v>WeekDay</c:v>
                  </c:pt>
                  <c:pt idx="21">
                    <c:v>WeekEnd</c:v>
                  </c:pt>
                  <c:pt idx="22">
                    <c:v>WeekEnd</c:v>
                  </c:pt>
                  <c:pt idx="23">
                    <c:v>WeekEnd</c:v>
                  </c:pt>
                  <c:pt idx="24">
                    <c:v>WeekDay</c:v>
                  </c:pt>
                  <c:pt idx="25">
                    <c:v>WeekDay</c:v>
                  </c:pt>
                  <c:pt idx="26">
                    <c:v>WeekDay</c:v>
                  </c:pt>
                  <c:pt idx="27">
                    <c:v>WeekEnd</c:v>
                  </c:pt>
                  <c:pt idx="28">
                    <c:v>WeekEnd</c:v>
                  </c:pt>
                  <c:pt idx="29">
                    <c:v>WeekEnd</c:v>
                  </c:pt>
                  <c:pt idx="30">
                    <c:v>WeekDay</c:v>
                  </c:pt>
                  <c:pt idx="31">
                    <c:v>WeekDay</c:v>
                  </c:pt>
                  <c:pt idx="32">
                    <c:v>WeekDay</c:v>
                  </c:pt>
                  <c:pt idx="33">
                    <c:v>WeekEnd</c:v>
                  </c:pt>
                  <c:pt idx="34">
                    <c:v>WeekEnd</c:v>
                  </c:pt>
                  <c:pt idx="35">
                    <c:v>WeekEnd</c:v>
                  </c:pt>
                  <c:pt idx="36">
                    <c:v>WeekDay</c:v>
                  </c:pt>
                  <c:pt idx="37">
                    <c:v>WeekDay</c:v>
                  </c:pt>
                  <c:pt idx="38">
                    <c:v>WeekDay</c:v>
                  </c:pt>
                  <c:pt idx="39">
                    <c:v>WeekEnd</c:v>
                  </c:pt>
                  <c:pt idx="40">
                    <c:v>WeekEnd</c:v>
                  </c:pt>
                  <c:pt idx="41">
                    <c:v>WeekEnd</c:v>
                  </c:pt>
                  <c:pt idx="42">
                    <c:v>WeekDay</c:v>
                  </c:pt>
                  <c:pt idx="43">
                    <c:v>WeekDay</c:v>
                  </c:pt>
                  <c:pt idx="44">
                    <c:v>WeekDay</c:v>
                  </c:pt>
                  <c:pt idx="45">
                    <c:v>WeekEnd</c:v>
                  </c:pt>
                  <c:pt idx="46">
                    <c:v>WeekEnd</c:v>
                  </c:pt>
                  <c:pt idx="47">
                    <c:v>WeekEnd</c:v>
                  </c:pt>
                  <c:pt idx="48">
                    <c:v>WeekDay</c:v>
                  </c:pt>
                  <c:pt idx="49">
                    <c:v>WeekDay</c:v>
                  </c:pt>
                  <c:pt idx="50">
                    <c:v>WeekDay</c:v>
                  </c:pt>
                  <c:pt idx="51">
                    <c:v>WeekEnd</c:v>
                  </c:pt>
                  <c:pt idx="52">
                    <c:v>WeekEnd</c:v>
                  </c:pt>
                  <c:pt idx="53">
                    <c:v>WeekEnd</c:v>
                  </c:pt>
                  <c:pt idx="54">
                    <c:v>WeekDay</c:v>
                  </c:pt>
                  <c:pt idx="55">
                    <c:v>WeekDay</c:v>
                  </c:pt>
                  <c:pt idx="56">
                    <c:v>WeekDay</c:v>
                  </c:pt>
                  <c:pt idx="57">
                    <c:v>WeekEnd</c:v>
                  </c:pt>
                  <c:pt idx="58">
                    <c:v>WeekEnd</c:v>
                  </c:pt>
                  <c:pt idx="59">
                    <c:v>WeekEnd</c:v>
                  </c:pt>
                  <c:pt idx="60">
                    <c:v>WeekDay</c:v>
                  </c:pt>
                  <c:pt idx="61">
                    <c:v>WeekDay</c:v>
                  </c:pt>
                  <c:pt idx="62">
                    <c:v>WeekDay</c:v>
                  </c:pt>
                  <c:pt idx="63">
                    <c:v>WeekEnd</c:v>
                  </c:pt>
                  <c:pt idx="64">
                    <c:v>WeekEnd</c:v>
                  </c:pt>
                  <c:pt idx="65">
                    <c:v>WeekEnd</c:v>
                  </c:pt>
                  <c:pt idx="66">
                    <c:v>WeekDay</c:v>
                  </c:pt>
                  <c:pt idx="67">
                    <c:v>WeekDay</c:v>
                  </c:pt>
                  <c:pt idx="68">
                    <c:v>WeekDay</c:v>
                  </c:pt>
                  <c:pt idx="69">
                    <c:v>WeekEnd</c:v>
                  </c:pt>
                  <c:pt idx="70">
                    <c:v>WeekEnd</c:v>
                  </c:pt>
                  <c:pt idx="71">
                    <c:v>WeekEnd</c:v>
                  </c:pt>
                </c:lvl>
                <c:lvl>
                  <c:pt idx="0">
                    <c:v>p01</c:v>
                  </c:pt>
                  <c:pt idx="1">
                    <c:v>p01</c:v>
                  </c:pt>
                  <c:pt idx="2">
                    <c:v>p01</c:v>
                  </c:pt>
                  <c:pt idx="3">
                    <c:v>p01</c:v>
                  </c:pt>
                  <c:pt idx="4">
                    <c:v>p01</c:v>
                  </c:pt>
                  <c:pt idx="5">
                    <c:v>p01</c:v>
                  </c:pt>
                  <c:pt idx="6">
                    <c:v>p02</c:v>
                  </c:pt>
                  <c:pt idx="7">
                    <c:v>p02</c:v>
                  </c:pt>
                  <c:pt idx="8">
                    <c:v>p02</c:v>
                  </c:pt>
                  <c:pt idx="9">
                    <c:v>p02</c:v>
                  </c:pt>
                  <c:pt idx="10">
                    <c:v>p02</c:v>
                  </c:pt>
                  <c:pt idx="11">
                    <c:v>p02</c:v>
                  </c:pt>
                  <c:pt idx="12">
                    <c:v>p03</c:v>
                  </c:pt>
                  <c:pt idx="13">
                    <c:v>p03</c:v>
                  </c:pt>
                  <c:pt idx="14">
                    <c:v>p03</c:v>
                  </c:pt>
                  <c:pt idx="15">
                    <c:v>p03</c:v>
                  </c:pt>
                  <c:pt idx="16">
                    <c:v>p03</c:v>
                  </c:pt>
                  <c:pt idx="17">
                    <c:v>p03</c:v>
                  </c:pt>
                  <c:pt idx="18">
                    <c:v>p04</c:v>
                  </c:pt>
                  <c:pt idx="19">
                    <c:v>p04</c:v>
                  </c:pt>
                  <c:pt idx="20">
                    <c:v>p04</c:v>
                  </c:pt>
                  <c:pt idx="21">
                    <c:v>p04</c:v>
                  </c:pt>
                  <c:pt idx="22">
                    <c:v>p04</c:v>
                  </c:pt>
                  <c:pt idx="23">
                    <c:v>p04</c:v>
                  </c:pt>
                  <c:pt idx="24">
                    <c:v>p05</c:v>
                  </c:pt>
                  <c:pt idx="25">
                    <c:v>p05</c:v>
                  </c:pt>
                  <c:pt idx="26">
                    <c:v>p05</c:v>
                  </c:pt>
                  <c:pt idx="27">
                    <c:v>p05</c:v>
                  </c:pt>
                  <c:pt idx="28">
                    <c:v>p05</c:v>
                  </c:pt>
                  <c:pt idx="29">
                    <c:v>p05</c:v>
                  </c:pt>
                  <c:pt idx="30">
                    <c:v>p06</c:v>
                  </c:pt>
                  <c:pt idx="31">
                    <c:v>p06</c:v>
                  </c:pt>
                  <c:pt idx="32">
                    <c:v>p06</c:v>
                  </c:pt>
                  <c:pt idx="33">
                    <c:v>p06</c:v>
                  </c:pt>
                  <c:pt idx="34">
                    <c:v>p06</c:v>
                  </c:pt>
                  <c:pt idx="35">
                    <c:v>p06</c:v>
                  </c:pt>
                  <c:pt idx="36">
                    <c:v>p07</c:v>
                  </c:pt>
                  <c:pt idx="37">
                    <c:v>p07</c:v>
                  </c:pt>
                  <c:pt idx="38">
                    <c:v>p07</c:v>
                  </c:pt>
                  <c:pt idx="39">
                    <c:v>p07</c:v>
                  </c:pt>
                  <c:pt idx="40">
                    <c:v>p07</c:v>
                  </c:pt>
                  <c:pt idx="41">
                    <c:v>p07</c:v>
                  </c:pt>
                  <c:pt idx="42">
                    <c:v>p08</c:v>
                  </c:pt>
                  <c:pt idx="43">
                    <c:v>p08</c:v>
                  </c:pt>
                  <c:pt idx="44">
                    <c:v>p08</c:v>
                  </c:pt>
                  <c:pt idx="45">
                    <c:v>p08</c:v>
                  </c:pt>
                  <c:pt idx="46">
                    <c:v>p08</c:v>
                  </c:pt>
                  <c:pt idx="47">
                    <c:v>p08</c:v>
                  </c:pt>
                  <c:pt idx="48">
                    <c:v>p09</c:v>
                  </c:pt>
                  <c:pt idx="49">
                    <c:v>p09</c:v>
                  </c:pt>
                  <c:pt idx="50">
                    <c:v>p09</c:v>
                  </c:pt>
                  <c:pt idx="51">
                    <c:v>p09</c:v>
                  </c:pt>
                  <c:pt idx="52">
                    <c:v>p09</c:v>
                  </c:pt>
                  <c:pt idx="53">
                    <c:v>p09</c:v>
                  </c:pt>
                  <c:pt idx="54">
                    <c:v>p10</c:v>
                  </c:pt>
                  <c:pt idx="55">
                    <c:v>p10</c:v>
                  </c:pt>
                  <c:pt idx="56">
                    <c:v>p10</c:v>
                  </c:pt>
                  <c:pt idx="57">
                    <c:v>p10</c:v>
                  </c:pt>
                  <c:pt idx="58">
                    <c:v>p10</c:v>
                  </c:pt>
                  <c:pt idx="59">
                    <c:v>p10</c:v>
                  </c:pt>
                  <c:pt idx="60">
                    <c:v>p11</c:v>
                  </c:pt>
                  <c:pt idx="61">
                    <c:v>p11</c:v>
                  </c:pt>
                  <c:pt idx="62">
                    <c:v>p11</c:v>
                  </c:pt>
                  <c:pt idx="63">
                    <c:v>p11</c:v>
                  </c:pt>
                  <c:pt idx="64">
                    <c:v>p11</c:v>
                  </c:pt>
                  <c:pt idx="65">
                    <c:v>p11</c:v>
                  </c:pt>
                  <c:pt idx="66">
                    <c:v>p12</c:v>
                  </c:pt>
                  <c:pt idx="67">
                    <c:v>p12</c:v>
                  </c:pt>
                  <c:pt idx="68">
                    <c:v>p12</c:v>
                  </c:pt>
                  <c:pt idx="69">
                    <c:v>p12</c:v>
                  </c:pt>
                  <c:pt idx="70">
                    <c:v>p12</c:v>
                  </c:pt>
                  <c:pt idx="71">
                    <c:v>p12</c:v>
                  </c:pt>
                </c:lvl>
              </c:multiLvlStrCache>
            </c:multiLvlStrRef>
          </c:cat>
          <c:val>
            <c:numRef>
              <c:f>SRMC!$B$6:$BU$6</c:f>
              <c:numCache>
                <c:formatCode>0</c:formatCode>
                <c:ptCount val="72"/>
                <c:pt idx="0">
                  <c:v>52.000000000000007</c:v>
                </c:pt>
                <c:pt idx="1">
                  <c:v>50</c:v>
                </c:pt>
                <c:pt idx="2">
                  <c:v>30.999999999999996</c:v>
                </c:pt>
                <c:pt idx="3">
                  <c:v>51.20000000000001</c:v>
                </c:pt>
                <c:pt idx="4">
                  <c:v>48.800000000000004</c:v>
                </c:pt>
                <c:pt idx="5">
                  <c:v>30.999999999999996</c:v>
                </c:pt>
                <c:pt idx="6">
                  <c:v>54</c:v>
                </c:pt>
                <c:pt idx="7">
                  <c:v>53.999999999999993</c:v>
                </c:pt>
                <c:pt idx="8">
                  <c:v>30</c:v>
                </c:pt>
                <c:pt idx="9">
                  <c:v>53.999999999999993</c:v>
                </c:pt>
                <c:pt idx="10">
                  <c:v>31.000000000000004</c:v>
                </c:pt>
                <c:pt idx="11">
                  <c:v>30</c:v>
                </c:pt>
                <c:pt idx="12">
                  <c:v>53.999999999999972</c:v>
                </c:pt>
                <c:pt idx="13">
                  <c:v>34</c:v>
                </c:pt>
                <c:pt idx="14">
                  <c:v>30</c:v>
                </c:pt>
                <c:pt idx="15">
                  <c:v>53.999999999999986</c:v>
                </c:pt>
                <c:pt idx="16">
                  <c:v>31.000000000000004</c:v>
                </c:pt>
                <c:pt idx="17">
                  <c:v>30</c:v>
                </c:pt>
                <c:pt idx="18">
                  <c:v>53.999999999999986</c:v>
                </c:pt>
                <c:pt idx="19">
                  <c:v>41.999999999999901</c:v>
                </c:pt>
                <c:pt idx="20">
                  <c:v>29.999999999999996</c:v>
                </c:pt>
                <c:pt idx="21">
                  <c:v>53.999999999999972</c:v>
                </c:pt>
                <c:pt idx="22">
                  <c:v>41.999999999999901</c:v>
                </c:pt>
                <c:pt idx="23">
                  <c:v>29.999999999999996</c:v>
                </c:pt>
                <c:pt idx="24">
                  <c:v>50.000000000000007</c:v>
                </c:pt>
                <c:pt idx="25">
                  <c:v>49.999999999999993</c:v>
                </c:pt>
                <c:pt idx="26">
                  <c:v>30</c:v>
                </c:pt>
                <c:pt idx="27">
                  <c:v>67.03703703703691</c:v>
                </c:pt>
                <c:pt idx="28">
                  <c:v>64.529914529914521</c:v>
                </c:pt>
                <c:pt idx="29">
                  <c:v>29.999999999999996</c:v>
                </c:pt>
                <c:pt idx="30">
                  <c:v>52.000000000000007</c:v>
                </c:pt>
                <c:pt idx="31">
                  <c:v>52.000000000000007</c:v>
                </c:pt>
                <c:pt idx="32">
                  <c:v>30</c:v>
                </c:pt>
                <c:pt idx="33">
                  <c:v>60.222222222222079</c:v>
                </c:pt>
                <c:pt idx="34">
                  <c:v>58.666666666666636</c:v>
                </c:pt>
                <c:pt idx="35">
                  <c:v>30</c:v>
                </c:pt>
                <c:pt idx="36">
                  <c:v>53</c:v>
                </c:pt>
                <c:pt idx="37">
                  <c:v>50.000000000000007</c:v>
                </c:pt>
                <c:pt idx="38">
                  <c:v>30.999999999999996</c:v>
                </c:pt>
                <c:pt idx="39">
                  <c:v>53</c:v>
                </c:pt>
                <c:pt idx="40">
                  <c:v>50.000000000000007</c:v>
                </c:pt>
                <c:pt idx="41">
                  <c:v>31.000000000000004</c:v>
                </c:pt>
                <c:pt idx="42">
                  <c:v>52.999999999999964</c:v>
                </c:pt>
                <c:pt idx="43">
                  <c:v>52.999999999999979</c:v>
                </c:pt>
                <c:pt idx="44">
                  <c:v>0</c:v>
                </c:pt>
                <c:pt idx="45">
                  <c:v>52.999999999999979</c:v>
                </c:pt>
                <c:pt idx="46">
                  <c:v>31.000000000000004</c:v>
                </c:pt>
                <c:pt idx="47">
                  <c:v>106.77777777777779</c:v>
                </c:pt>
                <c:pt idx="48">
                  <c:v>52.999999999999979</c:v>
                </c:pt>
                <c:pt idx="49">
                  <c:v>34</c:v>
                </c:pt>
                <c:pt idx="50">
                  <c:v>0</c:v>
                </c:pt>
                <c:pt idx="51">
                  <c:v>52.999999999999972</c:v>
                </c:pt>
                <c:pt idx="52">
                  <c:v>31.000000000000004</c:v>
                </c:pt>
                <c:pt idx="53">
                  <c:v>85.249999999999986</c:v>
                </c:pt>
                <c:pt idx="54">
                  <c:v>52.000000000000007</c:v>
                </c:pt>
                <c:pt idx="55">
                  <c:v>52.000000000000007</c:v>
                </c:pt>
                <c:pt idx="56">
                  <c:v>29.999999999999996</c:v>
                </c:pt>
                <c:pt idx="57">
                  <c:v>55.444444444444315</c:v>
                </c:pt>
                <c:pt idx="58">
                  <c:v>50.000000000000007</c:v>
                </c:pt>
                <c:pt idx="59">
                  <c:v>30</c:v>
                </c:pt>
                <c:pt idx="60">
                  <c:v>54</c:v>
                </c:pt>
                <c:pt idx="61">
                  <c:v>53.999999999999972</c:v>
                </c:pt>
                <c:pt idx="62">
                  <c:v>30</c:v>
                </c:pt>
                <c:pt idx="63">
                  <c:v>53.999999999999993</c:v>
                </c:pt>
                <c:pt idx="64">
                  <c:v>52.000000000000014</c:v>
                </c:pt>
                <c:pt idx="65">
                  <c:v>30</c:v>
                </c:pt>
                <c:pt idx="66">
                  <c:v>54</c:v>
                </c:pt>
                <c:pt idx="67">
                  <c:v>50.000000000000007</c:v>
                </c:pt>
                <c:pt idx="68">
                  <c:v>31.000000000000004</c:v>
                </c:pt>
                <c:pt idx="69">
                  <c:v>54</c:v>
                </c:pt>
                <c:pt idx="70">
                  <c:v>30.999999999999993</c:v>
                </c:pt>
                <c:pt idx="71">
                  <c:v>29.999999999999996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BF-4749-834F-37F5A18E2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0896896"/>
        <c:axId val="610903136"/>
      </c:barChart>
      <c:catAx>
        <c:axId val="61089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903136"/>
        <c:crosses val="autoZero"/>
        <c:auto val="1"/>
        <c:lblAlgn val="ctr"/>
        <c:lblOffset val="100"/>
        <c:noMultiLvlLbl val="0"/>
      </c:catAx>
      <c:valAx>
        <c:axId val="61090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SRMC</a:t>
                </a:r>
                <a:r>
                  <a:rPr lang="es-ES" baseline="0"/>
                  <a:t> [EUR/MWh]</a:t>
                </a:r>
                <a:endParaRPr lang="es-E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89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>
    <tabColor rgb="FF00B0F0"/>
  </sheetPr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>
    <tabColor rgb="FF00B0F0"/>
  </sheetPr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>
    <tabColor rgb="FF00B0F0"/>
  </sheetPr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>
    <tabColor rgb="FF00B0F0"/>
  </sheetPr>
  <sheetViews>
    <sheetView zoomScale="89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>
    <tabColor rgb="FF00B0F0"/>
  </sheetPr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1104900</xdr:colOff>
          <xdr:row>23</xdr:row>
          <xdr:rowOff>60960</xdr:rowOff>
        </xdr:from>
        <xdr:to>
          <xdr:col>5</xdr:col>
          <xdr:colOff>2994660</xdr:colOff>
          <xdr:row>24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1112520</xdr:colOff>
          <xdr:row>25</xdr:row>
          <xdr:rowOff>83820</xdr:rowOff>
        </xdr:from>
        <xdr:to>
          <xdr:col>5</xdr:col>
          <xdr:colOff>2994660</xdr:colOff>
          <xdr:row>27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15240</xdr:colOff>
      <xdr:row>6</xdr:row>
      <xdr:rowOff>45720</xdr:rowOff>
    </xdr:from>
    <xdr:to>
      <xdr:col>7</xdr:col>
      <xdr:colOff>429685</xdr:colOff>
      <xdr:row>16</xdr:row>
      <xdr:rowOff>150272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" y="1249680"/>
          <a:ext cx="6761905" cy="1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</xdr:colOff>
      <xdr:row>1</xdr:row>
      <xdr:rowOff>0</xdr:rowOff>
    </xdr:from>
    <xdr:to>
      <xdr:col>17</xdr:col>
      <xdr:colOff>619125</xdr:colOff>
      <xdr:row>22</xdr:row>
      <xdr:rowOff>66675</xdr:rowOff>
    </xdr:to>
    <xdr:graphicFrame macro="">
      <xdr:nvGraphicFramePr>
        <xdr:cNvPr id="4100" name="Chart 1">
          <a:extLst>
            <a:ext uri="{FF2B5EF4-FFF2-40B4-BE49-F238E27FC236}">
              <a16:creationId xmlns:a16="http://schemas.microsoft.com/office/drawing/2014/main" id="{00000000-0008-0000-0300-000004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iit.comillas.edu/aramos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ndres.ramos@comillas.edu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indexed="51"/>
  </sheetPr>
  <dimension ref="C4:I22"/>
  <sheetViews>
    <sheetView showGridLines="0" showRowColHeaders="0" tabSelected="1" zoomScale="85" zoomScaleNormal="85" workbookViewId="0"/>
  </sheetViews>
  <sheetFormatPr baseColWidth="10" defaultColWidth="10.6640625" defaultRowHeight="13.2" x14ac:dyDescent="0.25"/>
  <cols>
    <col min="1" max="5" width="10.6640625" customWidth="1"/>
    <col min="6" max="6" width="60.5546875" style="1" bestFit="1" customWidth="1"/>
  </cols>
  <sheetData>
    <row r="4" spans="3:9" ht="28.8" x14ac:dyDescent="0.65">
      <c r="C4" s="4"/>
      <c r="D4" s="4"/>
      <c r="E4" s="4"/>
      <c r="F4" s="5" t="s">
        <v>87</v>
      </c>
      <c r="G4" s="4"/>
      <c r="H4" s="4"/>
      <c r="I4" s="4"/>
    </row>
    <row r="20" spans="6:6" ht="25.8" x14ac:dyDescent="0.55000000000000004">
      <c r="F20" s="3" t="s">
        <v>13</v>
      </c>
    </row>
    <row r="21" spans="6:6" ht="18" x14ac:dyDescent="0.35">
      <c r="F21" s="2" t="s">
        <v>120</v>
      </c>
    </row>
    <row r="22" spans="6:6" ht="18" x14ac:dyDescent="0.35">
      <c r="F22" s="2" t="s">
        <v>116</v>
      </c>
    </row>
  </sheetData>
  <customSheetViews>
    <customSheetView guid="{162D0EED-4A71-4EB6-8FDF-A42498BFDBC9}" showGridLines="0" showRuler="0">
      <selection activeCell="B4" sqref="B4"/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hyperlinks>
    <hyperlink ref="F22" r:id="rId2" xr:uid="{00000000-0004-0000-0000-000000000000}"/>
    <hyperlink ref="F21" r:id="rId3" display="http://www.iit.comillas.edu/aramos/" xr:uid="{00000000-0004-0000-0000-000001000000}"/>
  </hyperlinks>
  <pageMargins left="0.75" right="0.75" top="1" bottom="1" header="0" footer="0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odelExecution">
                <anchor moveWithCells="1">
                  <from>
                    <xdr:col>5</xdr:col>
                    <xdr:colOff>1104900</xdr:colOff>
                    <xdr:row>23</xdr:row>
                    <xdr:rowOff>60960</xdr:rowOff>
                  </from>
                  <to>
                    <xdr:col>5</xdr:col>
                    <xdr:colOff>2994660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ollectResults">
                <anchor moveWithCells="1" sizeWithCells="1">
                  <from>
                    <xdr:col>5</xdr:col>
                    <xdr:colOff>1112520</xdr:colOff>
                    <xdr:row>25</xdr:row>
                    <xdr:rowOff>83820</xdr:rowOff>
                  </from>
                  <to>
                    <xdr:col>5</xdr:col>
                    <xdr:colOff>2994660</xdr:colOff>
                    <xdr:row>27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indexed="57"/>
  </sheetPr>
  <dimension ref="B1:J70"/>
  <sheetViews>
    <sheetView showGridLines="0" zoomScaleNormal="100" workbookViewId="0"/>
  </sheetViews>
  <sheetFormatPr baseColWidth="10" defaultColWidth="11.44140625" defaultRowHeight="13.8" x14ac:dyDescent="0.3"/>
  <cols>
    <col min="1" max="2" width="3.6640625" style="6" customWidth="1"/>
    <col min="3" max="3" width="6.6640625" style="6" bestFit="1" customWidth="1"/>
    <col min="4" max="4" width="34.5546875" style="6" bestFit="1" customWidth="1"/>
    <col min="5" max="5" width="1.6640625" style="6" bestFit="1" customWidth="1"/>
    <col min="6" max="6" width="24.44140625" style="6" bestFit="1" customWidth="1"/>
    <col min="7" max="7" width="1.88671875" style="7" bestFit="1" customWidth="1"/>
    <col min="8" max="8" width="18.6640625" style="6" bestFit="1" customWidth="1"/>
    <col min="9" max="9" width="1.6640625" style="6" bestFit="1" customWidth="1"/>
    <col min="10" max="10" width="3.6640625" style="6" customWidth="1"/>
    <col min="11" max="16384" width="11.44140625" style="6"/>
  </cols>
  <sheetData>
    <row r="1" spans="2:10" ht="14.4" thickBot="1" x14ac:dyDescent="0.35"/>
    <row r="2" spans="2:10" x14ac:dyDescent="0.3">
      <c r="B2" s="8"/>
      <c r="C2" s="9"/>
      <c r="D2" s="9"/>
      <c r="E2" s="9"/>
      <c r="F2" s="9"/>
      <c r="G2" s="10"/>
      <c r="H2" s="9"/>
      <c r="I2" s="9"/>
      <c r="J2" s="11"/>
    </row>
    <row r="3" spans="2:10" x14ac:dyDescent="0.3">
      <c r="B3" s="12" t="s">
        <v>14</v>
      </c>
      <c r="J3" s="13"/>
    </row>
    <row r="4" spans="2:10" x14ac:dyDescent="0.3">
      <c r="B4" s="12"/>
      <c r="J4" s="13"/>
    </row>
    <row r="5" spans="2:10" x14ac:dyDescent="0.3">
      <c r="B5" s="14"/>
      <c r="C5" s="6" t="s">
        <v>17</v>
      </c>
      <c r="D5" s="15" t="s">
        <v>20</v>
      </c>
      <c r="E5" s="16" t="s">
        <v>3</v>
      </c>
      <c r="F5" s="17" t="s">
        <v>21</v>
      </c>
      <c r="G5" s="7" t="s">
        <v>15</v>
      </c>
      <c r="H5" s="17" t="s">
        <v>22</v>
      </c>
      <c r="I5" s="16" t="s">
        <v>3</v>
      </c>
      <c r="J5" s="13"/>
    </row>
    <row r="6" spans="2:10" x14ac:dyDescent="0.3">
      <c r="B6" s="14"/>
      <c r="C6" s="6" t="s">
        <v>0</v>
      </c>
      <c r="D6" s="15" t="s">
        <v>23</v>
      </c>
      <c r="E6" s="16" t="s">
        <v>3</v>
      </c>
      <c r="F6" s="17" t="s">
        <v>104</v>
      </c>
      <c r="G6" s="7" t="s">
        <v>53</v>
      </c>
      <c r="H6" s="17" t="s">
        <v>39</v>
      </c>
      <c r="I6" s="16" t="s">
        <v>3</v>
      </c>
      <c r="J6" s="13"/>
    </row>
    <row r="7" spans="2:10" x14ac:dyDescent="0.3">
      <c r="B7" s="14"/>
      <c r="C7" s="6" t="s">
        <v>24</v>
      </c>
      <c r="D7" s="15" t="s">
        <v>25</v>
      </c>
      <c r="E7" s="16" t="s">
        <v>3</v>
      </c>
      <c r="F7" s="17" t="s">
        <v>26</v>
      </c>
      <c r="G7" s="7" t="s">
        <v>15</v>
      </c>
      <c r="H7" s="17" t="s">
        <v>57</v>
      </c>
      <c r="I7" s="16" t="s">
        <v>3</v>
      </c>
      <c r="J7" s="13"/>
    </row>
    <row r="8" spans="2:10" x14ac:dyDescent="0.3">
      <c r="B8" s="14"/>
      <c r="C8" s="6" t="s">
        <v>55</v>
      </c>
      <c r="D8" s="15" t="s">
        <v>2</v>
      </c>
      <c r="E8" s="16" t="s">
        <v>3</v>
      </c>
      <c r="F8" s="17" t="s">
        <v>8</v>
      </c>
      <c r="G8" s="7" t="s">
        <v>15</v>
      </c>
      <c r="H8" s="17" t="s">
        <v>10</v>
      </c>
      <c r="I8" s="16" t="s">
        <v>3</v>
      </c>
      <c r="J8" s="13"/>
    </row>
    <row r="9" spans="2:10" x14ac:dyDescent="0.3">
      <c r="B9" s="14"/>
      <c r="D9" s="15"/>
      <c r="J9" s="13"/>
    </row>
    <row r="10" spans="2:10" x14ac:dyDescent="0.3">
      <c r="B10" s="14"/>
      <c r="C10" s="6" t="s">
        <v>54</v>
      </c>
      <c r="D10" s="15" t="s">
        <v>1</v>
      </c>
      <c r="E10" s="16" t="s">
        <v>3</v>
      </c>
      <c r="F10" s="16"/>
      <c r="G10" s="18"/>
      <c r="H10" s="16"/>
      <c r="I10" s="16"/>
      <c r="J10" s="13"/>
    </row>
    <row r="11" spans="2:10" x14ac:dyDescent="0.3">
      <c r="B11" s="14"/>
      <c r="D11" s="15"/>
      <c r="E11" s="16"/>
      <c r="F11" s="19" t="s">
        <v>60</v>
      </c>
      <c r="G11" s="18"/>
      <c r="H11" s="16"/>
      <c r="I11" s="16"/>
      <c r="J11" s="13"/>
    </row>
    <row r="12" spans="2:10" x14ac:dyDescent="0.3">
      <c r="B12" s="14"/>
      <c r="D12" s="15"/>
      <c r="E12" s="16"/>
      <c r="F12" s="19" t="s">
        <v>101</v>
      </c>
      <c r="G12" s="18"/>
      <c r="H12" s="16"/>
      <c r="I12" s="16"/>
      <c r="J12" s="13"/>
    </row>
    <row r="13" spans="2:10" x14ac:dyDescent="0.3">
      <c r="B13" s="14"/>
      <c r="D13" s="15"/>
      <c r="E13" s="16"/>
      <c r="F13" s="19" t="s">
        <v>61</v>
      </c>
      <c r="G13" s="18"/>
      <c r="H13" s="16"/>
      <c r="I13" s="16"/>
      <c r="J13" s="13"/>
    </row>
    <row r="14" spans="2:10" x14ac:dyDescent="0.3">
      <c r="B14" s="14"/>
      <c r="D14" s="15"/>
      <c r="E14" s="16"/>
      <c r="F14" s="19" t="s">
        <v>103</v>
      </c>
      <c r="G14" s="18"/>
      <c r="H14" s="16"/>
      <c r="I14" s="16"/>
      <c r="J14" s="13"/>
    </row>
    <row r="15" spans="2:10" x14ac:dyDescent="0.3">
      <c r="B15" s="14"/>
      <c r="D15" s="15"/>
      <c r="E15" s="16"/>
      <c r="F15" s="19" t="s">
        <v>102</v>
      </c>
      <c r="G15" s="18"/>
      <c r="H15" s="16"/>
      <c r="I15" s="16"/>
      <c r="J15" s="13"/>
    </row>
    <row r="16" spans="2:10" x14ac:dyDescent="0.3">
      <c r="B16" s="14"/>
      <c r="D16" s="15"/>
      <c r="E16" s="16"/>
      <c r="F16" s="19" t="s">
        <v>62</v>
      </c>
      <c r="G16" s="18"/>
      <c r="H16" s="16"/>
      <c r="I16" s="16"/>
      <c r="J16" s="13"/>
    </row>
    <row r="17" spans="2:10" x14ac:dyDescent="0.3">
      <c r="B17" s="14"/>
      <c r="D17" s="15"/>
      <c r="E17" s="16"/>
      <c r="F17" s="19" t="s">
        <v>63</v>
      </c>
      <c r="G17" s="18"/>
      <c r="H17" s="16"/>
      <c r="I17" s="16"/>
      <c r="J17" s="13"/>
    </row>
    <row r="18" spans="2:10" x14ac:dyDescent="0.3">
      <c r="B18" s="14"/>
      <c r="D18" s="15"/>
      <c r="E18" s="16"/>
      <c r="F18" s="19" t="s">
        <v>64</v>
      </c>
      <c r="G18" s="18"/>
      <c r="H18" s="16"/>
      <c r="I18" s="16"/>
      <c r="J18" s="13"/>
    </row>
    <row r="19" spans="2:10" x14ac:dyDescent="0.3">
      <c r="B19" s="14"/>
      <c r="D19" s="15"/>
      <c r="E19" s="16"/>
      <c r="F19" s="19" t="s">
        <v>65</v>
      </c>
      <c r="G19" s="18"/>
      <c r="H19" s="16"/>
      <c r="I19" s="16"/>
      <c r="J19" s="13"/>
    </row>
    <row r="20" spans="2:10" x14ac:dyDescent="0.3">
      <c r="B20" s="14"/>
      <c r="D20" s="15"/>
      <c r="E20" s="16"/>
      <c r="F20" s="19" t="s">
        <v>66</v>
      </c>
      <c r="G20" s="18"/>
      <c r="H20" s="16"/>
      <c r="I20" s="16"/>
      <c r="J20" s="13"/>
    </row>
    <row r="21" spans="2:10" x14ac:dyDescent="0.3">
      <c r="B21" s="14"/>
      <c r="D21" s="15"/>
      <c r="E21" s="16"/>
      <c r="F21" s="19" t="s">
        <v>67</v>
      </c>
      <c r="G21" s="18"/>
      <c r="H21" s="16"/>
      <c r="I21" s="16"/>
      <c r="J21" s="13"/>
    </row>
    <row r="22" spans="2:10" x14ac:dyDescent="0.3">
      <c r="B22" s="14"/>
      <c r="D22" s="15"/>
      <c r="E22" s="16"/>
      <c r="F22" s="19" t="s">
        <v>68</v>
      </c>
      <c r="G22" s="18"/>
      <c r="H22" s="16"/>
      <c r="I22" s="16"/>
      <c r="J22" s="13"/>
    </row>
    <row r="23" spans="2:10" x14ac:dyDescent="0.3">
      <c r="B23" s="14"/>
      <c r="D23" s="15"/>
      <c r="E23" s="16"/>
      <c r="F23" s="19" t="s">
        <v>69</v>
      </c>
      <c r="G23" s="18"/>
      <c r="H23" s="16"/>
      <c r="I23" s="16"/>
      <c r="J23" s="13"/>
    </row>
    <row r="24" spans="2:10" x14ac:dyDescent="0.3">
      <c r="B24" s="14"/>
      <c r="D24" s="15"/>
      <c r="E24" s="16"/>
      <c r="F24" s="19"/>
      <c r="G24" s="18"/>
      <c r="H24" s="16"/>
      <c r="I24" s="16"/>
      <c r="J24" s="13"/>
    </row>
    <row r="25" spans="2:10" x14ac:dyDescent="0.3">
      <c r="B25" s="20" t="s">
        <v>15</v>
      </c>
      <c r="D25" s="15" t="s">
        <v>59</v>
      </c>
      <c r="E25" s="16"/>
      <c r="F25" s="16"/>
      <c r="G25" s="18"/>
      <c r="H25" s="16"/>
      <c r="I25" s="16"/>
      <c r="J25" s="13"/>
    </row>
    <row r="26" spans="2:10" x14ac:dyDescent="0.3">
      <c r="B26" s="14"/>
      <c r="D26" s="15"/>
      <c r="E26" s="16"/>
      <c r="F26" s="19" t="s">
        <v>27</v>
      </c>
      <c r="G26" s="18"/>
      <c r="H26" s="16"/>
      <c r="I26" s="16"/>
      <c r="J26" s="13"/>
    </row>
    <row r="27" spans="2:10" x14ac:dyDescent="0.3">
      <c r="B27" s="14"/>
      <c r="D27" s="15"/>
      <c r="E27" s="16"/>
      <c r="F27" s="19" t="s">
        <v>95</v>
      </c>
      <c r="G27" s="18"/>
      <c r="H27" s="16"/>
      <c r="I27" s="16"/>
      <c r="J27" s="13"/>
    </row>
    <row r="28" spans="2:10" x14ac:dyDescent="0.3">
      <c r="B28" s="14"/>
      <c r="D28" s="15"/>
      <c r="E28" s="16"/>
      <c r="F28" s="19" t="s">
        <v>96</v>
      </c>
      <c r="G28" s="18"/>
      <c r="H28" s="16"/>
      <c r="I28" s="16"/>
      <c r="J28" s="13"/>
    </row>
    <row r="29" spans="2:10" x14ac:dyDescent="0.3">
      <c r="B29" s="14"/>
      <c r="D29" s="15"/>
      <c r="E29" s="16"/>
      <c r="F29" s="19" t="s">
        <v>97</v>
      </c>
      <c r="G29" s="18"/>
      <c r="H29" s="16"/>
      <c r="I29" s="16"/>
      <c r="J29" s="13"/>
    </row>
    <row r="30" spans="2:10" x14ac:dyDescent="0.3">
      <c r="B30" s="14"/>
      <c r="D30" s="15"/>
      <c r="E30" s="16"/>
      <c r="F30" s="19" t="s">
        <v>28</v>
      </c>
      <c r="G30" s="18"/>
      <c r="H30" s="16"/>
      <c r="I30" s="16"/>
      <c r="J30" s="13"/>
    </row>
    <row r="31" spans="2:10" x14ac:dyDescent="0.3">
      <c r="B31" s="14"/>
      <c r="D31" s="15"/>
      <c r="E31" s="16"/>
      <c r="F31" s="19"/>
      <c r="G31" s="18"/>
      <c r="H31" s="16"/>
      <c r="I31" s="16"/>
      <c r="J31" s="13"/>
    </row>
    <row r="32" spans="2:10" x14ac:dyDescent="0.3">
      <c r="B32" s="14"/>
      <c r="D32" s="15"/>
      <c r="E32" s="16"/>
      <c r="F32" s="16"/>
      <c r="G32" s="18"/>
      <c r="H32" s="16"/>
      <c r="I32" s="16" t="s">
        <v>3</v>
      </c>
      <c r="J32" s="13"/>
    </row>
    <row r="33" spans="2:10" x14ac:dyDescent="0.3">
      <c r="B33" s="20"/>
      <c r="C33" s="6" t="s">
        <v>71</v>
      </c>
      <c r="D33" s="15" t="s">
        <v>70</v>
      </c>
      <c r="E33" s="16"/>
      <c r="F33" s="16"/>
      <c r="G33" s="18"/>
      <c r="H33" s="16"/>
      <c r="I33" s="16"/>
      <c r="J33" s="13"/>
    </row>
    <row r="34" spans="2:10" x14ac:dyDescent="0.3">
      <c r="B34" s="14"/>
      <c r="D34" s="15"/>
      <c r="E34" s="16"/>
      <c r="F34" s="16"/>
      <c r="G34" s="18"/>
      <c r="H34" s="16"/>
      <c r="I34" s="16" t="s">
        <v>3</v>
      </c>
      <c r="J34" s="13"/>
    </row>
    <row r="35" spans="2:10" x14ac:dyDescent="0.3">
      <c r="B35" s="14"/>
      <c r="D35" s="15"/>
      <c r="E35" s="16"/>
      <c r="F35" s="19" t="s">
        <v>27</v>
      </c>
      <c r="G35" s="18"/>
      <c r="H35" s="16"/>
      <c r="I35" s="16"/>
      <c r="J35" s="13"/>
    </row>
    <row r="36" spans="2:10" x14ac:dyDescent="0.3">
      <c r="B36" s="14"/>
      <c r="D36" s="15"/>
      <c r="E36" s="16"/>
      <c r="F36" s="19" t="s">
        <v>98</v>
      </c>
      <c r="G36" s="18"/>
      <c r="H36" s="16"/>
      <c r="I36" s="16"/>
      <c r="J36" s="13"/>
    </row>
    <row r="37" spans="2:10" x14ac:dyDescent="0.3">
      <c r="B37" s="14"/>
      <c r="D37" s="15"/>
      <c r="E37" s="16"/>
      <c r="F37" s="19" t="s">
        <v>99</v>
      </c>
      <c r="G37" s="18"/>
      <c r="H37" s="16"/>
      <c r="I37" s="16"/>
      <c r="J37" s="13"/>
    </row>
    <row r="38" spans="2:10" x14ac:dyDescent="0.3">
      <c r="B38" s="14"/>
      <c r="D38" s="15"/>
      <c r="E38" s="16"/>
      <c r="F38" s="19" t="s">
        <v>100</v>
      </c>
      <c r="G38" s="18"/>
      <c r="H38" s="16"/>
      <c r="I38" s="16"/>
      <c r="J38" s="13"/>
    </row>
    <row r="39" spans="2:10" x14ac:dyDescent="0.3">
      <c r="B39" s="14"/>
      <c r="D39" s="15"/>
      <c r="E39" s="16"/>
      <c r="F39" s="19" t="s">
        <v>28</v>
      </c>
      <c r="G39" s="18"/>
      <c r="H39" s="16"/>
      <c r="I39" s="16"/>
      <c r="J39" s="13"/>
    </row>
    <row r="40" spans="2:10" x14ac:dyDescent="0.3">
      <c r="B40" s="14"/>
      <c r="D40" s="15"/>
      <c r="E40" s="16"/>
      <c r="F40" s="19"/>
      <c r="G40" s="18"/>
      <c r="H40" s="16"/>
      <c r="I40" s="16"/>
      <c r="J40" s="13"/>
    </row>
    <row r="41" spans="2:10" x14ac:dyDescent="0.3">
      <c r="B41" s="14"/>
      <c r="D41" s="15"/>
      <c r="E41" s="16"/>
      <c r="F41" s="16"/>
      <c r="G41" s="18"/>
      <c r="H41" s="16"/>
      <c r="I41" s="16" t="s">
        <v>3</v>
      </c>
      <c r="J41" s="13"/>
    </row>
    <row r="42" spans="2:10" x14ac:dyDescent="0.3">
      <c r="B42" s="20"/>
      <c r="C42" s="6" t="s">
        <v>76</v>
      </c>
      <c r="D42" s="15" t="s">
        <v>75</v>
      </c>
      <c r="E42" s="16"/>
      <c r="F42" s="16"/>
      <c r="G42" s="18"/>
      <c r="H42" s="16"/>
      <c r="I42" s="16"/>
      <c r="J42" s="13"/>
    </row>
    <row r="43" spans="2:10" x14ac:dyDescent="0.3">
      <c r="B43" s="14"/>
      <c r="D43" s="15"/>
      <c r="E43" s="16"/>
      <c r="F43" s="16"/>
      <c r="G43" s="18"/>
      <c r="H43" s="16"/>
      <c r="I43" s="16" t="s">
        <v>3</v>
      </c>
      <c r="J43" s="13"/>
    </row>
    <row r="44" spans="2:10" x14ac:dyDescent="0.3">
      <c r="B44" s="14"/>
      <c r="D44" s="15"/>
      <c r="E44" s="16"/>
      <c r="F44" s="19" t="s">
        <v>27</v>
      </c>
      <c r="G44" s="7" t="s">
        <v>48</v>
      </c>
      <c r="H44" s="19" t="s">
        <v>27</v>
      </c>
      <c r="I44" s="16"/>
      <c r="J44" s="13"/>
    </row>
    <row r="45" spans="2:10" x14ac:dyDescent="0.3">
      <c r="B45" s="14"/>
      <c r="D45" s="15"/>
      <c r="E45" s="16"/>
      <c r="F45" s="19" t="s">
        <v>98</v>
      </c>
      <c r="G45" s="7" t="s">
        <v>48</v>
      </c>
      <c r="H45" s="19" t="s">
        <v>95</v>
      </c>
      <c r="I45" s="16"/>
      <c r="J45" s="13"/>
    </row>
    <row r="46" spans="2:10" x14ac:dyDescent="0.3">
      <c r="B46" s="14"/>
      <c r="D46" s="15"/>
      <c r="E46" s="16"/>
      <c r="F46" s="19" t="s">
        <v>99</v>
      </c>
      <c r="G46" s="7" t="s">
        <v>48</v>
      </c>
      <c r="H46" s="19" t="s">
        <v>96</v>
      </c>
      <c r="I46" s="16"/>
      <c r="J46" s="13"/>
    </row>
    <row r="47" spans="2:10" x14ac:dyDescent="0.3">
      <c r="B47" s="14"/>
      <c r="D47" s="15"/>
      <c r="E47" s="16"/>
      <c r="F47" s="19" t="s">
        <v>100</v>
      </c>
      <c r="G47" s="7" t="s">
        <v>48</v>
      </c>
      <c r="H47" s="19" t="s">
        <v>97</v>
      </c>
      <c r="I47" s="16"/>
      <c r="J47" s="13"/>
    </row>
    <row r="48" spans="2:10" x14ac:dyDescent="0.3">
      <c r="B48" s="14"/>
      <c r="D48" s="15"/>
      <c r="E48" s="16"/>
      <c r="F48" s="19"/>
      <c r="G48" s="18"/>
      <c r="H48" s="19"/>
      <c r="I48" s="16"/>
      <c r="J48" s="13"/>
    </row>
    <row r="49" spans="2:10" x14ac:dyDescent="0.3">
      <c r="B49" s="14"/>
      <c r="D49" s="15"/>
      <c r="E49" s="16"/>
      <c r="F49" s="16"/>
      <c r="G49" s="18"/>
      <c r="H49" s="16"/>
      <c r="I49" s="16" t="s">
        <v>3</v>
      </c>
      <c r="J49" s="13"/>
    </row>
    <row r="50" spans="2:10" x14ac:dyDescent="0.3">
      <c r="B50" s="20"/>
      <c r="C50" s="6" t="s">
        <v>85</v>
      </c>
      <c r="D50" s="15" t="s">
        <v>86</v>
      </c>
      <c r="E50" s="16"/>
      <c r="F50" s="16"/>
      <c r="G50" s="18"/>
      <c r="H50" s="16"/>
      <c r="I50" s="16"/>
      <c r="J50" s="13"/>
    </row>
    <row r="51" spans="2:10" x14ac:dyDescent="0.3">
      <c r="B51" s="14"/>
      <c r="D51" s="15"/>
      <c r="E51" s="16"/>
      <c r="F51" s="16"/>
      <c r="G51" s="18"/>
      <c r="H51" s="16"/>
      <c r="I51" s="16" t="s">
        <v>3</v>
      </c>
      <c r="J51" s="13"/>
    </row>
    <row r="52" spans="2:10" x14ac:dyDescent="0.3">
      <c r="B52" s="14"/>
      <c r="D52" s="15"/>
      <c r="E52" s="16"/>
      <c r="F52" s="19" t="s">
        <v>28</v>
      </c>
      <c r="G52" s="7" t="s">
        <v>48</v>
      </c>
      <c r="H52" s="19" t="s">
        <v>28</v>
      </c>
      <c r="I52" s="16"/>
      <c r="J52" s="13"/>
    </row>
    <row r="53" spans="2:10" x14ac:dyDescent="0.3">
      <c r="B53" s="14"/>
      <c r="D53" s="15"/>
      <c r="E53" s="16"/>
      <c r="F53" s="16"/>
      <c r="G53" s="18"/>
      <c r="H53" s="16"/>
      <c r="I53" s="16" t="s">
        <v>3</v>
      </c>
      <c r="J53" s="13"/>
    </row>
    <row r="54" spans="2:10" x14ac:dyDescent="0.3">
      <c r="B54" s="20"/>
      <c r="C54" s="6" t="s">
        <v>80</v>
      </c>
      <c r="D54" s="15" t="s">
        <v>79</v>
      </c>
      <c r="E54" s="16"/>
      <c r="F54" s="16"/>
      <c r="G54" s="18"/>
      <c r="H54" s="16"/>
      <c r="I54" s="16"/>
      <c r="J54" s="13"/>
    </row>
    <row r="55" spans="2:10" x14ac:dyDescent="0.3">
      <c r="B55" s="14"/>
      <c r="D55" s="15"/>
      <c r="E55" s="16"/>
      <c r="F55" s="16"/>
      <c r="G55" s="18"/>
      <c r="H55" s="16"/>
      <c r="I55" s="16" t="s">
        <v>3</v>
      </c>
      <c r="J55" s="13"/>
    </row>
    <row r="56" spans="2:10" x14ac:dyDescent="0.3">
      <c r="B56" s="14"/>
      <c r="D56" s="15"/>
      <c r="E56" s="16"/>
      <c r="F56" s="19" t="s">
        <v>95</v>
      </c>
      <c r="G56" s="7" t="s">
        <v>48</v>
      </c>
      <c r="H56" s="19" t="s">
        <v>100</v>
      </c>
      <c r="I56" s="16"/>
      <c r="J56" s="13"/>
    </row>
    <row r="57" spans="2:10" x14ac:dyDescent="0.3">
      <c r="B57" s="14"/>
      <c r="D57" s="15"/>
      <c r="E57" s="16"/>
      <c r="F57" s="19" t="s">
        <v>96</v>
      </c>
      <c r="G57" s="7" t="s">
        <v>48</v>
      </c>
      <c r="H57" s="19" t="s">
        <v>100</v>
      </c>
      <c r="I57" s="16"/>
      <c r="J57" s="13"/>
    </row>
    <row r="58" spans="2:10" x14ac:dyDescent="0.3">
      <c r="B58" s="14"/>
      <c r="D58" s="15"/>
      <c r="E58" s="16"/>
      <c r="F58" s="19"/>
      <c r="G58" s="18"/>
      <c r="H58" s="19"/>
      <c r="I58" s="16"/>
      <c r="J58" s="13"/>
    </row>
    <row r="59" spans="2:10" x14ac:dyDescent="0.3">
      <c r="B59" s="14"/>
      <c r="D59" s="15"/>
      <c r="E59" s="16"/>
      <c r="F59" s="16"/>
      <c r="G59" s="18"/>
      <c r="H59" s="16"/>
      <c r="I59" s="16" t="s">
        <v>3</v>
      </c>
      <c r="J59" s="13"/>
    </row>
    <row r="60" spans="2:10" x14ac:dyDescent="0.3">
      <c r="B60" s="20"/>
      <c r="C60" s="6" t="s">
        <v>83</v>
      </c>
      <c r="D60" s="15" t="s">
        <v>84</v>
      </c>
      <c r="E60" s="16"/>
      <c r="F60" s="16"/>
      <c r="G60" s="18"/>
      <c r="H60" s="16"/>
      <c r="I60" s="16"/>
      <c r="J60" s="13"/>
    </row>
    <row r="61" spans="2:10" x14ac:dyDescent="0.3">
      <c r="B61" s="14"/>
      <c r="D61" s="15"/>
      <c r="E61" s="16"/>
      <c r="F61" s="16"/>
      <c r="G61" s="18"/>
      <c r="H61" s="16"/>
      <c r="I61" s="16" t="s">
        <v>3</v>
      </c>
      <c r="J61" s="13"/>
    </row>
    <row r="62" spans="2:10" x14ac:dyDescent="0.3">
      <c r="B62" s="14"/>
      <c r="D62" s="15"/>
      <c r="E62" s="16"/>
      <c r="F62" s="19" t="s">
        <v>28</v>
      </c>
      <c r="G62" s="7" t="s">
        <v>48</v>
      </c>
      <c r="H62" s="19" t="s">
        <v>28</v>
      </c>
      <c r="I62" s="16"/>
      <c r="J62" s="13"/>
    </row>
    <row r="63" spans="2:10" x14ac:dyDescent="0.3">
      <c r="B63" s="14"/>
      <c r="D63" s="15"/>
      <c r="E63" s="16"/>
      <c r="F63" s="16"/>
      <c r="G63" s="18"/>
      <c r="H63" s="16"/>
      <c r="I63" s="16" t="s">
        <v>3</v>
      </c>
      <c r="J63" s="13"/>
    </row>
    <row r="64" spans="2:10" x14ac:dyDescent="0.3">
      <c r="B64" s="20"/>
      <c r="C64" s="6" t="s">
        <v>72</v>
      </c>
      <c r="D64" s="15" t="s">
        <v>82</v>
      </c>
      <c r="E64" s="16"/>
      <c r="F64" s="16"/>
      <c r="G64" s="18"/>
      <c r="H64" s="16"/>
      <c r="I64" s="16"/>
      <c r="J64" s="13"/>
    </row>
    <row r="65" spans="2:10" x14ac:dyDescent="0.3">
      <c r="B65" s="14"/>
      <c r="D65" s="15"/>
      <c r="E65" s="16"/>
      <c r="F65" s="16"/>
      <c r="G65" s="18"/>
      <c r="H65" s="16"/>
      <c r="I65" s="16" t="s">
        <v>3</v>
      </c>
      <c r="J65" s="13"/>
    </row>
    <row r="66" spans="2:10" x14ac:dyDescent="0.3">
      <c r="B66" s="14"/>
      <c r="D66" s="15"/>
      <c r="E66" s="16"/>
      <c r="F66" s="19" t="s">
        <v>98</v>
      </c>
      <c r="G66" s="7" t="s">
        <v>48</v>
      </c>
      <c r="H66" s="19" t="s">
        <v>100</v>
      </c>
      <c r="I66" s="16"/>
      <c r="J66" s="13"/>
    </row>
    <row r="67" spans="2:10" x14ac:dyDescent="0.3">
      <c r="B67" s="14"/>
      <c r="D67" s="15"/>
      <c r="E67" s="16"/>
      <c r="F67" s="19" t="s">
        <v>99</v>
      </c>
      <c r="G67" s="7" t="s">
        <v>48</v>
      </c>
      <c r="H67" s="19" t="s">
        <v>100</v>
      </c>
      <c r="I67" s="16"/>
      <c r="J67" s="13"/>
    </row>
    <row r="68" spans="2:10" x14ac:dyDescent="0.3">
      <c r="B68" s="14"/>
      <c r="D68" s="15"/>
      <c r="E68" s="16"/>
      <c r="F68" s="19"/>
      <c r="G68" s="18"/>
      <c r="H68" s="19"/>
      <c r="I68" s="16"/>
      <c r="J68" s="13"/>
    </row>
    <row r="69" spans="2:10" x14ac:dyDescent="0.3">
      <c r="B69" s="14"/>
      <c r="D69" s="15"/>
      <c r="E69" s="16"/>
      <c r="F69" s="16"/>
      <c r="G69" s="18"/>
      <c r="H69" s="16"/>
      <c r="I69" s="16" t="s">
        <v>3</v>
      </c>
      <c r="J69" s="13"/>
    </row>
    <row r="70" spans="2:10" ht="14.4" thickBot="1" x14ac:dyDescent="0.35">
      <c r="B70" s="21"/>
      <c r="C70" s="22"/>
      <c r="D70" s="22"/>
      <c r="E70" s="22"/>
      <c r="F70" s="22"/>
      <c r="G70" s="23"/>
      <c r="H70" s="22"/>
      <c r="I70" s="22"/>
      <c r="J70" s="24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indexed="57"/>
  </sheetPr>
  <dimension ref="B1:G11"/>
  <sheetViews>
    <sheetView showGridLines="0" workbookViewId="0"/>
  </sheetViews>
  <sheetFormatPr baseColWidth="10" defaultColWidth="11.44140625" defaultRowHeight="13.8" x14ac:dyDescent="0.3"/>
  <cols>
    <col min="1" max="2" width="3.6640625" style="6" customWidth="1"/>
    <col min="3" max="3" width="8.5546875" style="6" bestFit="1" customWidth="1"/>
    <col min="4" max="4" width="1.88671875" style="6" bestFit="1" customWidth="1"/>
    <col min="5" max="5" width="8.33203125" style="6" bestFit="1" customWidth="1"/>
    <col min="6" max="6" width="1.5546875" style="6" bestFit="1" customWidth="1"/>
    <col min="7" max="7" width="3.6640625" style="6" customWidth="1"/>
    <col min="8" max="16384" width="11.44140625" style="6"/>
  </cols>
  <sheetData>
    <row r="1" spans="2:7" ht="14.4" thickBot="1" x14ac:dyDescent="0.35"/>
    <row r="2" spans="2:7" x14ac:dyDescent="0.3">
      <c r="B2" s="8"/>
      <c r="C2" s="9"/>
      <c r="D2" s="9"/>
      <c r="E2" s="9"/>
      <c r="F2" s="9"/>
      <c r="G2" s="11"/>
    </row>
    <row r="3" spans="2:7" x14ac:dyDescent="0.3">
      <c r="B3" s="33" t="s">
        <v>6</v>
      </c>
      <c r="C3" s="34"/>
      <c r="G3" s="13"/>
    </row>
    <row r="4" spans="2:7" x14ac:dyDescent="0.3">
      <c r="B4" s="14"/>
      <c r="G4" s="13"/>
    </row>
    <row r="5" spans="2:7" x14ac:dyDescent="0.3">
      <c r="B5" s="48" t="s">
        <v>108</v>
      </c>
      <c r="C5" s="49"/>
      <c r="D5" s="49"/>
      <c r="E5" s="50" t="s">
        <v>126</v>
      </c>
      <c r="F5" s="50"/>
      <c r="G5" s="13"/>
    </row>
    <row r="6" spans="2:7" x14ac:dyDescent="0.3">
      <c r="B6" s="14"/>
      <c r="C6" s="6" t="s">
        <v>92</v>
      </c>
      <c r="D6" s="6" t="s">
        <v>4</v>
      </c>
      <c r="E6" s="51">
        <v>10000</v>
      </c>
      <c r="F6" s="6" t="s">
        <v>5</v>
      </c>
      <c r="G6" s="13"/>
    </row>
    <row r="7" spans="2:7" x14ac:dyDescent="0.3">
      <c r="B7" s="14"/>
      <c r="G7" s="13"/>
    </row>
    <row r="8" spans="2:7" x14ac:dyDescent="0.3">
      <c r="B8" s="48" t="s">
        <v>109</v>
      </c>
      <c r="C8" s="49"/>
      <c r="D8" s="49"/>
      <c r="E8" s="50" t="s">
        <v>127</v>
      </c>
      <c r="F8" s="50"/>
      <c r="G8" s="13"/>
    </row>
    <row r="9" spans="2:7" x14ac:dyDescent="0.3">
      <c r="B9" s="14"/>
      <c r="C9" s="6" t="s">
        <v>93</v>
      </c>
      <c r="D9" s="6" t="s">
        <v>4</v>
      </c>
      <c r="E9" s="51">
        <v>30000</v>
      </c>
      <c r="F9" s="6" t="s">
        <v>5</v>
      </c>
      <c r="G9" s="13"/>
    </row>
    <row r="10" spans="2:7" x14ac:dyDescent="0.3">
      <c r="B10" s="14"/>
      <c r="G10" s="13"/>
    </row>
    <row r="11" spans="2:7" ht="14.4" thickBot="1" x14ac:dyDescent="0.35">
      <c r="B11" s="21"/>
      <c r="C11" s="22"/>
      <c r="D11" s="22"/>
      <c r="E11" s="22"/>
      <c r="F11" s="22"/>
      <c r="G11" s="24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indexed="57"/>
  </sheetPr>
  <dimension ref="B1:J61"/>
  <sheetViews>
    <sheetView showGridLines="0" zoomScaleNormal="100" workbookViewId="0"/>
  </sheetViews>
  <sheetFormatPr baseColWidth="10" defaultColWidth="11.44140625" defaultRowHeight="13.8" x14ac:dyDescent="0.3"/>
  <cols>
    <col min="1" max="2" width="3.6640625" style="6" customWidth="1"/>
    <col min="3" max="3" width="6.6640625" style="6" customWidth="1"/>
    <col min="4" max="9" width="11.6640625" style="6" bestFit="1" customWidth="1"/>
    <col min="10" max="10" width="3.6640625" style="6" customWidth="1"/>
    <col min="11" max="16384" width="11.44140625" style="6"/>
  </cols>
  <sheetData>
    <row r="1" spans="2:10" ht="14.4" thickBot="1" x14ac:dyDescent="0.35"/>
    <row r="2" spans="2:10" x14ac:dyDescent="0.3">
      <c r="B2" s="8"/>
      <c r="C2" s="9"/>
      <c r="D2" s="9"/>
      <c r="E2" s="9"/>
      <c r="F2" s="9"/>
      <c r="G2" s="9"/>
      <c r="H2" s="9"/>
      <c r="I2" s="9"/>
      <c r="J2" s="11"/>
    </row>
    <row r="3" spans="2:10" x14ac:dyDescent="0.3">
      <c r="B3" s="33" t="s">
        <v>113</v>
      </c>
      <c r="C3" s="34"/>
      <c r="D3" s="44"/>
      <c r="E3" s="44"/>
      <c r="F3" s="44"/>
      <c r="G3" s="44"/>
      <c r="H3" s="44"/>
      <c r="I3" s="44"/>
      <c r="J3" s="13"/>
    </row>
    <row r="4" spans="2:10" x14ac:dyDescent="0.3">
      <c r="B4" s="33"/>
      <c r="C4" s="34"/>
      <c r="D4" s="44"/>
      <c r="E4" s="44"/>
      <c r="F4" s="44"/>
      <c r="G4" s="44"/>
      <c r="H4" s="44"/>
      <c r="I4" s="44"/>
      <c r="J4" s="13"/>
    </row>
    <row r="5" spans="2:10" x14ac:dyDescent="0.3">
      <c r="B5" s="14"/>
      <c r="D5" s="31" t="s">
        <v>105</v>
      </c>
      <c r="E5" s="31" t="s">
        <v>106</v>
      </c>
      <c r="F5" s="31" t="s">
        <v>107</v>
      </c>
      <c r="G5" s="31" t="s">
        <v>40</v>
      </c>
      <c r="H5" s="31" t="s">
        <v>41</v>
      </c>
      <c r="I5" s="31" t="s">
        <v>81</v>
      </c>
      <c r="J5" s="13"/>
    </row>
    <row r="6" spans="2:10" x14ac:dyDescent="0.3">
      <c r="B6" s="14"/>
      <c r="C6" s="6" t="s">
        <v>21</v>
      </c>
      <c r="D6" s="46">
        <v>4414.7</v>
      </c>
      <c r="E6" s="46">
        <v>3983.2</v>
      </c>
      <c r="F6" s="46">
        <v>2987.7</v>
      </c>
      <c r="G6" s="46">
        <v>3697.3</v>
      </c>
      <c r="H6" s="46">
        <v>3189.9</v>
      </c>
      <c r="I6" s="46">
        <v>2619.4</v>
      </c>
      <c r="J6" s="13"/>
    </row>
    <row r="7" spans="2:10" x14ac:dyDescent="0.3">
      <c r="B7" s="14"/>
      <c r="C7" s="6" t="s">
        <v>29</v>
      </c>
      <c r="D7" s="46">
        <v>4153.6000000000004</v>
      </c>
      <c r="E7" s="46">
        <v>3816.9</v>
      </c>
      <c r="F7" s="46">
        <v>2885.7</v>
      </c>
      <c r="G7" s="46">
        <v>3561.3</v>
      </c>
      <c r="H7" s="46">
        <v>3188</v>
      </c>
      <c r="I7" s="46">
        <v>2644.2</v>
      </c>
      <c r="J7" s="13"/>
    </row>
    <row r="8" spans="2:10" x14ac:dyDescent="0.3">
      <c r="B8" s="14"/>
      <c r="C8" s="6" t="s">
        <v>30</v>
      </c>
      <c r="D8" s="46">
        <v>4028.6</v>
      </c>
      <c r="E8" s="46">
        <v>3702.5</v>
      </c>
      <c r="F8" s="46">
        <v>2822.8</v>
      </c>
      <c r="G8" s="46">
        <v>3442</v>
      </c>
      <c r="H8" s="46">
        <v>3041.1</v>
      </c>
      <c r="I8" s="46">
        <v>2572</v>
      </c>
      <c r="J8" s="13"/>
    </row>
    <row r="9" spans="2:10" x14ac:dyDescent="0.3">
      <c r="B9" s="14"/>
      <c r="C9" s="6" t="s">
        <v>31</v>
      </c>
      <c r="D9" s="46">
        <v>3752</v>
      </c>
      <c r="E9" s="46">
        <v>3447.6</v>
      </c>
      <c r="F9" s="46">
        <v>2622.3</v>
      </c>
      <c r="G9" s="46">
        <v>3241.9</v>
      </c>
      <c r="H9" s="46">
        <v>2850.5</v>
      </c>
      <c r="I9" s="46">
        <v>2435.8000000000002</v>
      </c>
      <c r="J9" s="13"/>
    </row>
    <row r="10" spans="2:10" x14ac:dyDescent="0.3">
      <c r="B10" s="14"/>
      <c r="C10" s="6" t="s">
        <v>32</v>
      </c>
      <c r="D10" s="46">
        <v>3746.3</v>
      </c>
      <c r="E10" s="46">
        <v>3442.8</v>
      </c>
      <c r="F10" s="46">
        <v>2602.4</v>
      </c>
      <c r="G10" s="46">
        <v>3108.9</v>
      </c>
      <c r="H10" s="46">
        <v>2768</v>
      </c>
      <c r="I10" s="46">
        <v>2385.3000000000002</v>
      </c>
      <c r="J10" s="13"/>
    </row>
    <row r="11" spans="2:10" x14ac:dyDescent="0.3">
      <c r="B11" s="14"/>
      <c r="C11" s="6" t="s">
        <v>33</v>
      </c>
      <c r="D11" s="46">
        <v>4103</v>
      </c>
      <c r="E11" s="46">
        <v>3728.5</v>
      </c>
      <c r="F11" s="46">
        <v>2776.6</v>
      </c>
      <c r="G11" s="46">
        <v>3300.8</v>
      </c>
      <c r="H11" s="46">
        <v>2984.3</v>
      </c>
      <c r="I11" s="46">
        <v>2512.4</v>
      </c>
      <c r="J11" s="13"/>
    </row>
    <row r="12" spans="2:10" x14ac:dyDescent="0.3">
      <c r="B12" s="14"/>
      <c r="C12" s="6" t="s">
        <v>34</v>
      </c>
      <c r="D12" s="46">
        <v>4184.5</v>
      </c>
      <c r="E12" s="46">
        <v>3818.9</v>
      </c>
      <c r="F12" s="46">
        <v>2889.7</v>
      </c>
      <c r="G12" s="46">
        <v>3412.9</v>
      </c>
      <c r="H12" s="46">
        <v>3097.1</v>
      </c>
      <c r="I12" s="46">
        <v>2599.3000000000002</v>
      </c>
      <c r="J12" s="13"/>
    </row>
    <row r="13" spans="2:10" x14ac:dyDescent="0.3">
      <c r="B13" s="14"/>
      <c r="C13" s="6" t="s">
        <v>35</v>
      </c>
      <c r="D13" s="46">
        <v>3778.1</v>
      </c>
      <c r="E13" s="46">
        <v>3492.5</v>
      </c>
      <c r="F13" s="46">
        <v>2666.5</v>
      </c>
      <c r="G13" s="46">
        <v>3237.8</v>
      </c>
      <c r="H13" s="46">
        <v>2909.2</v>
      </c>
      <c r="I13" s="46">
        <v>2448</v>
      </c>
      <c r="J13" s="13"/>
    </row>
    <row r="14" spans="2:10" x14ac:dyDescent="0.3">
      <c r="B14" s="14"/>
      <c r="C14" s="6" t="s">
        <v>36</v>
      </c>
      <c r="D14" s="46">
        <v>4009.2</v>
      </c>
      <c r="E14" s="46">
        <v>3706.2</v>
      </c>
      <c r="F14" s="46">
        <v>2797.3</v>
      </c>
      <c r="G14" s="46">
        <v>3256.3</v>
      </c>
      <c r="H14" s="46">
        <v>2909.4</v>
      </c>
      <c r="I14" s="46">
        <v>2488.1999999999998</v>
      </c>
      <c r="J14" s="13"/>
    </row>
    <row r="15" spans="2:10" x14ac:dyDescent="0.3">
      <c r="B15" s="14"/>
      <c r="C15" s="6" t="s">
        <v>37</v>
      </c>
      <c r="D15" s="46">
        <v>3887</v>
      </c>
      <c r="E15" s="46">
        <v>3557.1</v>
      </c>
      <c r="F15" s="46">
        <v>2645.2</v>
      </c>
      <c r="G15" s="46">
        <v>3242</v>
      </c>
      <c r="H15" s="46">
        <v>2844</v>
      </c>
      <c r="I15" s="46">
        <v>2443.4</v>
      </c>
      <c r="J15" s="13"/>
    </row>
    <row r="16" spans="2:10" x14ac:dyDescent="0.3">
      <c r="B16" s="14"/>
      <c r="C16" s="6" t="s">
        <v>38</v>
      </c>
      <c r="D16" s="46">
        <v>4255.5</v>
      </c>
      <c r="E16" s="46">
        <v>3844.8</v>
      </c>
      <c r="F16" s="46">
        <v>2888.6</v>
      </c>
      <c r="G16" s="46">
        <v>3503.2</v>
      </c>
      <c r="H16" s="46">
        <v>3116.1</v>
      </c>
      <c r="I16" s="46">
        <v>2586.1999999999998</v>
      </c>
      <c r="J16" s="13"/>
    </row>
    <row r="17" spans="2:10" x14ac:dyDescent="0.3">
      <c r="B17" s="14"/>
      <c r="C17" s="6" t="s">
        <v>22</v>
      </c>
      <c r="D17" s="46">
        <v>4453.8</v>
      </c>
      <c r="E17" s="46">
        <v>4005.3</v>
      </c>
      <c r="F17" s="46">
        <v>3013.4</v>
      </c>
      <c r="G17" s="46">
        <v>3660.3</v>
      </c>
      <c r="H17" s="46">
        <v>3210.7</v>
      </c>
      <c r="I17" s="46">
        <v>2619.3000000000002</v>
      </c>
      <c r="J17" s="13"/>
    </row>
    <row r="18" spans="2:10" x14ac:dyDescent="0.3">
      <c r="B18" s="14"/>
      <c r="D18" s="46"/>
      <c r="E18" s="46"/>
      <c r="F18" s="46"/>
      <c r="G18" s="46"/>
      <c r="H18" s="46"/>
      <c r="I18" s="46"/>
      <c r="J18" s="13"/>
    </row>
    <row r="19" spans="2:10" x14ac:dyDescent="0.3">
      <c r="B19" s="33" t="s">
        <v>121</v>
      </c>
      <c r="D19" s="46">
        <f>MAX(D6:D17)</f>
        <v>4453.8</v>
      </c>
      <c r="E19" s="46">
        <f t="shared" ref="E19:I19" si="0">MAX(E6:E17)</f>
        <v>4005.3</v>
      </c>
      <c r="F19" s="46">
        <f t="shared" si="0"/>
        <v>3013.4</v>
      </c>
      <c r="G19" s="46">
        <f t="shared" si="0"/>
        <v>3697.3</v>
      </c>
      <c r="H19" s="46">
        <f t="shared" si="0"/>
        <v>3210.7</v>
      </c>
      <c r="I19" s="46">
        <f t="shared" si="0"/>
        <v>2644.2</v>
      </c>
      <c r="J19" s="13"/>
    </row>
    <row r="20" spans="2:10" x14ac:dyDescent="0.3">
      <c r="B20" s="33" t="s">
        <v>122</v>
      </c>
      <c r="D20" s="46">
        <f>MIN(D6:D17)</f>
        <v>3746.3</v>
      </c>
      <c r="E20" s="46">
        <f t="shared" ref="E20:I20" si="1">MIN(E6:E17)</f>
        <v>3442.8</v>
      </c>
      <c r="F20" s="46">
        <f t="shared" si="1"/>
        <v>2602.4</v>
      </c>
      <c r="G20" s="46">
        <f t="shared" si="1"/>
        <v>3108.9</v>
      </c>
      <c r="H20" s="46">
        <f t="shared" si="1"/>
        <v>2768</v>
      </c>
      <c r="I20" s="46">
        <f t="shared" si="1"/>
        <v>2385.3000000000002</v>
      </c>
      <c r="J20" s="13"/>
    </row>
    <row r="21" spans="2:10" x14ac:dyDescent="0.3">
      <c r="B21" s="33" t="s">
        <v>123</v>
      </c>
      <c r="D21" s="46">
        <f>SUM(D6:D17)</f>
        <v>48766.3</v>
      </c>
      <c r="E21" s="46">
        <f t="shared" ref="E21:I21" si="2">SUM(E6:E17)</f>
        <v>44546.3</v>
      </c>
      <c r="F21" s="46">
        <f t="shared" si="2"/>
        <v>33598.199999999997</v>
      </c>
      <c r="G21" s="46">
        <f t="shared" si="2"/>
        <v>40664.699999999997</v>
      </c>
      <c r="H21" s="46">
        <f t="shared" si="2"/>
        <v>36108.299999999996</v>
      </c>
      <c r="I21" s="46">
        <f t="shared" si="2"/>
        <v>30353.500000000004</v>
      </c>
      <c r="J21" s="13"/>
    </row>
    <row r="22" spans="2:10" ht="14.4" thickBot="1" x14ac:dyDescent="0.35">
      <c r="B22" s="21"/>
      <c r="C22" s="22"/>
      <c r="D22" s="22"/>
      <c r="E22" s="22"/>
      <c r="F22" s="22"/>
      <c r="G22" s="22"/>
      <c r="H22" s="22"/>
      <c r="I22" s="22"/>
      <c r="J22" s="24"/>
    </row>
    <row r="23" spans="2:10" ht="14.4" thickBot="1" x14ac:dyDescent="0.35"/>
    <row r="24" spans="2:10" x14ac:dyDescent="0.3">
      <c r="B24" s="8"/>
      <c r="C24" s="9"/>
      <c r="D24" s="9"/>
      <c r="E24" s="9"/>
      <c r="F24" s="9"/>
      <c r="G24" s="9"/>
      <c r="H24" s="9"/>
      <c r="I24" s="9"/>
      <c r="J24" s="11"/>
    </row>
    <row r="25" spans="2:10" x14ac:dyDescent="0.3">
      <c r="B25" s="33" t="s">
        <v>114</v>
      </c>
      <c r="C25" s="34"/>
      <c r="D25" s="44"/>
      <c r="E25" s="44"/>
      <c r="F25" s="44"/>
      <c r="G25" s="44"/>
      <c r="H25" s="44"/>
      <c r="I25" s="44"/>
      <c r="J25" s="13"/>
    </row>
    <row r="26" spans="2:10" x14ac:dyDescent="0.3">
      <c r="B26" s="33"/>
      <c r="C26" s="34"/>
      <c r="D26" s="44"/>
      <c r="E26" s="44"/>
      <c r="F26" s="44"/>
      <c r="G26" s="44"/>
      <c r="H26" s="44"/>
      <c r="I26" s="44"/>
      <c r="J26" s="13"/>
    </row>
    <row r="27" spans="2:10" x14ac:dyDescent="0.3">
      <c r="B27" s="14"/>
      <c r="D27" s="31" t="s">
        <v>105</v>
      </c>
      <c r="E27" s="31"/>
      <c r="F27" s="31"/>
      <c r="G27" s="31" t="s">
        <v>40</v>
      </c>
      <c r="H27" s="31"/>
      <c r="I27" s="31"/>
      <c r="J27" s="13"/>
    </row>
    <row r="28" spans="2:10" x14ac:dyDescent="0.3">
      <c r="B28" s="14"/>
      <c r="C28" s="6" t="s">
        <v>21</v>
      </c>
      <c r="D28" s="46">
        <f t="shared" ref="D28:D39" si="3">0.1*D6</f>
        <v>441.47</v>
      </c>
      <c r="E28" s="46"/>
      <c r="F28" s="46"/>
      <c r="G28" s="46">
        <f t="shared" ref="G28:G39" si="4">0.1*G6</f>
        <v>369.73</v>
      </c>
      <c r="H28" s="46"/>
      <c r="I28" s="46"/>
      <c r="J28" s="13"/>
    </row>
    <row r="29" spans="2:10" x14ac:dyDescent="0.3">
      <c r="B29" s="14"/>
      <c r="C29" s="6" t="s">
        <v>29</v>
      </c>
      <c r="D29" s="46">
        <f t="shared" si="3"/>
        <v>415.36000000000007</v>
      </c>
      <c r="E29" s="46"/>
      <c r="F29" s="46"/>
      <c r="G29" s="46">
        <f t="shared" si="4"/>
        <v>356.13000000000005</v>
      </c>
      <c r="H29" s="46"/>
      <c r="I29" s="46"/>
      <c r="J29" s="13"/>
    </row>
    <row r="30" spans="2:10" x14ac:dyDescent="0.3">
      <c r="B30" s="14"/>
      <c r="C30" s="6" t="s">
        <v>30</v>
      </c>
      <c r="D30" s="46">
        <f t="shared" si="3"/>
        <v>402.86</v>
      </c>
      <c r="E30" s="46"/>
      <c r="F30" s="46"/>
      <c r="G30" s="46">
        <f t="shared" si="4"/>
        <v>344.20000000000005</v>
      </c>
      <c r="H30" s="46"/>
      <c r="I30" s="46"/>
      <c r="J30" s="13"/>
    </row>
    <row r="31" spans="2:10" x14ac:dyDescent="0.3">
      <c r="B31" s="14"/>
      <c r="C31" s="6" t="s">
        <v>31</v>
      </c>
      <c r="D31" s="46">
        <f t="shared" si="3"/>
        <v>375.20000000000005</v>
      </c>
      <c r="E31" s="46"/>
      <c r="F31" s="46"/>
      <c r="G31" s="46">
        <f t="shared" si="4"/>
        <v>324.19000000000005</v>
      </c>
      <c r="H31" s="46"/>
      <c r="I31" s="46"/>
      <c r="J31" s="13"/>
    </row>
    <row r="32" spans="2:10" x14ac:dyDescent="0.3">
      <c r="B32" s="14"/>
      <c r="C32" s="6" t="s">
        <v>32</v>
      </c>
      <c r="D32" s="46">
        <f t="shared" si="3"/>
        <v>374.63000000000005</v>
      </c>
      <c r="E32" s="46"/>
      <c r="F32" s="46"/>
      <c r="G32" s="46">
        <f t="shared" si="4"/>
        <v>310.89000000000004</v>
      </c>
      <c r="H32" s="46"/>
      <c r="I32" s="46"/>
      <c r="J32" s="13"/>
    </row>
    <row r="33" spans="2:10" x14ac:dyDescent="0.3">
      <c r="B33" s="14"/>
      <c r="C33" s="6" t="s">
        <v>33</v>
      </c>
      <c r="D33" s="46">
        <f t="shared" si="3"/>
        <v>410.3</v>
      </c>
      <c r="E33" s="46"/>
      <c r="F33" s="46"/>
      <c r="G33" s="46">
        <f t="shared" si="4"/>
        <v>330.08000000000004</v>
      </c>
      <c r="H33" s="46"/>
      <c r="I33" s="46"/>
      <c r="J33" s="13"/>
    </row>
    <row r="34" spans="2:10" x14ac:dyDescent="0.3">
      <c r="B34" s="14"/>
      <c r="C34" s="6" t="s">
        <v>34</v>
      </c>
      <c r="D34" s="46">
        <f t="shared" si="3"/>
        <v>418.45000000000005</v>
      </c>
      <c r="E34" s="46"/>
      <c r="F34" s="46"/>
      <c r="G34" s="46">
        <f t="shared" si="4"/>
        <v>341.29</v>
      </c>
      <c r="H34" s="46"/>
      <c r="I34" s="46"/>
      <c r="J34" s="13"/>
    </row>
    <row r="35" spans="2:10" x14ac:dyDescent="0.3">
      <c r="B35" s="14"/>
      <c r="C35" s="6" t="s">
        <v>35</v>
      </c>
      <c r="D35" s="46">
        <f t="shared" si="3"/>
        <v>377.81</v>
      </c>
      <c r="E35" s="46"/>
      <c r="F35" s="46"/>
      <c r="G35" s="46">
        <f t="shared" si="4"/>
        <v>323.78000000000003</v>
      </c>
      <c r="H35" s="46"/>
      <c r="I35" s="46"/>
      <c r="J35" s="13"/>
    </row>
    <row r="36" spans="2:10" x14ac:dyDescent="0.3">
      <c r="B36" s="14"/>
      <c r="C36" s="6" t="s">
        <v>36</v>
      </c>
      <c r="D36" s="46">
        <f t="shared" si="3"/>
        <v>400.92</v>
      </c>
      <c r="E36" s="46"/>
      <c r="F36" s="46"/>
      <c r="G36" s="46">
        <f t="shared" si="4"/>
        <v>325.63000000000005</v>
      </c>
      <c r="H36" s="46"/>
      <c r="I36" s="46"/>
      <c r="J36" s="13"/>
    </row>
    <row r="37" spans="2:10" x14ac:dyDescent="0.3">
      <c r="B37" s="14"/>
      <c r="C37" s="6" t="s">
        <v>37</v>
      </c>
      <c r="D37" s="46">
        <f t="shared" si="3"/>
        <v>388.70000000000005</v>
      </c>
      <c r="E37" s="46"/>
      <c r="F37" s="46"/>
      <c r="G37" s="46">
        <f t="shared" si="4"/>
        <v>324.20000000000005</v>
      </c>
      <c r="H37" s="46"/>
      <c r="I37" s="46"/>
      <c r="J37" s="13"/>
    </row>
    <row r="38" spans="2:10" x14ac:dyDescent="0.3">
      <c r="B38" s="14"/>
      <c r="C38" s="6" t="s">
        <v>38</v>
      </c>
      <c r="D38" s="46">
        <f t="shared" si="3"/>
        <v>425.55</v>
      </c>
      <c r="E38" s="46"/>
      <c r="F38" s="46"/>
      <c r="G38" s="46">
        <f t="shared" si="4"/>
        <v>350.32</v>
      </c>
      <c r="H38" s="46"/>
      <c r="I38" s="46"/>
      <c r="J38" s="13"/>
    </row>
    <row r="39" spans="2:10" x14ac:dyDescent="0.3">
      <c r="B39" s="14"/>
      <c r="C39" s="6" t="s">
        <v>22</v>
      </c>
      <c r="D39" s="46">
        <f t="shared" si="3"/>
        <v>445.38000000000005</v>
      </c>
      <c r="E39" s="46"/>
      <c r="F39" s="46"/>
      <c r="G39" s="46">
        <f t="shared" si="4"/>
        <v>366.03000000000003</v>
      </c>
      <c r="H39" s="46"/>
      <c r="I39" s="46"/>
      <c r="J39" s="13"/>
    </row>
    <row r="40" spans="2:10" x14ac:dyDescent="0.3">
      <c r="B40" s="14"/>
      <c r="D40" s="46"/>
      <c r="E40" s="46"/>
      <c r="F40" s="46"/>
      <c r="G40" s="46"/>
      <c r="H40" s="46"/>
      <c r="I40" s="46"/>
      <c r="J40" s="13"/>
    </row>
    <row r="41" spans="2:10" x14ac:dyDescent="0.3">
      <c r="B41" s="33" t="s">
        <v>121</v>
      </c>
      <c r="D41" s="46">
        <f>MAX(D28:D39)</f>
        <v>445.38000000000005</v>
      </c>
      <c r="E41" s="46"/>
      <c r="F41" s="46"/>
      <c r="G41" s="46">
        <f>MAX(G28:G39)</f>
        <v>369.73</v>
      </c>
      <c r="H41" s="46"/>
      <c r="I41" s="46"/>
      <c r="J41" s="13"/>
    </row>
    <row r="42" spans="2:10" x14ac:dyDescent="0.3">
      <c r="B42" s="33" t="s">
        <v>122</v>
      </c>
      <c r="D42" s="46">
        <f>MIN(D28:D39)</f>
        <v>374.63000000000005</v>
      </c>
      <c r="E42" s="46"/>
      <c r="F42" s="46"/>
      <c r="G42" s="46">
        <f>MIN(G28:G39)</f>
        <v>310.89000000000004</v>
      </c>
      <c r="H42" s="46"/>
      <c r="I42" s="46"/>
      <c r="J42" s="13"/>
    </row>
    <row r="43" spans="2:10" ht="14.4" thickBot="1" x14ac:dyDescent="0.35">
      <c r="B43" s="21"/>
      <c r="C43" s="22"/>
      <c r="D43" s="22"/>
      <c r="E43" s="22"/>
      <c r="F43" s="22"/>
      <c r="G43" s="22"/>
      <c r="H43" s="22"/>
      <c r="I43" s="22"/>
      <c r="J43" s="24"/>
    </row>
    <row r="44" spans="2:10" ht="14.4" thickBot="1" x14ac:dyDescent="0.35"/>
    <row r="45" spans="2:10" x14ac:dyDescent="0.3">
      <c r="B45" s="8"/>
      <c r="C45" s="9"/>
      <c r="D45" s="9"/>
      <c r="E45" s="9"/>
      <c r="F45" s="9"/>
      <c r="G45" s="9"/>
      <c r="H45" s="9"/>
      <c r="I45" s="9"/>
      <c r="J45" s="11"/>
    </row>
    <row r="46" spans="2:10" x14ac:dyDescent="0.3">
      <c r="B46" s="33" t="s">
        <v>115</v>
      </c>
      <c r="C46" s="34"/>
      <c r="D46" s="44"/>
      <c r="E46" s="44"/>
      <c r="F46" s="44"/>
      <c r="G46" s="44"/>
      <c r="H46" s="44"/>
      <c r="I46" s="44"/>
      <c r="J46" s="13"/>
    </row>
    <row r="47" spans="2:10" x14ac:dyDescent="0.3">
      <c r="B47" s="33"/>
      <c r="C47" s="34"/>
      <c r="D47" s="44"/>
      <c r="E47" s="44"/>
      <c r="F47" s="44"/>
      <c r="G47" s="44"/>
      <c r="H47" s="44"/>
      <c r="I47" s="44"/>
      <c r="J47" s="13"/>
    </row>
    <row r="48" spans="2:10" x14ac:dyDescent="0.3">
      <c r="B48" s="14"/>
      <c r="D48" s="31" t="s">
        <v>105</v>
      </c>
      <c r="E48" s="31" t="s">
        <v>106</v>
      </c>
      <c r="F48" s="31" t="s">
        <v>107</v>
      </c>
      <c r="G48" s="31" t="s">
        <v>40</v>
      </c>
      <c r="H48" s="31" t="s">
        <v>41</v>
      </c>
      <c r="I48" s="31" t="s">
        <v>81</v>
      </c>
      <c r="J48" s="13"/>
    </row>
    <row r="49" spans="2:10" x14ac:dyDescent="0.3">
      <c r="B49" s="14"/>
      <c r="C49" s="6" t="s">
        <v>21</v>
      </c>
      <c r="D49" s="46">
        <v>88</v>
      </c>
      <c r="E49" s="46">
        <v>308</v>
      </c>
      <c r="F49" s="46">
        <v>132</v>
      </c>
      <c r="G49" s="46">
        <v>36</v>
      </c>
      <c r="H49" s="46">
        <v>126</v>
      </c>
      <c r="I49" s="46">
        <v>54</v>
      </c>
      <c r="J49" s="13"/>
    </row>
    <row r="50" spans="2:10" x14ac:dyDescent="0.3">
      <c r="B50" s="14"/>
      <c r="C50" s="6" t="s">
        <v>29</v>
      </c>
      <c r="D50" s="46">
        <v>60</v>
      </c>
      <c r="E50" s="46">
        <v>300</v>
      </c>
      <c r="F50" s="46">
        <v>120</v>
      </c>
      <c r="G50" s="46">
        <v>24</v>
      </c>
      <c r="H50" s="46">
        <v>104</v>
      </c>
      <c r="I50" s="46">
        <v>64</v>
      </c>
      <c r="J50" s="13"/>
    </row>
    <row r="51" spans="2:10" x14ac:dyDescent="0.3">
      <c r="B51" s="14"/>
      <c r="C51" s="6" t="s">
        <v>30</v>
      </c>
      <c r="D51" s="46">
        <v>84</v>
      </c>
      <c r="E51" s="46">
        <v>294</v>
      </c>
      <c r="F51" s="46">
        <v>126</v>
      </c>
      <c r="G51" s="46">
        <v>30</v>
      </c>
      <c r="H51" s="46">
        <v>130</v>
      </c>
      <c r="I51" s="46">
        <v>80</v>
      </c>
      <c r="J51" s="13"/>
    </row>
    <row r="52" spans="2:10" x14ac:dyDescent="0.3">
      <c r="B52" s="14"/>
      <c r="C52" s="6" t="s">
        <v>31</v>
      </c>
      <c r="D52" s="46">
        <v>76</v>
      </c>
      <c r="E52" s="46">
        <v>266</v>
      </c>
      <c r="F52" s="46">
        <v>114</v>
      </c>
      <c r="G52" s="46">
        <v>33</v>
      </c>
      <c r="H52" s="46">
        <v>154</v>
      </c>
      <c r="I52" s="46">
        <v>77</v>
      </c>
      <c r="J52" s="13"/>
    </row>
    <row r="53" spans="2:10" x14ac:dyDescent="0.3">
      <c r="B53" s="14"/>
      <c r="C53" s="6" t="s">
        <v>32</v>
      </c>
      <c r="D53" s="46">
        <v>88</v>
      </c>
      <c r="E53" s="46">
        <v>308</v>
      </c>
      <c r="F53" s="46">
        <v>132</v>
      </c>
      <c r="G53" s="46">
        <v>27</v>
      </c>
      <c r="H53" s="46">
        <v>117</v>
      </c>
      <c r="I53" s="46">
        <v>72</v>
      </c>
      <c r="J53" s="13"/>
    </row>
    <row r="54" spans="2:10" x14ac:dyDescent="0.3">
      <c r="B54" s="14"/>
      <c r="C54" s="6" t="s">
        <v>33</v>
      </c>
      <c r="D54" s="46">
        <v>84</v>
      </c>
      <c r="E54" s="46">
        <v>294</v>
      </c>
      <c r="F54" s="46">
        <v>126</v>
      </c>
      <c r="G54" s="46">
        <v>27</v>
      </c>
      <c r="H54" s="46">
        <v>126</v>
      </c>
      <c r="I54" s="46">
        <v>63</v>
      </c>
      <c r="J54" s="13"/>
    </row>
    <row r="55" spans="2:10" x14ac:dyDescent="0.3">
      <c r="B55" s="14"/>
      <c r="C55" s="6" t="s">
        <v>34</v>
      </c>
      <c r="D55" s="46">
        <v>110</v>
      </c>
      <c r="E55" s="46">
        <v>264</v>
      </c>
      <c r="F55" s="46">
        <v>154</v>
      </c>
      <c r="G55" s="46">
        <v>27</v>
      </c>
      <c r="H55" s="46">
        <v>126</v>
      </c>
      <c r="I55" s="46">
        <v>63</v>
      </c>
      <c r="J55" s="13"/>
    </row>
    <row r="56" spans="2:10" x14ac:dyDescent="0.3">
      <c r="B56" s="14"/>
      <c r="C56" s="6" t="s">
        <v>35</v>
      </c>
      <c r="D56" s="46">
        <v>88</v>
      </c>
      <c r="E56" s="46">
        <v>286</v>
      </c>
      <c r="F56" s="46">
        <v>154</v>
      </c>
      <c r="G56" s="46">
        <v>27</v>
      </c>
      <c r="H56" s="46">
        <v>126</v>
      </c>
      <c r="I56" s="46">
        <v>63</v>
      </c>
      <c r="J56" s="13"/>
    </row>
    <row r="57" spans="2:10" x14ac:dyDescent="0.3">
      <c r="B57" s="14"/>
      <c r="C57" s="6" t="s">
        <v>36</v>
      </c>
      <c r="D57" s="46">
        <v>100</v>
      </c>
      <c r="E57" s="46">
        <v>240</v>
      </c>
      <c r="F57" s="46">
        <v>140</v>
      </c>
      <c r="G57" s="46">
        <v>30</v>
      </c>
      <c r="H57" s="46">
        <v>130</v>
      </c>
      <c r="I57" s="46">
        <v>80</v>
      </c>
      <c r="J57" s="13"/>
    </row>
    <row r="58" spans="2:10" x14ac:dyDescent="0.3">
      <c r="B58" s="14"/>
      <c r="C58" s="6" t="s">
        <v>37</v>
      </c>
      <c r="D58" s="46">
        <v>66</v>
      </c>
      <c r="E58" s="46">
        <v>308</v>
      </c>
      <c r="F58" s="46">
        <v>154</v>
      </c>
      <c r="G58" s="46">
        <v>27</v>
      </c>
      <c r="H58" s="46">
        <v>117</v>
      </c>
      <c r="I58" s="46">
        <v>72</v>
      </c>
      <c r="J58" s="13"/>
    </row>
    <row r="59" spans="2:10" x14ac:dyDescent="0.3">
      <c r="B59" s="14"/>
      <c r="C59" s="6" t="s">
        <v>38</v>
      </c>
      <c r="D59" s="46">
        <v>42</v>
      </c>
      <c r="E59" s="46">
        <v>315</v>
      </c>
      <c r="F59" s="46">
        <v>147</v>
      </c>
      <c r="G59" s="46">
        <v>27</v>
      </c>
      <c r="H59" s="46">
        <v>117</v>
      </c>
      <c r="I59" s="46">
        <v>72</v>
      </c>
      <c r="J59" s="13"/>
    </row>
    <row r="60" spans="2:10" x14ac:dyDescent="0.3">
      <c r="B60" s="14"/>
      <c r="C60" s="6" t="s">
        <v>22</v>
      </c>
      <c r="D60" s="46">
        <v>68</v>
      </c>
      <c r="E60" s="46">
        <v>238</v>
      </c>
      <c r="F60" s="46">
        <v>102</v>
      </c>
      <c r="G60" s="46">
        <v>56</v>
      </c>
      <c r="H60" s="46">
        <v>182</v>
      </c>
      <c r="I60" s="46">
        <v>98</v>
      </c>
      <c r="J60" s="13"/>
    </row>
    <row r="61" spans="2:10" ht="14.4" thickBot="1" x14ac:dyDescent="0.35">
      <c r="B61" s="21"/>
      <c r="C61" s="22"/>
      <c r="D61" s="22"/>
      <c r="E61" s="22"/>
      <c r="F61" s="22"/>
      <c r="G61" s="22"/>
      <c r="H61" s="22"/>
      <c r="I61" s="22"/>
      <c r="J61" s="24"/>
    </row>
  </sheetData>
  <customSheetViews>
    <customSheetView guid="{162D0EED-4A71-4EB6-8FDF-A42498BFDBC9}" showRuler="0">
      <selection activeCell="D6" sqref="D6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>
    <tabColor indexed="57"/>
  </sheetPr>
  <dimension ref="B1:M46"/>
  <sheetViews>
    <sheetView showGridLines="0" zoomScaleNormal="100" workbookViewId="0"/>
  </sheetViews>
  <sheetFormatPr baseColWidth="10" defaultColWidth="11.44140625" defaultRowHeight="13.8" x14ac:dyDescent="0.3"/>
  <cols>
    <col min="1" max="2" width="3.6640625" style="6" customWidth="1"/>
    <col min="3" max="3" width="24.44140625" style="6" bestFit="1" customWidth="1"/>
    <col min="4" max="4" width="10.33203125" style="6" bestFit="1" customWidth="1"/>
    <col min="5" max="5" width="10.109375" style="6" bestFit="1" customWidth="1"/>
    <col min="6" max="6" width="9" style="6" bestFit="1" customWidth="1"/>
    <col min="7" max="7" width="11.33203125" style="6" bestFit="1" customWidth="1"/>
    <col min="8" max="8" width="14.109375" style="6" bestFit="1" customWidth="1"/>
    <col min="9" max="9" width="10" style="6" bestFit="1" customWidth="1"/>
    <col min="10" max="10" width="10.33203125" style="6" bestFit="1" customWidth="1"/>
    <col min="11" max="11" width="5" style="6" bestFit="1" customWidth="1"/>
    <col min="12" max="12" width="6.44140625" style="6" bestFit="1" customWidth="1"/>
    <col min="13" max="13" width="3.6640625" style="6" customWidth="1"/>
    <col min="14" max="16384" width="11.44140625" style="6"/>
  </cols>
  <sheetData>
    <row r="1" spans="2:13" ht="14.4" thickBot="1" x14ac:dyDescent="0.35"/>
    <row r="2" spans="2:13" x14ac:dyDescent="0.3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11"/>
    </row>
    <row r="3" spans="2:13" x14ac:dyDescent="0.3">
      <c r="B3" s="33" t="s">
        <v>12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13"/>
    </row>
    <row r="4" spans="2:13" x14ac:dyDescent="0.3">
      <c r="B4" s="14"/>
      <c r="M4" s="13"/>
    </row>
    <row r="5" spans="2:13" s="31" customFormat="1" x14ac:dyDescent="0.3">
      <c r="B5" s="36"/>
      <c r="D5" s="31" t="s">
        <v>77</v>
      </c>
      <c r="E5" s="31" t="s">
        <v>78</v>
      </c>
      <c r="F5" s="31" t="s">
        <v>18</v>
      </c>
      <c r="G5" s="31" t="s">
        <v>16</v>
      </c>
      <c r="H5" s="31" t="s">
        <v>125</v>
      </c>
      <c r="I5" s="31" t="s">
        <v>42</v>
      </c>
      <c r="J5" s="31" t="s">
        <v>124</v>
      </c>
      <c r="K5" s="31" t="s">
        <v>88</v>
      </c>
      <c r="L5" s="31" t="s">
        <v>19</v>
      </c>
      <c r="M5" s="37"/>
    </row>
    <row r="6" spans="2:13" s="31" customFormat="1" x14ac:dyDescent="0.3">
      <c r="B6" s="43" t="s">
        <v>15</v>
      </c>
      <c r="D6" s="44" t="s">
        <v>7</v>
      </c>
      <c r="E6" s="44" t="s">
        <v>7</v>
      </c>
      <c r="F6" s="44" t="s">
        <v>128</v>
      </c>
      <c r="G6" s="44" t="s">
        <v>89</v>
      </c>
      <c r="H6" s="44" t="s">
        <v>90</v>
      </c>
      <c r="I6" s="44" t="s">
        <v>126</v>
      </c>
      <c r="J6" s="44" t="s">
        <v>91</v>
      </c>
      <c r="K6" s="44" t="s">
        <v>11</v>
      </c>
      <c r="L6" s="44"/>
      <c r="M6" s="37"/>
    </row>
    <row r="7" spans="2:13" x14ac:dyDescent="0.3">
      <c r="B7" s="14"/>
      <c r="C7" s="19" t="s">
        <v>60</v>
      </c>
      <c r="D7" s="38">
        <v>771.6</v>
      </c>
      <c r="E7" s="38">
        <v>771.6</v>
      </c>
      <c r="F7" s="45">
        <v>1</v>
      </c>
      <c r="G7" s="46">
        <v>15</v>
      </c>
      <c r="H7" s="46"/>
      <c r="I7" s="46"/>
      <c r="J7" s="46"/>
      <c r="K7" s="45">
        <v>0</v>
      </c>
      <c r="L7" s="45">
        <f t="shared" ref="L7:L19" si="0">F7*G7+F7*H7/D7</f>
        <v>15</v>
      </c>
      <c r="M7" s="13"/>
    </row>
    <row r="8" spans="2:13" x14ac:dyDescent="0.3">
      <c r="B8" s="14"/>
      <c r="C8" s="19" t="s">
        <v>101</v>
      </c>
      <c r="D8" s="38">
        <v>588</v>
      </c>
      <c r="E8" s="38">
        <f>D8*0.4</f>
        <v>235.20000000000002</v>
      </c>
      <c r="F8" s="45">
        <v>0.02</v>
      </c>
      <c r="G8" s="46">
        <v>2400</v>
      </c>
      <c r="H8" s="46">
        <v>50000</v>
      </c>
      <c r="I8" s="46">
        <v>6</v>
      </c>
      <c r="J8" s="46">
        <v>2000000</v>
      </c>
      <c r="K8" s="45">
        <v>0</v>
      </c>
      <c r="L8" s="45">
        <f t="shared" si="0"/>
        <v>49.700680272108841</v>
      </c>
      <c r="M8" s="13"/>
    </row>
    <row r="9" spans="2:13" x14ac:dyDescent="0.3">
      <c r="B9" s="14"/>
      <c r="C9" s="19" t="s">
        <v>61</v>
      </c>
      <c r="D9" s="38">
        <v>203.1</v>
      </c>
      <c r="E9" s="38">
        <f>D9*0.4</f>
        <v>81.240000000000009</v>
      </c>
      <c r="F9" s="45">
        <v>0.02</v>
      </c>
      <c r="G9" s="46">
        <v>2300</v>
      </c>
      <c r="H9" s="46">
        <v>50000</v>
      </c>
      <c r="I9" s="46">
        <v>6</v>
      </c>
      <c r="J9" s="46">
        <v>2000000</v>
      </c>
      <c r="K9" s="45">
        <v>0</v>
      </c>
      <c r="L9" s="45">
        <f t="shared" si="0"/>
        <v>50.923682914820283</v>
      </c>
      <c r="M9" s="13"/>
    </row>
    <row r="10" spans="2:13" x14ac:dyDescent="0.3">
      <c r="B10" s="14"/>
      <c r="C10" s="19" t="s">
        <v>103</v>
      </c>
      <c r="D10" s="38">
        <v>150.4</v>
      </c>
      <c r="E10" s="38">
        <f>D10*0.4</f>
        <v>60.160000000000004</v>
      </c>
      <c r="F10" s="45">
        <v>0.02</v>
      </c>
      <c r="G10" s="46">
        <v>2300</v>
      </c>
      <c r="H10" s="46">
        <v>50000</v>
      </c>
      <c r="I10" s="46">
        <v>6</v>
      </c>
      <c r="J10" s="46">
        <v>2000000</v>
      </c>
      <c r="K10" s="45">
        <v>0</v>
      </c>
      <c r="L10" s="45">
        <f t="shared" si="0"/>
        <v>52.648936170212764</v>
      </c>
      <c r="M10" s="13"/>
    </row>
    <row r="11" spans="2:13" x14ac:dyDescent="0.3">
      <c r="B11" s="14"/>
      <c r="C11" s="19" t="s">
        <v>102</v>
      </c>
      <c r="D11" s="38">
        <v>194.4</v>
      </c>
      <c r="E11" s="38">
        <f>D11*0.4</f>
        <v>77.760000000000005</v>
      </c>
      <c r="F11" s="45">
        <v>0.02</v>
      </c>
      <c r="G11" s="46">
        <v>2200</v>
      </c>
      <c r="H11" s="46">
        <v>50000</v>
      </c>
      <c r="I11" s="46">
        <v>6</v>
      </c>
      <c r="J11" s="46">
        <v>2000000</v>
      </c>
      <c r="K11" s="45">
        <v>0</v>
      </c>
      <c r="L11" s="45">
        <f t="shared" si="0"/>
        <v>49.144032921810698</v>
      </c>
      <c r="M11" s="13"/>
    </row>
    <row r="12" spans="2:13" x14ac:dyDescent="0.3">
      <c r="B12" s="14"/>
      <c r="C12" s="19" t="s">
        <v>62</v>
      </c>
      <c r="D12" s="38">
        <v>500</v>
      </c>
      <c r="E12" s="38">
        <f>D12*0.2</f>
        <v>100</v>
      </c>
      <c r="F12" s="45">
        <v>0.03</v>
      </c>
      <c r="G12" s="46">
        <v>800</v>
      </c>
      <c r="H12" s="46">
        <v>300000</v>
      </c>
      <c r="I12" s="46">
        <v>6</v>
      </c>
      <c r="J12" s="46">
        <v>1000000</v>
      </c>
      <c r="K12" s="45">
        <v>0</v>
      </c>
      <c r="L12" s="45">
        <f t="shared" si="0"/>
        <v>42</v>
      </c>
      <c r="M12" s="13"/>
    </row>
    <row r="13" spans="2:13" x14ac:dyDescent="0.3">
      <c r="B13" s="14"/>
      <c r="C13" s="19" t="s">
        <v>63</v>
      </c>
      <c r="D13" s="38">
        <v>500</v>
      </c>
      <c r="E13" s="38">
        <f>D13*0.2</f>
        <v>100</v>
      </c>
      <c r="F13" s="45">
        <v>0.03</v>
      </c>
      <c r="G13" s="46">
        <v>900</v>
      </c>
      <c r="H13" s="46">
        <v>300000</v>
      </c>
      <c r="I13" s="46">
        <v>4</v>
      </c>
      <c r="J13" s="46">
        <v>1000000</v>
      </c>
      <c r="K13" s="45">
        <v>0</v>
      </c>
      <c r="L13" s="45">
        <f t="shared" si="0"/>
        <v>45</v>
      </c>
      <c r="M13" s="13"/>
    </row>
    <row r="14" spans="2:13" x14ac:dyDescent="0.3">
      <c r="B14" s="14"/>
      <c r="C14" s="19" t="s">
        <v>64</v>
      </c>
      <c r="D14" s="38">
        <v>500</v>
      </c>
      <c r="E14" s="38">
        <f>D14*0.2</f>
        <v>100</v>
      </c>
      <c r="F14" s="45">
        <v>0.03</v>
      </c>
      <c r="G14" s="46">
        <v>1000</v>
      </c>
      <c r="H14" s="46">
        <v>300000</v>
      </c>
      <c r="I14" s="46">
        <v>4</v>
      </c>
      <c r="J14" s="46">
        <v>1000000</v>
      </c>
      <c r="K14" s="45">
        <v>0</v>
      </c>
      <c r="L14" s="45">
        <f t="shared" si="0"/>
        <v>48</v>
      </c>
      <c r="M14" s="13"/>
    </row>
    <row r="15" spans="2:13" x14ac:dyDescent="0.3">
      <c r="B15" s="14"/>
      <c r="C15" s="19" t="s">
        <v>65</v>
      </c>
      <c r="D15" s="38">
        <v>667.5</v>
      </c>
      <c r="E15" s="38">
        <f>D15*0.2</f>
        <v>133.5</v>
      </c>
      <c r="F15" s="45">
        <v>0.03</v>
      </c>
      <c r="G15" s="46">
        <v>800</v>
      </c>
      <c r="H15" s="46">
        <v>300000</v>
      </c>
      <c r="I15" s="46">
        <v>4</v>
      </c>
      <c r="J15" s="46">
        <v>1000000</v>
      </c>
      <c r="K15" s="45">
        <v>0</v>
      </c>
      <c r="L15" s="45">
        <f t="shared" si="0"/>
        <v>37.483146067415731</v>
      </c>
      <c r="M15" s="13"/>
    </row>
    <row r="16" spans="2:13" x14ac:dyDescent="0.3">
      <c r="B16" s="14"/>
      <c r="C16" s="19" t="s">
        <v>66</v>
      </c>
      <c r="D16" s="38">
        <v>400</v>
      </c>
      <c r="E16" s="38"/>
      <c r="F16" s="45">
        <v>0.03</v>
      </c>
      <c r="G16" s="46">
        <v>2000</v>
      </c>
      <c r="H16" s="46">
        <v>100000</v>
      </c>
      <c r="I16" s="46">
        <v>4</v>
      </c>
      <c r="J16" s="46"/>
      <c r="K16" s="45">
        <v>0</v>
      </c>
      <c r="L16" s="45">
        <f t="shared" si="0"/>
        <v>67.5</v>
      </c>
      <c r="M16" s="47"/>
    </row>
    <row r="17" spans="2:13" x14ac:dyDescent="0.3">
      <c r="B17" s="14"/>
      <c r="C17" s="19" t="s">
        <v>67</v>
      </c>
      <c r="D17" s="38">
        <v>400</v>
      </c>
      <c r="E17" s="38"/>
      <c r="F17" s="45">
        <v>0.03</v>
      </c>
      <c r="G17" s="46">
        <v>2100</v>
      </c>
      <c r="H17" s="46">
        <v>100000</v>
      </c>
      <c r="I17" s="46">
        <v>4</v>
      </c>
      <c r="J17" s="46"/>
      <c r="K17" s="45">
        <v>0</v>
      </c>
      <c r="L17" s="45">
        <f t="shared" si="0"/>
        <v>70.5</v>
      </c>
      <c r="M17" s="47"/>
    </row>
    <row r="18" spans="2:13" x14ac:dyDescent="0.3">
      <c r="B18" s="14"/>
      <c r="C18" s="19" t="s">
        <v>68</v>
      </c>
      <c r="D18" s="38">
        <v>400</v>
      </c>
      <c r="E18" s="38"/>
      <c r="F18" s="45">
        <v>0.03</v>
      </c>
      <c r="G18" s="46">
        <v>2200</v>
      </c>
      <c r="H18" s="46">
        <v>100000</v>
      </c>
      <c r="I18" s="46">
        <v>4</v>
      </c>
      <c r="J18" s="46"/>
      <c r="K18" s="45">
        <v>0</v>
      </c>
      <c r="L18" s="45">
        <f t="shared" si="0"/>
        <v>73.5</v>
      </c>
      <c r="M18" s="47"/>
    </row>
    <row r="19" spans="2:13" x14ac:dyDescent="0.3">
      <c r="B19" s="14"/>
      <c r="C19" s="19" t="s">
        <v>69</v>
      </c>
      <c r="D19" s="38">
        <v>441.8</v>
      </c>
      <c r="E19" s="38"/>
      <c r="F19" s="45">
        <v>0.06</v>
      </c>
      <c r="G19" s="46">
        <v>2000</v>
      </c>
      <c r="H19" s="46">
        <v>300000</v>
      </c>
      <c r="I19" s="46">
        <v>3</v>
      </c>
      <c r="J19" s="46">
        <v>1000000</v>
      </c>
      <c r="K19" s="45">
        <v>0</v>
      </c>
      <c r="L19" s="45">
        <f t="shared" si="0"/>
        <v>160.74241738343142</v>
      </c>
      <c r="M19" s="13"/>
    </row>
    <row r="20" spans="2:13" x14ac:dyDescent="0.3">
      <c r="B20" s="14"/>
      <c r="C20" s="42"/>
      <c r="D20" s="42"/>
      <c r="E20" s="42"/>
      <c r="F20" s="45"/>
      <c r="G20" s="46"/>
      <c r="H20" s="46"/>
      <c r="I20" s="46"/>
      <c r="J20" s="46"/>
      <c r="K20" s="46"/>
      <c r="L20" s="45"/>
      <c r="M20" s="13"/>
    </row>
    <row r="21" spans="2:13" ht="14.4" thickBot="1" x14ac:dyDescent="0.35">
      <c r="B21" s="21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4"/>
    </row>
    <row r="22" spans="2:13" ht="14.4" thickBot="1" x14ac:dyDescent="0.35"/>
    <row r="23" spans="2:13" x14ac:dyDescent="0.3">
      <c r="B23" s="8"/>
      <c r="C23" s="9"/>
      <c r="D23" s="9"/>
      <c r="E23" s="9"/>
      <c r="F23" s="9"/>
      <c r="G23" s="9"/>
      <c r="H23" s="9"/>
      <c r="I23" s="9"/>
      <c r="J23" s="9"/>
      <c r="K23" s="9"/>
      <c r="L23" s="9"/>
      <c r="M23" s="11"/>
    </row>
    <row r="24" spans="2:13" x14ac:dyDescent="0.3">
      <c r="B24" s="33" t="s">
        <v>43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13"/>
    </row>
    <row r="25" spans="2:13" x14ac:dyDescent="0.3">
      <c r="B25" s="14"/>
      <c r="M25" s="13"/>
    </row>
    <row r="26" spans="2:13" s="31" customFormat="1" x14ac:dyDescent="0.3">
      <c r="B26" s="36"/>
      <c r="D26" s="31" t="s">
        <v>77</v>
      </c>
      <c r="E26" s="31" t="s">
        <v>78</v>
      </c>
      <c r="F26" s="31" t="s">
        <v>74</v>
      </c>
      <c r="G26" s="31" t="s">
        <v>47</v>
      </c>
      <c r="H26" s="31" t="s">
        <v>94</v>
      </c>
      <c r="M26" s="37"/>
    </row>
    <row r="27" spans="2:13" s="31" customFormat="1" ht="15" x14ac:dyDescent="0.3">
      <c r="B27" s="43" t="s">
        <v>15</v>
      </c>
      <c r="D27" s="44" t="s">
        <v>7</v>
      </c>
      <c r="E27" s="44" t="s">
        <v>7</v>
      </c>
      <c r="F27" s="44" t="s">
        <v>111</v>
      </c>
      <c r="G27" s="44" t="s">
        <v>11</v>
      </c>
      <c r="H27" s="44" t="s">
        <v>7</v>
      </c>
      <c r="I27" s="44"/>
      <c r="J27" s="44"/>
      <c r="K27" s="44"/>
      <c r="L27" s="44"/>
      <c r="M27" s="37"/>
    </row>
    <row r="28" spans="2:13" x14ac:dyDescent="0.3">
      <c r="B28" s="14"/>
      <c r="C28" s="19" t="s">
        <v>27</v>
      </c>
      <c r="D28" s="38">
        <v>150</v>
      </c>
      <c r="E28" s="38"/>
      <c r="F28" s="38"/>
      <c r="G28" s="45"/>
      <c r="H28" s="38"/>
      <c r="I28" s="45"/>
      <c r="J28" s="46"/>
      <c r="K28" s="46"/>
      <c r="L28" s="45"/>
      <c r="M28" s="13"/>
    </row>
    <row r="29" spans="2:13" x14ac:dyDescent="0.3">
      <c r="B29" s="14"/>
      <c r="C29" s="19" t="s">
        <v>95</v>
      </c>
      <c r="D29" s="38">
        <v>200</v>
      </c>
      <c r="E29" s="38"/>
      <c r="F29" s="45">
        <v>0.3</v>
      </c>
      <c r="G29" s="45"/>
      <c r="H29" s="38"/>
      <c r="I29" s="45"/>
      <c r="J29" s="46"/>
      <c r="K29" s="46"/>
      <c r="L29" s="45"/>
      <c r="M29" s="13"/>
    </row>
    <row r="30" spans="2:13" x14ac:dyDescent="0.3">
      <c r="B30" s="14"/>
      <c r="C30" s="19" t="s">
        <v>96</v>
      </c>
      <c r="D30" s="38">
        <v>200</v>
      </c>
      <c r="E30" s="38"/>
      <c r="F30" s="45">
        <v>0.3</v>
      </c>
      <c r="G30" s="45"/>
      <c r="H30" s="38"/>
      <c r="I30" s="45"/>
      <c r="J30" s="46"/>
      <c r="K30" s="46"/>
      <c r="L30" s="45"/>
      <c r="M30" s="13"/>
    </row>
    <row r="31" spans="2:13" x14ac:dyDescent="0.3">
      <c r="B31" s="14"/>
      <c r="C31" s="19" t="s">
        <v>97</v>
      </c>
      <c r="D31" s="38">
        <v>200</v>
      </c>
      <c r="E31" s="38"/>
      <c r="F31" s="45">
        <v>0.3</v>
      </c>
      <c r="G31" s="45"/>
      <c r="H31" s="38"/>
      <c r="I31" s="45"/>
      <c r="J31" s="46"/>
      <c r="K31" s="46"/>
      <c r="L31" s="45"/>
      <c r="M31" s="13"/>
    </row>
    <row r="32" spans="2:13" x14ac:dyDescent="0.3">
      <c r="B32" s="14"/>
      <c r="C32" s="19" t="s">
        <v>28</v>
      </c>
      <c r="D32" s="38">
        <v>200</v>
      </c>
      <c r="E32" s="38"/>
      <c r="F32" s="38"/>
      <c r="G32" s="45">
        <v>0.7</v>
      </c>
      <c r="H32" s="38">
        <v>200</v>
      </c>
      <c r="I32" s="45"/>
      <c r="J32" s="46"/>
      <c r="K32" s="46"/>
      <c r="L32" s="45"/>
      <c r="M32" s="13"/>
    </row>
    <row r="33" spans="2:13" x14ac:dyDescent="0.3">
      <c r="B33" s="14"/>
      <c r="C33" s="42"/>
      <c r="D33" s="42"/>
      <c r="E33" s="42"/>
      <c r="F33" s="45"/>
      <c r="G33" s="46"/>
      <c r="H33" s="46"/>
      <c r="I33" s="46"/>
      <c r="J33" s="46"/>
      <c r="K33" s="46"/>
      <c r="L33" s="45"/>
      <c r="M33" s="13"/>
    </row>
    <row r="34" spans="2:13" ht="14.4" thickBot="1" x14ac:dyDescent="0.35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4"/>
    </row>
    <row r="35" spans="2:13" ht="14.4" thickBot="1" x14ac:dyDescent="0.35"/>
    <row r="36" spans="2:13" x14ac:dyDescent="0.3">
      <c r="B36" s="8"/>
      <c r="C36" s="9"/>
      <c r="D36" s="9"/>
      <c r="E36" s="9"/>
      <c r="F36" s="9"/>
      <c r="G36" s="9"/>
      <c r="H36" s="9"/>
      <c r="I36" s="9"/>
      <c r="J36" s="9"/>
      <c r="K36" s="9"/>
      <c r="L36" s="9"/>
      <c r="M36" s="11"/>
    </row>
    <row r="37" spans="2:13" x14ac:dyDescent="0.3">
      <c r="B37" s="33" t="s">
        <v>73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13"/>
    </row>
    <row r="38" spans="2:13" x14ac:dyDescent="0.3">
      <c r="B38" s="14"/>
      <c r="M38" s="13"/>
    </row>
    <row r="39" spans="2:13" s="31" customFormat="1" x14ac:dyDescent="0.3">
      <c r="B39" s="36"/>
      <c r="D39" s="31" t="s">
        <v>44</v>
      </c>
      <c r="E39" s="31" t="s">
        <v>45</v>
      </c>
      <c r="F39" s="31" t="s">
        <v>46</v>
      </c>
      <c r="M39" s="37"/>
    </row>
    <row r="40" spans="2:13" s="31" customFormat="1" ht="15" x14ac:dyDescent="0.3">
      <c r="B40" s="43" t="s">
        <v>15</v>
      </c>
      <c r="D40" s="44" t="s">
        <v>112</v>
      </c>
      <c r="E40" s="44" t="s">
        <v>112</v>
      </c>
      <c r="F40" s="44" t="s">
        <v>112</v>
      </c>
      <c r="G40" s="44"/>
      <c r="H40" s="44"/>
      <c r="I40" s="44"/>
      <c r="J40" s="44"/>
      <c r="K40" s="44"/>
      <c r="L40" s="44"/>
      <c r="M40" s="37"/>
    </row>
    <row r="41" spans="2:13" x14ac:dyDescent="0.3">
      <c r="B41" s="14"/>
      <c r="C41" s="19" t="s">
        <v>98</v>
      </c>
      <c r="D41" s="38">
        <v>600</v>
      </c>
      <c r="E41" s="38">
        <v>200</v>
      </c>
      <c r="F41" s="38">
        <v>500</v>
      </c>
      <c r="G41" s="38"/>
      <c r="H41" s="38"/>
      <c r="I41" s="45"/>
      <c r="J41" s="46"/>
      <c r="K41" s="46"/>
      <c r="L41" s="45"/>
      <c r="M41" s="13"/>
    </row>
    <row r="42" spans="2:13" x14ac:dyDescent="0.3">
      <c r="B42" s="14"/>
      <c r="C42" s="19" t="s">
        <v>99</v>
      </c>
      <c r="D42" s="38">
        <v>600</v>
      </c>
      <c r="E42" s="38">
        <v>200</v>
      </c>
      <c r="F42" s="38">
        <v>500</v>
      </c>
      <c r="G42" s="38"/>
      <c r="H42" s="38"/>
      <c r="I42" s="45"/>
      <c r="J42" s="46"/>
      <c r="K42" s="46"/>
      <c r="L42" s="45"/>
      <c r="M42" s="13"/>
    </row>
    <row r="43" spans="2:13" x14ac:dyDescent="0.3">
      <c r="B43" s="14"/>
      <c r="C43" s="19" t="s">
        <v>100</v>
      </c>
      <c r="D43" s="38">
        <v>800</v>
      </c>
      <c r="E43" s="38">
        <v>200</v>
      </c>
      <c r="F43" s="38">
        <v>500</v>
      </c>
      <c r="G43" s="38"/>
      <c r="H43" s="38"/>
      <c r="I43" s="45"/>
      <c r="J43" s="46"/>
      <c r="K43" s="46"/>
      <c r="L43" s="45"/>
      <c r="M43" s="13"/>
    </row>
    <row r="44" spans="2:13" x14ac:dyDescent="0.3">
      <c r="B44" s="14"/>
      <c r="C44" s="19" t="s">
        <v>28</v>
      </c>
      <c r="D44" s="42"/>
      <c r="E44" s="42"/>
      <c r="F44" s="45"/>
      <c r="G44" s="46"/>
      <c r="H44" s="46"/>
      <c r="I44" s="46"/>
      <c r="J44" s="46"/>
      <c r="K44" s="46"/>
      <c r="L44" s="45"/>
      <c r="M44" s="13"/>
    </row>
    <row r="45" spans="2:13" x14ac:dyDescent="0.3">
      <c r="B45" s="14"/>
      <c r="C45" s="42"/>
      <c r="D45" s="42"/>
      <c r="E45" s="42"/>
      <c r="F45" s="45"/>
      <c r="G45" s="46"/>
      <c r="H45" s="46"/>
      <c r="I45" s="46"/>
      <c r="J45" s="46"/>
      <c r="K45" s="46"/>
      <c r="L45" s="45"/>
      <c r="M45" s="13"/>
    </row>
    <row r="46" spans="2:13" ht="14.4" thickBot="1" x14ac:dyDescent="0.35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4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tabColor indexed="57"/>
  </sheetPr>
  <dimension ref="A1:R35"/>
  <sheetViews>
    <sheetView showGridLines="0" zoomScaleNormal="100" workbookViewId="0">
      <selection activeCell="I8" sqref="I8"/>
    </sheetView>
  </sheetViews>
  <sheetFormatPr baseColWidth="10" defaultColWidth="11.44140625" defaultRowHeight="13.8" x14ac:dyDescent="0.3"/>
  <cols>
    <col min="1" max="2" width="3.6640625" style="6" customWidth="1"/>
    <col min="3" max="3" width="15.33203125" style="6" bestFit="1" customWidth="1"/>
    <col min="4" max="4" width="1.44140625" style="31" bestFit="1" customWidth="1"/>
    <col min="5" max="5" width="4.5546875" style="31" bestFit="1" customWidth="1"/>
    <col min="6" max="6" width="7.88671875" style="6" bestFit="1" customWidth="1"/>
    <col min="7" max="7" width="9.44140625" style="6" bestFit="1" customWidth="1"/>
    <col min="8" max="9" width="5.44140625" style="6" bestFit="1" customWidth="1"/>
    <col min="10" max="16" width="4.44140625" style="6" bestFit="1" customWidth="1"/>
    <col min="17" max="17" width="5.44140625" style="6" bestFit="1" customWidth="1"/>
    <col min="18" max="18" width="3.6640625" style="6" customWidth="1"/>
    <col min="19" max="16384" width="11.44140625" style="6"/>
  </cols>
  <sheetData>
    <row r="1" spans="1:18" ht="14.4" thickBot="1" x14ac:dyDescent="0.35">
      <c r="A1" s="6" t="s">
        <v>58</v>
      </c>
    </row>
    <row r="2" spans="1:18" x14ac:dyDescent="0.3">
      <c r="B2" s="8"/>
      <c r="C2" s="9"/>
      <c r="D2" s="32"/>
      <c r="E2" s="32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11"/>
    </row>
    <row r="3" spans="1:18" ht="15" x14ac:dyDescent="0.3">
      <c r="B3" s="33" t="s">
        <v>110</v>
      </c>
      <c r="C3" s="34"/>
      <c r="D3" s="35"/>
      <c r="E3" s="35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13"/>
    </row>
    <row r="4" spans="1:18" x14ac:dyDescent="0.3">
      <c r="B4" s="14"/>
      <c r="R4" s="13"/>
    </row>
    <row r="5" spans="1:18" s="31" customFormat="1" x14ac:dyDescent="0.3">
      <c r="B5" s="36"/>
      <c r="F5" s="31" t="s">
        <v>21</v>
      </c>
      <c r="G5" s="31" t="s">
        <v>29</v>
      </c>
      <c r="H5" s="31" t="s">
        <v>30</v>
      </c>
      <c r="I5" s="31" t="s">
        <v>31</v>
      </c>
      <c r="J5" s="31" t="s">
        <v>32</v>
      </c>
      <c r="K5" s="31" t="s">
        <v>33</v>
      </c>
      <c r="L5" s="31" t="s">
        <v>34</v>
      </c>
      <c r="M5" s="31" t="s">
        <v>35</v>
      </c>
      <c r="N5" s="31" t="s">
        <v>36</v>
      </c>
      <c r="O5" s="31" t="s">
        <v>37</v>
      </c>
      <c r="P5" s="31" t="s">
        <v>38</v>
      </c>
      <c r="Q5" s="31" t="s">
        <v>22</v>
      </c>
      <c r="R5" s="37"/>
    </row>
    <row r="6" spans="1:18" x14ac:dyDescent="0.3">
      <c r="B6" s="14"/>
      <c r="C6" s="19" t="s">
        <v>27</v>
      </c>
      <c r="D6" s="31" t="s">
        <v>48</v>
      </c>
      <c r="E6" s="31" t="s">
        <v>8</v>
      </c>
      <c r="F6" s="38">
        <v>40</v>
      </c>
      <c r="G6" s="38">
        <v>40</v>
      </c>
      <c r="H6" s="38">
        <v>40</v>
      </c>
      <c r="I6" s="38">
        <v>35</v>
      </c>
      <c r="J6" s="38">
        <v>30</v>
      </c>
      <c r="K6" s="38">
        <v>20</v>
      </c>
      <c r="L6" s="38">
        <v>20</v>
      </c>
      <c r="M6" s="38">
        <v>20</v>
      </c>
      <c r="N6" s="38">
        <v>30</v>
      </c>
      <c r="O6" s="38">
        <v>35</v>
      </c>
      <c r="P6" s="38">
        <v>40</v>
      </c>
      <c r="Q6" s="38">
        <v>40</v>
      </c>
      <c r="R6" s="13"/>
    </row>
    <row r="7" spans="1:18" x14ac:dyDescent="0.3">
      <c r="B7" s="14"/>
      <c r="C7" s="19" t="s">
        <v>27</v>
      </c>
      <c r="D7" s="31" t="s">
        <v>48</v>
      </c>
      <c r="E7" s="31" t="s">
        <v>9</v>
      </c>
      <c r="F7" s="38">
        <v>40</v>
      </c>
      <c r="G7" s="38">
        <f t="shared" ref="G7:Q7" si="0">G6*0.95</f>
        <v>38</v>
      </c>
      <c r="H7" s="38">
        <f t="shared" si="0"/>
        <v>38</v>
      </c>
      <c r="I7" s="38">
        <f>I6*0.95</f>
        <v>33.25</v>
      </c>
      <c r="J7" s="38">
        <f t="shared" si="0"/>
        <v>28.5</v>
      </c>
      <c r="K7" s="38">
        <f t="shared" si="0"/>
        <v>19</v>
      </c>
      <c r="L7" s="38">
        <f t="shared" si="0"/>
        <v>19</v>
      </c>
      <c r="M7" s="38">
        <f t="shared" si="0"/>
        <v>19</v>
      </c>
      <c r="N7" s="38">
        <f t="shared" si="0"/>
        <v>28.5</v>
      </c>
      <c r="O7" s="38">
        <f t="shared" si="0"/>
        <v>33.25</v>
      </c>
      <c r="P7" s="38">
        <f t="shared" si="0"/>
        <v>38</v>
      </c>
      <c r="Q7" s="38">
        <f t="shared" si="0"/>
        <v>38</v>
      </c>
      <c r="R7" s="13"/>
    </row>
    <row r="8" spans="1:18" x14ac:dyDescent="0.3">
      <c r="B8" s="14"/>
      <c r="C8" s="19" t="s">
        <v>27</v>
      </c>
      <c r="D8" s="31" t="s">
        <v>48</v>
      </c>
      <c r="E8" s="31" t="s">
        <v>10</v>
      </c>
      <c r="F8" s="38">
        <v>40</v>
      </c>
      <c r="G8" s="38">
        <f t="shared" ref="G8:Q8" si="1">G6*1.05</f>
        <v>42</v>
      </c>
      <c r="H8" s="38">
        <f t="shared" si="1"/>
        <v>42</v>
      </c>
      <c r="I8" s="38">
        <f t="shared" si="1"/>
        <v>36.75</v>
      </c>
      <c r="J8" s="38">
        <f t="shared" si="1"/>
        <v>31.5</v>
      </c>
      <c r="K8" s="38">
        <f t="shared" si="1"/>
        <v>21</v>
      </c>
      <c r="L8" s="38">
        <f t="shared" si="1"/>
        <v>21</v>
      </c>
      <c r="M8" s="38">
        <f t="shared" si="1"/>
        <v>21</v>
      </c>
      <c r="N8" s="38">
        <f t="shared" si="1"/>
        <v>31.5</v>
      </c>
      <c r="O8" s="38">
        <f t="shared" si="1"/>
        <v>36.75</v>
      </c>
      <c r="P8" s="38">
        <f t="shared" si="1"/>
        <v>42</v>
      </c>
      <c r="Q8" s="38">
        <f t="shared" si="1"/>
        <v>42</v>
      </c>
      <c r="R8" s="13"/>
    </row>
    <row r="9" spans="1:18" x14ac:dyDescent="0.3">
      <c r="B9" s="14" t="s">
        <v>15</v>
      </c>
      <c r="C9" s="19" t="s">
        <v>27</v>
      </c>
      <c r="D9" s="31" t="s">
        <v>48</v>
      </c>
      <c r="E9" s="31" t="s">
        <v>8</v>
      </c>
      <c r="F9" s="38">
        <f t="shared" ref="F9:Q9" si="2">F6*0.5+F7*0.4+F8*0.1</f>
        <v>40</v>
      </c>
      <c r="G9" s="38">
        <f t="shared" si="2"/>
        <v>39.400000000000006</v>
      </c>
      <c r="H9" s="38">
        <f t="shared" si="2"/>
        <v>39.400000000000006</v>
      </c>
      <c r="I9" s="38">
        <f t="shared" si="2"/>
        <v>34.475000000000001</v>
      </c>
      <c r="J9" s="38">
        <f t="shared" si="2"/>
        <v>29.549999999999997</v>
      </c>
      <c r="K9" s="38">
        <f t="shared" si="2"/>
        <v>19.700000000000003</v>
      </c>
      <c r="L9" s="38">
        <f t="shared" si="2"/>
        <v>19.700000000000003</v>
      </c>
      <c r="M9" s="38">
        <f t="shared" si="2"/>
        <v>19.700000000000003</v>
      </c>
      <c r="N9" s="38">
        <f t="shared" si="2"/>
        <v>29.549999999999997</v>
      </c>
      <c r="O9" s="38">
        <f t="shared" si="2"/>
        <v>34.475000000000001</v>
      </c>
      <c r="P9" s="38">
        <f t="shared" si="2"/>
        <v>39.400000000000006</v>
      </c>
      <c r="Q9" s="38">
        <f t="shared" si="2"/>
        <v>39.400000000000006</v>
      </c>
      <c r="R9" s="13"/>
    </row>
    <row r="10" spans="1:18" x14ac:dyDescent="0.3">
      <c r="B10" s="14"/>
      <c r="R10" s="13"/>
    </row>
    <row r="11" spans="1:18" x14ac:dyDescent="0.3">
      <c r="B11" s="14"/>
      <c r="C11" s="19" t="s">
        <v>98</v>
      </c>
      <c r="D11" s="31" t="s">
        <v>48</v>
      </c>
      <c r="E11" s="31" t="s">
        <v>8</v>
      </c>
      <c r="F11" s="38">
        <v>34.5</v>
      </c>
      <c r="G11" s="38">
        <v>48.7</v>
      </c>
      <c r="H11" s="38">
        <v>66.2</v>
      </c>
      <c r="I11" s="38">
        <v>76.099999999999994</v>
      </c>
      <c r="J11" s="38">
        <v>33.6</v>
      </c>
      <c r="K11" s="38">
        <v>10.4</v>
      </c>
      <c r="L11" s="38">
        <v>5.4</v>
      </c>
      <c r="M11" s="38">
        <v>15.3</v>
      </c>
      <c r="N11" s="38">
        <v>14.6</v>
      </c>
      <c r="O11" s="38">
        <v>16.100000000000001</v>
      </c>
      <c r="P11" s="38">
        <v>62.7</v>
      </c>
      <c r="Q11" s="38">
        <v>157.1</v>
      </c>
      <c r="R11" s="13"/>
    </row>
    <row r="12" spans="1:18" x14ac:dyDescent="0.3">
      <c r="B12" s="14"/>
      <c r="C12" s="19" t="s">
        <v>98</v>
      </c>
      <c r="D12" s="31" t="s">
        <v>48</v>
      </c>
      <c r="E12" s="31" t="s">
        <v>9</v>
      </c>
      <c r="F12" s="38">
        <v>34.5</v>
      </c>
      <c r="G12" s="38">
        <f t="shared" ref="G12:Q12" si="3">G11*0.7</f>
        <v>34.089999999999996</v>
      </c>
      <c r="H12" s="38">
        <f t="shared" si="3"/>
        <v>46.339999999999996</v>
      </c>
      <c r="I12" s="38">
        <f t="shared" si="3"/>
        <v>53.269999999999996</v>
      </c>
      <c r="J12" s="38">
        <f t="shared" si="3"/>
        <v>23.52</v>
      </c>
      <c r="K12" s="38">
        <f t="shared" si="3"/>
        <v>7.2799999999999994</v>
      </c>
      <c r="L12" s="38">
        <f t="shared" si="3"/>
        <v>3.78</v>
      </c>
      <c r="M12" s="38">
        <f t="shared" si="3"/>
        <v>10.709999999999999</v>
      </c>
      <c r="N12" s="38">
        <f t="shared" si="3"/>
        <v>10.219999999999999</v>
      </c>
      <c r="O12" s="38">
        <f t="shared" si="3"/>
        <v>11.27</v>
      </c>
      <c r="P12" s="38">
        <f t="shared" si="3"/>
        <v>43.89</v>
      </c>
      <c r="Q12" s="38">
        <f t="shared" si="3"/>
        <v>109.96999999999998</v>
      </c>
      <c r="R12" s="13"/>
    </row>
    <row r="13" spans="1:18" x14ac:dyDescent="0.3">
      <c r="B13" s="14"/>
      <c r="C13" s="19" t="s">
        <v>98</v>
      </c>
      <c r="D13" s="31" t="s">
        <v>48</v>
      </c>
      <c r="E13" s="31" t="s">
        <v>10</v>
      </c>
      <c r="F13" s="38">
        <v>34.5</v>
      </c>
      <c r="G13" s="38">
        <f t="shared" ref="G13:Q13" si="4">G11*1.35</f>
        <v>65.745000000000005</v>
      </c>
      <c r="H13" s="38">
        <f t="shared" si="4"/>
        <v>89.37</v>
      </c>
      <c r="I13" s="38">
        <f t="shared" si="4"/>
        <v>102.735</v>
      </c>
      <c r="J13" s="38">
        <f t="shared" si="4"/>
        <v>45.360000000000007</v>
      </c>
      <c r="K13" s="38">
        <f t="shared" si="4"/>
        <v>14.040000000000001</v>
      </c>
      <c r="L13" s="38">
        <f t="shared" si="4"/>
        <v>7.2900000000000009</v>
      </c>
      <c r="M13" s="38">
        <f t="shared" si="4"/>
        <v>20.655000000000001</v>
      </c>
      <c r="N13" s="38">
        <f t="shared" si="4"/>
        <v>19.71</v>
      </c>
      <c r="O13" s="38">
        <f t="shared" si="4"/>
        <v>21.735000000000003</v>
      </c>
      <c r="P13" s="38">
        <f t="shared" si="4"/>
        <v>84.64500000000001</v>
      </c>
      <c r="Q13" s="38">
        <f t="shared" si="4"/>
        <v>212.08500000000001</v>
      </c>
      <c r="R13" s="13"/>
    </row>
    <row r="14" spans="1:18" x14ac:dyDescent="0.3">
      <c r="B14" s="14" t="s">
        <v>15</v>
      </c>
      <c r="C14" s="19" t="s">
        <v>98</v>
      </c>
      <c r="D14" s="31" t="s">
        <v>48</v>
      </c>
      <c r="E14" s="31" t="s">
        <v>8</v>
      </c>
      <c r="F14" s="38">
        <f>F11*0.5+F12*0.4+F13*0.1</f>
        <v>34.5</v>
      </c>
      <c r="G14" s="38">
        <f t="shared" ref="G14:Q14" si="5">G11*0.5+G12*0.4+G13*0.1</f>
        <v>44.560500000000005</v>
      </c>
      <c r="H14" s="38">
        <f t="shared" si="5"/>
        <v>60.572999999999993</v>
      </c>
      <c r="I14" s="38">
        <f t="shared" si="5"/>
        <v>69.631500000000003</v>
      </c>
      <c r="J14" s="38">
        <f t="shared" si="5"/>
        <v>30.744</v>
      </c>
      <c r="K14" s="38">
        <f t="shared" si="5"/>
        <v>9.516</v>
      </c>
      <c r="L14" s="38">
        <f t="shared" si="5"/>
        <v>4.9409999999999998</v>
      </c>
      <c r="M14" s="38">
        <f t="shared" si="5"/>
        <v>13.999500000000001</v>
      </c>
      <c r="N14" s="38">
        <f t="shared" si="5"/>
        <v>13.359</v>
      </c>
      <c r="O14" s="38">
        <f t="shared" si="5"/>
        <v>14.7315</v>
      </c>
      <c r="P14" s="38">
        <f t="shared" si="5"/>
        <v>57.370500000000007</v>
      </c>
      <c r="Q14" s="38">
        <f t="shared" si="5"/>
        <v>143.7465</v>
      </c>
      <c r="R14" s="13"/>
    </row>
    <row r="15" spans="1:18" x14ac:dyDescent="0.3">
      <c r="B15" s="14"/>
      <c r="R15" s="13"/>
    </row>
    <row r="16" spans="1:18" x14ac:dyDescent="0.3">
      <c r="B16" s="14"/>
      <c r="C16" s="19" t="s">
        <v>99</v>
      </c>
      <c r="D16" s="31" t="s">
        <v>48</v>
      </c>
      <c r="E16" s="31" t="s">
        <v>8</v>
      </c>
      <c r="F16" s="38">
        <v>28.8</v>
      </c>
      <c r="G16" s="38">
        <v>6.9</v>
      </c>
      <c r="H16" s="38">
        <v>11.9</v>
      </c>
      <c r="I16" s="38">
        <v>4.4000000000000004</v>
      </c>
      <c r="J16" s="38">
        <v>16.600000000000001</v>
      </c>
      <c r="K16" s="38">
        <v>4.5999999999999996</v>
      </c>
      <c r="L16" s="38">
        <v>5.3</v>
      </c>
      <c r="M16" s="38">
        <v>8.8000000000000007</v>
      </c>
      <c r="N16" s="38">
        <v>6.1</v>
      </c>
      <c r="O16" s="38">
        <v>10.7</v>
      </c>
      <c r="P16" s="38">
        <v>36.299999999999997</v>
      </c>
      <c r="Q16" s="38">
        <v>60</v>
      </c>
      <c r="R16" s="13"/>
    </row>
    <row r="17" spans="2:18" x14ac:dyDescent="0.3">
      <c r="B17" s="14"/>
      <c r="C17" s="19" t="s">
        <v>99</v>
      </c>
      <c r="D17" s="31" t="s">
        <v>48</v>
      </c>
      <c r="E17" s="31" t="s">
        <v>9</v>
      </c>
      <c r="F17" s="38">
        <v>28.8</v>
      </c>
      <c r="G17" s="38">
        <f t="shared" ref="G17:Q17" si="6">G16*0.75</f>
        <v>5.1750000000000007</v>
      </c>
      <c r="H17" s="38">
        <f t="shared" si="6"/>
        <v>8.9250000000000007</v>
      </c>
      <c r="I17" s="38">
        <f t="shared" si="6"/>
        <v>3.3000000000000003</v>
      </c>
      <c r="J17" s="38">
        <f t="shared" si="6"/>
        <v>12.450000000000001</v>
      </c>
      <c r="K17" s="38">
        <f t="shared" si="6"/>
        <v>3.4499999999999997</v>
      </c>
      <c r="L17" s="38">
        <f t="shared" si="6"/>
        <v>3.9749999999999996</v>
      </c>
      <c r="M17" s="38">
        <f t="shared" si="6"/>
        <v>6.6000000000000005</v>
      </c>
      <c r="N17" s="38">
        <f t="shared" si="6"/>
        <v>4.5749999999999993</v>
      </c>
      <c r="O17" s="38">
        <f t="shared" si="6"/>
        <v>8.0249999999999986</v>
      </c>
      <c r="P17" s="38">
        <f t="shared" si="6"/>
        <v>27.224999999999998</v>
      </c>
      <c r="Q17" s="38">
        <f t="shared" si="6"/>
        <v>45</v>
      </c>
      <c r="R17" s="13"/>
    </row>
    <row r="18" spans="2:18" x14ac:dyDescent="0.3">
      <c r="B18" s="14"/>
      <c r="C18" s="19" t="s">
        <v>99</v>
      </c>
      <c r="D18" s="31" t="s">
        <v>48</v>
      </c>
      <c r="E18" s="31" t="s">
        <v>10</v>
      </c>
      <c r="F18" s="38">
        <v>28.8</v>
      </c>
      <c r="G18" s="38">
        <f t="shared" ref="G18:Q18" si="7">G16*1.4</f>
        <v>9.66</v>
      </c>
      <c r="H18" s="38">
        <f t="shared" si="7"/>
        <v>16.66</v>
      </c>
      <c r="I18" s="38">
        <f t="shared" si="7"/>
        <v>6.16</v>
      </c>
      <c r="J18" s="38">
        <f t="shared" si="7"/>
        <v>23.240000000000002</v>
      </c>
      <c r="K18" s="38">
        <f t="shared" si="7"/>
        <v>6.4399999999999995</v>
      </c>
      <c r="L18" s="38">
        <f t="shared" si="7"/>
        <v>7.419999999999999</v>
      </c>
      <c r="M18" s="38">
        <f t="shared" si="7"/>
        <v>12.32</v>
      </c>
      <c r="N18" s="38">
        <f t="shared" si="7"/>
        <v>8.5399999999999991</v>
      </c>
      <c r="O18" s="38">
        <f t="shared" si="7"/>
        <v>14.979999999999999</v>
      </c>
      <c r="P18" s="38">
        <f t="shared" si="7"/>
        <v>50.819999999999993</v>
      </c>
      <c r="Q18" s="38">
        <f t="shared" si="7"/>
        <v>84</v>
      </c>
      <c r="R18" s="13"/>
    </row>
    <row r="19" spans="2:18" x14ac:dyDescent="0.3">
      <c r="B19" s="14" t="s">
        <v>15</v>
      </c>
      <c r="C19" s="19" t="s">
        <v>99</v>
      </c>
      <c r="D19" s="31" t="s">
        <v>48</v>
      </c>
      <c r="E19" s="31" t="s">
        <v>8</v>
      </c>
      <c r="F19" s="38">
        <f>F16*0.5+F17*0.4+F18*0.1</f>
        <v>28.8</v>
      </c>
      <c r="G19" s="38">
        <f t="shared" ref="G19:Q19" si="8">G16*0.5+G17*0.4+G18*0.1</f>
        <v>6.4860000000000007</v>
      </c>
      <c r="H19" s="38">
        <f t="shared" si="8"/>
        <v>11.186</v>
      </c>
      <c r="I19" s="38">
        <f t="shared" si="8"/>
        <v>4.136000000000001</v>
      </c>
      <c r="J19" s="38">
        <f t="shared" si="8"/>
        <v>15.604000000000001</v>
      </c>
      <c r="K19" s="38">
        <f t="shared" si="8"/>
        <v>4.3239999999999998</v>
      </c>
      <c r="L19" s="38">
        <f t="shared" si="8"/>
        <v>4.9820000000000002</v>
      </c>
      <c r="M19" s="38">
        <f t="shared" si="8"/>
        <v>8.272000000000002</v>
      </c>
      <c r="N19" s="38">
        <f t="shared" si="8"/>
        <v>5.734</v>
      </c>
      <c r="O19" s="38">
        <f t="shared" si="8"/>
        <v>10.057999999999998</v>
      </c>
      <c r="P19" s="38">
        <f t="shared" si="8"/>
        <v>34.122</v>
      </c>
      <c r="Q19" s="38">
        <f t="shared" si="8"/>
        <v>56.4</v>
      </c>
      <c r="R19" s="13"/>
    </row>
    <row r="20" spans="2:18" x14ac:dyDescent="0.3">
      <c r="B20" s="14"/>
      <c r="R20" s="13"/>
    </row>
    <row r="21" spans="2:18" x14ac:dyDescent="0.3">
      <c r="B21" s="14"/>
      <c r="C21" s="19" t="s">
        <v>100</v>
      </c>
      <c r="D21" s="31" t="s">
        <v>48</v>
      </c>
      <c r="E21" s="31" t="s">
        <v>8</v>
      </c>
      <c r="F21" s="38">
        <v>113.8047138047138</v>
      </c>
      <c r="G21" s="38">
        <v>54.882154882154879</v>
      </c>
      <c r="H21" s="38">
        <v>101.01010101010098</v>
      </c>
      <c r="I21" s="38">
        <v>21.212121212121211</v>
      </c>
      <c r="J21" s="38">
        <v>29.629629629629633</v>
      </c>
      <c r="K21" s="38">
        <v>54.882154882154879</v>
      </c>
      <c r="L21" s="38">
        <v>25.252525252525245</v>
      </c>
      <c r="M21" s="38">
        <v>16.835016835016837</v>
      </c>
      <c r="N21" s="38">
        <v>21.212121212121211</v>
      </c>
      <c r="O21" s="38">
        <v>21.212121212121211</v>
      </c>
      <c r="P21" s="38">
        <v>33.670033670033675</v>
      </c>
      <c r="Q21" s="38">
        <v>168.35016835016833</v>
      </c>
      <c r="R21" s="13"/>
    </row>
    <row r="22" spans="2:18" x14ac:dyDescent="0.3">
      <c r="B22" s="14"/>
      <c r="C22" s="19" t="s">
        <v>100</v>
      </c>
      <c r="D22" s="31" t="s">
        <v>48</v>
      </c>
      <c r="E22" s="31" t="s">
        <v>9</v>
      </c>
      <c r="F22" s="38">
        <v>113.8047138047138</v>
      </c>
      <c r="G22" s="38">
        <f t="shared" ref="G22:Q22" si="9">G21*0.6</f>
        <v>32.929292929292927</v>
      </c>
      <c r="H22" s="38">
        <f t="shared" si="9"/>
        <v>60.606060606060588</v>
      </c>
      <c r="I22" s="38">
        <f t="shared" si="9"/>
        <v>12.727272727272727</v>
      </c>
      <c r="J22" s="38">
        <f t="shared" si="9"/>
        <v>17.777777777777779</v>
      </c>
      <c r="K22" s="38">
        <f t="shared" si="9"/>
        <v>32.929292929292927</v>
      </c>
      <c r="L22" s="38">
        <f t="shared" si="9"/>
        <v>15.151515151515147</v>
      </c>
      <c r="M22" s="38">
        <f t="shared" si="9"/>
        <v>10.101010101010102</v>
      </c>
      <c r="N22" s="38">
        <f t="shared" si="9"/>
        <v>12.727272727272727</v>
      </c>
      <c r="O22" s="38">
        <f t="shared" si="9"/>
        <v>12.727272727272727</v>
      </c>
      <c r="P22" s="38">
        <f t="shared" si="9"/>
        <v>20.202020202020204</v>
      </c>
      <c r="Q22" s="38">
        <f t="shared" si="9"/>
        <v>101.010101010101</v>
      </c>
      <c r="R22" s="13"/>
    </row>
    <row r="23" spans="2:18" x14ac:dyDescent="0.3">
      <c r="B23" s="14"/>
      <c r="C23" s="19" t="s">
        <v>100</v>
      </c>
      <c r="D23" s="31" t="s">
        <v>48</v>
      </c>
      <c r="E23" s="31" t="s">
        <v>10</v>
      </c>
      <c r="F23" s="38">
        <v>113.8047138047138</v>
      </c>
      <c r="G23" s="38">
        <f t="shared" ref="G23:Q23" si="10">G21*1.4</f>
        <v>76.83501683501683</v>
      </c>
      <c r="H23" s="38">
        <f t="shared" si="10"/>
        <v>141.41414141414137</v>
      </c>
      <c r="I23" s="38">
        <f t="shared" si="10"/>
        <v>29.696969696969692</v>
      </c>
      <c r="J23" s="38">
        <f t="shared" si="10"/>
        <v>41.481481481481481</v>
      </c>
      <c r="K23" s="38">
        <f t="shared" si="10"/>
        <v>76.83501683501683</v>
      </c>
      <c r="L23" s="38">
        <f t="shared" si="10"/>
        <v>35.353535353535342</v>
      </c>
      <c r="M23" s="38">
        <f t="shared" si="10"/>
        <v>23.569023569023571</v>
      </c>
      <c r="N23" s="38">
        <f t="shared" si="10"/>
        <v>29.696969696969692</v>
      </c>
      <c r="O23" s="38">
        <f t="shared" si="10"/>
        <v>29.696969696969692</v>
      </c>
      <c r="P23" s="38">
        <f t="shared" si="10"/>
        <v>47.138047138047142</v>
      </c>
      <c r="Q23" s="38">
        <f t="shared" si="10"/>
        <v>235.69023569023565</v>
      </c>
      <c r="R23" s="13"/>
    </row>
    <row r="24" spans="2:18" x14ac:dyDescent="0.3">
      <c r="B24" s="14" t="s">
        <v>15</v>
      </c>
      <c r="C24" s="19" t="s">
        <v>100</v>
      </c>
      <c r="D24" s="31" t="s">
        <v>48</v>
      </c>
      <c r="E24" s="31" t="s">
        <v>8</v>
      </c>
      <c r="F24" s="38">
        <f>F21*0.5+F22*0.4+F23*0.1</f>
        <v>113.8047138047138</v>
      </c>
      <c r="G24" s="38">
        <f t="shared" ref="G24:Q24" si="11">G21*0.5+G22*0.4+G23*0.1</f>
        <v>48.296296296296291</v>
      </c>
      <c r="H24" s="38">
        <f t="shared" si="11"/>
        <v>88.888888888888857</v>
      </c>
      <c r="I24" s="38">
        <f t="shared" si="11"/>
        <v>18.666666666666664</v>
      </c>
      <c r="J24" s="38">
        <f t="shared" si="11"/>
        <v>26.074074074074076</v>
      </c>
      <c r="K24" s="38">
        <f t="shared" si="11"/>
        <v>48.296296296296291</v>
      </c>
      <c r="L24" s="38">
        <f t="shared" si="11"/>
        <v>22.222222222222214</v>
      </c>
      <c r="M24" s="38">
        <f t="shared" si="11"/>
        <v>14.814814814814817</v>
      </c>
      <c r="N24" s="38">
        <f t="shared" si="11"/>
        <v>18.666666666666664</v>
      </c>
      <c r="O24" s="38">
        <f t="shared" si="11"/>
        <v>18.666666666666664</v>
      </c>
      <c r="P24" s="38">
        <f t="shared" si="11"/>
        <v>29.629629629629633</v>
      </c>
      <c r="Q24" s="38">
        <f t="shared" si="11"/>
        <v>148.14814814814812</v>
      </c>
      <c r="R24" s="13"/>
    </row>
    <row r="25" spans="2:18" ht="14.4" thickBot="1" x14ac:dyDescent="0.35">
      <c r="B25" s="21"/>
      <c r="C25" s="22"/>
      <c r="D25" s="39"/>
      <c r="E25" s="39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4"/>
    </row>
    <row r="26" spans="2:18" ht="14.4" thickBot="1" x14ac:dyDescent="0.35"/>
    <row r="27" spans="2:18" x14ac:dyDescent="0.3">
      <c r="B27" s="8"/>
      <c r="C27" s="9"/>
      <c r="D27" s="32"/>
      <c r="E27" s="32"/>
      <c r="F27" s="9"/>
      <c r="G27" s="9"/>
      <c r="H27" s="9"/>
      <c r="I27" s="11"/>
    </row>
    <row r="28" spans="2:18" x14ac:dyDescent="0.3">
      <c r="B28" s="33" t="s">
        <v>52</v>
      </c>
      <c r="C28" s="34"/>
      <c r="D28" s="35"/>
      <c r="E28" s="35"/>
      <c r="F28" s="34"/>
      <c r="G28" s="34"/>
      <c r="H28" s="34"/>
      <c r="I28" s="13"/>
    </row>
    <row r="29" spans="2:18" x14ac:dyDescent="0.3">
      <c r="B29" s="14"/>
      <c r="I29" s="13"/>
    </row>
    <row r="30" spans="2:18" x14ac:dyDescent="0.3">
      <c r="B30" s="36"/>
      <c r="C30" s="31"/>
      <c r="F30" s="31" t="s">
        <v>49</v>
      </c>
      <c r="G30" s="31" t="s">
        <v>50</v>
      </c>
      <c r="H30" s="31" t="s">
        <v>51</v>
      </c>
      <c r="I30" s="37"/>
    </row>
    <row r="31" spans="2:18" x14ac:dyDescent="0.3">
      <c r="B31" s="14"/>
      <c r="E31" s="31" t="s">
        <v>8</v>
      </c>
      <c r="F31" s="40">
        <v>-1</v>
      </c>
      <c r="G31" s="40">
        <v>1</v>
      </c>
      <c r="H31" s="41">
        <v>0.5</v>
      </c>
      <c r="I31" s="13"/>
    </row>
    <row r="32" spans="2:18" x14ac:dyDescent="0.3">
      <c r="B32" s="14"/>
      <c r="E32" s="31" t="s">
        <v>9</v>
      </c>
      <c r="F32" s="40">
        <v>1</v>
      </c>
      <c r="G32" s="40">
        <v>2</v>
      </c>
      <c r="H32" s="41">
        <v>0.4</v>
      </c>
      <c r="I32" s="13"/>
    </row>
    <row r="33" spans="2:9" x14ac:dyDescent="0.3">
      <c r="B33" s="14"/>
      <c r="E33" s="31" t="s">
        <v>10</v>
      </c>
      <c r="F33" s="40">
        <v>1</v>
      </c>
      <c r="G33" s="40">
        <v>2</v>
      </c>
      <c r="H33" s="41">
        <v>0.1</v>
      </c>
      <c r="I33" s="13"/>
    </row>
    <row r="34" spans="2:9" x14ac:dyDescent="0.3">
      <c r="B34" s="14"/>
      <c r="F34" s="42"/>
      <c r="G34" s="42"/>
      <c r="H34" s="38"/>
      <c r="I34" s="13"/>
    </row>
    <row r="35" spans="2:9" ht="14.4" thickBot="1" x14ac:dyDescent="0.35">
      <c r="B35" s="21"/>
      <c r="C35" s="22"/>
      <c r="D35" s="39"/>
      <c r="E35" s="39"/>
      <c r="F35" s="22"/>
      <c r="G35" s="22"/>
      <c r="H35" s="22"/>
      <c r="I35" s="24"/>
    </row>
  </sheetData>
  <phoneticPr fontId="1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indexed="47"/>
  </sheetPr>
  <dimension ref="A1:Z41"/>
  <sheetViews>
    <sheetView showRowColHeaders="0" workbookViewId="0">
      <pane xSplit="2" ySplit="2" topLeftCell="C3" activePane="bottomRight" state="frozen"/>
      <selection pane="topRight"/>
      <selection pane="bottomLeft"/>
      <selection pane="bottomRight" activeCell="D39" sqref="D39"/>
    </sheetView>
  </sheetViews>
  <sheetFormatPr baseColWidth="10" defaultColWidth="11.44140625" defaultRowHeight="13.8" x14ac:dyDescent="0.3"/>
  <cols>
    <col min="1" max="1" width="4.5546875" style="29" bestFit="1" customWidth="1"/>
    <col min="2" max="2" width="24.44140625" style="29" bestFit="1" customWidth="1"/>
    <col min="3" max="26" width="8.33203125" style="6" bestFit="1" customWidth="1"/>
    <col min="27" max="16384" width="11.44140625" style="6"/>
  </cols>
  <sheetData>
    <row r="1" spans="1:26" s="27" customFormat="1" x14ac:dyDescent="0.3">
      <c r="A1" s="29" t="s">
        <v>117</v>
      </c>
      <c r="B1" s="29" t="s">
        <v>118</v>
      </c>
      <c r="C1" s="30" t="s">
        <v>21</v>
      </c>
      <c r="D1" s="30" t="s">
        <v>21</v>
      </c>
      <c r="E1" s="30" t="s">
        <v>29</v>
      </c>
      <c r="F1" s="27" t="s">
        <v>29</v>
      </c>
      <c r="G1" s="27" t="s">
        <v>30</v>
      </c>
      <c r="H1" s="27" t="s">
        <v>30</v>
      </c>
      <c r="I1" s="27" t="s">
        <v>31</v>
      </c>
      <c r="J1" s="27" t="s">
        <v>31</v>
      </c>
      <c r="K1" s="27" t="s">
        <v>32</v>
      </c>
      <c r="L1" s="27" t="s">
        <v>32</v>
      </c>
      <c r="M1" s="27" t="s">
        <v>33</v>
      </c>
      <c r="N1" s="27" t="s">
        <v>33</v>
      </c>
      <c r="O1" s="27" t="s">
        <v>34</v>
      </c>
      <c r="P1" s="27" t="s">
        <v>34</v>
      </c>
      <c r="Q1" s="27" t="s">
        <v>35</v>
      </c>
      <c r="R1" s="27" t="s">
        <v>35</v>
      </c>
      <c r="S1" s="27" t="s">
        <v>36</v>
      </c>
      <c r="T1" s="27" t="s">
        <v>36</v>
      </c>
      <c r="U1" s="27" t="s">
        <v>37</v>
      </c>
      <c r="V1" s="27" t="s">
        <v>37</v>
      </c>
      <c r="W1" s="27" t="s">
        <v>38</v>
      </c>
      <c r="X1" s="27" t="s">
        <v>38</v>
      </c>
      <c r="Y1" s="27" t="s">
        <v>22</v>
      </c>
      <c r="Z1" s="27" t="s">
        <v>22</v>
      </c>
    </row>
    <row r="2" spans="1:26" s="27" customFormat="1" x14ac:dyDescent="0.3">
      <c r="A2" s="29"/>
      <c r="B2" s="29"/>
      <c r="C2" s="30" t="s">
        <v>104</v>
      </c>
      <c r="D2" s="30" t="s">
        <v>39</v>
      </c>
      <c r="E2" s="30" t="s">
        <v>104</v>
      </c>
      <c r="F2" s="27" t="s">
        <v>39</v>
      </c>
      <c r="G2" s="27" t="s">
        <v>104</v>
      </c>
      <c r="H2" s="27" t="s">
        <v>39</v>
      </c>
      <c r="I2" s="27" t="s">
        <v>104</v>
      </c>
      <c r="J2" s="27" t="s">
        <v>39</v>
      </c>
      <c r="K2" s="27" t="s">
        <v>104</v>
      </c>
      <c r="L2" s="27" t="s">
        <v>39</v>
      </c>
      <c r="M2" s="27" t="s">
        <v>104</v>
      </c>
      <c r="N2" s="27" t="s">
        <v>39</v>
      </c>
      <c r="O2" s="27" t="s">
        <v>104</v>
      </c>
      <c r="P2" s="27" t="s">
        <v>39</v>
      </c>
      <c r="Q2" s="27" t="s">
        <v>104</v>
      </c>
      <c r="R2" s="27" t="s">
        <v>39</v>
      </c>
      <c r="S2" s="27" t="s">
        <v>104</v>
      </c>
      <c r="T2" s="27" t="s">
        <v>39</v>
      </c>
      <c r="U2" s="27" t="s">
        <v>104</v>
      </c>
      <c r="V2" s="27" t="s">
        <v>39</v>
      </c>
      <c r="W2" s="27" t="s">
        <v>104</v>
      </c>
      <c r="X2" s="27" t="s">
        <v>39</v>
      </c>
      <c r="Y2" s="27" t="s">
        <v>104</v>
      </c>
      <c r="Z2" s="27" t="s">
        <v>39</v>
      </c>
    </row>
    <row r="3" spans="1:26" x14ac:dyDescent="0.3">
      <c r="A3" s="25" t="s">
        <v>8</v>
      </c>
      <c r="B3" s="25" t="s">
        <v>60</v>
      </c>
      <c r="C3" s="28">
        <v>1</v>
      </c>
      <c r="D3" s="28">
        <v>1</v>
      </c>
      <c r="E3" s="28">
        <v>1</v>
      </c>
      <c r="F3" s="28">
        <v>1</v>
      </c>
      <c r="G3" s="28">
        <v>1</v>
      </c>
      <c r="H3" s="28">
        <v>1</v>
      </c>
      <c r="I3" s="28">
        <v>1</v>
      </c>
      <c r="J3" s="28">
        <v>1</v>
      </c>
      <c r="K3" s="28">
        <v>1</v>
      </c>
      <c r="L3" s="28">
        <v>1</v>
      </c>
      <c r="M3" s="28">
        <v>1</v>
      </c>
      <c r="N3" s="28">
        <v>1</v>
      </c>
      <c r="O3" s="28">
        <v>1</v>
      </c>
      <c r="P3" s="28">
        <v>1</v>
      </c>
      <c r="Q3" s="28">
        <v>1</v>
      </c>
      <c r="R3" s="28">
        <v>1</v>
      </c>
      <c r="S3" s="28">
        <v>1</v>
      </c>
      <c r="T3" s="28">
        <v>1</v>
      </c>
      <c r="U3" s="28">
        <v>1</v>
      </c>
      <c r="V3" s="28">
        <v>1</v>
      </c>
      <c r="W3" s="28">
        <v>1</v>
      </c>
      <c r="X3" s="28">
        <v>1</v>
      </c>
      <c r="Y3" s="28">
        <v>1</v>
      </c>
      <c r="Z3" s="28">
        <v>1</v>
      </c>
    </row>
    <row r="4" spans="1:26" x14ac:dyDescent="0.3">
      <c r="A4" s="25" t="s">
        <v>8</v>
      </c>
      <c r="B4" s="25" t="s">
        <v>101</v>
      </c>
      <c r="C4" s="28">
        <v>1</v>
      </c>
      <c r="D4" s="28">
        <v>1</v>
      </c>
      <c r="E4" s="28">
        <v>1</v>
      </c>
      <c r="F4" s="28">
        <v>1</v>
      </c>
      <c r="G4" s="28">
        <v>1</v>
      </c>
      <c r="H4" s="28">
        <v>1</v>
      </c>
      <c r="I4" s="28">
        <v>1</v>
      </c>
      <c r="J4" s="28">
        <v>1</v>
      </c>
      <c r="K4" s="28">
        <v>1</v>
      </c>
      <c r="L4" s="28">
        <v>1</v>
      </c>
      <c r="M4" s="28">
        <v>1</v>
      </c>
      <c r="N4" s="28">
        <v>1</v>
      </c>
      <c r="O4" s="28">
        <v>1</v>
      </c>
      <c r="P4" s="28">
        <v>1</v>
      </c>
      <c r="Q4" s="28">
        <v>1</v>
      </c>
      <c r="R4" s="28">
        <v>0</v>
      </c>
      <c r="S4" s="28">
        <v>1</v>
      </c>
      <c r="T4" s="28">
        <v>0</v>
      </c>
      <c r="U4" s="28">
        <v>1</v>
      </c>
      <c r="V4" s="28">
        <v>1</v>
      </c>
      <c r="W4" s="28">
        <v>1</v>
      </c>
      <c r="X4" s="28">
        <v>1</v>
      </c>
      <c r="Y4" s="28">
        <v>1</v>
      </c>
      <c r="Z4" s="28">
        <v>1</v>
      </c>
    </row>
    <row r="5" spans="1:26" x14ac:dyDescent="0.3">
      <c r="A5" s="25" t="s">
        <v>8</v>
      </c>
      <c r="B5" s="25" t="s">
        <v>61</v>
      </c>
      <c r="C5" s="28">
        <v>1</v>
      </c>
      <c r="D5" s="28">
        <v>0</v>
      </c>
      <c r="E5" s="28">
        <v>0</v>
      </c>
      <c r="F5" s="28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  <c r="Q5" s="28">
        <v>0</v>
      </c>
      <c r="R5" s="28">
        <v>0</v>
      </c>
      <c r="S5" s="28">
        <v>0</v>
      </c>
      <c r="T5" s="28">
        <v>0</v>
      </c>
      <c r="U5" s="28">
        <v>0</v>
      </c>
      <c r="V5" s="28">
        <v>0</v>
      </c>
      <c r="W5" s="28">
        <v>1</v>
      </c>
      <c r="X5" s="28">
        <v>0</v>
      </c>
      <c r="Y5" s="28">
        <v>0</v>
      </c>
      <c r="Z5" s="28">
        <v>0</v>
      </c>
    </row>
    <row r="6" spans="1:26" x14ac:dyDescent="0.3">
      <c r="A6" s="25" t="s">
        <v>8</v>
      </c>
      <c r="B6" s="25" t="s">
        <v>103</v>
      </c>
      <c r="C6" s="28">
        <v>0</v>
      </c>
      <c r="D6" s="28">
        <v>0</v>
      </c>
      <c r="E6" s="28">
        <v>0</v>
      </c>
      <c r="F6" s="28">
        <v>0</v>
      </c>
      <c r="G6" s="28">
        <v>0</v>
      </c>
      <c r="H6" s="28">
        <v>0</v>
      </c>
      <c r="I6" s="28">
        <v>0</v>
      </c>
      <c r="J6" s="28">
        <v>0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8">
        <v>0</v>
      </c>
      <c r="U6" s="28">
        <v>1</v>
      </c>
      <c r="V6" s="28">
        <v>0</v>
      </c>
      <c r="W6" s="28">
        <v>0</v>
      </c>
      <c r="X6" s="28">
        <v>0</v>
      </c>
      <c r="Y6" s="28">
        <v>0</v>
      </c>
      <c r="Z6" s="28">
        <v>0</v>
      </c>
    </row>
    <row r="7" spans="1:26" x14ac:dyDescent="0.3">
      <c r="A7" s="25" t="s">
        <v>8</v>
      </c>
      <c r="B7" s="25" t="s">
        <v>102</v>
      </c>
      <c r="C7" s="28">
        <v>1</v>
      </c>
      <c r="D7" s="28">
        <v>1</v>
      </c>
      <c r="E7" s="28">
        <v>1</v>
      </c>
      <c r="F7" s="28">
        <v>0</v>
      </c>
      <c r="G7" s="28">
        <v>0</v>
      </c>
      <c r="H7" s="28">
        <v>0</v>
      </c>
      <c r="I7" s="28">
        <v>1</v>
      </c>
      <c r="J7" s="28">
        <v>1</v>
      </c>
      <c r="K7" s="28">
        <v>1</v>
      </c>
      <c r="L7" s="28">
        <v>0</v>
      </c>
      <c r="M7" s="28">
        <v>1</v>
      </c>
      <c r="N7" s="28">
        <v>0</v>
      </c>
      <c r="O7" s="28">
        <v>1</v>
      </c>
      <c r="P7" s="28">
        <v>0</v>
      </c>
      <c r="Q7" s="28">
        <v>1</v>
      </c>
      <c r="R7" s="28">
        <v>1</v>
      </c>
      <c r="S7" s="28">
        <v>0</v>
      </c>
      <c r="T7" s="28">
        <v>0</v>
      </c>
      <c r="U7" s="28">
        <v>1</v>
      </c>
      <c r="V7" s="28">
        <v>1</v>
      </c>
      <c r="W7" s="28">
        <v>0</v>
      </c>
      <c r="X7" s="28">
        <v>0</v>
      </c>
      <c r="Y7" s="28">
        <v>1</v>
      </c>
      <c r="Z7" s="28">
        <v>1</v>
      </c>
    </row>
    <row r="8" spans="1:26" x14ac:dyDescent="0.3">
      <c r="A8" s="25" t="s">
        <v>8</v>
      </c>
      <c r="B8" s="25" t="s">
        <v>62</v>
      </c>
      <c r="C8" s="28">
        <v>1</v>
      </c>
      <c r="D8" s="28">
        <v>1</v>
      </c>
      <c r="E8" s="28">
        <v>1</v>
      </c>
      <c r="F8" s="28">
        <v>1</v>
      </c>
      <c r="G8" s="28">
        <v>1</v>
      </c>
      <c r="H8" s="28">
        <v>1</v>
      </c>
      <c r="I8" s="28">
        <v>1</v>
      </c>
      <c r="J8" s="28">
        <v>1</v>
      </c>
      <c r="K8" s="28">
        <v>1</v>
      </c>
      <c r="L8" s="28">
        <v>1</v>
      </c>
      <c r="M8" s="28">
        <v>1</v>
      </c>
      <c r="N8" s="28">
        <v>1</v>
      </c>
      <c r="O8" s="28">
        <v>1</v>
      </c>
      <c r="P8" s="28">
        <v>1</v>
      </c>
      <c r="Q8" s="28">
        <v>1</v>
      </c>
      <c r="R8" s="28">
        <v>1</v>
      </c>
      <c r="S8" s="28">
        <v>1</v>
      </c>
      <c r="T8" s="28">
        <v>1</v>
      </c>
      <c r="U8" s="28">
        <v>1</v>
      </c>
      <c r="V8" s="28">
        <v>1</v>
      </c>
      <c r="W8" s="28">
        <v>1</v>
      </c>
      <c r="X8" s="28">
        <v>1</v>
      </c>
      <c r="Y8" s="28">
        <v>1</v>
      </c>
      <c r="Z8" s="28">
        <v>1</v>
      </c>
    </row>
    <row r="9" spans="1:26" x14ac:dyDescent="0.3">
      <c r="A9" s="25" t="s">
        <v>8</v>
      </c>
      <c r="B9" s="25" t="s">
        <v>63</v>
      </c>
      <c r="C9" s="28">
        <v>1</v>
      </c>
      <c r="D9" s="28">
        <v>1</v>
      </c>
      <c r="E9" s="28">
        <v>1</v>
      </c>
      <c r="F9" s="28">
        <v>1</v>
      </c>
      <c r="G9" s="28">
        <v>1</v>
      </c>
      <c r="H9" s="28">
        <v>1</v>
      </c>
      <c r="I9" s="28">
        <v>1</v>
      </c>
      <c r="J9" s="28">
        <v>0</v>
      </c>
      <c r="K9" s="28">
        <v>1</v>
      </c>
      <c r="L9" s="28">
        <v>0</v>
      </c>
      <c r="M9" s="28">
        <v>1</v>
      </c>
      <c r="N9" s="28">
        <v>1</v>
      </c>
      <c r="O9" s="28">
        <v>1</v>
      </c>
      <c r="P9" s="28">
        <v>1</v>
      </c>
      <c r="Q9" s="28">
        <v>1</v>
      </c>
      <c r="R9" s="28">
        <v>1</v>
      </c>
      <c r="S9" s="28">
        <v>1</v>
      </c>
      <c r="T9" s="28">
        <v>1</v>
      </c>
      <c r="U9" s="28">
        <v>1</v>
      </c>
      <c r="V9" s="28">
        <v>0</v>
      </c>
      <c r="W9" s="28">
        <v>1</v>
      </c>
      <c r="X9" s="28">
        <v>1</v>
      </c>
      <c r="Y9" s="28">
        <v>1</v>
      </c>
      <c r="Z9" s="28">
        <v>1</v>
      </c>
    </row>
    <row r="10" spans="1:26" x14ac:dyDescent="0.3">
      <c r="A10" s="25" t="s">
        <v>8</v>
      </c>
      <c r="B10" s="25" t="s">
        <v>64</v>
      </c>
      <c r="C10" s="28">
        <v>1</v>
      </c>
      <c r="D10" s="28">
        <v>0</v>
      </c>
      <c r="E10" s="28">
        <v>1</v>
      </c>
      <c r="F10" s="28">
        <v>0</v>
      </c>
      <c r="G10" s="28">
        <v>1</v>
      </c>
      <c r="H10" s="28">
        <v>0</v>
      </c>
      <c r="I10" s="28">
        <v>0</v>
      </c>
      <c r="J10" s="28">
        <v>0</v>
      </c>
      <c r="K10" s="28">
        <v>0</v>
      </c>
      <c r="L10" s="28">
        <v>0</v>
      </c>
      <c r="M10" s="28">
        <v>1</v>
      </c>
      <c r="N10" s="28">
        <v>0</v>
      </c>
      <c r="O10" s="28">
        <v>1</v>
      </c>
      <c r="P10" s="28">
        <v>0</v>
      </c>
      <c r="Q10" s="28">
        <v>0</v>
      </c>
      <c r="R10" s="28">
        <v>0</v>
      </c>
      <c r="S10" s="28">
        <v>1</v>
      </c>
      <c r="T10" s="28">
        <v>0</v>
      </c>
      <c r="U10" s="28">
        <v>0</v>
      </c>
      <c r="V10" s="28">
        <v>0</v>
      </c>
      <c r="W10" s="28">
        <v>1</v>
      </c>
      <c r="X10" s="28">
        <v>0</v>
      </c>
      <c r="Y10" s="28">
        <v>1</v>
      </c>
      <c r="Z10" s="28">
        <v>0</v>
      </c>
    </row>
    <row r="11" spans="1:26" x14ac:dyDescent="0.3">
      <c r="A11" s="25" t="s">
        <v>8</v>
      </c>
      <c r="B11" s="25" t="s">
        <v>65</v>
      </c>
      <c r="C11" s="28">
        <v>1</v>
      </c>
      <c r="D11" s="28">
        <v>1</v>
      </c>
      <c r="E11" s="28">
        <v>1</v>
      </c>
      <c r="F11" s="28">
        <v>1</v>
      </c>
      <c r="G11" s="28">
        <v>1</v>
      </c>
      <c r="H11" s="28">
        <v>1</v>
      </c>
      <c r="I11" s="28">
        <v>1</v>
      </c>
      <c r="J11" s="28">
        <v>1</v>
      </c>
      <c r="K11" s="28">
        <v>1</v>
      </c>
      <c r="L11" s="28">
        <v>1</v>
      </c>
      <c r="M11" s="28">
        <v>1</v>
      </c>
      <c r="N11" s="28">
        <v>1</v>
      </c>
      <c r="O11" s="28">
        <v>1</v>
      </c>
      <c r="P11" s="28">
        <v>1</v>
      </c>
      <c r="Q11" s="28">
        <v>1</v>
      </c>
      <c r="R11" s="28">
        <v>1</v>
      </c>
      <c r="S11" s="28">
        <v>1</v>
      </c>
      <c r="T11" s="28">
        <v>1</v>
      </c>
      <c r="U11" s="28">
        <v>1</v>
      </c>
      <c r="V11" s="28">
        <v>1</v>
      </c>
      <c r="W11" s="28">
        <v>1</v>
      </c>
      <c r="X11" s="28">
        <v>1</v>
      </c>
      <c r="Y11" s="28">
        <v>1</v>
      </c>
      <c r="Z11" s="28">
        <v>1</v>
      </c>
    </row>
    <row r="12" spans="1:26" x14ac:dyDescent="0.3">
      <c r="A12" s="25" t="s">
        <v>8</v>
      </c>
      <c r="B12" s="25" t="s">
        <v>66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>
        <v>0</v>
      </c>
      <c r="J12" s="28">
        <v>0</v>
      </c>
      <c r="K12" s="28">
        <v>0</v>
      </c>
      <c r="L12" s="28">
        <v>0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8">
        <v>0</v>
      </c>
      <c r="U12" s="28">
        <v>0</v>
      </c>
      <c r="V12" s="28">
        <v>0</v>
      </c>
      <c r="W12" s="28">
        <v>0</v>
      </c>
      <c r="X12" s="28">
        <v>0</v>
      </c>
      <c r="Y12" s="28">
        <v>1</v>
      </c>
      <c r="Z12" s="28">
        <v>0</v>
      </c>
    </row>
    <row r="13" spans="1:26" x14ac:dyDescent="0.3">
      <c r="A13" s="25" t="s">
        <v>8</v>
      </c>
      <c r="B13" s="25" t="s">
        <v>67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28">
        <v>0</v>
      </c>
    </row>
    <row r="14" spans="1:26" x14ac:dyDescent="0.3">
      <c r="A14" s="25" t="s">
        <v>8</v>
      </c>
      <c r="B14" s="25" t="s">
        <v>68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>
        <v>0</v>
      </c>
      <c r="J14" s="28">
        <v>0</v>
      </c>
      <c r="K14" s="28">
        <v>0</v>
      </c>
      <c r="L14" s="28">
        <v>0</v>
      </c>
      <c r="M14" s="28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1</v>
      </c>
      <c r="U14" s="28">
        <v>0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</row>
    <row r="15" spans="1:26" x14ac:dyDescent="0.3">
      <c r="A15" s="25" t="s">
        <v>8</v>
      </c>
      <c r="B15" s="25" t="s">
        <v>69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>
        <v>0</v>
      </c>
      <c r="J15" s="28">
        <v>0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</row>
    <row r="16" spans="1:26" x14ac:dyDescent="0.3">
      <c r="A16" s="25" t="s">
        <v>9</v>
      </c>
      <c r="B16" s="25" t="s">
        <v>60</v>
      </c>
      <c r="C16" s="28">
        <v>1</v>
      </c>
      <c r="D16" s="28">
        <v>1</v>
      </c>
      <c r="E16" s="28">
        <v>1</v>
      </c>
      <c r="F16" s="28">
        <v>1</v>
      </c>
      <c r="G16" s="28">
        <v>1</v>
      </c>
      <c r="H16" s="28">
        <v>1</v>
      </c>
      <c r="I16" s="28">
        <v>1</v>
      </c>
      <c r="J16" s="28">
        <v>1</v>
      </c>
      <c r="K16" s="28">
        <v>1</v>
      </c>
      <c r="L16" s="28">
        <v>1</v>
      </c>
      <c r="M16" s="28">
        <v>1</v>
      </c>
      <c r="N16" s="28">
        <v>1</v>
      </c>
      <c r="O16" s="28">
        <v>1</v>
      </c>
      <c r="P16" s="28">
        <v>1</v>
      </c>
      <c r="Q16" s="28">
        <v>1</v>
      </c>
      <c r="R16" s="28">
        <v>1</v>
      </c>
      <c r="S16" s="28">
        <v>1</v>
      </c>
      <c r="T16" s="28">
        <v>1</v>
      </c>
      <c r="U16" s="28">
        <v>1</v>
      </c>
      <c r="V16" s="28">
        <v>1</v>
      </c>
      <c r="W16" s="28">
        <v>1</v>
      </c>
      <c r="X16" s="28">
        <v>1</v>
      </c>
      <c r="Y16" s="28">
        <v>1</v>
      </c>
      <c r="Z16" s="28">
        <v>1</v>
      </c>
    </row>
    <row r="17" spans="1:26" x14ac:dyDescent="0.3">
      <c r="A17" s="25" t="s">
        <v>9</v>
      </c>
      <c r="B17" s="25" t="s">
        <v>101</v>
      </c>
      <c r="C17" s="28">
        <v>1</v>
      </c>
      <c r="D17" s="28">
        <v>1</v>
      </c>
      <c r="E17" s="28">
        <v>1</v>
      </c>
      <c r="F17" s="28">
        <v>1</v>
      </c>
      <c r="G17" s="28">
        <v>1</v>
      </c>
      <c r="H17" s="28">
        <v>1</v>
      </c>
      <c r="I17" s="28">
        <v>1</v>
      </c>
      <c r="J17" s="28">
        <v>0</v>
      </c>
      <c r="K17" s="28">
        <v>1</v>
      </c>
      <c r="L17" s="28">
        <v>1</v>
      </c>
      <c r="M17" s="28">
        <v>1</v>
      </c>
      <c r="N17" s="28">
        <v>1</v>
      </c>
      <c r="O17" s="28">
        <v>1</v>
      </c>
      <c r="P17" s="28">
        <v>1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0</v>
      </c>
      <c r="W17" s="28">
        <v>1</v>
      </c>
      <c r="X17" s="28">
        <v>1</v>
      </c>
      <c r="Y17" s="28">
        <v>1</v>
      </c>
      <c r="Z17" s="28">
        <v>1</v>
      </c>
    </row>
    <row r="18" spans="1:26" x14ac:dyDescent="0.3">
      <c r="A18" s="25" t="s">
        <v>9</v>
      </c>
      <c r="B18" s="25" t="s">
        <v>61</v>
      </c>
      <c r="C18" s="28">
        <v>1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1</v>
      </c>
      <c r="T18" s="28">
        <v>0</v>
      </c>
      <c r="U18" s="28">
        <v>1</v>
      </c>
      <c r="V18" s="28">
        <v>0</v>
      </c>
      <c r="W18" s="28">
        <v>1</v>
      </c>
      <c r="X18" s="28">
        <v>0</v>
      </c>
      <c r="Y18" s="28">
        <v>1</v>
      </c>
      <c r="Z18" s="28">
        <v>0</v>
      </c>
    </row>
    <row r="19" spans="1:26" x14ac:dyDescent="0.3">
      <c r="A19" s="29" t="s">
        <v>9</v>
      </c>
      <c r="B19" s="29" t="s">
        <v>103</v>
      </c>
      <c r="C19" s="28">
        <v>0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  <c r="T19" s="28">
        <v>0</v>
      </c>
      <c r="U19" s="28">
        <v>0</v>
      </c>
      <c r="V19" s="28">
        <v>0</v>
      </c>
      <c r="W19" s="28">
        <v>0</v>
      </c>
      <c r="X19" s="28">
        <v>0</v>
      </c>
      <c r="Y19" s="28">
        <v>1</v>
      </c>
      <c r="Z19" s="28">
        <v>0</v>
      </c>
    </row>
    <row r="20" spans="1:26" x14ac:dyDescent="0.3">
      <c r="A20" s="29" t="s">
        <v>9</v>
      </c>
      <c r="B20" s="29" t="s">
        <v>102</v>
      </c>
      <c r="C20" s="28">
        <v>1</v>
      </c>
      <c r="D20" s="28">
        <v>1</v>
      </c>
      <c r="E20" s="28">
        <v>1</v>
      </c>
      <c r="F20" s="28">
        <v>0</v>
      </c>
      <c r="G20" s="28">
        <v>0</v>
      </c>
      <c r="H20" s="28">
        <v>0</v>
      </c>
      <c r="I20" s="28">
        <v>1</v>
      </c>
      <c r="J20" s="28">
        <v>1</v>
      </c>
      <c r="K20" s="28">
        <v>1</v>
      </c>
      <c r="L20" s="28">
        <v>0</v>
      </c>
      <c r="M20" s="28">
        <v>1</v>
      </c>
      <c r="N20" s="28">
        <v>0</v>
      </c>
      <c r="O20" s="28">
        <v>1</v>
      </c>
      <c r="P20" s="28">
        <v>0</v>
      </c>
      <c r="Q20" s="28">
        <v>1</v>
      </c>
      <c r="R20" s="28">
        <v>1</v>
      </c>
      <c r="S20" s="28">
        <v>1</v>
      </c>
      <c r="T20" s="28">
        <v>1</v>
      </c>
      <c r="U20" s="28">
        <v>1</v>
      </c>
      <c r="V20" s="28">
        <v>1</v>
      </c>
      <c r="W20" s="28">
        <v>0</v>
      </c>
      <c r="X20" s="28">
        <v>0</v>
      </c>
      <c r="Y20" s="28">
        <v>1</v>
      </c>
      <c r="Z20" s="28">
        <v>1</v>
      </c>
    </row>
    <row r="21" spans="1:26" x14ac:dyDescent="0.3">
      <c r="A21" s="29" t="s">
        <v>9</v>
      </c>
      <c r="B21" s="29" t="s">
        <v>62</v>
      </c>
      <c r="C21" s="28">
        <v>1</v>
      </c>
      <c r="D21" s="28">
        <v>1</v>
      </c>
      <c r="E21" s="28">
        <v>1</v>
      </c>
      <c r="F21" s="28">
        <v>1</v>
      </c>
      <c r="G21" s="28">
        <v>1</v>
      </c>
      <c r="H21" s="28">
        <v>1</v>
      </c>
      <c r="I21" s="28">
        <v>1</v>
      </c>
      <c r="J21" s="28">
        <v>1</v>
      </c>
      <c r="K21" s="28">
        <v>1</v>
      </c>
      <c r="L21" s="28">
        <v>1</v>
      </c>
      <c r="M21" s="28">
        <v>1</v>
      </c>
      <c r="N21" s="28">
        <v>1</v>
      </c>
      <c r="O21" s="28">
        <v>1</v>
      </c>
      <c r="P21" s="28">
        <v>1</v>
      </c>
      <c r="Q21" s="28">
        <v>1</v>
      </c>
      <c r="R21" s="28">
        <v>1</v>
      </c>
      <c r="S21" s="28">
        <v>1</v>
      </c>
      <c r="T21" s="28">
        <v>1</v>
      </c>
      <c r="U21" s="28">
        <v>1</v>
      </c>
      <c r="V21" s="28">
        <v>1</v>
      </c>
      <c r="W21" s="28">
        <v>1</v>
      </c>
      <c r="X21" s="28">
        <v>1</v>
      </c>
      <c r="Y21" s="28">
        <v>1</v>
      </c>
      <c r="Z21" s="28">
        <v>1</v>
      </c>
    </row>
    <row r="22" spans="1:26" x14ac:dyDescent="0.3">
      <c r="A22" s="29" t="s">
        <v>9</v>
      </c>
      <c r="B22" s="29" t="s">
        <v>63</v>
      </c>
      <c r="C22" s="28">
        <v>1</v>
      </c>
      <c r="D22" s="28">
        <v>1</v>
      </c>
      <c r="E22" s="28">
        <v>1</v>
      </c>
      <c r="F22" s="28">
        <v>1</v>
      </c>
      <c r="G22" s="28">
        <v>1</v>
      </c>
      <c r="H22" s="28">
        <v>1</v>
      </c>
      <c r="I22" s="28">
        <v>1</v>
      </c>
      <c r="J22" s="28">
        <v>1</v>
      </c>
      <c r="K22" s="28">
        <v>1</v>
      </c>
      <c r="L22" s="28">
        <v>0</v>
      </c>
      <c r="M22" s="28">
        <v>1</v>
      </c>
      <c r="N22" s="28">
        <v>1</v>
      </c>
      <c r="O22" s="28">
        <v>1</v>
      </c>
      <c r="P22" s="28">
        <v>1</v>
      </c>
      <c r="Q22" s="28">
        <v>1</v>
      </c>
      <c r="R22" s="28">
        <v>1</v>
      </c>
      <c r="S22" s="28">
        <v>1</v>
      </c>
      <c r="T22" s="28">
        <v>1</v>
      </c>
      <c r="U22" s="28">
        <v>1</v>
      </c>
      <c r="V22" s="28">
        <v>1</v>
      </c>
      <c r="W22" s="28">
        <v>1</v>
      </c>
      <c r="X22" s="28">
        <v>1</v>
      </c>
      <c r="Y22" s="28">
        <v>1</v>
      </c>
      <c r="Z22" s="28">
        <v>1</v>
      </c>
    </row>
    <row r="23" spans="1:26" x14ac:dyDescent="0.3">
      <c r="A23" s="29" t="s">
        <v>9</v>
      </c>
      <c r="B23" s="29" t="s">
        <v>64</v>
      </c>
      <c r="C23" s="28">
        <v>1</v>
      </c>
      <c r="D23" s="28">
        <v>0</v>
      </c>
      <c r="E23" s="28">
        <v>1</v>
      </c>
      <c r="F23" s="28">
        <v>0</v>
      </c>
      <c r="G23" s="28">
        <v>1</v>
      </c>
      <c r="H23" s="28">
        <v>0</v>
      </c>
      <c r="I23" s="28">
        <v>0</v>
      </c>
      <c r="J23" s="28">
        <v>0</v>
      </c>
      <c r="K23" s="28">
        <v>0</v>
      </c>
      <c r="L23" s="28">
        <v>0</v>
      </c>
      <c r="M23" s="28">
        <v>1</v>
      </c>
      <c r="N23" s="28">
        <v>0</v>
      </c>
      <c r="O23" s="28">
        <v>1</v>
      </c>
      <c r="P23" s="28">
        <v>0</v>
      </c>
      <c r="Q23" s="28">
        <v>0</v>
      </c>
      <c r="R23" s="28">
        <v>0</v>
      </c>
      <c r="S23" s="28">
        <v>1</v>
      </c>
      <c r="T23" s="28">
        <v>0</v>
      </c>
      <c r="U23" s="28">
        <v>1</v>
      </c>
      <c r="V23" s="28">
        <v>0</v>
      </c>
      <c r="W23" s="28">
        <v>1</v>
      </c>
      <c r="X23" s="28">
        <v>0</v>
      </c>
      <c r="Y23" s="28">
        <v>1</v>
      </c>
      <c r="Z23" s="28">
        <v>0</v>
      </c>
    </row>
    <row r="24" spans="1:26" x14ac:dyDescent="0.3">
      <c r="A24" s="29" t="s">
        <v>9</v>
      </c>
      <c r="B24" s="29" t="s">
        <v>65</v>
      </c>
      <c r="C24" s="28">
        <v>1</v>
      </c>
      <c r="D24" s="28">
        <v>1</v>
      </c>
      <c r="E24" s="28">
        <v>1</v>
      </c>
      <c r="F24" s="28">
        <v>1</v>
      </c>
      <c r="G24" s="28">
        <v>1</v>
      </c>
      <c r="H24" s="28">
        <v>1</v>
      </c>
      <c r="I24" s="28">
        <v>1</v>
      </c>
      <c r="J24" s="28">
        <v>1</v>
      </c>
      <c r="K24" s="28">
        <v>1</v>
      </c>
      <c r="L24" s="28">
        <v>1</v>
      </c>
      <c r="M24" s="28">
        <v>1</v>
      </c>
      <c r="N24" s="28">
        <v>1</v>
      </c>
      <c r="O24" s="28">
        <v>1</v>
      </c>
      <c r="P24" s="28">
        <v>1</v>
      </c>
      <c r="Q24" s="28">
        <v>1</v>
      </c>
      <c r="R24" s="28">
        <v>1</v>
      </c>
      <c r="S24" s="28">
        <v>1</v>
      </c>
      <c r="T24" s="28">
        <v>1</v>
      </c>
      <c r="U24" s="28">
        <v>1</v>
      </c>
      <c r="V24" s="28">
        <v>1</v>
      </c>
      <c r="W24" s="28">
        <v>1</v>
      </c>
      <c r="X24" s="28">
        <v>1</v>
      </c>
      <c r="Y24" s="28">
        <v>1</v>
      </c>
      <c r="Z24" s="28">
        <v>1</v>
      </c>
    </row>
    <row r="25" spans="1:26" x14ac:dyDescent="0.3">
      <c r="A25" s="29" t="s">
        <v>9</v>
      </c>
      <c r="B25" s="29" t="s">
        <v>66</v>
      </c>
      <c r="C25" s="28">
        <v>0</v>
      </c>
      <c r="D25" s="28">
        <v>0</v>
      </c>
      <c r="E25" s="28">
        <v>0</v>
      </c>
      <c r="F25" s="28">
        <v>0</v>
      </c>
      <c r="G25" s="28">
        <v>0</v>
      </c>
      <c r="H25" s="28">
        <v>0</v>
      </c>
      <c r="I25" s="28">
        <v>0</v>
      </c>
      <c r="J25" s="28">
        <v>0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</row>
    <row r="26" spans="1:26" x14ac:dyDescent="0.3">
      <c r="A26" s="29" t="s">
        <v>9</v>
      </c>
      <c r="B26" s="29" t="s">
        <v>67</v>
      </c>
      <c r="C26" s="28">
        <v>0</v>
      </c>
      <c r="D26" s="28">
        <v>0</v>
      </c>
      <c r="E26" s="28">
        <v>0</v>
      </c>
      <c r="F26" s="28">
        <v>0</v>
      </c>
      <c r="G26" s="28">
        <v>0</v>
      </c>
      <c r="H26" s="28">
        <v>0</v>
      </c>
      <c r="I26" s="28">
        <v>0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8">
        <v>0</v>
      </c>
      <c r="U26" s="28">
        <v>0</v>
      </c>
      <c r="V26" s="28">
        <v>0</v>
      </c>
      <c r="W26" s="28">
        <v>0</v>
      </c>
      <c r="X26" s="28">
        <v>0</v>
      </c>
      <c r="Y26" s="28">
        <v>0</v>
      </c>
      <c r="Z26" s="28">
        <v>0</v>
      </c>
    </row>
    <row r="27" spans="1:26" x14ac:dyDescent="0.3">
      <c r="A27" s="29" t="s">
        <v>9</v>
      </c>
      <c r="B27" s="29" t="s">
        <v>68</v>
      </c>
      <c r="C27" s="28">
        <v>0</v>
      </c>
      <c r="D27" s="28">
        <v>0</v>
      </c>
      <c r="E27" s="28">
        <v>0</v>
      </c>
      <c r="F27" s="28">
        <v>0</v>
      </c>
      <c r="G27" s="28">
        <v>0</v>
      </c>
      <c r="H27" s="28">
        <v>0</v>
      </c>
      <c r="I27" s="28">
        <v>0</v>
      </c>
      <c r="J27" s="28">
        <v>0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8">
        <v>0</v>
      </c>
      <c r="U27" s="28">
        <v>0</v>
      </c>
      <c r="V27" s="28">
        <v>0</v>
      </c>
      <c r="W27" s="28">
        <v>0</v>
      </c>
      <c r="X27" s="28">
        <v>0</v>
      </c>
      <c r="Y27" s="28">
        <v>0</v>
      </c>
      <c r="Z27" s="28">
        <v>0</v>
      </c>
    </row>
    <row r="28" spans="1:26" x14ac:dyDescent="0.3">
      <c r="A28" s="29" t="s">
        <v>9</v>
      </c>
      <c r="B28" s="29" t="s">
        <v>69</v>
      </c>
      <c r="C28" s="28">
        <v>0</v>
      </c>
      <c r="D28" s="28">
        <v>0</v>
      </c>
      <c r="E28" s="28">
        <v>0</v>
      </c>
      <c r="F28" s="28">
        <v>0</v>
      </c>
      <c r="G28" s="28">
        <v>0</v>
      </c>
      <c r="H28" s="28">
        <v>0</v>
      </c>
      <c r="I28" s="28">
        <v>0</v>
      </c>
      <c r="J28" s="28">
        <v>0</v>
      </c>
      <c r="K28" s="28">
        <v>0</v>
      </c>
      <c r="L28" s="28">
        <v>0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8">
        <v>0</v>
      </c>
      <c r="U28" s="28">
        <v>0</v>
      </c>
      <c r="V28" s="28">
        <v>0</v>
      </c>
      <c r="W28" s="28">
        <v>0</v>
      </c>
      <c r="X28" s="28">
        <v>0</v>
      </c>
      <c r="Y28" s="28">
        <v>0</v>
      </c>
      <c r="Z28" s="28">
        <v>0</v>
      </c>
    </row>
    <row r="29" spans="1:26" x14ac:dyDescent="0.3">
      <c r="A29" s="29" t="s">
        <v>10</v>
      </c>
      <c r="B29" s="29" t="s">
        <v>60</v>
      </c>
      <c r="C29" s="28">
        <v>1</v>
      </c>
      <c r="D29" s="28">
        <v>1</v>
      </c>
      <c r="E29" s="28">
        <v>1</v>
      </c>
      <c r="F29" s="28">
        <v>1</v>
      </c>
      <c r="G29" s="28">
        <v>1</v>
      </c>
      <c r="H29" s="28">
        <v>1</v>
      </c>
      <c r="I29" s="28">
        <v>1</v>
      </c>
      <c r="J29" s="28">
        <v>1</v>
      </c>
      <c r="K29" s="28">
        <v>1</v>
      </c>
      <c r="L29" s="28">
        <v>1</v>
      </c>
      <c r="M29" s="28">
        <v>1</v>
      </c>
      <c r="N29" s="28">
        <v>1</v>
      </c>
      <c r="O29" s="28">
        <v>1</v>
      </c>
      <c r="P29" s="28">
        <v>1</v>
      </c>
      <c r="Q29" s="28">
        <v>1</v>
      </c>
      <c r="R29" s="28">
        <v>1</v>
      </c>
      <c r="S29" s="28">
        <v>1</v>
      </c>
      <c r="T29" s="28">
        <v>1</v>
      </c>
      <c r="U29" s="28">
        <v>1</v>
      </c>
      <c r="V29" s="28">
        <v>1</v>
      </c>
      <c r="W29" s="28">
        <v>1</v>
      </c>
      <c r="X29" s="28">
        <v>1</v>
      </c>
      <c r="Y29" s="28">
        <v>1</v>
      </c>
      <c r="Z29" s="28">
        <v>1</v>
      </c>
    </row>
    <row r="30" spans="1:26" x14ac:dyDescent="0.3">
      <c r="A30" s="29" t="s">
        <v>10</v>
      </c>
      <c r="B30" s="29" t="s">
        <v>101</v>
      </c>
      <c r="C30" s="28">
        <v>1</v>
      </c>
      <c r="D30" s="28">
        <v>1</v>
      </c>
      <c r="E30" s="28">
        <v>1</v>
      </c>
      <c r="F30" s="28">
        <v>1</v>
      </c>
      <c r="G30" s="28">
        <v>1</v>
      </c>
      <c r="H30" s="28">
        <v>1</v>
      </c>
      <c r="I30" s="28">
        <v>1</v>
      </c>
      <c r="J30" s="28">
        <v>1</v>
      </c>
      <c r="K30" s="28">
        <v>1</v>
      </c>
      <c r="L30" s="28">
        <v>1</v>
      </c>
      <c r="M30" s="28">
        <v>1</v>
      </c>
      <c r="N30" s="28">
        <v>1</v>
      </c>
      <c r="O30" s="28">
        <v>1</v>
      </c>
      <c r="P30" s="28">
        <v>1</v>
      </c>
      <c r="Q30" s="28">
        <v>1</v>
      </c>
      <c r="R30" s="28">
        <v>0</v>
      </c>
      <c r="S30" s="28">
        <v>1</v>
      </c>
      <c r="T30" s="28">
        <v>0</v>
      </c>
      <c r="U30" s="28">
        <v>1</v>
      </c>
      <c r="V30" s="28">
        <v>1</v>
      </c>
      <c r="W30" s="28">
        <v>1</v>
      </c>
      <c r="X30" s="28">
        <v>1</v>
      </c>
      <c r="Y30" s="28">
        <v>1</v>
      </c>
      <c r="Z30" s="28">
        <v>1</v>
      </c>
    </row>
    <row r="31" spans="1:26" x14ac:dyDescent="0.3">
      <c r="A31" s="29" t="s">
        <v>10</v>
      </c>
      <c r="B31" s="29" t="s">
        <v>61</v>
      </c>
      <c r="C31" s="28">
        <v>1</v>
      </c>
      <c r="D31" s="28">
        <v>0</v>
      </c>
      <c r="E31" s="28">
        <v>0</v>
      </c>
      <c r="F31" s="28">
        <v>0</v>
      </c>
      <c r="G31" s="28">
        <v>0</v>
      </c>
      <c r="H31" s="28">
        <v>0</v>
      </c>
      <c r="I31" s="28">
        <v>0</v>
      </c>
      <c r="J31" s="28">
        <v>0</v>
      </c>
      <c r="K31" s="28">
        <v>0</v>
      </c>
      <c r="L31" s="28">
        <v>0</v>
      </c>
      <c r="M31" s="28">
        <v>1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1</v>
      </c>
      <c r="X31" s="28">
        <v>1</v>
      </c>
      <c r="Y31" s="28">
        <v>0</v>
      </c>
      <c r="Z31" s="28">
        <v>0</v>
      </c>
    </row>
    <row r="32" spans="1:26" x14ac:dyDescent="0.3">
      <c r="A32" s="29" t="s">
        <v>10</v>
      </c>
      <c r="B32" s="29" t="s">
        <v>103</v>
      </c>
      <c r="C32" s="28">
        <v>0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</v>
      </c>
      <c r="K32" s="28">
        <v>0</v>
      </c>
      <c r="L32" s="28">
        <v>0</v>
      </c>
      <c r="M32" s="28">
        <v>1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8">
        <v>0</v>
      </c>
      <c r="U32" s="28">
        <v>1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</row>
    <row r="33" spans="1:26" x14ac:dyDescent="0.3">
      <c r="A33" s="29" t="s">
        <v>10</v>
      </c>
      <c r="B33" s="29" t="s">
        <v>102</v>
      </c>
      <c r="C33" s="28">
        <v>1</v>
      </c>
      <c r="D33" s="28">
        <v>1</v>
      </c>
      <c r="E33" s="28">
        <v>1</v>
      </c>
      <c r="F33" s="28">
        <v>0</v>
      </c>
      <c r="G33" s="28">
        <v>0</v>
      </c>
      <c r="H33" s="28">
        <v>0</v>
      </c>
      <c r="I33" s="28">
        <v>1</v>
      </c>
      <c r="J33" s="28">
        <v>1</v>
      </c>
      <c r="K33" s="28">
        <v>1</v>
      </c>
      <c r="L33" s="28">
        <v>0</v>
      </c>
      <c r="M33" s="28">
        <v>1</v>
      </c>
      <c r="N33" s="28">
        <v>1</v>
      </c>
      <c r="O33" s="28">
        <v>1</v>
      </c>
      <c r="P33" s="28">
        <v>0</v>
      </c>
      <c r="Q33" s="28">
        <v>1</v>
      </c>
      <c r="R33" s="28">
        <v>1</v>
      </c>
      <c r="S33" s="28">
        <v>0</v>
      </c>
      <c r="T33" s="28">
        <v>0</v>
      </c>
      <c r="U33" s="28">
        <v>1</v>
      </c>
      <c r="V33" s="28">
        <v>1</v>
      </c>
      <c r="W33" s="28">
        <v>1</v>
      </c>
      <c r="X33" s="28">
        <v>1</v>
      </c>
      <c r="Y33" s="28">
        <v>1</v>
      </c>
      <c r="Z33" s="28">
        <v>1</v>
      </c>
    </row>
    <row r="34" spans="1:26" x14ac:dyDescent="0.3">
      <c r="A34" s="29" t="s">
        <v>10</v>
      </c>
      <c r="B34" s="29" t="s">
        <v>62</v>
      </c>
      <c r="C34" s="28">
        <v>1</v>
      </c>
      <c r="D34" s="28">
        <v>1</v>
      </c>
      <c r="E34" s="28">
        <v>1</v>
      </c>
      <c r="F34" s="28">
        <v>1</v>
      </c>
      <c r="G34" s="28">
        <v>1</v>
      </c>
      <c r="H34" s="28">
        <v>1</v>
      </c>
      <c r="I34" s="28">
        <v>1</v>
      </c>
      <c r="J34" s="28">
        <v>1</v>
      </c>
      <c r="K34" s="28">
        <v>1</v>
      </c>
      <c r="L34" s="28">
        <v>1</v>
      </c>
      <c r="M34" s="28">
        <v>1</v>
      </c>
      <c r="N34" s="28">
        <v>1</v>
      </c>
      <c r="O34" s="28">
        <v>1</v>
      </c>
      <c r="P34" s="28">
        <v>1</v>
      </c>
      <c r="Q34" s="28">
        <v>1</v>
      </c>
      <c r="R34" s="28">
        <v>1</v>
      </c>
      <c r="S34" s="28">
        <v>1</v>
      </c>
      <c r="T34" s="28">
        <v>1</v>
      </c>
      <c r="U34" s="28">
        <v>1</v>
      </c>
      <c r="V34" s="28">
        <v>1</v>
      </c>
      <c r="W34" s="28">
        <v>1</v>
      </c>
      <c r="X34" s="28">
        <v>1</v>
      </c>
      <c r="Y34" s="28">
        <v>1</v>
      </c>
      <c r="Z34" s="28">
        <v>1</v>
      </c>
    </row>
    <row r="35" spans="1:26" x14ac:dyDescent="0.3">
      <c r="A35" s="29" t="s">
        <v>10</v>
      </c>
      <c r="B35" s="29" t="s">
        <v>63</v>
      </c>
      <c r="C35" s="28">
        <v>1</v>
      </c>
      <c r="D35" s="28">
        <v>1</v>
      </c>
      <c r="E35" s="28">
        <v>1</v>
      </c>
      <c r="F35" s="28">
        <v>1</v>
      </c>
      <c r="G35" s="28">
        <v>1</v>
      </c>
      <c r="H35" s="28">
        <v>1</v>
      </c>
      <c r="I35" s="28">
        <v>1</v>
      </c>
      <c r="J35" s="28">
        <v>0</v>
      </c>
      <c r="K35" s="28">
        <v>1</v>
      </c>
      <c r="L35" s="28">
        <v>0</v>
      </c>
      <c r="M35" s="28">
        <v>1</v>
      </c>
      <c r="N35" s="28">
        <v>0</v>
      </c>
      <c r="O35" s="28">
        <v>1</v>
      </c>
      <c r="P35" s="28">
        <v>1</v>
      </c>
      <c r="Q35" s="28">
        <v>1</v>
      </c>
      <c r="R35" s="28">
        <v>1</v>
      </c>
      <c r="S35" s="28">
        <v>1</v>
      </c>
      <c r="T35" s="28">
        <v>1</v>
      </c>
      <c r="U35" s="28">
        <v>1</v>
      </c>
      <c r="V35" s="28">
        <v>0</v>
      </c>
      <c r="W35" s="28">
        <v>1</v>
      </c>
      <c r="X35" s="28">
        <v>0</v>
      </c>
      <c r="Y35" s="28">
        <v>1</v>
      </c>
      <c r="Z35" s="28">
        <v>1</v>
      </c>
    </row>
    <row r="36" spans="1:26" x14ac:dyDescent="0.3">
      <c r="A36" s="29" t="s">
        <v>10</v>
      </c>
      <c r="B36" s="29" t="s">
        <v>64</v>
      </c>
      <c r="C36" s="28">
        <v>1</v>
      </c>
      <c r="D36" s="28">
        <v>0</v>
      </c>
      <c r="E36" s="28">
        <v>0</v>
      </c>
      <c r="F36" s="28">
        <v>0</v>
      </c>
      <c r="G36" s="28">
        <v>1</v>
      </c>
      <c r="H36" s="28">
        <v>0</v>
      </c>
      <c r="I36" s="28">
        <v>0</v>
      </c>
      <c r="J36" s="28">
        <v>0</v>
      </c>
      <c r="K36" s="28">
        <v>0</v>
      </c>
      <c r="L36" s="28">
        <v>0</v>
      </c>
      <c r="M36" s="28">
        <v>0</v>
      </c>
      <c r="N36" s="28">
        <v>0</v>
      </c>
      <c r="O36" s="28">
        <v>1</v>
      </c>
      <c r="P36" s="28">
        <v>0</v>
      </c>
      <c r="Q36" s="28">
        <v>0</v>
      </c>
      <c r="R36" s="28">
        <v>0</v>
      </c>
      <c r="S36" s="28">
        <v>1</v>
      </c>
      <c r="T36" s="28">
        <v>0</v>
      </c>
      <c r="U36" s="28">
        <v>0</v>
      </c>
      <c r="V36" s="28">
        <v>0</v>
      </c>
      <c r="W36" s="28">
        <v>0</v>
      </c>
      <c r="X36" s="28">
        <v>0</v>
      </c>
      <c r="Y36" s="28">
        <v>1</v>
      </c>
      <c r="Z36" s="28">
        <v>0</v>
      </c>
    </row>
    <row r="37" spans="1:26" x14ac:dyDescent="0.3">
      <c r="A37" s="29" t="s">
        <v>10</v>
      </c>
      <c r="B37" s="29" t="s">
        <v>65</v>
      </c>
      <c r="C37" s="28">
        <v>1</v>
      </c>
      <c r="D37" s="28">
        <v>1</v>
      </c>
      <c r="E37" s="28">
        <v>1</v>
      </c>
      <c r="F37" s="28">
        <v>1</v>
      </c>
      <c r="G37" s="28">
        <v>1</v>
      </c>
      <c r="H37" s="28">
        <v>1</v>
      </c>
      <c r="I37" s="28">
        <v>1</v>
      </c>
      <c r="J37" s="28">
        <v>1</v>
      </c>
      <c r="K37" s="28">
        <v>1</v>
      </c>
      <c r="L37" s="28">
        <v>1</v>
      </c>
      <c r="M37" s="28">
        <v>1</v>
      </c>
      <c r="N37" s="28">
        <v>1</v>
      </c>
      <c r="O37" s="28">
        <v>1</v>
      </c>
      <c r="P37" s="28">
        <v>1</v>
      </c>
      <c r="Q37" s="28">
        <v>1</v>
      </c>
      <c r="R37" s="28">
        <v>1</v>
      </c>
      <c r="S37" s="28">
        <v>1</v>
      </c>
      <c r="T37" s="28">
        <v>1</v>
      </c>
      <c r="U37" s="28">
        <v>1</v>
      </c>
      <c r="V37" s="28">
        <v>1</v>
      </c>
      <c r="W37" s="28">
        <v>1</v>
      </c>
      <c r="X37" s="28">
        <v>1</v>
      </c>
      <c r="Y37" s="28">
        <v>1</v>
      </c>
      <c r="Z37" s="28">
        <v>1</v>
      </c>
    </row>
    <row r="38" spans="1:26" x14ac:dyDescent="0.3">
      <c r="A38" s="29" t="s">
        <v>10</v>
      </c>
      <c r="B38" s="29" t="s">
        <v>66</v>
      </c>
      <c r="C38" s="28">
        <v>0</v>
      </c>
      <c r="D38" s="28">
        <v>0</v>
      </c>
      <c r="E38" s="28">
        <v>1</v>
      </c>
      <c r="F38" s="28">
        <v>0</v>
      </c>
      <c r="G38" s="28">
        <v>0</v>
      </c>
      <c r="H38" s="28">
        <v>0</v>
      </c>
      <c r="I38" s="28">
        <v>0</v>
      </c>
      <c r="J38" s="28">
        <v>0</v>
      </c>
      <c r="K38" s="28">
        <v>0</v>
      </c>
      <c r="L38" s="28">
        <v>0</v>
      </c>
      <c r="M38" s="28">
        <v>0</v>
      </c>
      <c r="N38" s="28">
        <v>0</v>
      </c>
      <c r="O38" s="28">
        <v>0</v>
      </c>
      <c r="P38" s="28">
        <v>0</v>
      </c>
      <c r="Q38" s="28">
        <v>0</v>
      </c>
      <c r="R38" s="28">
        <v>0</v>
      </c>
      <c r="S38" s="28">
        <v>0</v>
      </c>
      <c r="T38" s="28">
        <v>0</v>
      </c>
      <c r="U38" s="28">
        <v>0</v>
      </c>
      <c r="V38" s="28">
        <v>0</v>
      </c>
      <c r="W38" s="28">
        <v>0</v>
      </c>
      <c r="X38" s="28">
        <v>0</v>
      </c>
      <c r="Y38" s="28">
        <v>0</v>
      </c>
      <c r="Z38" s="28">
        <v>0</v>
      </c>
    </row>
    <row r="39" spans="1:26" x14ac:dyDescent="0.3">
      <c r="A39" s="29" t="s">
        <v>10</v>
      </c>
      <c r="B39" s="29" t="s">
        <v>67</v>
      </c>
      <c r="C39" s="28">
        <v>0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>
        <v>0</v>
      </c>
      <c r="J39" s="28">
        <v>0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0</v>
      </c>
      <c r="R39" s="28">
        <v>0</v>
      </c>
      <c r="S39" s="28">
        <v>0</v>
      </c>
      <c r="T39" s="28">
        <v>0</v>
      </c>
      <c r="U39" s="28">
        <v>0</v>
      </c>
      <c r="V39" s="28">
        <v>0</v>
      </c>
      <c r="W39" s="28">
        <v>0</v>
      </c>
      <c r="X39" s="28">
        <v>0</v>
      </c>
      <c r="Y39" s="28">
        <v>0</v>
      </c>
      <c r="Z39" s="28">
        <v>0</v>
      </c>
    </row>
    <row r="40" spans="1:26" x14ac:dyDescent="0.3">
      <c r="A40" s="29" t="s">
        <v>10</v>
      </c>
      <c r="B40" s="29" t="s">
        <v>68</v>
      </c>
      <c r="C40" s="28">
        <v>0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>
        <v>0</v>
      </c>
      <c r="J40" s="28">
        <v>0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</v>
      </c>
      <c r="S40" s="28">
        <v>0</v>
      </c>
      <c r="T40" s="28">
        <v>1</v>
      </c>
      <c r="U40" s="28">
        <v>0</v>
      </c>
      <c r="V40" s="28">
        <v>0</v>
      </c>
      <c r="W40" s="28">
        <v>1</v>
      </c>
      <c r="X40" s="28">
        <v>0</v>
      </c>
      <c r="Y40" s="28">
        <v>1</v>
      </c>
      <c r="Z40" s="28">
        <v>0</v>
      </c>
    </row>
    <row r="41" spans="1:26" x14ac:dyDescent="0.3">
      <c r="A41" s="29" t="s">
        <v>10</v>
      </c>
      <c r="B41" s="29" t="s">
        <v>69</v>
      </c>
      <c r="C41" s="28">
        <v>0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>
        <v>0</v>
      </c>
      <c r="J41" s="28">
        <v>0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0</v>
      </c>
      <c r="T41" s="28">
        <v>0</v>
      </c>
      <c r="U41" s="28">
        <v>0</v>
      </c>
      <c r="V41" s="28">
        <v>0</v>
      </c>
      <c r="W41" s="28">
        <v>0</v>
      </c>
      <c r="X41" s="28">
        <v>0</v>
      </c>
      <c r="Y41" s="28">
        <v>0</v>
      </c>
      <c r="Z41" s="28">
        <v>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>
    <tabColor indexed="47"/>
  </sheetPr>
  <dimension ref="A1:BV57"/>
  <sheetViews>
    <sheetView showRowColHeaders="0" workbookViewId="0">
      <pane xSplit="2" ySplit="3" topLeftCell="AT4" activePane="bottomRight" state="frozen"/>
      <selection pane="topRight"/>
      <selection pane="bottomLeft"/>
      <selection pane="bottomRight" activeCell="C4" sqref="C4"/>
    </sheetView>
  </sheetViews>
  <sheetFormatPr baseColWidth="10" defaultColWidth="11.44140625" defaultRowHeight="13.8" x14ac:dyDescent="0.3"/>
  <cols>
    <col min="1" max="1" width="4.5546875" style="29" bestFit="1" customWidth="1"/>
    <col min="2" max="2" width="24.44140625" style="29" bestFit="1" customWidth="1"/>
    <col min="3" max="74" width="8.33203125" style="6" bestFit="1" customWidth="1"/>
    <col min="75" max="16384" width="11.44140625" style="6"/>
  </cols>
  <sheetData>
    <row r="1" spans="1:74" s="27" customFormat="1" x14ac:dyDescent="0.3">
      <c r="A1" s="25" t="s">
        <v>117</v>
      </c>
      <c r="B1" s="25" t="s">
        <v>118</v>
      </c>
      <c r="C1" s="30" t="s">
        <v>21</v>
      </c>
      <c r="D1" s="30" t="s">
        <v>21</v>
      </c>
      <c r="E1" s="30" t="s">
        <v>21</v>
      </c>
      <c r="F1" s="27" t="s">
        <v>21</v>
      </c>
      <c r="G1" s="27" t="s">
        <v>21</v>
      </c>
      <c r="H1" s="27" t="s">
        <v>21</v>
      </c>
      <c r="I1" s="27" t="s">
        <v>29</v>
      </c>
      <c r="J1" s="27" t="s">
        <v>29</v>
      </c>
      <c r="K1" s="27" t="s">
        <v>29</v>
      </c>
      <c r="L1" s="27" t="s">
        <v>29</v>
      </c>
      <c r="M1" s="27" t="s">
        <v>29</v>
      </c>
      <c r="N1" s="27" t="s">
        <v>29</v>
      </c>
      <c r="O1" s="27" t="s">
        <v>30</v>
      </c>
      <c r="P1" s="27" t="s">
        <v>30</v>
      </c>
      <c r="Q1" s="27" t="s">
        <v>30</v>
      </c>
      <c r="R1" s="27" t="s">
        <v>30</v>
      </c>
      <c r="S1" s="27" t="s">
        <v>30</v>
      </c>
      <c r="T1" s="27" t="s">
        <v>30</v>
      </c>
      <c r="U1" s="27" t="s">
        <v>31</v>
      </c>
      <c r="V1" s="27" t="s">
        <v>31</v>
      </c>
      <c r="W1" s="27" t="s">
        <v>31</v>
      </c>
      <c r="X1" s="27" t="s">
        <v>31</v>
      </c>
      <c r="Y1" s="27" t="s">
        <v>31</v>
      </c>
      <c r="Z1" s="27" t="s">
        <v>31</v>
      </c>
      <c r="AA1" s="27" t="s">
        <v>32</v>
      </c>
      <c r="AB1" s="27" t="s">
        <v>32</v>
      </c>
      <c r="AC1" s="27" t="s">
        <v>32</v>
      </c>
      <c r="AD1" s="27" t="s">
        <v>32</v>
      </c>
      <c r="AE1" s="27" t="s">
        <v>32</v>
      </c>
      <c r="AF1" s="27" t="s">
        <v>32</v>
      </c>
      <c r="AG1" s="27" t="s">
        <v>33</v>
      </c>
      <c r="AH1" s="27" t="s">
        <v>33</v>
      </c>
      <c r="AI1" s="27" t="s">
        <v>33</v>
      </c>
      <c r="AJ1" s="27" t="s">
        <v>33</v>
      </c>
      <c r="AK1" s="27" t="s">
        <v>33</v>
      </c>
      <c r="AL1" s="27" t="s">
        <v>33</v>
      </c>
      <c r="AM1" s="27" t="s">
        <v>34</v>
      </c>
      <c r="AN1" s="27" t="s">
        <v>34</v>
      </c>
      <c r="AO1" s="27" t="s">
        <v>34</v>
      </c>
      <c r="AP1" s="27" t="s">
        <v>34</v>
      </c>
      <c r="AQ1" s="27" t="s">
        <v>34</v>
      </c>
      <c r="AR1" s="27" t="s">
        <v>34</v>
      </c>
      <c r="AS1" s="27" t="s">
        <v>35</v>
      </c>
      <c r="AT1" s="27" t="s">
        <v>35</v>
      </c>
      <c r="AU1" s="27" t="s">
        <v>35</v>
      </c>
      <c r="AV1" s="27" t="s">
        <v>35</v>
      </c>
      <c r="AW1" s="27" t="s">
        <v>35</v>
      </c>
      <c r="AX1" s="27" t="s">
        <v>35</v>
      </c>
      <c r="AY1" s="27" t="s">
        <v>36</v>
      </c>
      <c r="AZ1" s="27" t="s">
        <v>36</v>
      </c>
      <c r="BA1" s="27" t="s">
        <v>36</v>
      </c>
      <c r="BB1" s="27" t="s">
        <v>36</v>
      </c>
      <c r="BC1" s="27" t="s">
        <v>36</v>
      </c>
      <c r="BD1" s="27" t="s">
        <v>36</v>
      </c>
      <c r="BE1" s="27" t="s">
        <v>37</v>
      </c>
      <c r="BF1" s="27" t="s">
        <v>37</v>
      </c>
      <c r="BG1" s="27" t="s">
        <v>37</v>
      </c>
      <c r="BH1" s="27" t="s">
        <v>37</v>
      </c>
      <c r="BI1" s="27" t="s">
        <v>37</v>
      </c>
      <c r="BJ1" s="27" t="s">
        <v>37</v>
      </c>
      <c r="BK1" s="27" t="s">
        <v>38</v>
      </c>
      <c r="BL1" s="27" t="s">
        <v>38</v>
      </c>
      <c r="BM1" s="27" t="s">
        <v>38</v>
      </c>
      <c r="BN1" s="27" t="s">
        <v>38</v>
      </c>
      <c r="BO1" s="27" t="s">
        <v>38</v>
      </c>
      <c r="BP1" s="27" t="s">
        <v>38</v>
      </c>
      <c r="BQ1" s="27" t="s">
        <v>22</v>
      </c>
      <c r="BR1" s="27" t="s">
        <v>22</v>
      </c>
      <c r="BS1" s="27" t="s">
        <v>22</v>
      </c>
      <c r="BT1" s="27" t="s">
        <v>22</v>
      </c>
      <c r="BU1" s="27" t="s">
        <v>22</v>
      </c>
      <c r="BV1" s="27" t="s">
        <v>22</v>
      </c>
    </row>
    <row r="2" spans="1:74" s="27" customFormat="1" x14ac:dyDescent="0.3">
      <c r="A2" s="25"/>
      <c r="B2" s="25"/>
      <c r="C2" s="30" t="s">
        <v>104</v>
      </c>
      <c r="D2" s="30" t="s">
        <v>104</v>
      </c>
      <c r="E2" s="30" t="s">
        <v>104</v>
      </c>
      <c r="F2" s="27" t="s">
        <v>39</v>
      </c>
      <c r="G2" s="27" t="s">
        <v>39</v>
      </c>
      <c r="H2" s="27" t="s">
        <v>39</v>
      </c>
      <c r="I2" s="27" t="s">
        <v>104</v>
      </c>
      <c r="J2" s="27" t="s">
        <v>104</v>
      </c>
      <c r="K2" s="27" t="s">
        <v>104</v>
      </c>
      <c r="L2" s="27" t="s">
        <v>39</v>
      </c>
      <c r="M2" s="27" t="s">
        <v>39</v>
      </c>
      <c r="N2" s="27" t="s">
        <v>39</v>
      </c>
      <c r="O2" s="27" t="s">
        <v>104</v>
      </c>
      <c r="P2" s="27" t="s">
        <v>104</v>
      </c>
      <c r="Q2" s="27" t="s">
        <v>104</v>
      </c>
      <c r="R2" s="27" t="s">
        <v>39</v>
      </c>
      <c r="S2" s="27" t="s">
        <v>39</v>
      </c>
      <c r="T2" s="27" t="s">
        <v>39</v>
      </c>
      <c r="U2" s="27" t="s">
        <v>104</v>
      </c>
      <c r="V2" s="27" t="s">
        <v>104</v>
      </c>
      <c r="W2" s="27" t="s">
        <v>104</v>
      </c>
      <c r="X2" s="27" t="s">
        <v>39</v>
      </c>
      <c r="Y2" s="27" t="s">
        <v>39</v>
      </c>
      <c r="Z2" s="27" t="s">
        <v>39</v>
      </c>
      <c r="AA2" s="27" t="s">
        <v>104</v>
      </c>
      <c r="AB2" s="27" t="s">
        <v>104</v>
      </c>
      <c r="AC2" s="27" t="s">
        <v>104</v>
      </c>
      <c r="AD2" s="27" t="s">
        <v>39</v>
      </c>
      <c r="AE2" s="27" t="s">
        <v>39</v>
      </c>
      <c r="AF2" s="27" t="s">
        <v>39</v>
      </c>
      <c r="AG2" s="27" t="s">
        <v>104</v>
      </c>
      <c r="AH2" s="27" t="s">
        <v>104</v>
      </c>
      <c r="AI2" s="27" t="s">
        <v>104</v>
      </c>
      <c r="AJ2" s="27" t="s">
        <v>39</v>
      </c>
      <c r="AK2" s="27" t="s">
        <v>39</v>
      </c>
      <c r="AL2" s="27" t="s">
        <v>39</v>
      </c>
      <c r="AM2" s="27" t="s">
        <v>104</v>
      </c>
      <c r="AN2" s="27" t="s">
        <v>104</v>
      </c>
      <c r="AO2" s="27" t="s">
        <v>104</v>
      </c>
      <c r="AP2" s="27" t="s">
        <v>39</v>
      </c>
      <c r="AQ2" s="27" t="s">
        <v>39</v>
      </c>
      <c r="AR2" s="27" t="s">
        <v>39</v>
      </c>
      <c r="AS2" s="27" t="s">
        <v>104</v>
      </c>
      <c r="AT2" s="27" t="s">
        <v>104</v>
      </c>
      <c r="AU2" s="27" t="s">
        <v>104</v>
      </c>
      <c r="AV2" s="27" t="s">
        <v>39</v>
      </c>
      <c r="AW2" s="27" t="s">
        <v>39</v>
      </c>
      <c r="AX2" s="27" t="s">
        <v>39</v>
      </c>
      <c r="AY2" s="27" t="s">
        <v>104</v>
      </c>
      <c r="AZ2" s="27" t="s">
        <v>104</v>
      </c>
      <c r="BA2" s="27" t="s">
        <v>104</v>
      </c>
      <c r="BB2" s="27" t="s">
        <v>39</v>
      </c>
      <c r="BC2" s="27" t="s">
        <v>39</v>
      </c>
      <c r="BD2" s="27" t="s">
        <v>39</v>
      </c>
      <c r="BE2" s="27" t="s">
        <v>104</v>
      </c>
      <c r="BF2" s="27" t="s">
        <v>104</v>
      </c>
      <c r="BG2" s="27" t="s">
        <v>104</v>
      </c>
      <c r="BH2" s="27" t="s">
        <v>39</v>
      </c>
      <c r="BI2" s="27" t="s">
        <v>39</v>
      </c>
      <c r="BJ2" s="27" t="s">
        <v>39</v>
      </c>
      <c r="BK2" s="27" t="s">
        <v>104</v>
      </c>
      <c r="BL2" s="27" t="s">
        <v>104</v>
      </c>
      <c r="BM2" s="27" t="s">
        <v>104</v>
      </c>
      <c r="BN2" s="27" t="s">
        <v>39</v>
      </c>
      <c r="BO2" s="27" t="s">
        <v>39</v>
      </c>
      <c r="BP2" s="27" t="s">
        <v>39</v>
      </c>
      <c r="BQ2" s="27" t="s">
        <v>104</v>
      </c>
      <c r="BR2" s="27" t="s">
        <v>104</v>
      </c>
      <c r="BS2" s="27" t="s">
        <v>104</v>
      </c>
      <c r="BT2" s="27" t="s">
        <v>39</v>
      </c>
      <c r="BU2" s="27" t="s">
        <v>39</v>
      </c>
      <c r="BV2" s="27" t="s">
        <v>39</v>
      </c>
    </row>
    <row r="3" spans="1:74" s="27" customFormat="1" x14ac:dyDescent="0.3">
      <c r="A3" s="25"/>
      <c r="B3" s="25"/>
      <c r="C3" s="30" t="s">
        <v>26</v>
      </c>
      <c r="D3" s="30" t="s">
        <v>56</v>
      </c>
      <c r="E3" s="30" t="s">
        <v>57</v>
      </c>
      <c r="F3" s="27" t="s">
        <v>26</v>
      </c>
      <c r="G3" s="27" t="s">
        <v>56</v>
      </c>
      <c r="H3" s="27" t="s">
        <v>57</v>
      </c>
      <c r="I3" s="27" t="s">
        <v>26</v>
      </c>
      <c r="J3" s="27" t="s">
        <v>56</v>
      </c>
      <c r="K3" s="27" t="s">
        <v>57</v>
      </c>
      <c r="L3" s="27" t="s">
        <v>26</v>
      </c>
      <c r="M3" s="27" t="s">
        <v>56</v>
      </c>
      <c r="N3" s="27" t="s">
        <v>57</v>
      </c>
      <c r="O3" s="27" t="s">
        <v>26</v>
      </c>
      <c r="P3" s="27" t="s">
        <v>56</v>
      </c>
      <c r="Q3" s="27" t="s">
        <v>57</v>
      </c>
      <c r="R3" s="27" t="s">
        <v>26</v>
      </c>
      <c r="S3" s="27" t="s">
        <v>56</v>
      </c>
      <c r="T3" s="27" t="s">
        <v>57</v>
      </c>
      <c r="U3" s="27" t="s">
        <v>26</v>
      </c>
      <c r="V3" s="27" t="s">
        <v>56</v>
      </c>
      <c r="W3" s="27" t="s">
        <v>57</v>
      </c>
      <c r="X3" s="27" t="s">
        <v>26</v>
      </c>
      <c r="Y3" s="27" t="s">
        <v>56</v>
      </c>
      <c r="Z3" s="27" t="s">
        <v>57</v>
      </c>
      <c r="AA3" s="27" t="s">
        <v>26</v>
      </c>
      <c r="AB3" s="27" t="s">
        <v>56</v>
      </c>
      <c r="AC3" s="27" t="s">
        <v>57</v>
      </c>
      <c r="AD3" s="27" t="s">
        <v>26</v>
      </c>
      <c r="AE3" s="27" t="s">
        <v>56</v>
      </c>
      <c r="AF3" s="27" t="s">
        <v>57</v>
      </c>
      <c r="AG3" s="27" t="s">
        <v>26</v>
      </c>
      <c r="AH3" s="27" t="s">
        <v>56</v>
      </c>
      <c r="AI3" s="27" t="s">
        <v>57</v>
      </c>
      <c r="AJ3" s="27" t="s">
        <v>26</v>
      </c>
      <c r="AK3" s="27" t="s">
        <v>56</v>
      </c>
      <c r="AL3" s="27" t="s">
        <v>57</v>
      </c>
      <c r="AM3" s="27" t="s">
        <v>26</v>
      </c>
      <c r="AN3" s="27" t="s">
        <v>56</v>
      </c>
      <c r="AO3" s="27" t="s">
        <v>57</v>
      </c>
      <c r="AP3" s="27" t="s">
        <v>26</v>
      </c>
      <c r="AQ3" s="27" t="s">
        <v>56</v>
      </c>
      <c r="AR3" s="27" t="s">
        <v>57</v>
      </c>
      <c r="AS3" s="27" t="s">
        <v>26</v>
      </c>
      <c r="AT3" s="27" t="s">
        <v>56</v>
      </c>
      <c r="AU3" s="27" t="s">
        <v>57</v>
      </c>
      <c r="AV3" s="27" t="s">
        <v>26</v>
      </c>
      <c r="AW3" s="27" t="s">
        <v>56</v>
      </c>
      <c r="AX3" s="27" t="s">
        <v>57</v>
      </c>
      <c r="AY3" s="27" t="s">
        <v>26</v>
      </c>
      <c r="AZ3" s="27" t="s">
        <v>56</v>
      </c>
      <c r="BA3" s="27" t="s">
        <v>57</v>
      </c>
      <c r="BB3" s="27" t="s">
        <v>26</v>
      </c>
      <c r="BC3" s="27" t="s">
        <v>56</v>
      </c>
      <c r="BD3" s="27" t="s">
        <v>57</v>
      </c>
      <c r="BE3" s="27" t="s">
        <v>26</v>
      </c>
      <c r="BF3" s="27" t="s">
        <v>56</v>
      </c>
      <c r="BG3" s="27" t="s">
        <v>57</v>
      </c>
      <c r="BH3" s="27" t="s">
        <v>26</v>
      </c>
      <c r="BI3" s="27" t="s">
        <v>56</v>
      </c>
      <c r="BJ3" s="27" t="s">
        <v>57</v>
      </c>
      <c r="BK3" s="27" t="s">
        <v>26</v>
      </c>
      <c r="BL3" s="27" t="s">
        <v>56</v>
      </c>
      <c r="BM3" s="27" t="s">
        <v>57</v>
      </c>
      <c r="BN3" s="27" t="s">
        <v>26</v>
      </c>
      <c r="BO3" s="27" t="s">
        <v>56</v>
      </c>
      <c r="BP3" s="27" t="s">
        <v>57</v>
      </c>
      <c r="BQ3" s="27" t="s">
        <v>26</v>
      </c>
      <c r="BR3" s="27" t="s">
        <v>56</v>
      </c>
      <c r="BS3" s="27" t="s">
        <v>57</v>
      </c>
      <c r="BT3" s="27" t="s">
        <v>26</v>
      </c>
      <c r="BU3" s="27" t="s">
        <v>56</v>
      </c>
      <c r="BV3" s="27" t="s">
        <v>57</v>
      </c>
    </row>
    <row r="4" spans="1:74" x14ac:dyDescent="0.3">
      <c r="A4" s="25" t="s">
        <v>8</v>
      </c>
      <c r="B4" s="25" t="s">
        <v>60</v>
      </c>
      <c r="C4" s="28">
        <v>771.6</v>
      </c>
      <c r="D4" s="28">
        <v>771.6</v>
      </c>
      <c r="E4" s="28">
        <v>771.6</v>
      </c>
      <c r="F4" s="28">
        <v>771.6</v>
      </c>
      <c r="G4" s="28">
        <v>771.6</v>
      </c>
      <c r="H4" s="28">
        <v>771.6</v>
      </c>
      <c r="I4" s="28">
        <v>771.6</v>
      </c>
      <c r="J4" s="28">
        <v>771.6</v>
      </c>
      <c r="K4" s="28">
        <v>771.6</v>
      </c>
      <c r="L4" s="28">
        <v>771.6</v>
      </c>
      <c r="M4" s="28">
        <v>771.6</v>
      </c>
      <c r="N4" s="28">
        <v>771.6</v>
      </c>
      <c r="O4" s="28">
        <v>771.6</v>
      </c>
      <c r="P4" s="28">
        <v>771.6</v>
      </c>
      <c r="Q4" s="28">
        <v>771.6</v>
      </c>
      <c r="R4" s="28">
        <v>771.6</v>
      </c>
      <c r="S4" s="28">
        <v>771.6</v>
      </c>
      <c r="T4" s="28">
        <v>771.6</v>
      </c>
      <c r="U4" s="28">
        <v>771.6</v>
      </c>
      <c r="V4" s="28">
        <v>771.6</v>
      </c>
      <c r="W4" s="28">
        <v>771.6</v>
      </c>
      <c r="X4" s="28">
        <v>771.6</v>
      </c>
      <c r="Y4" s="28">
        <v>771.6</v>
      </c>
      <c r="Z4" s="28">
        <v>771.6</v>
      </c>
      <c r="AA4" s="28">
        <v>771.6</v>
      </c>
      <c r="AB4" s="28">
        <v>771.6</v>
      </c>
      <c r="AC4" s="28">
        <v>771.6</v>
      </c>
      <c r="AD4" s="28">
        <v>771.6</v>
      </c>
      <c r="AE4" s="28">
        <v>771.6</v>
      </c>
      <c r="AF4" s="28">
        <v>771.6</v>
      </c>
      <c r="AG4" s="28">
        <v>771.6</v>
      </c>
      <c r="AH4" s="28">
        <v>771.6</v>
      </c>
      <c r="AI4" s="28">
        <v>771.6</v>
      </c>
      <c r="AJ4" s="28">
        <v>771.6</v>
      </c>
      <c r="AK4" s="28">
        <v>771.6</v>
      </c>
      <c r="AL4" s="28">
        <v>771.6</v>
      </c>
      <c r="AM4" s="28">
        <v>771.6</v>
      </c>
      <c r="AN4" s="28">
        <v>771.6</v>
      </c>
      <c r="AO4" s="28">
        <v>771.6</v>
      </c>
      <c r="AP4" s="28">
        <v>771.6</v>
      </c>
      <c r="AQ4" s="28">
        <v>771.6</v>
      </c>
      <c r="AR4" s="28">
        <v>771.6</v>
      </c>
      <c r="AS4" s="28">
        <v>771.6</v>
      </c>
      <c r="AT4" s="28">
        <v>771.6</v>
      </c>
      <c r="AU4" s="28">
        <v>771.6</v>
      </c>
      <c r="AV4" s="28">
        <v>771.6</v>
      </c>
      <c r="AW4" s="28">
        <v>771.6</v>
      </c>
      <c r="AX4" s="28">
        <v>771.6</v>
      </c>
      <c r="AY4" s="28">
        <v>771.6</v>
      </c>
      <c r="AZ4" s="28">
        <v>771.6</v>
      </c>
      <c r="BA4" s="28">
        <v>771.6</v>
      </c>
      <c r="BB4" s="28">
        <v>771.6</v>
      </c>
      <c r="BC4" s="28">
        <v>771.6</v>
      </c>
      <c r="BD4" s="28">
        <v>771.6</v>
      </c>
      <c r="BE4" s="28">
        <v>771.6</v>
      </c>
      <c r="BF4" s="28">
        <v>771.6</v>
      </c>
      <c r="BG4" s="28">
        <v>771.6</v>
      </c>
      <c r="BH4" s="28">
        <v>771.6</v>
      </c>
      <c r="BI4" s="28">
        <v>771.6</v>
      </c>
      <c r="BJ4" s="28">
        <v>771.6</v>
      </c>
      <c r="BK4" s="28">
        <v>771.6</v>
      </c>
      <c r="BL4" s="28">
        <v>771.6</v>
      </c>
      <c r="BM4" s="28">
        <v>771.6</v>
      </c>
      <c r="BN4" s="28">
        <v>771.6</v>
      </c>
      <c r="BO4" s="28">
        <v>771.6</v>
      </c>
      <c r="BP4" s="28">
        <v>771.6</v>
      </c>
      <c r="BQ4" s="28">
        <v>771.6</v>
      </c>
      <c r="BR4" s="28">
        <v>771.6</v>
      </c>
      <c r="BS4" s="28">
        <v>771.6</v>
      </c>
      <c r="BT4" s="28">
        <v>771.6</v>
      </c>
      <c r="BU4" s="28">
        <v>771.6</v>
      </c>
      <c r="BV4" s="28">
        <v>771.6</v>
      </c>
    </row>
    <row r="5" spans="1:74" x14ac:dyDescent="0.3">
      <c r="A5" s="25" t="s">
        <v>8</v>
      </c>
      <c r="B5" s="25" t="s">
        <v>101</v>
      </c>
      <c r="C5" s="28">
        <v>235.19999999999996</v>
      </c>
      <c r="D5" s="28">
        <v>235.19999999999996</v>
      </c>
      <c r="E5" s="28">
        <v>235.19999999999996</v>
      </c>
      <c r="F5" s="28">
        <v>235.19999999999996</v>
      </c>
      <c r="G5" s="28">
        <v>235.19999999999996</v>
      </c>
      <c r="H5" s="28">
        <v>235.19999999999996</v>
      </c>
      <c r="I5" s="28">
        <v>235.19999999999996</v>
      </c>
      <c r="J5" s="28">
        <v>235.19999999999996</v>
      </c>
      <c r="K5" s="28">
        <v>235.19999999999996</v>
      </c>
      <c r="L5" s="28">
        <v>235.19999999999996</v>
      </c>
      <c r="M5" s="28">
        <v>235.19999999999996</v>
      </c>
      <c r="N5" s="28">
        <v>235.19999999999996</v>
      </c>
      <c r="O5" s="28">
        <v>235.19999999999996</v>
      </c>
      <c r="P5" s="28">
        <v>235.19999999999996</v>
      </c>
      <c r="Q5" s="28">
        <v>235.19999999999996</v>
      </c>
      <c r="R5" s="28">
        <v>235.19999999999996</v>
      </c>
      <c r="S5" s="28">
        <v>235.19999999999996</v>
      </c>
      <c r="T5" s="28">
        <v>235.19999999999996</v>
      </c>
      <c r="U5" s="28">
        <v>235.19999999999996</v>
      </c>
      <c r="V5" s="28">
        <v>235.19999999999996</v>
      </c>
      <c r="W5" s="28">
        <v>235.19999999999996</v>
      </c>
      <c r="X5" s="28">
        <v>235.19999999999996</v>
      </c>
      <c r="Y5" s="28">
        <v>235.19999999999996</v>
      </c>
      <c r="Z5" s="28">
        <v>235.19999999999996</v>
      </c>
      <c r="AA5" s="28">
        <v>235.19999999999996</v>
      </c>
      <c r="AB5" s="28">
        <v>235.19999999999996</v>
      </c>
      <c r="AC5" s="28">
        <v>235.19999999999996</v>
      </c>
      <c r="AD5" s="28">
        <v>235.19999999999996</v>
      </c>
      <c r="AE5" s="28">
        <v>235.19999999999996</v>
      </c>
      <c r="AF5" s="28">
        <v>235.19999999999996</v>
      </c>
      <c r="AG5" s="28">
        <v>235.19999999999996</v>
      </c>
      <c r="AH5" s="28">
        <v>235.19999999999996</v>
      </c>
      <c r="AI5" s="28">
        <v>235.19999999999996</v>
      </c>
      <c r="AJ5" s="28">
        <v>235.19999999999996</v>
      </c>
      <c r="AK5" s="28">
        <v>235.19999999999996</v>
      </c>
      <c r="AL5" s="28">
        <v>235.19999999999996</v>
      </c>
      <c r="AM5" s="28">
        <v>235.19999999999996</v>
      </c>
      <c r="AN5" s="28">
        <v>235.19999999999996</v>
      </c>
      <c r="AO5" s="28">
        <v>235.19999999999996</v>
      </c>
      <c r="AP5" s="28">
        <v>235.19999999999996</v>
      </c>
      <c r="AQ5" s="28">
        <v>235.19999999999996</v>
      </c>
      <c r="AR5" s="28">
        <v>235.19999999999996</v>
      </c>
      <c r="AS5" s="28">
        <v>235.19999999999996</v>
      </c>
      <c r="AT5" s="28">
        <v>235.19999999999996</v>
      </c>
      <c r="AU5" s="28">
        <v>235.19999999999996</v>
      </c>
      <c r="AV5" s="28">
        <v>0</v>
      </c>
      <c r="AW5" s="28">
        <v>0</v>
      </c>
      <c r="AX5" s="28">
        <v>0</v>
      </c>
      <c r="AY5" s="28">
        <v>235.19999999999996</v>
      </c>
      <c r="AZ5" s="28">
        <v>235.19999999999996</v>
      </c>
      <c r="BA5" s="28">
        <v>235.19999999999996</v>
      </c>
      <c r="BB5" s="28">
        <v>0</v>
      </c>
      <c r="BC5" s="28">
        <v>0</v>
      </c>
      <c r="BD5" s="28">
        <v>0</v>
      </c>
      <c r="BE5" s="28">
        <v>235.19999999999996</v>
      </c>
      <c r="BF5" s="28">
        <v>235.19999999999996</v>
      </c>
      <c r="BG5" s="28">
        <v>235.19999999999996</v>
      </c>
      <c r="BH5" s="28">
        <v>235.19999999999996</v>
      </c>
      <c r="BI5" s="28">
        <v>235.19999999999996</v>
      </c>
      <c r="BJ5" s="28">
        <v>235.19999999999996</v>
      </c>
      <c r="BK5" s="28">
        <v>235.19999999999996</v>
      </c>
      <c r="BL5" s="28">
        <v>235.19999999999996</v>
      </c>
      <c r="BM5" s="28">
        <v>235.19999999999996</v>
      </c>
      <c r="BN5" s="28">
        <v>235.19999999999996</v>
      </c>
      <c r="BO5" s="28">
        <v>235.19999999999996</v>
      </c>
      <c r="BP5" s="28">
        <v>235.19999999999996</v>
      </c>
      <c r="BQ5" s="28">
        <v>564.28629946523745</v>
      </c>
      <c r="BR5" s="28">
        <v>235.19999999999996</v>
      </c>
      <c r="BS5" s="28">
        <v>235.19999999999996</v>
      </c>
      <c r="BT5" s="28">
        <v>276.80000000000007</v>
      </c>
      <c r="BU5" s="28">
        <v>235.19999999999996</v>
      </c>
      <c r="BV5" s="28">
        <v>235.19999999999996</v>
      </c>
    </row>
    <row r="6" spans="1:74" x14ac:dyDescent="0.3">
      <c r="A6" s="25" t="s">
        <v>8</v>
      </c>
      <c r="B6" s="25" t="s">
        <v>61</v>
      </c>
      <c r="C6" s="28">
        <v>95.999999999999915</v>
      </c>
      <c r="D6" s="28">
        <v>81.239999999999995</v>
      </c>
      <c r="E6" s="28">
        <v>81.239999999999995</v>
      </c>
      <c r="F6" s="28">
        <v>0</v>
      </c>
      <c r="G6" s="28">
        <v>0</v>
      </c>
      <c r="H6" s="28">
        <v>0</v>
      </c>
      <c r="I6" s="28">
        <v>0</v>
      </c>
      <c r="J6" s="28">
        <v>0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8">
        <v>0</v>
      </c>
      <c r="U6" s="28">
        <v>0</v>
      </c>
      <c r="V6" s="28">
        <v>0</v>
      </c>
      <c r="W6" s="28">
        <v>0</v>
      </c>
      <c r="X6" s="28">
        <v>0</v>
      </c>
      <c r="Y6" s="28">
        <v>0</v>
      </c>
      <c r="Z6" s="28">
        <v>0</v>
      </c>
      <c r="AA6" s="28">
        <v>0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0</v>
      </c>
      <c r="AM6" s="28">
        <v>0</v>
      </c>
      <c r="AN6" s="28">
        <v>0</v>
      </c>
      <c r="AO6" s="28">
        <v>0</v>
      </c>
      <c r="AP6" s="28">
        <v>0</v>
      </c>
      <c r="AQ6" s="28">
        <v>0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8">
        <v>0</v>
      </c>
      <c r="BE6" s="28">
        <v>0</v>
      </c>
      <c r="BF6" s="28">
        <v>0</v>
      </c>
      <c r="BG6" s="28">
        <v>0</v>
      </c>
      <c r="BH6" s="28">
        <v>0</v>
      </c>
      <c r="BI6" s="28">
        <v>0</v>
      </c>
      <c r="BJ6" s="28">
        <v>0</v>
      </c>
      <c r="BK6" s="28">
        <v>131.20000000000047</v>
      </c>
      <c r="BL6" s="28">
        <v>81.239999999999995</v>
      </c>
      <c r="BM6" s="28">
        <v>81.239999999999995</v>
      </c>
      <c r="BN6" s="28">
        <v>0</v>
      </c>
      <c r="BO6" s="28">
        <v>0</v>
      </c>
      <c r="BP6" s="28">
        <v>0</v>
      </c>
      <c r="BQ6" s="28">
        <v>0</v>
      </c>
      <c r="BR6" s="28">
        <v>0</v>
      </c>
      <c r="BS6" s="28">
        <v>0</v>
      </c>
      <c r="BT6" s="28">
        <v>0</v>
      </c>
      <c r="BU6" s="28">
        <v>0</v>
      </c>
      <c r="BV6" s="28">
        <v>0</v>
      </c>
    </row>
    <row r="7" spans="1:74" x14ac:dyDescent="0.3">
      <c r="A7" s="25" t="s">
        <v>8</v>
      </c>
      <c r="B7" s="25" t="s">
        <v>103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8">
        <v>0</v>
      </c>
      <c r="J7" s="28">
        <v>0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8">
        <v>0</v>
      </c>
      <c r="U7" s="28">
        <v>0</v>
      </c>
      <c r="V7" s="28">
        <v>0</v>
      </c>
      <c r="W7" s="28">
        <v>0</v>
      </c>
      <c r="X7" s="28">
        <v>0</v>
      </c>
      <c r="Y7" s="28">
        <v>0</v>
      </c>
      <c r="Z7" s="28">
        <v>0</v>
      </c>
      <c r="AA7" s="28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0</v>
      </c>
      <c r="AQ7" s="28">
        <v>0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  <c r="BE7" s="28">
        <v>68.300000000000523</v>
      </c>
      <c r="BF7" s="28">
        <v>60.159999999999989</v>
      </c>
      <c r="BG7" s="28">
        <v>60.159999999999989</v>
      </c>
      <c r="BH7" s="28">
        <v>0</v>
      </c>
      <c r="BI7" s="28">
        <v>0</v>
      </c>
      <c r="BJ7" s="28">
        <v>0</v>
      </c>
      <c r="BK7" s="28">
        <v>0</v>
      </c>
      <c r="BL7" s="28">
        <v>0</v>
      </c>
      <c r="BM7" s="28">
        <v>0</v>
      </c>
      <c r="BN7" s="28">
        <v>0</v>
      </c>
      <c r="BO7" s="28">
        <v>0</v>
      </c>
      <c r="BP7" s="28">
        <v>0</v>
      </c>
      <c r="BQ7" s="28">
        <v>0</v>
      </c>
      <c r="BR7" s="28">
        <v>0</v>
      </c>
      <c r="BS7" s="28">
        <v>0</v>
      </c>
      <c r="BT7" s="28">
        <v>0</v>
      </c>
      <c r="BU7" s="28">
        <v>0</v>
      </c>
      <c r="BV7" s="28">
        <v>0</v>
      </c>
    </row>
    <row r="8" spans="1:74" x14ac:dyDescent="0.3">
      <c r="A8" s="25" t="s">
        <v>8</v>
      </c>
      <c r="B8" s="25" t="s">
        <v>102</v>
      </c>
      <c r="C8" s="28">
        <v>194.4</v>
      </c>
      <c r="D8" s="28">
        <v>162.20399480519475</v>
      </c>
      <c r="E8" s="28">
        <v>77.760000000000005</v>
      </c>
      <c r="F8" s="28">
        <v>194.4</v>
      </c>
      <c r="G8" s="28">
        <v>77.760000000000005</v>
      </c>
      <c r="H8" s="28">
        <v>77.760000000000005</v>
      </c>
      <c r="I8" s="28">
        <v>92.300000000000935</v>
      </c>
      <c r="J8" s="28">
        <v>98.069549575758003</v>
      </c>
      <c r="K8" s="28">
        <v>77.760000000000005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8">
        <v>0</v>
      </c>
      <c r="U8" s="28">
        <v>127.70000000000064</v>
      </c>
      <c r="V8" s="28">
        <v>110.83533834586476</v>
      </c>
      <c r="W8" s="28">
        <v>77.760000000000005</v>
      </c>
      <c r="X8" s="28">
        <v>117.60000000000021</v>
      </c>
      <c r="Y8" s="28">
        <v>77.760000000000005</v>
      </c>
      <c r="Z8" s="28">
        <v>77.760000000000005</v>
      </c>
      <c r="AA8" s="28">
        <v>137.40000000000046</v>
      </c>
      <c r="AB8" s="28">
        <v>174.79999999999967</v>
      </c>
      <c r="AC8" s="28">
        <v>77.760000000000005</v>
      </c>
      <c r="AD8" s="28">
        <v>0</v>
      </c>
      <c r="AE8" s="28">
        <v>0</v>
      </c>
      <c r="AF8" s="28">
        <v>0</v>
      </c>
      <c r="AG8" s="28">
        <v>194.4</v>
      </c>
      <c r="AH8" s="28">
        <v>92.761658627088408</v>
      </c>
      <c r="AI8" s="28">
        <v>77.760000000000005</v>
      </c>
      <c r="AJ8" s="28">
        <v>0</v>
      </c>
      <c r="AK8" s="28">
        <v>0</v>
      </c>
      <c r="AL8" s="28">
        <v>0</v>
      </c>
      <c r="AM8" s="28">
        <v>194.4</v>
      </c>
      <c r="AN8" s="28">
        <v>130.4136363636363</v>
      </c>
      <c r="AO8" s="28">
        <v>77.760000000000005</v>
      </c>
      <c r="AP8" s="28">
        <v>0</v>
      </c>
      <c r="AQ8" s="28">
        <v>0</v>
      </c>
      <c r="AR8" s="28">
        <v>0</v>
      </c>
      <c r="AS8" s="28">
        <v>194.4</v>
      </c>
      <c r="AT8" s="28">
        <v>179.94667005721692</v>
      </c>
      <c r="AU8" s="28">
        <v>77.760000000000005</v>
      </c>
      <c r="AV8" s="28">
        <v>77.760000000000005</v>
      </c>
      <c r="AW8" s="28">
        <v>77.760000000000005</v>
      </c>
      <c r="AX8" s="28">
        <v>77.760000000000005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  <c r="BE8" s="28">
        <v>194.4</v>
      </c>
      <c r="BF8" s="28">
        <v>194.4</v>
      </c>
      <c r="BG8" s="28">
        <v>77.760000000000005</v>
      </c>
      <c r="BH8" s="28">
        <v>117.69999999999997</v>
      </c>
      <c r="BI8" s="28">
        <v>119.69999999999997</v>
      </c>
      <c r="BJ8" s="28">
        <v>77.760000000000005</v>
      </c>
      <c r="BK8" s="28">
        <v>0</v>
      </c>
      <c r="BL8" s="28">
        <v>0</v>
      </c>
      <c r="BM8" s="28">
        <v>0</v>
      </c>
      <c r="BN8" s="28">
        <v>0</v>
      </c>
      <c r="BO8" s="28">
        <v>0</v>
      </c>
      <c r="BP8" s="28">
        <v>0</v>
      </c>
      <c r="BQ8" s="28">
        <v>194.4</v>
      </c>
      <c r="BR8" s="28">
        <v>189.86209625668414</v>
      </c>
      <c r="BS8" s="28">
        <v>77.760000000000005</v>
      </c>
      <c r="BT8" s="28">
        <v>194.4</v>
      </c>
      <c r="BU8" s="28">
        <v>77.760000000000005</v>
      </c>
      <c r="BV8" s="28">
        <v>77.760000000000005</v>
      </c>
    </row>
    <row r="9" spans="1:74" x14ac:dyDescent="0.3">
      <c r="A9" s="25" t="s">
        <v>8</v>
      </c>
      <c r="B9" s="25" t="s">
        <v>62</v>
      </c>
      <c r="C9" s="28">
        <v>500</v>
      </c>
      <c r="D9" s="28">
        <v>500</v>
      </c>
      <c r="E9" s="28">
        <v>500</v>
      </c>
      <c r="F9" s="28">
        <v>500</v>
      </c>
      <c r="G9" s="28">
        <v>500</v>
      </c>
      <c r="H9" s="28">
        <v>500</v>
      </c>
      <c r="I9" s="28">
        <v>500</v>
      </c>
      <c r="J9" s="28">
        <v>500</v>
      </c>
      <c r="K9" s="28">
        <v>500</v>
      </c>
      <c r="L9" s="28">
        <v>500</v>
      </c>
      <c r="M9" s="28">
        <v>500</v>
      </c>
      <c r="N9" s="28">
        <v>500</v>
      </c>
      <c r="O9" s="28">
        <v>500</v>
      </c>
      <c r="P9" s="28">
        <v>500</v>
      </c>
      <c r="Q9" s="28">
        <v>500</v>
      </c>
      <c r="R9" s="28">
        <v>500</v>
      </c>
      <c r="S9" s="28">
        <v>500</v>
      </c>
      <c r="T9" s="28">
        <v>500</v>
      </c>
      <c r="U9" s="28">
        <v>500</v>
      </c>
      <c r="V9" s="28">
        <v>500</v>
      </c>
      <c r="W9" s="28">
        <v>475.83947643979076</v>
      </c>
      <c r="X9" s="28">
        <v>500</v>
      </c>
      <c r="Y9" s="28">
        <v>500</v>
      </c>
      <c r="Z9" s="28">
        <v>475.83947643979076</v>
      </c>
      <c r="AA9" s="28">
        <v>500</v>
      </c>
      <c r="AB9" s="28">
        <v>500</v>
      </c>
      <c r="AC9" s="28">
        <v>500</v>
      </c>
      <c r="AD9" s="28">
        <v>500</v>
      </c>
      <c r="AE9" s="28">
        <v>500</v>
      </c>
      <c r="AF9" s="28">
        <v>500</v>
      </c>
      <c r="AG9" s="28">
        <v>500</v>
      </c>
      <c r="AH9" s="28">
        <v>500</v>
      </c>
      <c r="AI9" s="28">
        <v>500</v>
      </c>
      <c r="AJ9" s="28">
        <v>500</v>
      </c>
      <c r="AK9" s="28">
        <v>500</v>
      </c>
      <c r="AL9" s="28">
        <v>500</v>
      </c>
      <c r="AM9" s="28">
        <v>500</v>
      </c>
      <c r="AN9" s="28">
        <v>500</v>
      </c>
      <c r="AO9" s="28">
        <v>500</v>
      </c>
      <c r="AP9" s="28">
        <v>500</v>
      </c>
      <c r="AQ9" s="28">
        <v>500</v>
      </c>
      <c r="AR9" s="28">
        <v>500</v>
      </c>
      <c r="AS9" s="28">
        <v>500</v>
      </c>
      <c r="AT9" s="28">
        <v>500</v>
      </c>
      <c r="AU9" s="28">
        <v>500</v>
      </c>
      <c r="AV9" s="28">
        <v>500</v>
      </c>
      <c r="AW9" s="28">
        <v>500</v>
      </c>
      <c r="AX9" s="28">
        <v>500</v>
      </c>
      <c r="AY9" s="28">
        <v>500</v>
      </c>
      <c r="AZ9" s="28">
        <v>500</v>
      </c>
      <c r="BA9" s="28">
        <v>500</v>
      </c>
      <c r="BB9" s="28">
        <v>500</v>
      </c>
      <c r="BC9" s="28">
        <v>500</v>
      </c>
      <c r="BD9" s="28">
        <v>500</v>
      </c>
      <c r="BE9" s="28">
        <v>500</v>
      </c>
      <c r="BF9" s="28">
        <v>500</v>
      </c>
      <c r="BG9" s="28">
        <v>448.72300884955757</v>
      </c>
      <c r="BH9" s="28">
        <v>500</v>
      </c>
      <c r="BI9" s="28">
        <v>500</v>
      </c>
      <c r="BJ9" s="28">
        <v>448.72300884955757</v>
      </c>
      <c r="BK9" s="28">
        <v>500</v>
      </c>
      <c r="BL9" s="28">
        <v>500</v>
      </c>
      <c r="BM9" s="28">
        <v>500</v>
      </c>
      <c r="BN9" s="28">
        <v>500</v>
      </c>
      <c r="BO9" s="28">
        <v>500</v>
      </c>
      <c r="BP9" s="28">
        <v>500</v>
      </c>
      <c r="BQ9" s="28">
        <v>500</v>
      </c>
      <c r="BR9" s="28">
        <v>500</v>
      </c>
      <c r="BS9" s="28">
        <v>500</v>
      </c>
      <c r="BT9" s="28">
        <v>500</v>
      </c>
      <c r="BU9" s="28">
        <v>500</v>
      </c>
      <c r="BV9" s="28">
        <v>462.79102040816355</v>
      </c>
    </row>
    <row r="10" spans="1:74" x14ac:dyDescent="0.3">
      <c r="A10" s="25" t="s">
        <v>8</v>
      </c>
      <c r="B10" s="25" t="s">
        <v>63</v>
      </c>
      <c r="C10" s="28">
        <v>500</v>
      </c>
      <c r="D10" s="28">
        <v>500</v>
      </c>
      <c r="E10" s="28">
        <v>204.40272727272736</v>
      </c>
      <c r="F10" s="28">
        <v>500</v>
      </c>
      <c r="G10" s="28">
        <v>500</v>
      </c>
      <c r="H10" s="28">
        <v>100</v>
      </c>
      <c r="I10" s="28">
        <v>500</v>
      </c>
      <c r="J10" s="28">
        <v>500</v>
      </c>
      <c r="K10" s="28">
        <v>205.55304347826049</v>
      </c>
      <c r="L10" s="28">
        <v>500</v>
      </c>
      <c r="M10" s="28">
        <v>500</v>
      </c>
      <c r="N10" s="28">
        <v>141.81304347826048</v>
      </c>
      <c r="O10" s="28">
        <v>500</v>
      </c>
      <c r="P10" s="28">
        <v>500</v>
      </c>
      <c r="Q10" s="28">
        <v>200.7222222222228</v>
      </c>
      <c r="R10" s="28">
        <v>500</v>
      </c>
      <c r="S10" s="28">
        <v>500</v>
      </c>
      <c r="T10" s="28">
        <v>100</v>
      </c>
      <c r="U10" s="28">
        <v>500</v>
      </c>
      <c r="V10" s="28">
        <v>500</v>
      </c>
      <c r="W10" s="28">
        <v>100</v>
      </c>
      <c r="X10" s="28">
        <v>0</v>
      </c>
      <c r="Y10" s="28">
        <v>0</v>
      </c>
      <c r="Z10" s="28">
        <v>0</v>
      </c>
      <c r="AA10" s="28">
        <v>500</v>
      </c>
      <c r="AB10" s="28">
        <v>500</v>
      </c>
      <c r="AC10" s="28">
        <v>139.33999999999986</v>
      </c>
      <c r="AD10" s="28">
        <v>0</v>
      </c>
      <c r="AE10" s="28">
        <v>0</v>
      </c>
      <c r="AF10" s="28">
        <v>0</v>
      </c>
      <c r="AG10" s="28">
        <v>500</v>
      </c>
      <c r="AH10" s="28">
        <v>500</v>
      </c>
      <c r="AI10" s="28">
        <v>224.54000000000002</v>
      </c>
      <c r="AJ10" s="28">
        <v>500</v>
      </c>
      <c r="AK10" s="28">
        <v>500</v>
      </c>
      <c r="AL10" s="28">
        <v>138.09999999999994</v>
      </c>
      <c r="AM10" s="28">
        <v>500</v>
      </c>
      <c r="AN10" s="28">
        <v>500</v>
      </c>
      <c r="AO10" s="28">
        <v>337.64000000000016</v>
      </c>
      <c r="AP10" s="28">
        <v>500</v>
      </c>
      <c r="AQ10" s="28">
        <v>500</v>
      </c>
      <c r="AR10" s="28">
        <v>225.00000000000037</v>
      </c>
      <c r="AS10" s="28">
        <v>500</v>
      </c>
      <c r="AT10" s="28">
        <v>500</v>
      </c>
      <c r="AU10" s="28">
        <v>231.1399999999999</v>
      </c>
      <c r="AV10" s="28">
        <v>500</v>
      </c>
      <c r="AW10" s="28">
        <v>500</v>
      </c>
      <c r="AX10" s="28">
        <v>231.1399999999999</v>
      </c>
      <c r="AY10" s="28">
        <v>500</v>
      </c>
      <c r="AZ10" s="28">
        <v>500</v>
      </c>
      <c r="BA10" s="28">
        <v>336.5545454545454</v>
      </c>
      <c r="BB10" s="28">
        <v>500</v>
      </c>
      <c r="BC10" s="28">
        <v>500</v>
      </c>
      <c r="BD10" s="28">
        <v>336.5545454545454</v>
      </c>
      <c r="BE10" s="28">
        <v>500</v>
      </c>
      <c r="BF10" s="28">
        <v>500</v>
      </c>
      <c r="BG10" s="28">
        <v>100</v>
      </c>
      <c r="BH10" s="28">
        <v>0</v>
      </c>
      <c r="BI10" s="28">
        <v>0</v>
      </c>
      <c r="BJ10" s="28">
        <v>0</v>
      </c>
      <c r="BK10" s="28">
        <v>500</v>
      </c>
      <c r="BL10" s="28">
        <v>500</v>
      </c>
      <c r="BM10" s="28">
        <v>193.78653061224483</v>
      </c>
      <c r="BN10" s="28">
        <v>500</v>
      </c>
      <c r="BO10" s="28">
        <v>500</v>
      </c>
      <c r="BP10" s="28">
        <v>100</v>
      </c>
      <c r="BQ10" s="28">
        <v>500</v>
      </c>
      <c r="BR10" s="28">
        <v>500</v>
      </c>
      <c r="BS10" s="28">
        <v>311.34000000000037</v>
      </c>
      <c r="BT10" s="28">
        <v>500</v>
      </c>
      <c r="BU10" s="28">
        <v>500</v>
      </c>
      <c r="BV10" s="28">
        <v>100</v>
      </c>
    </row>
    <row r="11" spans="1:74" x14ac:dyDescent="0.3">
      <c r="A11" s="25" t="s">
        <v>8</v>
      </c>
      <c r="B11" s="25" t="s">
        <v>64</v>
      </c>
      <c r="C11" s="28">
        <v>500</v>
      </c>
      <c r="D11" s="28">
        <v>500</v>
      </c>
      <c r="E11" s="28">
        <v>100</v>
      </c>
      <c r="F11" s="28">
        <v>0</v>
      </c>
      <c r="G11" s="28">
        <v>0</v>
      </c>
      <c r="H11" s="28">
        <v>0</v>
      </c>
      <c r="I11" s="28">
        <v>500</v>
      </c>
      <c r="J11" s="28">
        <v>500</v>
      </c>
      <c r="K11" s="28">
        <v>100</v>
      </c>
      <c r="L11" s="28">
        <v>0</v>
      </c>
      <c r="M11" s="28">
        <v>0</v>
      </c>
      <c r="N11" s="28">
        <v>0</v>
      </c>
      <c r="O11" s="28">
        <v>500</v>
      </c>
      <c r="P11" s="28">
        <v>500</v>
      </c>
      <c r="Q11" s="28">
        <v>100</v>
      </c>
      <c r="R11" s="28">
        <v>0</v>
      </c>
      <c r="S11" s="28">
        <v>0</v>
      </c>
      <c r="T11" s="28">
        <v>0</v>
      </c>
      <c r="U11" s="28">
        <v>0</v>
      </c>
      <c r="V11" s="28">
        <v>0</v>
      </c>
      <c r="W11" s="28">
        <v>0</v>
      </c>
      <c r="X11" s="28">
        <v>0</v>
      </c>
      <c r="Y11" s="28">
        <v>0</v>
      </c>
      <c r="Z11" s="28">
        <v>0</v>
      </c>
      <c r="AA11" s="28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500</v>
      </c>
      <c r="AH11" s="28">
        <v>500</v>
      </c>
      <c r="AI11" s="28">
        <v>100</v>
      </c>
      <c r="AJ11" s="28">
        <v>0</v>
      </c>
      <c r="AK11" s="28">
        <v>0</v>
      </c>
      <c r="AL11" s="28">
        <v>0</v>
      </c>
      <c r="AM11" s="28">
        <v>500</v>
      </c>
      <c r="AN11" s="28">
        <v>500</v>
      </c>
      <c r="AO11" s="28">
        <v>100</v>
      </c>
      <c r="AP11" s="28">
        <v>0</v>
      </c>
      <c r="AQ11" s="28">
        <v>0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>
        <v>0</v>
      </c>
      <c r="AX11" s="28">
        <v>0</v>
      </c>
      <c r="AY11" s="28">
        <v>500</v>
      </c>
      <c r="AZ11" s="28">
        <v>500</v>
      </c>
      <c r="BA11" s="28">
        <v>100</v>
      </c>
      <c r="BB11" s="28">
        <v>0</v>
      </c>
      <c r="BC11" s="28">
        <v>0</v>
      </c>
      <c r="BD11" s="28">
        <v>0</v>
      </c>
      <c r="BE11" s="28">
        <v>0</v>
      </c>
      <c r="BF11" s="28">
        <v>0</v>
      </c>
      <c r="BG11" s="28">
        <v>0</v>
      </c>
      <c r="BH11" s="28">
        <v>0</v>
      </c>
      <c r="BI11" s="28">
        <v>0</v>
      </c>
      <c r="BJ11" s="28">
        <v>0</v>
      </c>
      <c r="BK11" s="28">
        <v>500</v>
      </c>
      <c r="BL11" s="28">
        <v>500</v>
      </c>
      <c r="BM11" s="28">
        <v>100</v>
      </c>
      <c r="BN11" s="28">
        <v>0</v>
      </c>
      <c r="BO11" s="28">
        <v>0</v>
      </c>
      <c r="BP11" s="28">
        <v>0</v>
      </c>
      <c r="BQ11" s="28">
        <v>500</v>
      </c>
      <c r="BR11" s="28">
        <v>500</v>
      </c>
      <c r="BS11" s="28">
        <v>100</v>
      </c>
      <c r="BT11" s="28">
        <v>0</v>
      </c>
      <c r="BU11" s="28">
        <v>0</v>
      </c>
      <c r="BV11" s="28">
        <v>0</v>
      </c>
    </row>
    <row r="12" spans="1:74" x14ac:dyDescent="0.3">
      <c r="A12" s="25" t="s">
        <v>8</v>
      </c>
      <c r="B12" s="25" t="s">
        <v>65</v>
      </c>
      <c r="C12" s="28">
        <v>667.5</v>
      </c>
      <c r="D12" s="28">
        <v>667.5</v>
      </c>
      <c r="E12" s="28">
        <v>667.5</v>
      </c>
      <c r="F12" s="28">
        <v>667.5</v>
      </c>
      <c r="G12" s="28">
        <v>667.5</v>
      </c>
      <c r="H12" s="28">
        <v>667.5</v>
      </c>
      <c r="I12" s="28">
        <v>667.5</v>
      </c>
      <c r="J12" s="28">
        <v>667.5</v>
      </c>
      <c r="K12" s="28">
        <v>667.5</v>
      </c>
      <c r="L12" s="28">
        <v>667.5</v>
      </c>
      <c r="M12" s="28">
        <v>667.5</v>
      </c>
      <c r="N12" s="28">
        <v>667.5</v>
      </c>
      <c r="O12" s="28">
        <v>667.5</v>
      </c>
      <c r="P12" s="28">
        <v>667.5</v>
      </c>
      <c r="Q12" s="28">
        <v>667.5</v>
      </c>
      <c r="R12" s="28">
        <v>667.5</v>
      </c>
      <c r="S12" s="28">
        <v>667.5</v>
      </c>
      <c r="T12" s="28">
        <v>667.5</v>
      </c>
      <c r="U12" s="28">
        <v>667.5</v>
      </c>
      <c r="V12" s="28">
        <v>667.5</v>
      </c>
      <c r="W12" s="28">
        <v>667.5</v>
      </c>
      <c r="X12" s="28">
        <v>667.5</v>
      </c>
      <c r="Y12" s="28">
        <v>667.5</v>
      </c>
      <c r="Z12" s="28">
        <v>667.5</v>
      </c>
      <c r="AA12" s="28">
        <v>667.5</v>
      </c>
      <c r="AB12" s="28">
        <v>667.5</v>
      </c>
      <c r="AC12" s="28">
        <v>667.5</v>
      </c>
      <c r="AD12" s="28">
        <v>667.5</v>
      </c>
      <c r="AE12" s="28">
        <v>667.5</v>
      </c>
      <c r="AF12" s="28">
        <v>667.5</v>
      </c>
      <c r="AG12" s="28">
        <v>667.5</v>
      </c>
      <c r="AH12" s="28">
        <v>667.5</v>
      </c>
      <c r="AI12" s="28">
        <v>667.5</v>
      </c>
      <c r="AJ12" s="28">
        <v>667.5</v>
      </c>
      <c r="AK12" s="28">
        <v>667.5</v>
      </c>
      <c r="AL12" s="28">
        <v>667.5</v>
      </c>
      <c r="AM12" s="28">
        <v>667.5</v>
      </c>
      <c r="AN12" s="28">
        <v>667.5</v>
      </c>
      <c r="AO12" s="28">
        <v>667.5</v>
      </c>
      <c r="AP12" s="28">
        <v>667.5</v>
      </c>
      <c r="AQ12" s="28">
        <v>667.5</v>
      </c>
      <c r="AR12" s="28">
        <v>667.5</v>
      </c>
      <c r="AS12" s="28">
        <v>667.5</v>
      </c>
      <c r="AT12" s="28">
        <v>667.5</v>
      </c>
      <c r="AU12" s="28">
        <v>667.5</v>
      </c>
      <c r="AV12" s="28">
        <v>667.5</v>
      </c>
      <c r="AW12" s="28">
        <v>667.5</v>
      </c>
      <c r="AX12" s="28">
        <v>667.5</v>
      </c>
      <c r="AY12" s="28">
        <v>667.5</v>
      </c>
      <c r="AZ12" s="28">
        <v>667.5</v>
      </c>
      <c r="BA12" s="28">
        <v>667.5</v>
      </c>
      <c r="BB12" s="28">
        <v>667.5</v>
      </c>
      <c r="BC12" s="28">
        <v>667.5</v>
      </c>
      <c r="BD12" s="28">
        <v>667.5</v>
      </c>
      <c r="BE12" s="28">
        <v>667.5</v>
      </c>
      <c r="BF12" s="28">
        <v>667.5</v>
      </c>
      <c r="BG12" s="28">
        <v>667.5</v>
      </c>
      <c r="BH12" s="28">
        <v>667.5</v>
      </c>
      <c r="BI12" s="28">
        <v>667.5</v>
      </c>
      <c r="BJ12" s="28">
        <v>667.5</v>
      </c>
      <c r="BK12" s="28">
        <v>667.5</v>
      </c>
      <c r="BL12" s="28">
        <v>667.5</v>
      </c>
      <c r="BM12" s="28">
        <v>667.5</v>
      </c>
      <c r="BN12" s="28">
        <v>667.5</v>
      </c>
      <c r="BO12" s="28">
        <v>667.5</v>
      </c>
      <c r="BP12" s="28">
        <v>667.5</v>
      </c>
      <c r="BQ12" s="28">
        <v>667.5</v>
      </c>
      <c r="BR12" s="28">
        <v>667.5</v>
      </c>
      <c r="BS12" s="28">
        <v>667.5</v>
      </c>
      <c r="BT12" s="28">
        <v>667.5</v>
      </c>
      <c r="BU12" s="28">
        <v>667.5</v>
      </c>
      <c r="BV12" s="28">
        <v>667.5</v>
      </c>
    </row>
    <row r="13" spans="1:74" x14ac:dyDescent="0.3">
      <c r="A13" s="25" t="s">
        <v>8</v>
      </c>
      <c r="B13" s="25" t="s">
        <v>66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28">
        <v>0</v>
      </c>
      <c r="AA13" s="28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  <c r="AL13" s="28">
        <v>0</v>
      </c>
      <c r="AM13" s="28">
        <v>0</v>
      </c>
      <c r="AN13" s="28">
        <v>0</v>
      </c>
      <c r="AO13" s="28">
        <v>0</v>
      </c>
      <c r="AP13" s="28">
        <v>0</v>
      </c>
      <c r="AQ13" s="28">
        <v>0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>
        <v>0</v>
      </c>
      <c r="AX13" s="28">
        <v>0</v>
      </c>
      <c r="AY13" s="28">
        <v>0</v>
      </c>
      <c r="AZ13" s="28">
        <v>0</v>
      </c>
      <c r="BA13" s="28">
        <v>0</v>
      </c>
      <c r="BB13" s="28">
        <v>0</v>
      </c>
      <c r="BC13" s="28">
        <v>0</v>
      </c>
      <c r="BD13" s="28">
        <v>0</v>
      </c>
      <c r="BE13" s="28">
        <v>0</v>
      </c>
      <c r="BF13" s="28">
        <v>0</v>
      </c>
      <c r="BG13" s="28">
        <v>0</v>
      </c>
      <c r="BH13" s="28">
        <v>0</v>
      </c>
      <c r="BI13" s="28">
        <v>0</v>
      </c>
      <c r="BJ13" s="28">
        <v>0</v>
      </c>
      <c r="BK13" s="28">
        <v>0</v>
      </c>
      <c r="BL13" s="28">
        <v>0</v>
      </c>
      <c r="BM13" s="28">
        <v>0</v>
      </c>
      <c r="BN13" s="28">
        <v>0</v>
      </c>
      <c r="BO13" s="28">
        <v>0</v>
      </c>
      <c r="BP13" s="28">
        <v>0</v>
      </c>
      <c r="BQ13" s="28">
        <v>0</v>
      </c>
      <c r="BR13" s="28">
        <v>0</v>
      </c>
      <c r="BS13" s="28">
        <v>0</v>
      </c>
      <c r="BT13" s="28">
        <v>0</v>
      </c>
      <c r="BU13" s="28">
        <v>0</v>
      </c>
      <c r="BV13" s="28">
        <v>0</v>
      </c>
    </row>
    <row r="14" spans="1:74" x14ac:dyDescent="0.3">
      <c r="A14" s="25" t="s">
        <v>8</v>
      </c>
      <c r="B14" s="25" t="s">
        <v>67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>
        <v>0</v>
      </c>
      <c r="J14" s="28">
        <v>0</v>
      </c>
      <c r="K14" s="28">
        <v>0</v>
      </c>
      <c r="L14" s="28">
        <v>0</v>
      </c>
      <c r="M14" s="28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0</v>
      </c>
      <c r="U14" s="28">
        <v>0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  <c r="AL14" s="28">
        <v>0</v>
      </c>
      <c r="AM14" s="28">
        <v>0</v>
      </c>
      <c r="AN14" s="28">
        <v>0</v>
      </c>
      <c r="AO14" s="28">
        <v>0</v>
      </c>
      <c r="AP14" s="28">
        <v>0</v>
      </c>
      <c r="AQ14" s="28">
        <v>0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>
        <v>0</v>
      </c>
      <c r="AX14" s="28">
        <v>0</v>
      </c>
      <c r="AY14" s="28">
        <v>0</v>
      </c>
      <c r="AZ14" s="28">
        <v>0</v>
      </c>
      <c r="BA14" s="28">
        <v>0</v>
      </c>
      <c r="BB14" s="28">
        <v>0</v>
      </c>
      <c r="BC14" s="28">
        <v>0</v>
      </c>
      <c r="BD14" s="28">
        <v>0</v>
      </c>
      <c r="BE14" s="28">
        <v>0</v>
      </c>
      <c r="BF14" s="28">
        <v>0</v>
      </c>
      <c r="BG14" s="28">
        <v>0</v>
      </c>
      <c r="BH14" s="28">
        <v>0</v>
      </c>
      <c r="BI14" s="28">
        <v>0</v>
      </c>
      <c r="BJ14" s="28">
        <v>0</v>
      </c>
      <c r="BK14" s="28">
        <v>0</v>
      </c>
      <c r="BL14" s="28">
        <v>0</v>
      </c>
      <c r="BM14" s="28">
        <v>0</v>
      </c>
      <c r="BN14" s="28">
        <v>0</v>
      </c>
      <c r="BO14" s="28">
        <v>0</v>
      </c>
      <c r="BP14" s="28">
        <v>0</v>
      </c>
      <c r="BQ14" s="28">
        <v>0</v>
      </c>
      <c r="BR14" s="28">
        <v>0</v>
      </c>
      <c r="BS14" s="28">
        <v>0</v>
      </c>
      <c r="BT14" s="28">
        <v>0</v>
      </c>
      <c r="BU14" s="28">
        <v>0</v>
      </c>
      <c r="BV14" s="28">
        <v>0</v>
      </c>
    </row>
    <row r="15" spans="1:74" x14ac:dyDescent="0.3">
      <c r="A15" s="25" t="s">
        <v>8</v>
      </c>
      <c r="B15" s="25" t="s">
        <v>68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>
        <v>0</v>
      </c>
      <c r="J15" s="28">
        <v>0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  <c r="AL15" s="28">
        <v>0</v>
      </c>
      <c r="AM15" s="28">
        <v>0</v>
      </c>
      <c r="AN15" s="28">
        <v>0</v>
      </c>
      <c r="AO15" s="28">
        <v>0</v>
      </c>
      <c r="AP15" s="28">
        <v>0</v>
      </c>
      <c r="AQ15" s="28">
        <v>0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>
        <v>0</v>
      </c>
      <c r="AX15" s="28">
        <v>0</v>
      </c>
      <c r="AY15" s="28">
        <v>0</v>
      </c>
      <c r="AZ15" s="28">
        <v>0</v>
      </c>
      <c r="BA15" s="28">
        <v>0</v>
      </c>
      <c r="BB15" s="28">
        <v>0</v>
      </c>
      <c r="BC15" s="28">
        <v>0</v>
      </c>
      <c r="BD15" s="28">
        <v>0</v>
      </c>
      <c r="BE15" s="28">
        <v>0</v>
      </c>
      <c r="BF15" s="28">
        <v>0</v>
      </c>
      <c r="BG15" s="28">
        <v>0</v>
      </c>
      <c r="BH15" s="28">
        <v>0</v>
      </c>
      <c r="BI15" s="28">
        <v>0</v>
      </c>
      <c r="BJ15" s="28">
        <v>0</v>
      </c>
      <c r="BK15" s="28">
        <v>0</v>
      </c>
      <c r="BL15" s="28">
        <v>0</v>
      </c>
      <c r="BM15" s="28">
        <v>0</v>
      </c>
      <c r="BN15" s="28">
        <v>0</v>
      </c>
      <c r="BO15" s="28">
        <v>0</v>
      </c>
      <c r="BP15" s="28">
        <v>0</v>
      </c>
      <c r="BQ15" s="28">
        <v>0</v>
      </c>
      <c r="BR15" s="28">
        <v>0</v>
      </c>
      <c r="BS15" s="28">
        <v>0</v>
      </c>
      <c r="BT15" s="28">
        <v>0</v>
      </c>
      <c r="BU15" s="28">
        <v>0</v>
      </c>
      <c r="BV15" s="28">
        <v>0</v>
      </c>
    </row>
    <row r="16" spans="1:74" x14ac:dyDescent="0.3">
      <c r="A16" s="25" t="s">
        <v>8</v>
      </c>
      <c r="B16" s="25" t="s">
        <v>69</v>
      </c>
      <c r="C16" s="28">
        <v>0</v>
      </c>
      <c r="D16" s="28">
        <v>0</v>
      </c>
      <c r="E16" s="28">
        <v>0</v>
      </c>
      <c r="F16" s="28">
        <v>0</v>
      </c>
      <c r="G16" s="28">
        <v>0</v>
      </c>
      <c r="H16" s="28">
        <v>0</v>
      </c>
      <c r="I16" s="28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U16" s="28">
        <v>0</v>
      </c>
      <c r="V16" s="28">
        <v>0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  <c r="AL16" s="28">
        <v>0</v>
      </c>
      <c r="AM16" s="28">
        <v>0</v>
      </c>
      <c r="AN16" s="28">
        <v>0</v>
      </c>
      <c r="AO16" s="28">
        <v>0</v>
      </c>
      <c r="AP16" s="28">
        <v>0</v>
      </c>
      <c r="AQ16" s="28">
        <v>0</v>
      </c>
      <c r="AR16" s="28">
        <v>0</v>
      </c>
      <c r="AS16" s="28">
        <v>0</v>
      </c>
      <c r="AT16" s="28">
        <v>0</v>
      </c>
      <c r="AU16" s="28">
        <v>0</v>
      </c>
      <c r="AV16" s="28">
        <v>0</v>
      </c>
      <c r="AW16" s="28">
        <v>0</v>
      </c>
      <c r="AX16" s="28">
        <v>0</v>
      </c>
      <c r="AY16" s="28">
        <v>0</v>
      </c>
      <c r="AZ16" s="28">
        <v>0</v>
      </c>
      <c r="BA16" s="28">
        <v>0</v>
      </c>
      <c r="BB16" s="28">
        <v>0</v>
      </c>
      <c r="BC16" s="28">
        <v>0</v>
      </c>
      <c r="BD16" s="28">
        <v>0</v>
      </c>
      <c r="BE16" s="28">
        <v>0</v>
      </c>
      <c r="BF16" s="28">
        <v>0</v>
      </c>
      <c r="BG16" s="28">
        <v>0</v>
      </c>
      <c r="BH16" s="28">
        <v>0</v>
      </c>
      <c r="BI16" s="28">
        <v>0</v>
      </c>
      <c r="BJ16" s="28">
        <v>0</v>
      </c>
      <c r="BK16" s="28">
        <v>0</v>
      </c>
      <c r="BL16" s="28">
        <v>0</v>
      </c>
      <c r="BM16" s="28">
        <v>0</v>
      </c>
      <c r="BN16" s="28">
        <v>0</v>
      </c>
      <c r="BO16" s="28">
        <v>0</v>
      </c>
      <c r="BP16" s="28">
        <v>0</v>
      </c>
      <c r="BQ16" s="28">
        <v>0</v>
      </c>
      <c r="BR16" s="28">
        <v>0</v>
      </c>
      <c r="BS16" s="28">
        <v>0</v>
      </c>
      <c r="BT16" s="28">
        <v>0</v>
      </c>
      <c r="BU16" s="28">
        <v>0</v>
      </c>
      <c r="BV16" s="28">
        <v>0</v>
      </c>
    </row>
    <row r="17" spans="1:74" x14ac:dyDescent="0.3">
      <c r="A17" s="25" t="s">
        <v>8</v>
      </c>
      <c r="B17" s="25" t="s">
        <v>27</v>
      </c>
      <c r="C17" s="28">
        <v>150</v>
      </c>
      <c r="D17" s="28">
        <v>150</v>
      </c>
      <c r="E17" s="28">
        <v>149.99727272727273</v>
      </c>
      <c r="F17" s="28">
        <v>150</v>
      </c>
      <c r="G17" s="28">
        <v>150</v>
      </c>
      <c r="H17" s="28">
        <v>67.340000000000117</v>
      </c>
      <c r="I17" s="28">
        <v>150</v>
      </c>
      <c r="J17" s="28">
        <v>150</v>
      </c>
      <c r="K17" s="28">
        <v>128.08695652173921</v>
      </c>
      <c r="L17" s="28">
        <v>150</v>
      </c>
      <c r="M17" s="28">
        <v>150</v>
      </c>
      <c r="N17" s="28">
        <v>128.08695652173921</v>
      </c>
      <c r="O17" s="28">
        <v>150</v>
      </c>
      <c r="P17" s="28">
        <v>150</v>
      </c>
      <c r="Q17" s="28">
        <v>147.77777777777791</v>
      </c>
      <c r="R17" s="28">
        <v>150</v>
      </c>
      <c r="S17" s="28">
        <v>150</v>
      </c>
      <c r="T17" s="28">
        <v>97.7</v>
      </c>
      <c r="U17" s="28">
        <v>150</v>
      </c>
      <c r="V17" s="28">
        <v>150</v>
      </c>
      <c r="W17" s="28">
        <v>94.400523560209322</v>
      </c>
      <c r="X17" s="28">
        <v>150</v>
      </c>
      <c r="Y17" s="28">
        <v>150</v>
      </c>
      <c r="Z17" s="28">
        <v>7.9005235602096491</v>
      </c>
      <c r="AA17" s="28">
        <v>150</v>
      </c>
      <c r="AB17" s="28">
        <v>148.47529411764702</v>
      </c>
      <c r="AC17" s="28">
        <v>0</v>
      </c>
      <c r="AD17" s="28">
        <v>150</v>
      </c>
      <c r="AE17" s="28">
        <v>148.47529411764702</v>
      </c>
      <c r="AF17" s="28">
        <v>0</v>
      </c>
      <c r="AG17" s="28">
        <v>150</v>
      </c>
      <c r="AH17" s="28">
        <v>119.69387755102044</v>
      </c>
      <c r="AI17" s="28">
        <v>0</v>
      </c>
      <c r="AJ17" s="28">
        <v>150</v>
      </c>
      <c r="AK17" s="28">
        <v>0</v>
      </c>
      <c r="AL17" s="28">
        <v>0</v>
      </c>
      <c r="AM17" s="28">
        <v>150</v>
      </c>
      <c r="AN17" s="28">
        <v>114.18636363636368</v>
      </c>
      <c r="AO17" s="28">
        <v>0</v>
      </c>
      <c r="AP17" s="28">
        <v>150</v>
      </c>
      <c r="AQ17" s="28">
        <v>22.799999999999933</v>
      </c>
      <c r="AR17" s="28">
        <v>0</v>
      </c>
      <c r="AS17" s="28">
        <v>150</v>
      </c>
      <c r="AT17" s="28">
        <v>126.986013986014</v>
      </c>
      <c r="AU17" s="28">
        <v>0</v>
      </c>
      <c r="AV17" s="28">
        <v>150</v>
      </c>
      <c r="AW17" s="28">
        <v>0</v>
      </c>
      <c r="AX17" s="28">
        <v>0</v>
      </c>
      <c r="AY17" s="28">
        <v>150</v>
      </c>
      <c r="AZ17" s="28">
        <v>150</v>
      </c>
      <c r="BA17" s="28">
        <v>12.545454545454536</v>
      </c>
      <c r="BB17" s="28">
        <v>150</v>
      </c>
      <c r="BC17" s="28">
        <v>150</v>
      </c>
      <c r="BD17" s="28">
        <v>12.545454545454536</v>
      </c>
      <c r="BE17" s="28">
        <v>150</v>
      </c>
      <c r="BF17" s="28">
        <v>150</v>
      </c>
      <c r="BG17" s="28">
        <v>84.256991150442445</v>
      </c>
      <c r="BH17" s="28">
        <v>150</v>
      </c>
      <c r="BI17" s="28">
        <v>150</v>
      </c>
      <c r="BJ17" s="28">
        <v>42.616991150442431</v>
      </c>
      <c r="BK17" s="28">
        <v>150</v>
      </c>
      <c r="BL17" s="28">
        <v>150</v>
      </c>
      <c r="BM17" s="28">
        <v>139.27346938775528</v>
      </c>
      <c r="BN17" s="28">
        <v>150</v>
      </c>
      <c r="BO17" s="28">
        <v>150</v>
      </c>
      <c r="BP17" s="28">
        <v>111.89999999999978</v>
      </c>
      <c r="BQ17" s="28">
        <v>150</v>
      </c>
      <c r="BR17" s="28">
        <v>150</v>
      </c>
      <c r="BS17" s="28">
        <v>150</v>
      </c>
      <c r="BT17" s="28">
        <v>150</v>
      </c>
      <c r="BU17" s="28">
        <v>150</v>
      </c>
      <c r="BV17" s="28">
        <v>104.44897959183683</v>
      </c>
    </row>
    <row r="18" spans="1:74" x14ac:dyDescent="0.3">
      <c r="A18" s="25" t="s">
        <v>8</v>
      </c>
      <c r="B18" s="25" t="s">
        <v>95</v>
      </c>
      <c r="C18" s="28">
        <v>200</v>
      </c>
      <c r="D18" s="28">
        <v>15.456005194804993</v>
      </c>
      <c r="E18" s="28">
        <v>0</v>
      </c>
      <c r="F18" s="28">
        <v>200</v>
      </c>
      <c r="G18" s="28">
        <v>0</v>
      </c>
      <c r="H18" s="28">
        <v>0</v>
      </c>
      <c r="I18" s="28">
        <v>200</v>
      </c>
      <c r="J18" s="28">
        <v>50.259636742874207</v>
      </c>
      <c r="K18" s="28">
        <v>0</v>
      </c>
      <c r="L18" s="28">
        <v>200</v>
      </c>
      <c r="M18" s="28">
        <v>19.429186318632478</v>
      </c>
      <c r="N18" s="28">
        <v>0</v>
      </c>
      <c r="O18" s="28">
        <v>200</v>
      </c>
      <c r="P18" s="28">
        <v>0</v>
      </c>
      <c r="Q18" s="28">
        <v>0</v>
      </c>
      <c r="R18" s="28">
        <v>200</v>
      </c>
      <c r="S18" s="28">
        <v>0</v>
      </c>
      <c r="T18" s="28">
        <v>0</v>
      </c>
      <c r="U18" s="28">
        <v>200</v>
      </c>
      <c r="V18" s="28">
        <v>112.46466165413536</v>
      </c>
      <c r="W18" s="28">
        <v>0</v>
      </c>
      <c r="X18" s="28">
        <v>200</v>
      </c>
      <c r="Y18" s="28">
        <v>48.439999999999927</v>
      </c>
      <c r="Z18" s="28">
        <v>0</v>
      </c>
      <c r="AA18" s="28">
        <v>200</v>
      </c>
      <c r="AB18" s="28">
        <v>45.22470588235322</v>
      </c>
      <c r="AC18" s="28">
        <v>0</v>
      </c>
      <c r="AD18" s="28">
        <v>200</v>
      </c>
      <c r="AE18" s="28">
        <v>45.22470588235322</v>
      </c>
      <c r="AF18" s="28">
        <v>0</v>
      </c>
      <c r="AG18" s="28">
        <v>47.135186147187483</v>
      </c>
      <c r="AH18" s="28">
        <v>0</v>
      </c>
      <c r="AI18" s="28">
        <v>0</v>
      </c>
      <c r="AJ18" s="28">
        <v>0</v>
      </c>
      <c r="AK18" s="28">
        <v>0</v>
      </c>
      <c r="AL18" s="28">
        <v>0</v>
      </c>
      <c r="AM18" s="28">
        <v>200</v>
      </c>
      <c r="AN18" s="28">
        <v>0</v>
      </c>
      <c r="AO18" s="28">
        <v>0</v>
      </c>
      <c r="AP18" s="28">
        <v>188.60000000000016</v>
      </c>
      <c r="AQ18" s="28">
        <v>0</v>
      </c>
      <c r="AR18" s="28">
        <v>0</v>
      </c>
      <c r="AS18" s="28">
        <v>200</v>
      </c>
      <c r="AT18" s="28">
        <v>111.26731595676959</v>
      </c>
      <c r="AU18" s="28">
        <v>0</v>
      </c>
      <c r="AV18" s="28">
        <v>170.94000000000059</v>
      </c>
      <c r="AW18" s="28">
        <v>0</v>
      </c>
      <c r="AX18" s="28">
        <v>0</v>
      </c>
      <c r="AY18" s="28">
        <v>200</v>
      </c>
      <c r="AZ18" s="28">
        <v>0</v>
      </c>
      <c r="BA18" s="28">
        <v>0</v>
      </c>
      <c r="BB18" s="28">
        <v>200</v>
      </c>
      <c r="BC18" s="28">
        <v>0</v>
      </c>
      <c r="BD18" s="28">
        <v>0</v>
      </c>
      <c r="BE18" s="28">
        <v>200</v>
      </c>
      <c r="BF18" s="28">
        <v>78.239999999999924</v>
      </c>
      <c r="BG18" s="28">
        <v>0</v>
      </c>
      <c r="BH18" s="28">
        <v>200</v>
      </c>
      <c r="BI18" s="28">
        <v>0</v>
      </c>
      <c r="BJ18" s="28">
        <v>0</v>
      </c>
      <c r="BK18" s="28">
        <v>200</v>
      </c>
      <c r="BL18" s="28">
        <v>78.405367965367887</v>
      </c>
      <c r="BM18" s="28">
        <v>0</v>
      </c>
      <c r="BN18" s="28">
        <v>200</v>
      </c>
      <c r="BO18" s="28">
        <v>0</v>
      </c>
      <c r="BP18" s="28">
        <v>0</v>
      </c>
      <c r="BQ18" s="28">
        <v>200</v>
      </c>
      <c r="BR18" s="28">
        <v>91.137903743315647</v>
      </c>
      <c r="BS18" s="28">
        <v>0</v>
      </c>
      <c r="BT18" s="28">
        <v>200</v>
      </c>
      <c r="BU18" s="28">
        <v>0</v>
      </c>
      <c r="BV18" s="28">
        <v>0</v>
      </c>
    </row>
    <row r="19" spans="1:74" x14ac:dyDescent="0.3">
      <c r="A19" s="25" t="s">
        <v>8</v>
      </c>
      <c r="B19" s="25" t="s">
        <v>96</v>
      </c>
      <c r="C19" s="28">
        <v>200</v>
      </c>
      <c r="D19" s="28">
        <v>0</v>
      </c>
      <c r="E19" s="28">
        <v>0</v>
      </c>
      <c r="F19" s="28">
        <v>78.600000000000065</v>
      </c>
      <c r="G19" s="28">
        <v>0</v>
      </c>
      <c r="H19" s="28">
        <v>0</v>
      </c>
      <c r="I19" s="28">
        <v>136.99999999999986</v>
      </c>
      <c r="J19" s="28">
        <v>0</v>
      </c>
      <c r="K19" s="28">
        <v>0</v>
      </c>
      <c r="L19" s="28">
        <v>136.99999999999986</v>
      </c>
      <c r="M19" s="28">
        <v>0</v>
      </c>
      <c r="N19" s="28">
        <v>0</v>
      </c>
      <c r="O19" s="28">
        <v>104.29999999999967</v>
      </c>
      <c r="P19" s="28">
        <v>0</v>
      </c>
      <c r="Q19" s="28">
        <v>0</v>
      </c>
      <c r="R19" s="28">
        <v>17.699999999999825</v>
      </c>
      <c r="S19" s="28">
        <v>0</v>
      </c>
      <c r="T19" s="28">
        <v>0</v>
      </c>
      <c r="U19" s="28">
        <v>200</v>
      </c>
      <c r="V19" s="28">
        <v>0</v>
      </c>
      <c r="W19" s="28">
        <v>0</v>
      </c>
      <c r="X19" s="28">
        <v>200</v>
      </c>
      <c r="Y19" s="28">
        <v>0</v>
      </c>
      <c r="Z19" s="28">
        <v>0</v>
      </c>
      <c r="AA19" s="28">
        <v>184.60000000000016</v>
      </c>
      <c r="AB19" s="28">
        <v>0</v>
      </c>
      <c r="AC19" s="28">
        <v>0</v>
      </c>
      <c r="AD19" s="28">
        <v>184.60000000000016</v>
      </c>
      <c r="AE19" s="28">
        <v>0</v>
      </c>
      <c r="AF19" s="28">
        <v>0</v>
      </c>
      <c r="AG19" s="28">
        <v>137.16481385281205</v>
      </c>
      <c r="AH19" s="28">
        <v>0</v>
      </c>
      <c r="AI19" s="28">
        <v>0</v>
      </c>
      <c r="AJ19" s="28">
        <v>76.500000000000284</v>
      </c>
      <c r="AK19" s="28">
        <v>0</v>
      </c>
      <c r="AL19" s="28">
        <v>0</v>
      </c>
      <c r="AM19" s="28">
        <v>65.799999999999699</v>
      </c>
      <c r="AN19" s="28">
        <v>0</v>
      </c>
      <c r="AO19" s="28">
        <v>0</v>
      </c>
      <c r="AP19" s="28">
        <v>0</v>
      </c>
      <c r="AQ19" s="28">
        <v>0</v>
      </c>
      <c r="AR19" s="28">
        <v>0</v>
      </c>
      <c r="AS19" s="28">
        <v>159.40000000000003</v>
      </c>
      <c r="AT19" s="28">
        <v>0</v>
      </c>
      <c r="AU19" s="28">
        <v>0</v>
      </c>
      <c r="AV19" s="28">
        <v>0</v>
      </c>
      <c r="AW19" s="28">
        <v>0</v>
      </c>
      <c r="AX19" s="28">
        <v>0</v>
      </c>
      <c r="AY19" s="28">
        <v>84.899999999999594</v>
      </c>
      <c r="AZ19" s="28">
        <v>0</v>
      </c>
      <c r="BA19" s="28">
        <v>0</v>
      </c>
      <c r="BB19" s="28">
        <v>67.200000000000088</v>
      </c>
      <c r="BC19" s="28">
        <v>0</v>
      </c>
      <c r="BD19" s="28">
        <v>0</v>
      </c>
      <c r="BE19" s="28">
        <v>200</v>
      </c>
      <c r="BF19" s="28">
        <v>0</v>
      </c>
      <c r="BG19" s="28">
        <v>0</v>
      </c>
      <c r="BH19" s="28">
        <v>200</v>
      </c>
      <c r="BI19" s="28">
        <v>0</v>
      </c>
      <c r="BJ19" s="28">
        <v>0</v>
      </c>
      <c r="BK19" s="28">
        <v>200</v>
      </c>
      <c r="BL19" s="28">
        <v>0</v>
      </c>
      <c r="BM19" s="28">
        <v>0</v>
      </c>
      <c r="BN19" s="28">
        <v>78.900000000000247</v>
      </c>
      <c r="BO19" s="28">
        <v>0</v>
      </c>
      <c r="BP19" s="28">
        <v>0</v>
      </c>
      <c r="BQ19" s="28">
        <v>6.0137005347628119</v>
      </c>
      <c r="BR19" s="28">
        <v>0</v>
      </c>
      <c r="BS19" s="28">
        <v>0</v>
      </c>
      <c r="BT19" s="28">
        <v>0</v>
      </c>
      <c r="BU19" s="28">
        <v>0</v>
      </c>
      <c r="BV19" s="28">
        <v>0</v>
      </c>
    </row>
    <row r="20" spans="1:74" x14ac:dyDescent="0.3">
      <c r="A20" s="25" t="s">
        <v>8</v>
      </c>
      <c r="B20" s="25" t="s">
        <v>97</v>
      </c>
      <c r="C20" s="28">
        <v>200</v>
      </c>
      <c r="D20" s="28">
        <v>200</v>
      </c>
      <c r="E20" s="28">
        <v>0</v>
      </c>
      <c r="F20" s="28">
        <v>200</v>
      </c>
      <c r="G20" s="28">
        <v>87.840000000000359</v>
      </c>
      <c r="H20" s="28">
        <v>0</v>
      </c>
      <c r="I20" s="28">
        <v>200</v>
      </c>
      <c r="J20" s="28">
        <v>144.27081368136788</v>
      </c>
      <c r="K20" s="28">
        <v>0</v>
      </c>
      <c r="L20" s="28">
        <v>200</v>
      </c>
      <c r="M20" s="28">
        <v>144.27081368136788</v>
      </c>
      <c r="N20" s="28">
        <v>0</v>
      </c>
      <c r="O20" s="28">
        <v>200</v>
      </c>
      <c r="P20" s="28">
        <v>178.2000000000003</v>
      </c>
      <c r="Q20" s="28">
        <v>0</v>
      </c>
      <c r="R20" s="28">
        <v>200</v>
      </c>
      <c r="S20" s="28">
        <v>16.799999999999869</v>
      </c>
      <c r="T20" s="28">
        <v>0</v>
      </c>
      <c r="U20" s="28">
        <v>200</v>
      </c>
      <c r="V20" s="28">
        <v>200</v>
      </c>
      <c r="W20" s="28">
        <v>0</v>
      </c>
      <c r="X20" s="28">
        <v>200</v>
      </c>
      <c r="Y20" s="28">
        <v>200</v>
      </c>
      <c r="Z20" s="28">
        <v>0</v>
      </c>
      <c r="AA20" s="28">
        <v>200</v>
      </c>
      <c r="AB20" s="28">
        <v>200</v>
      </c>
      <c r="AC20" s="28">
        <v>11.000000000000398</v>
      </c>
      <c r="AD20" s="28">
        <v>200</v>
      </c>
      <c r="AE20" s="28">
        <v>200</v>
      </c>
      <c r="AF20" s="28">
        <v>11.000000000000398</v>
      </c>
      <c r="AG20" s="28">
        <v>200</v>
      </c>
      <c r="AH20" s="28">
        <v>141.74446382189132</v>
      </c>
      <c r="AI20" s="28">
        <v>0</v>
      </c>
      <c r="AJ20" s="28">
        <v>200</v>
      </c>
      <c r="AK20" s="28">
        <v>109.99999999999993</v>
      </c>
      <c r="AL20" s="28">
        <v>0</v>
      </c>
      <c r="AM20" s="28">
        <v>200</v>
      </c>
      <c r="AN20" s="28">
        <v>200</v>
      </c>
      <c r="AO20" s="28">
        <v>0</v>
      </c>
      <c r="AP20" s="28">
        <v>200</v>
      </c>
      <c r="AQ20" s="28">
        <v>200</v>
      </c>
      <c r="AR20" s="28">
        <v>0</v>
      </c>
      <c r="AS20" s="28">
        <v>200</v>
      </c>
      <c r="AT20" s="28">
        <v>200</v>
      </c>
      <c r="AU20" s="28">
        <v>0</v>
      </c>
      <c r="AV20" s="28">
        <v>200</v>
      </c>
      <c r="AW20" s="28">
        <v>192.33999999999995</v>
      </c>
      <c r="AX20" s="28">
        <v>0</v>
      </c>
      <c r="AY20" s="28">
        <v>200</v>
      </c>
      <c r="AZ20" s="28">
        <v>181.89999999999966</v>
      </c>
      <c r="BA20" s="28">
        <v>0</v>
      </c>
      <c r="BB20" s="28">
        <v>200</v>
      </c>
      <c r="BC20" s="28">
        <v>120.30000000000035</v>
      </c>
      <c r="BD20" s="28">
        <v>0</v>
      </c>
      <c r="BE20" s="28">
        <v>200</v>
      </c>
      <c r="BF20" s="28">
        <v>200</v>
      </c>
      <c r="BG20" s="28">
        <v>0</v>
      </c>
      <c r="BH20" s="28">
        <v>200</v>
      </c>
      <c r="BI20" s="28">
        <v>200</v>
      </c>
      <c r="BJ20" s="28">
        <v>0</v>
      </c>
      <c r="BK20" s="28">
        <v>200</v>
      </c>
      <c r="BL20" s="28">
        <v>160.85463203463203</v>
      </c>
      <c r="BM20" s="28">
        <v>0</v>
      </c>
      <c r="BN20" s="28">
        <v>200</v>
      </c>
      <c r="BO20" s="28">
        <v>91.800000000000054</v>
      </c>
      <c r="BP20" s="28">
        <v>0</v>
      </c>
      <c r="BQ20" s="28">
        <v>200</v>
      </c>
      <c r="BR20" s="28">
        <v>200</v>
      </c>
      <c r="BS20" s="28">
        <v>0</v>
      </c>
      <c r="BT20" s="28">
        <v>200</v>
      </c>
      <c r="BU20" s="28">
        <v>108.63999999999984</v>
      </c>
      <c r="BV20" s="28">
        <v>0</v>
      </c>
    </row>
    <row r="21" spans="1:74" x14ac:dyDescent="0.3">
      <c r="A21" s="25" t="s">
        <v>8</v>
      </c>
      <c r="B21" s="25" t="s">
        <v>28</v>
      </c>
      <c r="C21" s="28">
        <v>200</v>
      </c>
      <c r="D21" s="28">
        <v>200</v>
      </c>
      <c r="E21" s="28">
        <v>200</v>
      </c>
      <c r="F21" s="28">
        <v>200</v>
      </c>
      <c r="G21" s="28">
        <v>200</v>
      </c>
      <c r="H21" s="28">
        <v>200</v>
      </c>
      <c r="I21" s="28">
        <v>200</v>
      </c>
      <c r="J21" s="28">
        <v>200</v>
      </c>
      <c r="K21" s="28">
        <v>200</v>
      </c>
      <c r="L21" s="28">
        <v>200</v>
      </c>
      <c r="M21" s="28">
        <v>200</v>
      </c>
      <c r="N21" s="28">
        <v>200</v>
      </c>
      <c r="O21" s="28">
        <v>200</v>
      </c>
      <c r="P21" s="28">
        <v>200</v>
      </c>
      <c r="Q21" s="28">
        <v>200</v>
      </c>
      <c r="R21" s="28">
        <v>200</v>
      </c>
      <c r="S21" s="28">
        <v>200</v>
      </c>
      <c r="T21" s="28">
        <v>200</v>
      </c>
      <c r="U21" s="28">
        <v>200</v>
      </c>
      <c r="V21" s="28">
        <v>200</v>
      </c>
      <c r="W21" s="28">
        <v>200</v>
      </c>
      <c r="X21" s="28">
        <v>200</v>
      </c>
      <c r="Y21" s="28">
        <v>200</v>
      </c>
      <c r="Z21" s="28">
        <v>200</v>
      </c>
      <c r="AA21" s="28">
        <v>200</v>
      </c>
      <c r="AB21" s="28">
        <v>200</v>
      </c>
      <c r="AC21" s="28">
        <v>200</v>
      </c>
      <c r="AD21" s="28">
        <v>200</v>
      </c>
      <c r="AE21" s="28">
        <v>200</v>
      </c>
      <c r="AF21" s="28">
        <v>200</v>
      </c>
      <c r="AG21" s="28">
        <v>200</v>
      </c>
      <c r="AH21" s="28">
        <v>200</v>
      </c>
      <c r="AI21" s="28">
        <v>200</v>
      </c>
      <c r="AJ21" s="28">
        <v>200</v>
      </c>
      <c r="AK21" s="28">
        <v>200</v>
      </c>
      <c r="AL21" s="28">
        <v>200</v>
      </c>
      <c r="AM21" s="28">
        <v>200</v>
      </c>
      <c r="AN21" s="28">
        <v>200</v>
      </c>
      <c r="AO21" s="28">
        <v>200</v>
      </c>
      <c r="AP21" s="28">
        <v>200</v>
      </c>
      <c r="AQ21" s="28">
        <v>200</v>
      </c>
      <c r="AR21" s="28">
        <v>200</v>
      </c>
      <c r="AS21" s="28">
        <v>200</v>
      </c>
      <c r="AT21" s="28">
        <v>200</v>
      </c>
      <c r="AU21" s="28">
        <v>200</v>
      </c>
      <c r="AV21" s="28">
        <v>200</v>
      </c>
      <c r="AW21" s="28">
        <v>200</v>
      </c>
      <c r="AX21" s="28">
        <v>200</v>
      </c>
      <c r="AY21" s="28">
        <v>200</v>
      </c>
      <c r="AZ21" s="28">
        <v>200</v>
      </c>
      <c r="BA21" s="28">
        <v>200</v>
      </c>
      <c r="BB21" s="28">
        <v>200</v>
      </c>
      <c r="BC21" s="28">
        <v>200</v>
      </c>
      <c r="BD21" s="28">
        <v>200</v>
      </c>
      <c r="BE21" s="28">
        <v>200</v>
      </c>
      <c r="BF21" s="28">
        <v>200</v>
      </c>
      <c r="BG21" s="28">
        <v>200</v>
      </c>
      <c r="BH21" s="28">
        <v>200</v>
      </c>
      <c r="BI21" s="28">
        <v>200</v>
      </c>
      <c r="BJ21" s="28">
        <v>200</v>
      </c>
      <c r="BK21" s="28">
        <v>200</v>
      </c>
      <c r="BL21" s="28">
        <v>200</v>
      </c>
      <c r="BM21" s="28">
        <v>200</v>
      </c>
      <c r="BN21" s="28">
        <v>200</v>
      </c>
      <c r="BO21" s="28">
        <v>200</v>
      </c>
      <c r="BP21" s="28">
        <v>200</v>
      </c>
      <c r="BQ21" s="28">
        <v>200</v>
      </c>
      <c r="BR21" s="28">
        <v>200</v>
      </c>
      <c r="BS21" s="28">
        <v>200</v>
      </c>
      <c r="BT21" s="28">
        <v>200</v>
      </c>
      <c r="BU21" s="28">
        <v>200</v>
      </c>
      <c r="BV21" s="28">
        <v>200</v>
      </c>
    </row>
    <row r="22" spans="1:74" x14ac:dyDescent="0.3">
      <c r="A22" s="25" t="s">
        <v>9</v>
      </c>
      <c r="B22" s="25" t="s">
        <v>60</v>
      </c>
      <c r="C22" s="28">
        <v>771.6</v>
      </c>
      <c r="D22" s="28">
        <v>771.6</v>
      </c>
      <c r="E22" s="28">
        <v>771.6</v>
      </c>
      <c r="F22" s="28">
        <v>771.6</v>
      </c>
      <c r="G22" s="28">
        <v>771.6</v>
      </c>
      <c r="H22" s="28">
        <v>771.6</v>
      </c>
      <c r="I22" s="28">
        <v>771.6</v>
      </c>
      <c r="J22" s="28">
        <v>771.6</v>
      </c>
      <c r="K22" s="28">
        <v>771.6</v>
      </c>
      <c r="L22" s="28">
        <v>771.6</v>
      </c>
      <c r="M22" s="28">
        <v>771.6</v>
      </c>
      <c r="N22" s="28">
        <v>771.6</v>
      </c>
      <c r="O22" s="28">
        <v>771.6</v>
      </c>
      <c r="P22" s="28">
        <v>771.6</v>
      </c>
      <c r="Q22" s="28">
        <v>771.6</v>
      </c>
      <c r="R22" s="28">
        <v>771.6</v>
      </c>
      <c r="S22" s="28">
        <v>771.6</v>
      </c>
      <c r="T22" s="28">
        <v>771.6</v>
      </c>
      <c r="U22" s="28">
        <v>771.6</v>
      </c>
      <c r="V22" s="28">
        <v>771.6</v>
      </c>
      <c r="W22" s="28">
        <v>771.6</v>
      </c>
      <c r="X22" s="28">
        <v>771.6</v>
      </c>
      <c r="Y22" s="28">
        <v>771.6</v>
      </c>
      <c r="Z22" s="28">
        <v>771.6</v>
      </c>
      <c r="AA22" s="28">
        <v>771.6</v>
      </c>
      <c r="AB22" s="28">
        <v>771.6</v>
      </c>
      <c r="AC22" s="28">
        <v>771.6</v>
      </c>
      <c r="AD22" s="28">
        <v>771.6</v>
      </c>
      <c r="AE22" s="28">
        <v>771.6</v>
      </c>
      <c r="AF22" s="28">
        <v>771.6</v>
      </c>
      <c r="AG22" s="28">
        <v>771.6</v>
      </c>
      <c r="AH22" s="28">
        <v>771.6</v>
      </c>
      <c r="AI22" s="28">
        <v>771.6</v>
      </c>
      <c r="AJ22" s="28">
        <v>771.6</v>
      </c>
      <c r="AK22" s="28">
        <v>771.6</v>
      </c>
      <c r="AL22" s="28">
        <v>771.6</v>
      </c>
      <c r="AM22" s="28">
        <v>771.6</v>
      </c>
      <c r="AN22" s="28">
        <v>771.6</v>
      </c>
      <c r="AO22" s="28">
        <v>771.6</v>
      </c>
      <c r="AP22" s="28">
        <v>771.6</v>
      </c>
      <c r="AQ22" s="28">
        <v>771.6</v>
      </c>
      <c r="AR22" s="28">
        <v>771.6</v>
      </c>
      <c r="AS22" s="28">
        <v>771.6</v>
      </c>
      <c r="AT22" s="28">
        <v>771.6</v>
      </c>
      <c r="AU22" s="28">
        <v>771.6</v>
      </c>
      <c r="AV22" s="28">
        <v>771.6</v>
      </c>
      <c r="AW22" s="28">
        <v>771.6</v>
      </c>
      <c r="AX22" s="28">
        <v>771.6</v>
      </c>
      <c r="AY22" s="28">
        <v>771.6</v>
      </c>
      <c r="AZ22" s="28">
        <v>771.6</v>
      </c>
      <c r="BA22" s="28">
        <v>771.6</v>
      </c>
      <c r="BB22" s="28">
        <v>771.6</v>
      </c>
      <c r="BC22" s="28">
        <v>771.6</v>
      </c>
      <c r="BD22" s="28">
        <v>771.6</v>
      </c>
      <c r="BE22" s="28">
        <v>771.6</v>
      </c>
      <c r="BF22" s="28">
        <v>771.6</v>
      </c>
      <c r="BG22" s="28">
        <v>771.6</v>
      </c>
      <c r="BH22" s="28">
        <v>771.6</v>
      </c>
      <c r="BI22" s="28">
        <v>771.6</v>
      </c>
      <c r="BJ22" s="28">
        <v>771.6</v>
      </c>
      <c r="BK22" s="28">
        <v>771.6</v>
      </c>
      <c r="BL22" s="28">
        <v>771.6</v>
      </c>
      <c r="BM22" s="28">
        <v>771.6</v>
      </c>
      <c r="BN22" s="28">
        <v>771.6</v>
      </c>
      <c r="BO22" s="28">
        <v>771.6</v>
      </c>
      <c r="BP22" s="28">
        <v>771.6</v>
      </c>
      <c r="BQ22" s="28">
        <v>771.6</v>
      </c>
      <c r="BR22" s="28">
        <v>771.6</v>
      </c>
      <c r="BS22" s="28">
        <v>771.6</v>
      </c>
      <c r="BT22" s="28">
        <v>771.6</v>
      </c>
      <c r="BU22" s="28">
        <v>771.6</v>
      </c>
      <c r="BV22" s="28">
        <v>771.6</v>
      </c>
    </row>
    <row r="23" spans="1:74" x14ac:dyDescent="0.3">
      <c r="A23" s="25" t="s">
        <v>9</v>
      </c>
      <c r="B23" s="25" t="s">
        <v>101</v>
      </c>
      <c r="C23" s="28">
        <v>235.19999999999996</v>
      </c>
      <c r="D23" s="28">
        <v>235.19999999999996</v>
      </c>
      <c r="E23" s="28">
        <v>235.19999999999996</v>
      </c>
      <c r="F23" s="28">
        <v>235.19999999999996</v>
      </c>
      <c r="G23" s="28">
        <v>235.19999999999996</v>
      </c>
      <c r="H23" s="28">
        <v>235.19999999999996</v>
      </c>
      <c r="I23" s="28">
        <v>235.19999999999996</v>
      </c>
      <c r="J23" s="28">
        <v>235.19999999999996</v>
      </c>
      <c r="K23" s="28">
        <v>235.19999999999996</v>
      </c>
      <c r="L23" s="28">
        <v>235.19999999999996</v>
      </c>
      <c r="M23" s="28">
        <v>235.19999999999996</v>
      </c>
      <c r="N23" s="28">
        <v>235.19999999999996</v>
      </c>
      <c r="O23" s="28">
        <v>235.19999999999996</v>
      </c>
      <c r="P23" s="28">
        <v>235.19999999999996</v>
      </c>
      <c r="Q23" s="28">
        <v>235.19999999999996</v>
      </c>
      <c r="R23" s="28">
        <v>235.19999999999996</v>
      </c>
      <c r="S23" s="28">
        <v>235.19999999999996</v>
      </c>
      <c r="T23" s="28">
        <v>235.19999999999996</v>
      </c>
      <c r="U23" s="28">
        <v>235.19999999999996</v>
      </c>
      <c r="V23" s="28">
        <v>235.19999999999996</v>
      </c>
      <c r="W23" s="28">
        <v>235.19999999999996</v>
      </c>
      <c r="X23" s="28">
        <v>0</v>
      </c>
      <c r="Y23" s="28">
        <v>0</v>
      </c>
      <c r="Z23" s="28">
        <v>0</v>
      </c>
      <c r="AA23" s="28">
        <v>235.19999999999996</v>
      </c>
      <c r="AB23" s="28">
        <v>235.19999999999996</v>
      </c>
      <c r="AC23" s="28">
        <v>235.19999999999996</v>
      </c>
      <c r="AD23" s="28">
        <v>235.19999999999996</v>
      </c>
      <c r="AE23" s="28">
        <v>235.19999999999996</v>
      </c>
      <c r="AF23" s="28">
        <v>235.19999999999996</v>
      </c>
      <c r="AG23" s="28">
        <v>235.19999999999996</v>
      </c>
      <c r="AH23" s="28">
        <v>235.19999999999996</v>
      </c>
      <c r="AI23" s="28">
        <v>235.19999999999996</v>
      </c>
      <c r="AJ23" s="28">
        <v>235.19999999999996</v>
      </c>
      <c r="AK23" s="28">
        <v>235.19999999999996</v>
      </c>
      <c r="AL23" s="28">
        <v>235.19999999999996</v>
      </c>
      <c r="AM23" s="28">
        <v>235.19999999999996</v>
      </c>
      <c r="AN23" s="28">
        <v>235.19999999999996</v>
      </c>
      <c r="AO23" s="28">
        <v>235.19999999999996</v>
      </c>
      <c r="AP23" s="28">
        <v>235.19999999999996</v>
      </c>
      <c r="AQ23" s="28">
        <v>235.19999999999996</v>
      </c>
      <c r="AR23" s="28">
        <v>235.19999999999996</v>
      </c>
      <c r="AS23" s="28">
        <v>235.19999999999996</v>
      </c>
      <c r="AT23" s="28">
        <v>235.19999999999996</v>
      </c>
      <c r="AU23" s="28">
        <v>235.19999999999996</v>
      </c>
      <c r="AV23" s="28">
        <v>0</v>
      </c>
      <c r="AW23" s="28">
        <v>0</v>
      </c>
      <c r="AX23" s="28">
        <v>0</v>
      </c>
      <c r="AY23" s="28">
        <v>0</v>
      </c>
      <c r="AZ23" s="28">
        <v>0</v>
      </c>
      <c r="BA23" s="28">
        <v>0</v>
      </c>
      <c r="BB23" s="28">
        <v>0</v>
      </c>
      <c r="BC23" s="28">
        <v>0</v>
      </c>
      <c r="BD23" s="28">
        <v>0</v>
      </c>
      <c r="BE23" s="28">
        <v>0</v>
      </c>
      <c r="BF23" s="28">
        <v>0</v>
      </c>
      <c r="BG23" s="28">
        <v>0</v>
      </c>
      <c r="BH23" s="28">
        <v>0</v>
      </c>
      <c r="BI23" s="28">
        <v>0</v>
      </c>
      <c r="BJ23" s="28">
        <v>0</v>
      </c>
      <c r="BK23" s="28">
        <v>235.19999999999996</v>
      </c>
      <c r="BL23" s="28">
        <v>235.19999999999996</v>
      </c>
      <c r="BM23" s="28">
        <v>235.19999999999996</v>
      </c>
      <c r="BN23" s="28">
        <v>235.19999999999996</v>
      </c>
      <c r="BO23" s="28">
        <v>235.19999999999996</v>
      </c>
      <c r="BP23" s="28">
        <v>235.19999999999996</v>
      </c>
      <c r="BQ23" s="28">
        <v>235.19999999999996</v>
      </c>
      <c r="BR23" s="28">
        <v>235.19999999999996</v>
      </c>
      <c r="BS23" s="28">
        <v>235.19999999999996</v>
      </c>
      <c r="BT23" s="28">
        <v>235.19999999999996</v>
      </c>
      <c r="BU23" s="28">
        <v>235.19999999999996</v>
      </c>
      <c r="BV23" s="28">
        <v>235.19999999999996</v>
      </c>
    </row>
    <row r="24" spans="1:74" x14ac:dyDescent="0.3">
      <c r="A24" s="25" t="s">
        <v>9</v>
      </c>
      <c r="B24" s="25" t="s">
        <v>61</v>
      </c>
      <c r="C24" s="28">
        <v>95.999999999999915</v>
      </c>
      <c r="D24" s="28">
        <v>81.239999999999995</v>
      </c>
      <c r="E24" s="28">
        <v>81.239999999999995</v>
      </c>
      <c r="F24" s="28">
        <v>0</v>
      </c>
      <c r="G24" s="28">
        <v>0</v>
      </c>
      <c r="H24" s="28">
        <v>0</v>
      </c>
      <c r="I24" s="28">
        <v>0</v>
      </c>
      <c r="J24" s="28">
        <v>0</v>
      </c>
      <c r="K24" s="28">
        <v>0</v>
      </c>
      <c r="L24" s="28">
        <v>0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28">
        <v>0</v>
      </c>
      <c r="V24" s="28">
        <v>0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  <c r="AL24" s="28">
        <v>0</v>
      </c>
      <c r="AM24" s="28">
        <v>0</v>
      </c>
      <c r="AN24" s="28">
        <v>0</v>
      </c>
      <c r="AO24" s="28">
        <v>0</v>
      </c>
      <c r="AP24" s="28">
        <v>0</v>
      </c>
      <c r="AQ24" s="28">
        <v>0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>
        <v>0</v>
      </c>
      <c r="AX24" s="28">
        <v>0</v>
      </c>
      <c r="AY24" s="28">
        <v>192.73999999999941</v>
      </c>
      <c r="AZ24" s="28">
        <v>162.53999999999974</v>
      </c>
      <c r="BA24" s="28">
        <v>81.239999999999995</v>
      </c>
      <c r="BB24" s="28">
        <v>0</v>
      </c>
      <c r="BC24" s="28">
        <v>0</v>
      </c>
      <c r="BD24" s="28">
        <v>0</v>
      </c>
      <c r="BE24" s="28">
        <v>145.00000000000045</v>
      </c>
      <c r="BF24" s="28">
        <v>81.239999999999995</v>
      </c>
      <c r="BG24" s="28">
        <v>81.239999999999995</v>
      </c>
      <c r="BH24" s="28">
        <v>0</v>
      </c>
      <c r="BI24" s="28">
        <v>0</v>
      </c>
      <c r="BJ24" s="28">
        <v>0</v>
      </c>
      <c r="BK24" s="28">
        <v>203.1</v>
      </c>
      <c r="BL24" s="28">
        <v>203.1</v>
      </c>
      <c r="BM24" s="28">
        <v>81.239999999999995</v>
      </c>
      <c r="BN24" s="28">
        <v>0</v>
      </c>
      <c r="BO24" s="28">
        <v>0</v>
      </c>
      <c r="BP24" s="28">
        <v>0</v>
      </c>
      <c r="BQ24" s="28">
        <v>92.818347058828962</v>
      </c>
      <c r="BR24" s="28">
        <v>201.74458502673929</v>
      </c>
      <c r="BS24" s="28">
        <v>81.239999999999995</v>
      </c>
      <c r="BT24" s="28">
        <v>0</v>
      </c>
      <c r="BU24" s="28">
        <v>0</v>
      </c>
      <c r="BV24" s="28">
        <v>0</v>
      </c>
    </row>
    <row r="25" spans="1:74" x14ac:dyDescent="0.3">
      <c r="A25" s="25" t="s">
        <v>9</v>
      </c>
      <c r="B25" s="25" t="s">
        <v>103</v>
      </c>
      <c r="C25" s="28">
        <v>0</v>
      </c>
      <c r="D25" s="28">
        <v>0</v>
      </c>
      <c r="E25" s="28">
        <v>0</v>
      </c>
      <c r="F25" s="28">
        <v>0</v>
      </c>
      <c r="G25" s="28">
        <v>0</v>
      </c>
      <c r="H25" s="28">
        <v>0</v>
      </c>
      <c r="I25" s="28">
        <v>0</v>
      </c>
      <c r="J25" s="28">
        <v>0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  <c r="AL25" s="28">
        <v>0</v>
      </c>
      <c r="AM25" s="28">
        <v>0</v>
      </c>
      <c r="AN25" s="28">
        <v>0</v>
      </c>
      <c r="AO25" s="28">
        <v>0</v>
      </c>
      <c r="AP25" s="28">
        <v>0</v>
      </c>
      <c r="AQ25" s="28">
        <v>0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>
        <v>0</v>
      </c>
      <c r="AX25" s="28">
        <v>0</v>
      </c>
      <c r="AY25" s="28">
        <v>60.159999999999989</v>
      </c>
      <c r="AZ25" s="28">
        <v>60.159999999999989</v>
      </c>
      <c r="BA25" s="28">
        <v>60.159999999999989</v>
      </c>
      <c r="BB25" s="28">
        <v>0</v>
      </c>
      <c r="BC25" s="28">
        <v>0</v>
      </c>
      <c r="BD25" s="28">
        <v>0</v>
      </c>
      <c r="BE25" s="28">
        <v>0</v>
      </c>
      <c r="BF25" s="28">
        <v>0</v>
      </c>
      <c r="BG25" s="28">
        <v>0</v>
      </c>
      <c r="BH25" s="28">
        <v>0</v>
      </c>
      <c r="BI25" s="28">
        <v>0</v>
      </c>
      <c r="BJ25" s="28">
        <v>0</v>
      </c>
      <c r="BK25" s="28">
        <v>0</v>
      </c>
      <c r="BL25" s="28">
        <v>0</v>
      </c>
      <c r="BM25" s="28">
        <v>0</v>
      </c>
      <c r="BN25" s="28">
        <v>0</v>
      </c>
      <c r="BO25" s="28">
        <v>0</v>
      </c>
      <c r="BP25" s="28">
        <v>0</v>
      </c>
      <c r="BQ25" s="28">
        <v>60.159999999999989</v>
      </c>
      <c r="BR25" s="28">
        <v>60.159999999999989</v>
      </c>
      <c r="BS25" s="28">
        <v>60.159999999999989</v>
      </c>
      <c r="BT25" s="28">
        <v>0</v>
      </c>
      <c r="BU25" s="28">
        <v>0</v>
      </c>
      <c r="BV25" s="28">
        <v>0</v>
      </c>
    </row>
    <row r="26" spans="1:74" x14ac:dyDescent="0.3">
      <c r="A26" s="29" t="s">
        <v>9</v>
      </c>
      <c r="B26" s="29" t="s">
        <v>102</v>
      </c>
      <c r="C26" s="28">
        <v>194.4</v>
      </c>
      <c r="D26" s="28">
        <v>162.20399480519475</v>
      </c>
      <c r="E26" s="28">
        <v>77.760000000000005</v>
      </c>
      <c r="F26" s="28">
        <v>194.4</v>
      </c>
      <c r="G26" s="28">
        <v>77.760000000000005</v>
      </c>
      <c r="H26" s="28">
        <v>77.760000000000005</v>
      </c>
      <c r="I26" s="28">
        <v>92.300000000000935</v>
      </c>
      <c r="J26" s="28">
        <v>128.89999999999975</v>
      </c>
      <c r="K26" s="28">
        <v>77.760000000000005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8">
        <v>0</v>
      </c>
      <c r="U26" s="28">
        <v>194.4</v>
      </c>
      <c r="V26" s="28">
        <v>194.4</v>
      </c>
      <c r="W26" s="28">
        <v>77.760000000000005</v>
      </c>
      <c r="X26" s="28">
        <v>194.4</v>
      </c>
      <c r="Y26" s="28">
        <v>77.760000000000005</v>
      </c>
      <c r="Z26" s="28">
        <v>77.760000000000005</v>
      </c>
      <c r="AA26" s="28">
        <v>137.40000000000035</v>
      </c>
      <c r="AB26" s="28">
        <v>174.79999999999967</v>
      </c>
      <c r="AC26" s="28">
        <v>77.760000000000005</v>
      </c>
      <c r="AD26" s="28">
        <v>0</v>
      </c>
      <c r="AE26" s="28">
        <v>0</v>
      </c>
      <c r="AF26" s="28">
        <v>0</v>
      </c>
      <c r="AG26" s="28">
        <v>194.4</v>
      </c>
      <c r="AH26" s="28">
        <v>194.4</v>
      </c>
      <c r="AI26" s="28">
        <v>77.760000000000005</v>
      </c>
      <c r="AJ26" s="28">
        <v>0</v>
      </c>
      <c r="AK26" s="28">
        <v>0</v>
      </c>
      <c r="AL26" s="28">
        <v>0</v>
      </c>
      <c r="AM26" s="28">
        <v>194.4</v>
      </c>
      <c r="AN26" s="28">
        <v>194.4</v>
      </c>
      <c r="AO26" s="28">
        <v>77.760000000000005</v>
      </c>
      <c r="AP26" s="28">
        <v>0</v>
      </c>
      <c r="AQ26" s="28">
        <v>0</v>
      </c>
      <c r="AR26" s="28">
        <v>0</v>
      </c>
      <c r="AS26" s="28">
        <v>194.4</v>
      </c>
      <c r="AT26" s="28">
        <v>194.4</v>
      </c>
      <c r="AU26" s="28">
        <v>77.760000000000005</v>
      </c>
      <c r="AV26" s="28">
        <v>194.4</v>
      </c>
      <c r="AW26" s="28">
        <v>194.4</v>
      </c>
      <c r="AX26" s="28">
        <v>77.760000000000005</v>
      </c>
      <c r="AY26" s="28">
        <v>194.4</v>
      </c>
      <c r="AZ26" s="28">
        <v>194.4</v>
      </c>
      <c r="BA26" s="28">
        <v>77.760000000000005</v>
      </c>
      <c r="BB26" s="28">
        <v>194.4</v>
      </c>
      <c r="BC26" s="28">
        <v>128.9769230769235</v>
      </c>
      <c r="BD26" s="28">
        <v>77.760000000000005</v>
      </c>
      <c r="BE26" s="28">
        <v>194.4</v>
      </c>
      <c r="BF26" s="28">
        <v>186.75999999999988</v>
      </c>
      <c r="BG26" s="28">
        <v>77.760000000000005</v>
      </c>
      <c r="BH26" s="28">
        <v>194.4</v>
      </c>
      <c r="BI26" s="28">
        <v>77.760000000000005</v>
      </c>
      <c r="BJ26" s="28">
        <v>77.760000000000005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8">
        <v>0</v>
      </c>
      <c r="BQ26" s="28">
        <v>194.4</v>
      </c>
      <c r="BR26" s="28">
        <v>194.4</v>
      </c>
      <c r="BS26" s="28">
        <v>77.760000000000005</v>
      </c>
      <c r="BT26" s="28">
        <v>194.4</v>
      </c>
      <c r="BU26" s="28">
        <v>186.39999999999984</v>
      </c>
      <c r="BV26" s="28">
        <v>77.760000000000005</v>
      </c>
    </row>
    <row r="27" spans="1:74" x14ac:dyDescent="0.3">
      <c r="A27" s="29" t="s">
        <v>9</v>
      </c>
      <c r="B27" s="29" t="s">
        <v>62</v>
      </c>
      <c r="C27" s="28">
        <v>500</v>
      </c>
      <c r="D27" s="28">
        <v>500</v>
      </c>
      <c r="E27" s="28">
        <v>500</v>
      </c>
      <c r="F27" s="28">
        <v>500</v>
      </c>
      <c r="G27" s="28">
        <v>500</v>
      </c>
      <c r="H27" s="28">
        <v>500</v>
      </c>
      <c r="I27" s="28">
        <v>500</v>
      </c>
      <c r="J27" s="28">
        <v>500</v>
      </c>
      <c r="K27" s="28">
        <v>500</v>
      </c>
      <c r="L27" s="28">
        <v>500</v>
      </c>
      <c r="M27" s="28">
        <v>500</v>
      </c>
      <c r="N27" s="28">
        <v>500</v>
      </c>
      <c r="O27" s="28">
        <v>500</v>
      </c>
      <c r="P27" s="28">
        <v>500</v>
      </c>
      <c r="Q27" s="28">
        <v>500</v>
      </c>
      <c r="R27" s="28">
        <v>500</v>
      </c>
      <c r="S27" s="28">
        <v>500</v>
      </c>
      <c r="T27" s="28">
        <v>500</v>
      </c>
      <c r="U27" s="28">
        <v>500</v>
      </c>
      <c r="V27" s="28">
        <v>500</v>
      </c>
      <c r="W27" s="28">
        <v>500</v>
      </c>
      <c r="X27" s="28">
        <v>500</v>
      </c>
      <c r="Y27" s="28">
        <v>500</v>
      </c>
      <c r="Z27" s="28">
        <v>500</v>
      </c>
      <c r="AA27" s="28">
        <v>500</v>
      </c>
      <c r="AB27" s="28">
        <v>500</v>
      </c>
      <c r="AC27" s="28">
        <v>500</v>
      </c>
      <c r="AD27" s="28">
        <v>500</v>
      </c>
      <c r="AE27" s="28">
        <v>500</v>
      </c>
      <c r="AF27" s="28">
        <v>500</v>
      </c>
      <c r="AG27" s="28">
        <v>500</v>
      </c>
      <c r="AH27" s="28">
        <v>500</v>
      </c>
      <c r="AI27" s="28">
        <v>500</v>
      </c>
      <c r="AJ27" s="28">
        <v>500</v>
      </c>
      <c r="AK27" s="28">
        <v>500</v>
      </c>
      <c r="AL27" s="28">
        <v>500</v>
      </c>
      <c r="AM27" s="28">
        <v>500</v>
      </c>
      <c r="AN27" s="28">
        <v>500</v>
      </c>
      <c r="AO27" s="28">
        <v>500</v>
      </c>
      <c r="AP27" s="28">
        <v>500</v>
      </c>
      <c r="AQ27" s="28">
        <v>500</v>
      </c>
      <c r="AR27" s="28">
        <v>500</v>
      </c>
      <c r="AS27" s="28">
        <v>500</v>
      </c>
      <c r="AT27" s="28">
        <v>500</v>
      </c>
      <c r="AU27" s="28">
        <v>500</v>
      </c>
      <c r="AV27" s="28">
        <v>500</v>
      </c>
      <c r="AW27" s="28">
        <v>500</v>
      </c>
      <c r="AX27" s="28">
        <v>500</v>
      </c>
      <c r="AY27" s="28">
        <v>500</v>
      </c>
      <c r="AZ27" s="28">
        <v>500</v>
      </c>
      <c r="BA27" s="28">
        <v>500</v>
      </c>
      <c r="BB27" s="28">
        <v>500</v>
      </c>
      <c r="BC27" s="28">
        <v>500</v>
      </c>
      <c r="BD27" s="28">
        <v>500</v>
      </c>
      <c r="BE27" s="28">
        <v>500</v>
      </c>
      <c r="BF27" s="28">
        <v>500</v>
      </c>
      <c r="BG27" s="28">
        <v>500</v>
      </c>
      <c r="BH27" s="28">
        <v>500</v>
      </c>
      <c r="BI27" s="28">
        <v>500</v>
      </c>
      <c r="BJ27" s="28">
        <v>500</v>
      </c>
      <c r="BK27" s="28">
        <v>500</v>
      </c>
      <c r="BL27" s="28">
        <v>500</v>
      </c>
      <c r="BM27" s="28">
        <v>500</v>
      </c>
      <c r="BN27" s="28">
        <v>500</v>
      </c>
      <c r="BO27" s="28">
        <v>500</v>
      </c>
      <c r="BP27" s="28">
        <v>500</v>
      </c>
      <c r="BQ27" s="28">
        <v>500</v>
      </c>
      <c r="BR27" s="28">
        <v>500</v>
      </c>
      <c r="BS27" s="28">
        <v>500</v>
      </c>
      <c r="BT27" s="28">
        <v>500</v>
      </c>
      <c r="BU27" s="28">
        <v>500</v>
      </c>
      <c r="BV27" s="28">
        <v>500</v>
      </c>
    </row>
    <row r="28" spans="1:74" x14ac:dyDescent="0.3">
      <c r="A28" s="29" t="s">
        <v>9</v>
      </c>
      <c r="B28" s="29" t="s">
        <v>63</v>
      </c>
      <c r="C28" s="28">
        <v>500</v>
      </c>
      <c r="D28" s="28">
        <v>500</v>
      </c>
      <c r="E28" s="28">
        <v>204.40272727272736</v>
      </c>
      <c r="F28" s="28">
        <v>500</v>
      </c>
      <c r="G28" s="28">
        <v>500</v>
      </c>
      <c r="H28" s="28">
        <v>100</v>
      </c>
      <c r="I28" s="28">
        <v>500</v>
      </c>
      <c r="J28" s="28">
        <v>500</v>
      </c>
      <c r="K28" s="28">
        <v>231.84869565217357</v>
      </c>
      <c r="L28" s="28">
        <v>500</v>
      </c>
      <c r="M28" s="28">
        <v>500</v>
      </c>
      <c r="N28" s="28">
        <v>168.10869565217357</v>
      </c>
      <c r="O28" s="28">
        <v>500</v>
      </c>
      <c r="P28" s="28">
        <v>500</v>
      </c>
      <c r="Q28" s="28">
        <v>243.23650793650853</v>
      </c>
      <c r="R28" s="28">
        <v>500</v>
      </c>
      <c r="S28" s="28">
        <v>500</v>
      </c>
      <c r="T28" s="28">
        <v>100</v>
      </c>
      <c r="U28" s="28">
        <v>500</v>
      </c>
      <c r="V28" s="28">
        <v>500</v>
      </c>
      <c r="W28" s="28">
        <v>183.15989528795836</v>
      </c>
      <c r="X28" s="28">
        <v>500</v>
      </c>
      <c r="Y28" s="28">
        <v>483.63999999999993</v>
      </c>
      <c r="Z28" s="28">
        <v>183.15989528795836</v>
      </c>
      <c r="AA28" s="28">
        <v>500</v>
      </c>
      <c r="AB28" s="28">
        <v>500</v>
      </c>
      <c r="AC28" s="28">
        <v>139.33999999999986</v>
      </c>
      <c r="AD28" s="28">
        <v>0</v>
      </c>
      <c r="AE28" s="28">
        <v>0</v>
      </c>
      <c r="AF28" s="28">
        <v>0</v>
      </c>
      <c r="AG28" s="28">
        <v>500</v>
      </c>
      <c r="AH28" s="28">
        <v>500</v>
      </c>
      <c r="AI28" s="28">
        <v>224.54000000000002</v>
      </c>
      <c r="AJ28" s="28">
        <v>500</v>
      </c>
      <c r="AK28" s="28">
        <v>500</v>
      </c>
      <c r="AL28" s="28">
        <v>138.09999999999994</v>
      </c>
      <c r="AM28" s="28">
        <v>500</v>
      </c>
      <c r="AN28" s="28">
        <v>500</v>
      </c>
      <c r="AO28" s="28">
        <v>337.64000000000016</v>
      </c>
      <c r="AP28" s="28">
        <v>500</v>
      </c>
      <c r="AQ28" s="28">
        <v>500</v>
      </c>
      <c r="AR28" s="28">
        <v>225.00000000000037</v>
      </c>
      <c r="AS28" s="28">
        <v>500</v>
      </c>
      <c r="AT28" s="28">
        <v>500</v>
      </c>
      <c r="AU28" s="28">
        <v>231.1399999999999</v>
      </c>
      <c r="AV28" s="28">
        <v>500</v>
      </c>
      <c r="AW28" s="28">
        <v>500</v>
      </c>
      <c r="AX28" s="28">
        <v>231.1399999999999</v>
      </c>
      <c r="AY28" s="28">
        <v>500</v>
      </c>
      <c r="AZ28" s="28">
        <v>500</v>
      </c>
      <c r="BA28" s="28">
        <v>339.04000000000065</v>
      </c>
      <c r="BB28" s="28">
        <v>500</v>
      </c>
      <c r="BC28" s="28">
        <v>500</v>
      </c>
      <c r="BD28" s="28">
        <v>271.33999999999992</v>
      </c>
      <c r="BE28" s="28">
        <v>500</v>
      </c>
      <c r="BF28" s="28">
        <v>500</v>
      </c>
      <c r="BG28" s="28">
        <v>196.8486725663717</v>
      </c>
      <c r="BH28" s="28">
        <v>500</v>
      </c>
      <c r="BI28" s="28">
        <v>477.13999999999993</v>
      </c>
      <c r="BJ28" s="28">
        <v>176.28867256637162</v>
      </c>
      <c r="BK28" s="28">
        <v>500</v>
      </c>
      <c r="BL28" s="28">
        <v>500</v>
      </c>
      <c r="BM28" s="28">
        <v>226.45726027397274</v>
      </c>
      <c r="BN28" s="28">
        <v>500</v>
      </c>
      <c r="BO28" s="28">
        <v>500</v>
      </c>
      <c r="BP28" s="28">
        <v>105.2972602739724</v>
      </c>
      <c r="BQ28" s="28">
        <v>500</v>
      </c>
      <c r="BR28" s="28">
        <v>500</v>
      </c>
      <c r="BS28" s="28">
        <v>169.94000000000042</v>
      </c>
      <c r="BT28" s="28">
        <v>500</v>
      </c>
      <c r="BU28" s="28">
        <v>500</v>
      </c>
      <c r="BV28" s="28">
        <v>117.45224489795957</v>
      </c>
    </row>
    <row r="29" spans="1:74" x14ac:dyDescent="0.3">
      <c r="A29" s="29" t="s">
        <v>9</v>
      </c>
      <c r="B29" s="29" t="s">
        <v>64</v>
      </c>
      <c r="C29" s="28">
        <v>500</v>
      </c>
      <c r="D29" s="28">
        <v>500</v>
      </c>
      <c r="E29" s="28">
        <v>100</v>
      </c>
      <c r="F29" s="28">
        <v>0</v>
      </c>
      <c r="G29" s="28">
        <v>0</v>
      </c>
      <c r="H29" s="28">
        <v>0</v>
      </c>
      <c r="I29" s="28">
        <v>500</v>
      </c>
      <c r="J29" s="28">
        <v>500</v>
      </c>
      <c r="K29" s="28">
        <v>100</v>
      </c>
      <c r="L29" s="28">
        <v>0</v>
      </c>
      <c r="M29" s="28">
        <v>0</v>
      </c>
      <c r="N29" s="28">
        <v>0</v>
      </c>
      <c r="O29" s="28">
        <v>500</v>
      </c>
      <c r="P29" s="28">
        <v>500</v>
      </c>
      <c r="Q29" s="28">
        <v>100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500</v>
      </c>
      <c r="AH29" s="28">
        <v>500</v>
      </c>
      <c r="AI29" s="28">
        <v>100</v>
      </c>
      <c r="AJ29" s="28">
        <v>0</v>
      </c>
      <c r="AK29" s="28">
        <v>0</v>
      </c>
      <c r="AL29" s="28">
        <v>0</v>
      </c>
      <c r="AM29" s="28">
        <v>500</v>
      </c>
      <c r="AN29" s="28">
        <v>500</v>
      </c>
      <c r="AO29" s="28">
        <v>100</v>
      </c>
      <c r="AP29" s="28">
        <v>0</v>
      </c>
      <c r="AQ29" s="28">
        <v>0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>
        <v>0</v>
      </c>
      <c r="AX29" s="28">
        <v>0</v>
      </c>
      <c r="AY29" s="28">
        <v>500</v>
      </c>
      <c r="AZ29" s="28">
        <v>500</v>
      </c>
      <c r="BA29" s="28">
        <v>100</v>
      </c>
      <c r="BB29" s="28">
        <v>0</v>
      </c>
      <c r="BC29" s="28">
        <v>0</v>
      </c>
      <c r="BD29" s="28">
        <v>0</v>
      </c>
      <c r="BE29" s="28">
        <v>500</v>
      </c>
      <c r="BF29" s="28">
        <v>500</v>
      </c>
      <c r="BG29" s="28">
        <v>100</v>
      </c>
      <c r="BH29" s="28">
        <v>0</v>
      </c>
      <c r="BI29" s="28">
        <v>0</v>
      </c>
      <c r="BJ29" s="28">
        <v>0</v>
      </c>
      <c r="BK29" s="28">
        <v>500</v>
      </c>
      <c r="BL29" s="28">
        <v>500</v>
      </c>
      <c r="BM29" s="28">
        <v>100</v>
      </c>
      <c r="BN29" s="28">
        <v>0</v>
      </c>
      <c r="BO29" s="28">
        <v>0</v>
      </c>
      <c r="BP29" s="28">
        <v>0</v>
      </c>
      <c r="BQ29" s="28">
        <v>500</v>
      </c>
      <c r="BR29" s="28">
        <v>500</v>
      </c>
      <c r="BS29" s="28">
        <v>100</v>
      </c>
      <c r="BT29" s="28">
        <v>0</v>
      </c>
      <c r="BU29" s="28">
        <v>0</v>
      </c>
      <c r="BV29" s="28">
        <v>0</v>
      </c>
    </row>
    <row r="30" spans="1:74" x14ac:dyDescent="0.3">
      <c r="A30" s="29" t="s">
        <v>9</v>
      </c>
      <c r="B30" s="29" t="s">
        <v>65</v>
      </c>
      <c r="C30" s="28">
        <v>667.5</v>
      </c>
      <c r="D30" s="28">
        <v>667.5</v>
      </c>
      <c r="E30" s="28">
        <v>667.5</v>
      </c>
      <c r="F30" s="28">
        <v>667.5</v>
      </c>
      <c r="G30" s="28">
        <v>667.5</v>
      </c>
      <c r="H30" s="28">
        <v>667.5</v>
      </c>
      <c r="I30" s="28">
        <v>667.5</v>
      </c>
      <c r="J30" s="28">
        <v>667.5</v>
      </c>
      <c r="K30" s="28">
        <v>667.5</v>
      </c>
      <c r="L30" s="28">
        <v>667.5</v>
      </c>
      <c r="M30" s="28">
        <v>667.5</v>
      </c>
      <c r="N30" s="28">
        <v>667.5</v>
      </c>
      <c r="O30" s="28">
        <v>667.5</v>
      </c>
      <c r="P30" s="28">
        <v>667.5</v>
      </c>
      <c r="Q30" s="28">
        <v>667.5</v>
      </c>
      <c r="R30" s="28">
        <v>667.5</v>
      </c>
      <c r="S30" s="28">
        <v>667.5</v>
      </c>
      <c r="T30" s="28">
        <v>667.5</v>
      </c>
      <c r="U30" s="28">
        <v>667.5</v>
      </c>
      <c r="V30" s="28">
        <v>667.5</v>
      </c>
      <c r="W30" s="28">
        <v>667.5</v>
      </c>
      <c r="X30" s="28">
        <v>667.5</v>
      </c>
      <c r="Y30" s="28">
        <v>667.5</v>
      </c>
      <c r="Z30" s="28">
        <v>667.5</v>
      </c>
      <c r="AA30" s="28">
        <v>667.5</v>
      </c>
      <c r="AB30" s="28">
        <v>667.5</v>
      </c>
      <c r="AC30" s="28">
        <v>667.5</v>
      </c>
      <c r="AD30" s="28">
        <v>667.5</v>
      </c>
      <c r="AE30" s="28">
        <v>667.5</v>
      </c>
      <c r="AF30" s="28">
        <v>667.5</v>
      </c>
      <c r="AG30" s="28">
        <v>667.5</v>
      </c>
      <c r="AH30" s="28">
        <v>667.5</v>
      </c>
      <c r="AI30" s="28">
        <v>667.5</v>
      </c>
      <c r="AJ30" s="28">
        <v>667.5</v>
      </c>
      <c r="AK30" s="28">
        <v>667.5</v>
      </c>
      <c r="AL30" s="28">
        <v>667.5</v>
      </c>
      <c r="AM30" s="28">
        <v>667.5</v>
      </c>
      <c r="AN30" s="28">
        <v>667.5</v>
      </c>
      <c r="AO30" s="28">
        <v>667.5</v>
      </c>
      <c r="AP30" s="28">
        <v>667.5</v>
      </c>
      <c r="AQ30" s="28">
        <v>667.5</v>
      </c>
      <c r="AR30" s="28">
        <v>667.5</v>
      </c>
      <c r="AS30" s="28">
        <v>667.5</v>
      </c>
      <c r="AT30" s="28">
        <v>667.5</v>
      </c>
      <c r="AU30" s="28">
        <v>667.5</v>
      </c>
      <c r="AV30" s="28">
        <v>667.5</v>
      </c>
      <c r="AW30" s="28">
        <v>667.5</v>
      </c>
      <c r="AX30" s="28">
        <v>667.5</v>
      </c>
      <c r="AY30" s="28">
        <v>667.5</v>
      </c>
      <c r="AZ30" s="28">
        <v>667.5</v>
      </c>
      <c r="BA30" s="28">
        <v>667.5</v>
      </c>
      <c r="BB30" s="28">
        <v>667.5</v>
      </c>
      <c r="BC30" s="28">
        <v>667.5</v>
      </c>
      <c r="BD30" s="28">
        <v>667.5</v>
      </c>
      <c r="BE30" s="28">
        <v>667.5</v>
      </c>
      <c r="BF30" s="28">
        <v>667.5</v>
      </c>
      <c r="BG30" s="28">
        <v>667.5</v>
      </c>
      <c r="BH30" s="28">
        <v>667.5</v>
      </c>
      <c r="BI30" s="28">
        <v>667.5</v>
      </c>
      <c r="BJ30" s="28">
        <v>667.5</v>
      </c>
      <c r="BK30" s="28">
        <v>667.5</v>
      </c>
      <c r="BL30" s="28">
        <v>667.5</v>
      </c>
      <c r="BM30" s="28">
        <v>667.5</v>
      </c>
      <c r="BN30" s="28">
        <v>667.5</v>
      </c>
      <c r="BO30" s="28">
        <v>667.5</v>
      </c>
      <c r="BP30" s="28">
        <v>667.5</v>
      </c>
      <c r="BQ30" s="28">
        <v>667.5</v>
      </c>
      <c r="BR30" s="28">
        <v>667.5</v>
      </c>
      <c r="BS30" s="28">
        <v>667.5</v>
      </c>
      <c r="BT30" s="28">
        <v>667.5</v>
      </c>
      <c r="BU30" s="28">
        <v>667.5</v>
      </c>
      <c r="BV30" s="28">
        <v>667.5</v>
      </c>
    </row>
    <row r="31" spans="1:74" x14ac:dyDescent="0.3">
      <c r="A31" s="29" t="s">
        <v>9</v>
      </c>
      <c r="B31" s="29" t="s">
        <v>66</v>
      </c>
      <c r="C31" s="28">
        <v>0</v>
      </c>
      <c r="D31" s="28">
        <v>0</v>
      </c>
      <c r="E31" s="28">
        <v>0</v>
      </c>
      <c r="F31" s="28">
        <v>0</v>
      </c>
      <c r="G31" s="28">
        <v>0</v>
      </c>
      <c r="H31" s="28">
        <v>0</v>
      </c>
      <c r="I31" s="28">
        <v>0</v>
      </c>
      <c r="J31" s="28">
        <v>0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  <c r="AL31" s="28">
        <v>0</v>
      </c>
      <c r="AM31" s="28">
        <v>0</v>
      </c>
      <c r="AN31" s="28">
        <v>0</v>
      </c>
      <c r="AO31" s="28">
        <v>0</v>
      </c>
      <c r="AP31" s="28">
        <v>0</v>
      </c>
      <c r="AQ31" s="28">
        <v>0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>
        <v>0</v>
      </c>
      <c r="AX31" s="28">
        <v>0</v>
      </c>
      <c r="AY31" s="28">
        <v>0</v>
      </c>
      <c r="AZ31" s="28">
        <v>0</v>
      </c>
      <c r="BA31" s="28">
        <v>0</v>
      </c>
      <c r="BB31" s="28">
        <v>0</v>
      </c>
      <c r="BC31" s="28">
        <v>0</v>
      </c>
      <c r="BD31" s="28">
        <v>0</v>
      </c>
      <c r="BE31" s="28">
        <v>0</v>
      </c>
      <c r="BF31" s="28">
        <v>0</v>
      </c>
      <c r="BG31" s="28">
        <v>0</v>
      </c>
      <c r="BH31" s="28">
        <v>0</v>
      </c>
      <c r="BI31" s="28">
        <v>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8">
        <v>0</v>
      </c>
      <c r="BQ31" s="28">
        <v>0</v>
      </c>
      <c r="BR31" s="28">
        <v>0</v>
      </c>
      <c r="BS31" s="28">
        <v>0</v>
      </c>
      <c r="BT31" s="28">
        <v>0</v>
      </c>
      <c r="BU31" s="28">
        <v>0</v>
      </c>
      <c r="BV31" s="28">
        <v>0</v>
      </c>
    </row>
    <row r="32" spans="1:74" x14ac:dyDescent="0.3">
      <c r="A32" s="29" t="s">
        <v>9</v>
      </c>
      <c r="B32" s="29" t="s">
        <v>67</v>
      </c>
      <c r="C32" s="28">
        <v>0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</v>
      </c>
      <c r="K32" s="28">
        <v>0</v>
      </c>
      <c r="L32" s="28">
        <v>0</v>
      </c>
      <c r="M32" s="28">
        <v>0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8">
        <v>0</v>
      </c>
      <c r="U32" s="28">
        <v>0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  <c r="AL32" s="28">
        <v>0</v>
      </c>
      <c r="AM32" s="28">
        <v>0</v>
      </c>
      <c r="AN32" s="28">
        <v>0</v>
      </c>
      <c r="AO32" s="28">
        <v>0</v>
      </c>
      <c r="AP32" s="28">
        <v>0</v>
      </c>
      <c r="AQ32" s="28">
        <v>0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>
        <v>0</v>
      </c>
      <c r="AX32" s="28">
        <v>0</v>
      </c>
      <c r="AY32" s="28">
        <v>0</v>
      </c>
      <c r="AZ32" s="28">
        <v>0</v>
      </c>
      <c r="BA32" s="28">
        <v>0</v>
      </c>
      <c r="BB32" s="28">
        <v>0</v>
      </c>
      <c r="BC32" s="28">
        <v>0</v>
      </c>
      <c r="BD32" s="28">
        <v>0</v>
      </c>
      <c r="BE32" s="28">
        <v>0</v>
      </c>
      <c r="BF32" s="28">
        <v>0</v>
      </c>
      <c r="BG32" s="28">
        <v>0</v>
      </c>
      <c r="BH32" s="28">
        <v>0</v>
      </c>
      <c r="BI32" s="28">
        <v>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8">
        <v>0</v>
      </c>
      <c r="BQ32" s="28">
        <v>0</v>
      </c>
      <c r="BR32" s="28">
        <v>0</v>
      </c>
      <c r="BS32" s="28">
        <v>0</v>
      </c>
      <c r="BT32" s="28">
        <v>0</v>
      </c>
      <c r="BU32" s="28">
        <v>0</v>
      </c>
      <c r="BV32" s="28">
        <v>0</v>
      </c>
    </row>
    <row r="33" spans="1:74" x14ac:dyDescent="0.3">
      <c r="A33" s="29" t="s">
        <v>9</v>
      </c>
      <c r="B33" s="29" t="s">
        <v>68</v>
      </c>
      <c r="C33" s="28">
        <v>0</v>
      </c>
      <c r="D33" s="28">
        <v>0</v>
      </c>
      <c r="E33" s="28">
        <v>0</v>
      </c>
      <c r="F33" s="28">
        <v>0</v>
      </c>
      <c r="G33" s="28">
        <v>0</v>
      </c>
      <c r="H33" s="28">
        <v>0</v>
      </c>
      <c r="I33" s="28">
        <v>0</v>
      </c>
      <c r="J33" s="28">
        <v>0</v>
      </c>
      <c r="K33" s="28">
        <v>0</v>
      </c>
      <c r="L33" s="28">
        <v>0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0</v>
      </c>
      <c r="AN33" s="28">
        <v>0</v>
      </c>
      <c r="AO33" s="28">
        <v>0</v>
      </c>
      <c r="AP33" s="28">
        <v>0</v>
      </c>
      <c r="AQ33" s="28">
        <v>0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>
        <v>0</v>
      </c>
      <c r="AX33" s="28">
        <v>0</v>
      </c>
      <c r="AY33" s="28">
        <v>0</v>
      </c>
      <c r="AZ33" s="28">
        <v>0</v>
      </c>
      <c r="BA33" s="28">
        <v>0</v>
      </c>
      <c r="BB33" s="28">
        <v>0</v>
      </c>
      <c r="BC33" s="28">
        <v>0</v>
      </c>
      <c r="BD33" s="28">
        <v>0</v>
      </c>
      <c r="BE33" s="28">
        <v>0</v>
      </c>
      <c r="BF33" s="28">
        <v>0</v>
      </c>
      <c r="BG33" s="28">
        <v>0</v>
      </c>
      <c r="BH33" s="28">
        <v>0</v>
      </c>
      <c r="BI33" s="28">
        <v>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8">
        <v>0</v>
      </c>
      <c r="BQ33" s="28">
        <v>0</v>
      </c>
      <c r="BR33" s="28">
        <v>0</v>
      </c>
      <c r="BS33" s="28">
        <v>0</v>
      </c>
      <c r="BT33" s="28">
        <v>0</v>
      </c>
      <c r="BU33" s="28">
        <v>0</v>
      </c>
      <c r="BV33" s="28">
        <v>0</v>
      </c>
    </row>
    <row r="34" spans="1:74" x14ac:dyDescent="0.3">
      <c r="A34" s="29" t="s">
        <v>9</v>
      </c>
      <c r="B34" s="29" t="s">
        <v>69</v>
      </c>
      <c r="C34" s="28">
        <v>0</v>
      </c>
      <c r="D34" s="28">
        <v>0</v>
      </c>
      <c r="E34" s="28">
        <v>0</v>
      </c>
      <c r="F34" s="28">
        <v>0</v>
      </c>
      <c r="G34" s="28">
        <v>0</v>
      </c>
      <c r="H34" s="28">
        <v>0</v>
      </c>
      <c r="I34" s="28">
        <v>0</v>
      </c>
      <c r="J34" s="28">
        <v>0</v>
      </c>
      <c r="K34" s="28">
        <v>0</v>
      </c>
      <c r="L34" s="28">
        <v>0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  <c r="AL34" s="28">
        <v>0</v>
      </c>
      <c r="AM34" s="28">
        <v>0</v>
      </c>
      <c r="AN34" s="28">
        <v>0</v>
      </c>
      <c r="AO34" s="28">
        <v>0</v>
      </c>
      <c r="AP34" s="28">
        <v>0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>
        <v>0</v>
      </c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>
        <v>0</v>
      </c>
      <c r="BD34" s="28">
        <v>0</v>
      </c>
      <c r="BE34" s="28">
        <v>0</v>
      </c>
      <c r="BF34" s="28">
        <v>0</v>
      </c>
      <c r="BG34" s="28">
        <v>0</v>
      </c>
      <c r="BH34" s="28">
        <v>0</v>
      </c>
      <c r="BI34" s="28">
        <v>0</v>
      </c>
      <c r="BJ34" s="28">
        <v>0</v>
      </c>
      <c r="BK34" s="28">
        <v>0</v>
      </c>
      <c r="BL34" s="28">
        <v>0</v>
      </c>
      <c r="BM34" s="28">
        <v>0</v>
      </c>
      <c r="BN34" s="28">
        <v>0</v>
      </c>
      <c r="BO34" s="28">
        <v>0</v>
      </c>
      <c r="BP34" s="28">
        <v>0</v>
      </c>
      <c r="BQ34" s="28">
        <v>0</v>
      </c>
      <c r="BR34" s="28">
        <v>0</v>
      </c>
      <c r="BS34" s="28">
        <v>0</v>
      </c>
      <c r="BT34" s="28">
        <v>0</v>
      </c>
      <c r="BU34" s="28">
        <v>0</v>
      </c>
      <c r="BV34" s="28">
        <v>0</v>
      </c>
    </row>
    <row r="35" spans="1:74" x14ac:dyDescent="0.3">
      <c r="A35" s="29" t="s">
        <v>9</v>
      </c>
      <c r="B35" s="29" t="s">
        <v>27</v>
      </c>
      <c r="C35" s="28">
        <v>150</v>
      </c>
      <c r="D35" s="28">
        <v>150</v>
      </c>
      <c r="E35" s="28">
        <v>149.99727272727273</v>
      </c>
      <c r="F35" s="28">
        <v>150</v>
      </c>
      <c r="G35" s="28">
        <v>150</v>
      </c>
      <c r="H35" s="28">
        <v>67.340000000000117</v>
      </c>
      <c r="I35" s="28">
        <v>150</v>
      </c>
      <c r="J35" s="28">
        <v>150</v>
      </c>
      <c r="K35" s="28">
        <v>101.79130434782611</v>
      </c>
      <c r="L35" s="28">
        <v>150</v>
      </c>
      <c r="M35" s="28">
        <v>150</v>
      </c>
      <c r="N35" s="28">
        <v>101.79130434782611</v>
      </c>
      <c r="O35" s="28">
        <v>150</v>
      </c>
      <c r="P35" s="28">
        <v>150</v>
      </c>
      <c r="Q35" s="28">
        <v>105.26349206349214</v>
      </c>
      <c r="R35" s="28">
        <v>150</v>
      </c>
      <c r="S35" s="28">
        <v>150</v>
      </c>
      <c r="T35" s="28">
        <v>97.7</v>
      </c>
      <c r="U35" s="28">
        <v>150</v>
      </c>
      <c r="V35" s="28">
        <v>150</v>
      </c>
      <c r="W35" s="28">
        <v>35.780104712041997</v>
      </c>
      <c r="X35" s="28">
        <v>150</v>
      </c>
      <c r="Y35" s="28">
        <v>150</v>
      </c>
      <c r="Z35" s="28">
        <v>35.780104712041997</v>
      </c>
      <c r="AA35" s="28">
        <v>150</v>
      </c>
      <c r="AB35" s="28">
        <v>139.02211764705882</v>
      </c>
      <c r="AC35" s="28">
        <v>0</v>
      </c>
      <c r="AD35" s="28">
        <v>150</v>
      </c>
      <c r="AE35" s="28">
        <v>139.02211764705882</v>
      </c>
      <c r="AF35" s="28">
        <v>0</v>
      </c>
      <c r="AG35" s="28">
        <v>150</v>
      </c>
      <c r="AH35" s="28">
        <v>92.554285714285811</v>
      </c>
      <c r="AI35" s="28">
        <v>0</v>
      </c>
      <c r="AJ35" s="28">
        <v>150</v>
      </c>
      <c r="AK35" s="28">
        <v>42.754285714285523</v>
      </c>
      <c r="AL35" s="28">
        <v>0</v>
      </c>
      <c r="AM35" s="28">
        <v>150</v>
      </c>
      <c r="AN35" s="28">
        <v>86.646153846153879</v>
      </c>
      <c r="AO35" s="28">
        <v>0</v>
      </c>
      <c r="AP35" s="28">
        <v>150</v>
      </c>
      <c r="AQ35" s="28">
        <v>59.24615384615381</v>
      </c>
      <c r="AR35" s="28">
        <v>0</v>
      </c>
      <c r="AS35" s="28">
        <v>150</v>
      </c>
      <c r="AT35" s="28">
        <v>117.62097902097902</v>
      </c>
      <c r="AU35" s="28">
        <v>0</v>
      </c>
      <c r="AV35" s="28">
        <v>150</v>
      </c>
      <c r="AW35" s="28">
        <v>0</v>
      </c>
      <c r="AX35" s="28">
        <v>0</v>
      </c>
      <c r="AY35" s="28">
        <v>150</v>
      </c>
      <c r="AZ35" s="28">
        <v>150</v>
      </c>
      <c r="BA35" s="28">
        <v>0</v>
      </c>
      <c r="BB35" s="28">
        <v>150</v>
      </c>
      <c r="BC35" s="28">
        <v>141.32307692307688</v>
      </c>
      <c r="BD35" s="28">
        <v>0</v>
      </c>
      <c r="BE35" s="28">
        <v>150</v>
      </c>
      <c r="BF35" s="28">
        <v>150</v>
      </c>
      <c r="BG35" s="28">
        <v>50.251327433628333</v>
      </c>
      <c r="BH35" s="28">
        <v>150</v>
      </c>
      <c r="BI35" s="28">
        <v>150</v>
      </c>
      <c r="BJ35" s="28">
        <v>50.251327433628333</v>
      </c>
      <c r="BK35" s="28">
        <v>150</v>
      </c>
      <c r="BL35" s="28">
        <v>150</v>
      </c>
      <c r="BM35" s="28">
        <v>106.60273972602741</v>
      </c>
      <c r="BN35" s="28">
        <v>150</v>
      </c>
      <c r="BO35" s="28">
        <v>150</v>
      </c>
      <c r="BP35" s="28">
        <v>106.60273972602741</v>
      </c>
      <c r="BQ35" s="28">
        <v>150</v>
      </c>
      <c r="BR35" s="28">
        <v>150</v>
      </c>
      <c r="BS35" s="28">
        <v>150</v>
      </c>
      <c r="BT35" s="28">
        <v>150</v>
      </c>
      <c r="BU35" s="28">
        <v>150</v>
      </c>
      <c r="BV35" s="28">
        <v>49.787755102040819</v>
      </c>
    </row>
    <row r="36" spans="1:74" x14ac:dyDescent="0.3">
      <c r="A36" s="29" t="s">
        <v>9</v>
      </c>
      <c r="B36" s="29" t="s">
        <v>95</v>
      </c>
      <c r="C36" s="28">
        <v>200</v>
      </c>
      <c r="D36" s="28">
        <v>15.456005194804993</v>
      </c>
      <c r="E36" s="28">
        <v>0</v>
      </c>
      <c r="F36" s="28">
        <v>200</v>
      </c>
      <c r="G36" s="28">
        <v>0</v>
      </c>
      <c r="H36" s="28">
        <v>0</v>
      </c>
      <c r="I36" s="28">
        <v>200</v>
      </c>
      <c r="J36" s="28">
        <v>58.974298019802212</v>
      </c>
      <c r="K36" s="28">
        <v>0</v>
      </c>
      <c r="L36" s="28">
        <v>200</v>
      </c>
      <c r="M36" s="28">
        <v>58.974298019802205</v>
      </c>
      <c r="N36" s="28">
        <v>0</v>
      </c>
      <c r="O36" s="28">
        <v>200</v>
      </c>
      <c r="P36" s="28">
        <v>0</v>
      </c>
      <c r="Q36" s="28">
        <v>0</v>
      </c>
      <c r="R36" s="28">
        <v>200</v>
      </c>
      <c r="S36" s="28">
        <v>0</v>
      </c>
      <c r="T36" s="28">
        <v>0</v>
      </c>
      <c r="U36" s="28">
        <v>200</v>
      </c>
      <c r="V36" s="28">
        <v>28.900000000000258</v>
      </c>
      <c r="W36" s="28">
        <v>0</v>
      </c>
      <c r="X36" s="28">
        <v>58.400000000000006</v>
      </c>
      <c r="Y36" s="28">
        <v>0</v>
      </c>
      <c r="Z36" s="28">
        <v>0</v>
      </c>
      <c r="AA36" s="28">
        <v>200</v>
      </c>
      <c r="AB36" s="28">
        <v>52.704697411764144</v>
      </c>
      <c r="AC36" s="28">
        <v>0</v>
      </c>
      <c r="AD36" s="28">
        <v>200</v>
      </c>
      <c r="AE36" s="28">
        <v>52.704697411764144</v>
      </c>
      <c r="AF36" s="28">
        <v>0</v>
      </c>
      <c r="AG36" s="28">
        <v>184.29999999999953</v>
      </c>
      <c r="AH36" s="28">
        <v>0</v>
      </c>
      <c r="AI36" s="28">
        <v>0</v>
      </c>
      <c r="AJ36" s="28">
        <v>76.500000000000284</v>
      </c>
      <c r="AK36" s="28">
        <v>0</v>
      </c>
      <c r="AL36" s="28">
        <v>0</v>
      </c>
      <c r="AM36" s="28">
        <v>200</v>
      </c>
      <c r="AN36" s="28">
        <v>0</v>
      </c>
      <c r="AO36" s="28">
        <v>0</v>
      </c>
      <c r="AP36" s="28">
        <v>188.60000000000016</v>
      </c>
      <c r="AQ36" s="28">
        <v>0</v>
      </c>
      <c r="AR36" s="28">
        <v>0</v>
      </c>
      <c r="AS36" s="28">
        <v>200</v>
      </c>
      <c r="AT36" s="28">
        <v>106.17902097902149</v>
      </c>
      <c r="AU36" s="28">
        <v>0</v>
      </c>
      <c r="AV36" s="28">
        <v>0</v>
      </c>
      <c r="AW36" s="28">
        <v>0</v>
      </c>
      <c r="AX36" s="28">
        <v>0</v>
      </c>
      <c r="AY36" s="28">
        <v>72.800000000000196</v>
      </c>
      <c r="AZ36" s="28">
        <v>0</v>
      </c>
      <c r="BA36" s="28">
        <v>0</v>
      </c>
      <c r="BB36" s="28">
        <v>72.800000000000196</v>
      </c>
      <c r="BC36" s="28">
        <v>0</v>
      </c>
      <c r="BD36" s="28">
        <v>0</v>
      </c>
      <c r="BE36" s="28">
        <v>0</v>
      </c>
      <c r="BF36" s="28">
        <v>0</v>
      </c>
      <c r="BG36" s="28">
        <v>0</v>
      </c>
      <c r="BH36" s="28">
        <v>0</v>
      </c>
      <c r="BI36" s="28">
        <v>0</v>
      </c>
      <c r="BJ36" s="28">
        <v>0</v>
      </c>
      <c r="BK36" s="28">
        <v>200</v>
      </c>
      <c r="BL36" s="28">
        <v>13.574694603174578</v>
      </c>
      <c r="BM36" s="28">
        <v>0</v>
      </c>
      <c r="BN36" s="28">
        <v>150.8000000000001</v>
      </c>
      <c r="BO36" s="28">
        <v>0</v>
      </c>
      <c r="BP36" s="28">
        <v>0</v>
      </c>
      <c r="BQ36" s="28">
        <v>200</v>
      </c>
      <c r="BR36" s="28">
        <v>0</v>
      </c>
      <c r="BS36" s="28">
        <v>0</v>
      </c>
      <c r="BT36" s="28">
        <v>200</v>
      </c>
      <c r="BU36" s="28">
        <v>0</v>
      </c>
      <c r="BV36" s="28">
        <v>0</v>
      </c>
    </row>
    <row r="37" spans="1:74" x14ac:dyDescent="0.3">
      <c r="A37" s="29" t="s">
        <v>9</v>
      </c>
      <c r="B37" s="29" t="s">
        <v>96</v>
      </c>
      <c r="C37" s="28">
        <v>200</v>
      </c>
      <c r="D37" s="28">
        <v>0</v>
      </c>
      <c r="E37" s="28">
        <v>0</v>
      </c>
      <c r="F37" s="28">
        <v>78.600000000000065</v>
      </c>
      <c r="G37" s="28">
        <v>0</v>
      </c>
      <c r="H37" s="28">
        <v>0</v>
      </c>
      <c r="I37" s="28">
        <v>136.99999999999986</v>
      </c>
      <c r="J37" s="28">
        <v>0</v>
      </c>
      <c r="K37" s="28">
        <v>0</v>
      </c>
      <c r="L37" s="28">
        <v>136.99999999999986</v>
      </c>
      <c r="M37" s="28">
        <v>0</v>
      </c>
      <c r="N37" s="28">
        <v>0</v>
      </c>
      <c r="O37" s="28">
        <v>104.29999999999967</v>
      </c>
      <c r="P37" s="28">
        <v>0</v>
      </c>
      <c r="Q37" s="28">
        <v>0</v>
      </c>
      <c r="R37" s="28">
        <v>17.699999999999825</v>
      </c>
      <c r="S37" s="28">
        <v>0</v>
      </c>
      <c r="T37" s="28">
        <v>0</v>
      </c>
      <c r="U37" s="28">
        <v>133.30000000000047</v>
      </c>
      <c r="V37" s="28">
        <v>0</v>
      </c>
      <c r="W37" s="28">
        <v>0</v>
      </c>
      <c r="X37" s="28">
        <v>0</v>
      </c>
      <c r="Y37" s="28">
        <v>0</v>
      </c>
      <c r="Z37" s="28">
        <v>0</v>
      </c>
      <c r="AA37" s="28">
        <v>184.60000000000016</v>
      </c>
      <c r="AB37" s="28">
        <v>1.9731849411772917</v>
      </c>
      <c r="AC37" s="28">
        <v>0</v>
      </c>
      <c r="AD37" s="28">
        <v>184.60000000000016</v>
      </c>
      <c r="AE37" s="28">
        <v>1.9731849411772917</v>
      </c>
      <c r="AF37" s="28">
        <v>0</v>
      </c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65.799999999999699</v>
      </c>
      <c r="AN37" s="28">
        <v>0</v>
      </c>
      <c r="AO37" s="28">
        <v>0</v>
      </c>
      <c r="AP37" s="28">
        <v>0</v>
      </c>
      <c r="AQ37" s="28">
        <v>0</v>
      </c>
      <c r="AR37" s="28">
        <v>0</v>
      </c>
      <c r="AS37" s="28">
        <v>159.40000000000003</v>
      </c>
      <c r="AT37" s="28">
        <v>0</v>
      </c>
      <c r="AU37" s="28">
        <v>0</v>
      </c>
      <c r="AV37" s="28">
        <v>54.300000000000679</v>
      </c>
      <c r="AW37" s="28">
        <v>0</v>
      </c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>
        <v>0</v>
      </c>
      <c r="BD37" s="28">
        <v>0</v>
      </c>
      <c r="BE37" s="28">
        <v>58.499999999999773</v>
      </c>
      <c r="BF37" s="28">
        <v>0</v>
      </c>
      <c r="BG37" s="28">
        <v>0</v>
      </c>
      <c r="BH37" s="28">
        <v>58.499999999999773</v>
      </c>
      <c r="BI37" s="28">
        <v>0</v>
      </c>
      <c r="BJ37" s="28">
        <v>0</v>
      </c>
      <c r="BK37" s="28">
        <v>128.10000000000016</v>
      </c>
      <c r="BL37" s="28">
        <v>0</v>
      </c>
      <c r="BM37" s="28">
        <v>0</v>
      </c>
      <c r="BN37" s="28">
        <v>128.10000000000016</v>
      </c>
      <c r="BO37" s="28">
        <v>0</v>
      </c>
      <c r="BP37" s="28">
        <v>0</v>
      </c>
      <c r="BQ37" s="28">
        <v>182.12165294117133</v>
      </c>
      <c r="BR37" s="28">
        <v>0</v>
      </c>
      <c r="BS37" s="28">
        <v>0</v>
      </c>
      <c r="BT37" s="28">
        <v>41.60000000000008</v>
      </c>
      <c r="BU37" s="28">
        <v>0</v>
      </c>
      <c r="BV37" s="28">
        <v>0</v>
      </c>
    </row>
    <row r="38" spans="1:74" x14ac:dyDescent="0.3">
      <c r="A38" s="29" t="s">
        <v>9</v>
      </c>
      <c r="B38" s="29" t="s">
        <v>97</v>
      </c>
      <c r="C38" s="28">
        <v>200</v>
      </c>
      <c r="D38" s="28">
        <v>200</v>
      </c>
      <c r="E38" s="28">
        <v>0</v>
      </c>
      <c r="F38" s="28">
        <v>200</v>
      </c>
      <c r="G38" s="28">
        <v>87.840000000000359</v>
      </c>
      <c r="H38" s="28">
        <v>0</v>
      </c>
      <c r="I38" s="28">
        <v>200</v>
      </c>
      <c r="J38" s="28">
        <v>104.72570198019815</v>
      </c>
      <c r="K38" s="28">
        <v>0</v>
      </c>
      <c r="L38" s="28">
        <v>200</v>
      </c>
      <c r="M38" s="28">
        <v>104.72570198019815</v>
      </c>
      <c r="N38" s="28">
        <v>0</v>
      </c>
      <c r="O38" s="28">
        <v>200</v>
      </c>
      <c r="P38" s="28">
        <v>178.2000000000003</v>
      </c>
      <c r="Q38" s="28">
        <v>0</v>
      </c>
      <c r="R38" s="28">
        <v>200</v>
      </c>
      <c r="S38" s="28">
        <v>16.799999999999869</v>
      </c>
      <c r="T38" s="28">
        <v>0</v>
      </c>
      <c r="U38" s="28">
        <v>200</v>
      </c>
      <c r="V38" s="28">
        <v>200</v>
      </c>
      <c r="W38" s="28">
        <v>0</v>
      </c>
      <c r="X38" s="28">
        <v>200</v>
      </c>
      <c r="Y38" s="28">
        <v>0</v>
      </c>
      <c r="Z38" s="28">
        <v>0</v>
      </c>
      <c r="AA38" s="28">
        <v>200</v>
      </c>
      <c r="AB38" s="28">
        <v>200</v>
      </c>
      <c r="AC38" s="28">
        <v>11.000000000000398</v>
      </c>
      <c r="AD38" s="28">
        <v>200</v>
      </c>
      <c r="AE38" s="28">
        <v>200</v>
      </c>
      <c r="AF38" s="28">
        <v>11.000000000000398</v>
      </c>
      <c r="AG38" s="28">
        <v>200</v>
      </c>
      <c r="AH38" s="28">
        <v>67.245714285714413</v>
      </c>
      <c r="AI38" s="28">
        <v>0</v>
      </c>
      <c r="AJ38" s="28">
        <v>200</v>
      </c>
      <c r="AK38" s="28">
        <v>67.245714285714413</v>
      </c>
      <c r="AL38" s="28">
        <v>0</v>
      </c>
      <c r="AM38" s="28">
        <v>200</v>
      </c>
      <c r="AN38" s="28">
        <v>163.55384615384617</v>
      </c>
      <c r="AO38" s="28">
        <v>0</v>
      </c>
      <c r="AP38" s="28">
        <v>200</v>
      </c>
      <c r="AQ38" s="28">
        <v>163.55384615384614</v>
      </c>
      <c r="AR38" s="28">
        <v>0</v>
      </c>
      <c r="AS38" s="28">
        <v>200</v>
      </c>
      <c r="AT38" s="28">
        <v>200</v>
      </c>
      <c r="AU38" s="28">
        <v>0</v>
      </c>
      <c r="AV38" s="28">
        <v>200</v>
      </c>
      <c r="AW38" s="28">
        <v>75.700000000000045</v>
      </c>
      <c r="AX38" s="28">
        <v>0</v>
      </c>
      <c r="AY38" s="28">
        <v>200</v>
      </c>
      <c r="AZ38" s="28">
        <v>0</v>
      </c>
      <c r="BA38" s="28">
        <v>0</v>
      </c>
      <c r="BB38" s="28">
        <v>200</v>
      </c>
      <c r="BC38" s="28">
        <v>0</v>
      </c>
      <c r="BD38" s="28">
        <v>0</v>
      </c>
      <c r="BE38" s="28">
        <v>200</v>
      </c>
      <c r="BF38" s="28">
        <v>0</v>
      </c>
      <c r="BG38" s="28">
        <v>0</v>
      </c>
      <c r="BH38" s="28">
        <v>200</v>
      </c>
      <c r="BI38" s="28">
        <v>0</v>
      </c>
      <c r="BJ38" s="28">
        <v>0</v>
      </c>
      <c r="BK38" s="28">
        <v>200</v>
      </c>
      <c r="BL38" s="28">
        <v>103.82530539682531</v>
      </c>
      <c r="BM38" s="28">
        <v>0</v>
      </c>
      <c r="BN38" s="28">
        <v>200</v>
      </c>
      <c r="BO38" s="28">
        <v>91.800000000000054</v>
      </c>
      <c r="BP38" s="28">
        <v>0</v>
      </c>
      <c r="BQ38" s="28">
        <v>200</v>
      </c>
      <c r="BR38" s="28">
        <v>24.69541497326059</v>
      </c>
      <c r="BS38" s="28">
        <v>0</v>
      </c>
      <c r="BT38" s="28">
        <v>200</v>
      </c>
      <c r="BU38" s="28">
        <v>0</v>
      </c>
      <c r="BV38" s="28">
        <v>0</v>
      </c>
    </row>
    <row r="39" spans="1:74" x14ac:dyDescent="0.3">
      <c r="A39" s="29" t="s">
        <v>9</v>
      </c>
      <c r="B39" s="29" t="s">
        <v>28</v>
      </c>
      <c r="C39" s="28">
        <v>200</v>
      </c>
      <c r="D39" s="28">
        <v>200</v>
      </c>
      <c r="E39" s="28">
        <v>200</v>
      </c>
      <c r="F39" s="28">
        <v>200</v>
      </c>
      <c r="G39" s="28">
        <v>200</v>
      </c>
      <c r="H39" s="28">
        <v>200</v>
      </c>
      <c r="I39" s="28">
        <v>200</v>
      </c>
      <c r="J39" s="28">
        <v>200</v>
      </c>
      <c r="K39" s="28">
        <v>200</v>
      </c>
      <c r="L39" s="28">
        <v>200</v>
      </c>
      <c r="M39" s="28">
        <v>200</v>
      </c>
      <c r="N39" s="28">
        <v>200</v>
      </c>
      <c r="O39" s="28">
        <v>200</v>
      </c>
      <c r="P39" s="28">
        <v>200</v>
      </c>
      <c r="Q39" s="28">
        <v>200</v>
      </c>
      <c r="R39" s="28">
        <v>200</v>
      </c>
      <c r="S39" s="28">
        <v>200</v>
      </c>
      <c r="T39" s="28">
        <v>200</v>
      </c>
      <c r="U39" s="28">
        <v>200</v>
      </c>
      <c r="V39" s="28">
        <v>200</v>
      </c>
      <c r="W39" s="28">
        <v>200</v>
      </c>
      <c r="X39" s="28">
        <v>200</v>
      </c>
      <c r="Y39" s="28">
        <v>200</v>
      </c>
      <c r="Z39" s="28">
        <v>200</v>
      </c>
      <c r="AA39" s="28">
        <v>200</v>
      </c>
      <c r="AB39" s="28">
        <v>200</v>
      </c>
      <c r="AC39" s="28">
        <v>200</v>
      </c>
      <c r="AD39" s="28">
        <v>200</v>
      </c>
      <c r="AE39" s="28">
        <v>200</v>
      </c>
      <c r="AF39" s="28">
        <v>200</v>
      </c>
      <c r="AG39" s="28">
        <v>200</v>
      </c>
      <c r="AH39" s="28">
        <v>200</v>
      </c>
      <c r="AI39" s="28">
        <v>200</v>
      </c>
      <c r="AJ39" s="28">
        <v>200</v>
      </c>
      <c r="AK39" s="28">
        <v>200</v>
      </c>
      <c r="AL39" s="28">
        <v>200</v>
      </c>
      <c r="AM39" s="28">
        <v>200</v>
      </c>
      <c r="AN39" s="28">
        <v>200</v>
      </c>
      <c r="AO39" s="28">
        <v>200</v>
      </c>
      <c r="AP39" s="28">
        <v>200</v>
      </c>
      <c r="AQ39" s="28">
        <v>200</v>
      </c>
      <c r="AR39" s="28">
        <v>200</v>
      </c>
      <c r="AS39" s="28">
        <v>200</v>
      </c>
      <c r="AT39" s="28">
        <v>200</v>
      </c>
      <c r="AU39" s="28">
        <v>200</v>
      </c>
      <c r="AV39" s="28">
        <v>200</v>
      </c>
      <c r="AW39" s="28">
        <v>200</v>
      </c>
      <c r="AX39" s="28">
        <v>200</v>
      </c>
      <c r="AY39" s="28">
        <v>200</v>
      </c>
      <c r="AZ39" s="28">
        <v>200</v>
      </c>
      <c r="BA39" s="28">
        <v>200</v>
      </c>
      <c r="BB39" s="28">
        <v>200</v>
      </c>
      <c r="BC39" s="28">
        <v>200</v>
      </c>
      <c r="BD39" s="28">
        <v>200</v>
      </c>
      <c r="BE39" s="28">
        <v>200</v>
      </c>
      <c r="BF39" s="28">
        <v>200</v>
      </c>
      <c r="BG39" s="28">
        <v>200</v>
      </c>
      <c r="BH39" s="28">
        <v>200</v>
      </c>
      <c r="BI39" s="28">
        <v>200</v>
      </c>
      <c r="BJ39" s="28">
        <v>200</v>
      </c>
      <c r="BK39" s="28">
        <v>200</v>
      </c>
      <c r="BL39" s="28">
        <v>200</v>
      </c>
      <c r="BM39" s="28">
        <v>200</v>
      </c>
      <c r="BN39" s="28">
        <v>200</v>
      </c>
      <c r="BO39" s="28">
        <v>200</v>
      </c>
      <c r="BP39" s="28">
        <v>200</v>
      </c>
      <c r="BQ39" s="28">
        <v>200</v>
      </c>
      <c r="BR39" s="28">
        <v>200</v>
      </c>
      <c r="BS39" s="28">
        <v>200</v>
      </c>
      <c r="BT39" s="28">
        <v>200</v>
      </c>
      <c r="BU39" s="28">
        <v>200</v>
      </c>
      <c r="BV39" s="28">
        <v>200</v>
      </c>
    </row>
    <row r="40" spans="1:74" x14ac:dyDescent="0.3">
      <c r="A40" s="29" t="s">
        <v>10</v>
      </c>
      <c r="B40" s="29" t="s">
        <v>60</v>
      </c>
      <c r="C40" s="28">
        <v>771.6</v>
      </c>
      <c r="D40" s="28">
        <v>771.6</v>
      </c>
      <c r="E40" s="28">
        <v>771.6</v>
      </c>
      <c r="F40" s="28">
        <v>771.6</v>
      </c>
      <c r="G40" s="28">
        <v>771.6</v>
      </c>
      <c r="H40" s="28">
        <v>771.6</v>
      </c>
      <c r="I40" s="28">
        <v>771.6</v>
      </c>
      <c r="J40" s="28">
        <v>771.6</v>
      </c>
      <c r="K40" s="28">
        <v>771.6</v>
      </c>
      <c r="L40" s="28">
        <v>771.6</v>
      </c>
      <c r="M40" s="28">
        <v>771.6</v>
      </c>
      <c r="N40" s="28">
        <v>771.6</v>
      </c>
      <c r="O40" s="28">
        <v>771.6</v>
      </c>
      <c r="P40" s="28">
        <v>771.6</v>
      </c>
      <c r="Q40" s="28">
        <v>771.6</v>
      </c>
      <c r="R40" s="28">
        <v>771.6</v>
      </c>
      <c r="S40" s="28">
        <v>771.6</v>
      </c>
      <c r="T40" s="28">
        <v>771.6</v>
      </c>
      <c r="U40" s="28">
        <v>771.6</v>
      </c>
      <c r="V40" s="28">
        <v>771.6</v>
      </c>
      <c r="W40" s="28">
        <v>771.6</v>
      </c>
      <c r="X40" s="28">
        <v>771.6</v>
      </c>
      <c r="Y40" s="28">
        <v>771.6</v>
      </c>
      <c r="Z40" s="28">
        <v>771.6</v>
      </c>
      <c r="AA40" s="28">
        <v>771.6</v>
      </c>
      <c r="AB40" s="28">
        <v>771.6</v>
      </c>
      <c r="AC40" s="28">
        <v>771.6</v>
      </c>
      <c r="AD40" s="28">
        <v>771.6</v>
      </c>
      <c r="AE40" s="28">
        <v>771.6</v>
      </c>
      <c r="AF40" s="28">
        <v>771.6</v>
      </c>
      <c r="AG40" s="28">
        <v>771.6</v>
      </c>
      <c r="AH40" s="28">
        <v>771.6</v>
      </c>
      <c r="AI40" s="28">
        <v>771.6</v>
      </c>
      <c r="AJ40" s="28">
        <v>771.6</v>
      </c>
      <c r="AK40" s="28">
        <v>771.6</v>
      </c>
      <c r="AL40" s="28">
        <v>771.6</v>
      </c>
      <c r="AM40" s="28">
        <v>771.6</v>
      </c>
      <c r="AN40" s="28">
        <v>771.6</v>
      </c>
      <c r="AO40" s="28">
        <v>771.6</v>
      </c>
      <c r="AP40" s="28">
        <v>771.6</v>
      </c>
      <c r="AQ40" s="28">
        <v>771.6</v>
      </c>
      <c r="AR40" s="28">
        <v>771.6</v>
      </c>
      <c r="AS40" s="28">
        <v>771.6</v>
      </c>
      <c r="AT40" s="28">
        <v>771.6</v>
      </c>
      <c r="AU40" s="28">
        <v>771.6</v>
      </c>
      <c r="AV40" s="28">
        <v>771.6</v>
      </c>
      <c r="AW40" s="28">
        <v>771.6</v>
      </c>
      <c r="AX40" s="28">
        <v>771.6</v>
      </c>
      <c r="AY40" s="28">
        <v>771.6</v>
      </c>
      <c r="AZ40" s="28">
        <v>771.6</v>
      </c>
      <c r="BA40" s="28">
        <v>771.6</v>
      </c>
      <c r="BB40" s="28">
        <v>771.6</v>
      </c>
      <c r="BC40" s="28">
        <v>771.6</v>
      </c>
      <c r="BD40" s="28">
        <v>771.6</v>
      </c>
      <c r="BE40" s="28">
        <v>771.6</v>
      </c>
      <c r="BF40" s="28">
        <v>771.6</v>
      </c>
      <c r="BG40" s="28">
        <v>771.6</v>
      </c>
      <c r="BH40" s="28">
        <v>771.6</v>
      </c>
      <c r="BI40" s="28">
        <v>771.6</v>
      </c>
      <c r="BJ40" s="28">
        <v>771.6</v>
      </c>
      <c r="BK40" s="28">
        <v>771.6</v>
      </c>
      <c r="BL40" s="28">
        <v>771.6</v>
      </c>
      <c r="BM40" s="28">
        <v>771.6</v>
      </c>
      <c r="BN40" s="28">
        <v>771.6</v>
      </c>
      <c r="BO40" s="28">
        <v>771.6</v>
      </c>
      <c r="BP40" s="28">
        <v>771.6</v>
      </c>
      <c r="BQ40" s="28">
        <v>771.6</v>
      </c>
      <c r="BR40" s="28">
        <v>771.6</v>
      </c>
      <c r="BS40" s="28">
        <v>771.6</v>
      </c>
      <c r="BT40" s="28">
        <v>771.6</v>
      </c>
      <c r="BU40" s="28">
        <v>771.6</v>
      </c>
      <c r="BV40" s="28">
        <v>771.6</v>
      </c>
    </row>
    <row r="41" spans="1:74" x14ac:dyDescent="0.3">
      <c r="A41" s="29" t="s">
        <v>10</v>
      </c>
      <c r="B41" s="29" t="s">
        <v>101</v>
      </c>
      <c r="C41" s="28">
        <v>235.19999999999996</v>
      </c>
      <c r="D41" s="28">
        <v>235.19999999999996</v>
      </c>
      <c r="E41" s="28">
        <v>235.19999999999996</v>
      </c>
      <c r="F41" s="28">
        <v>235.19999999999996</v>
      </c>
      <c r="G41" s="28">
        <v>235.19999999999996</v>
      </c>
      <c r="H41" s="28">
        <v>235.19999999999996</v>
      </c>
      <c r="I41" s="28">
        <v>570.10000000000093</v>
      </c>
      <c r="J41" s="28">
        <v>324.7945168484851</v>
      </c>
      <c r="K41" s="28">
        <v>235.19999999999996</v>
      </c>
      <c r="L41" s="28">
        <v>235.19999999999996</v>
      </c>
      <c r="M41" s="28">
        <v>235.19999999999996</v>
      </c>
      <c r="N41" s="28">
        <v>235.19999999999996</v>
      </c>
      <c r="O41" s="28">
        <v>235.19999999999996</v>
      </c>
      <c r="P41" s="28">
        <v>235.19999999999996</v>
      </c>
      <c r="Q41" s="28">
        <v>235.19999999999996</v>
      </c>
      <c r="R41" s="28">
        <v>235.19999999999996</v>
      </c>
      <c r="S41" s="28">
        <v>235.19999999999996</v>
      </c>
      <c r="T41" s="28">
        <v>235.19999999999996</v>
      </c>
      <c r="U41" s="28">
        <v>235.19999999999996</v>
      </c>
      <c r="V41" s="28">
        <v>235.19999999999996</v>
      </c>
      <c r="W41" s="28">
        <v>235.19999999999996</v>
      </c>
      <c r="X41" s="28">
        <v>235.19999999999996</v>
      </c>
      <c r="Y41" s="28">
        <v>235.19999999999996</v>
      </c>
      <c r="Z41" s="28">
        <v>235.19999999999996</v>
      </c>
      <c r="AA41" s="28">
        <v>235.19999999999996</v>
      </c>
      <c r="AB41" s="28">
        <v>244.91504975401156</v>
      </c>
      <c r="AC41" s="28">
        <v>235.19999999999996</v>
      </c>
      <c r="AD41" s="28">
        <v>235.19999999999996</v>
      </c>
      <c r="AE41" s="28">
        <v>244.91504975401156</v>
      </c>
      <c r="AF41" s="28">
        <v>235.19999999999996</v>
      </c>
      <c r="AG41" s="28">
        <v>235.19999999999996</v>
      </c>
      <c r="AH41" s="28">
        <v>235.19999999999996</v>
      </c>
      <c r="AI41" s="28">
        <v>235.19999999999996</v>
      </c>
      <c r="AJ41" s="28">
        <v>235.19999999999996</v>
      </c>
      <c r="AK41" s="28">
        <v>235.19999999999996</v>
      </c>
      <c r="AL41" s="28">
        <v>235.19999999999996</v>
      </c>
      <c r="AM41" s="28">
        <v>235.19999999999996</v>
      </c>
      <c r="AN41" s="28">
        <v>235.19999999999996</v>
      </c>
      <c r="AO41" s="28">
        <v>235.19999999999996</v>
      </c>
      <c r="AP41" s="28">
        <v>235.19999999999996</v>
      </c>
      <c r="AQ41" s="28">
        <v>235.19999999999996</v>
      </c>
      <c r="AR41" s="28">
        <v>235.19999999999996</v>
      </c>
      <c r="AS41" s="28">
        <v>235.19999999999996</v>
      </c>
      <c r="AT41" s="28">
        <v>235.19999999999996</v>
      </c>
      <c r="AU41" s="28">
        <v>235.19999999999996</v>
      </c>
      <c r="AV41" s="28">
        <v>0</v>
      </c>
      <c r="AW41" s="28">
        <v>0</v>
      </c>
      <c r="AX41" s="28">
        <v>0</v>
      </c>
      <c r="AY41" s="28">
        <v>235.19999999999996</v>
      </c>
      <c r="AZ41" s="28">
        <v>235.19999999999996</v>
      </c>
      <c r="BA41" s="28">
        <v>235.19999999999996</v>
      </c>
      <c r="BB41" s="28">
        <v>0</v>
      </c>
      <c r="BC41" s="28">
        <v>0</v>
      </c>
      <c r="BD41" s="28">
        <v>0</v>
      </c>
      <c r="BE41" s="28">
        <v>235.19999999999996</v>
      </c>
      <c r="BF41" s="28">
        <v>235.19999999999996</v>
      </c>
      <c r="BG41" s="28">
        <v>235.19999999999996</v>
      </c>
      <c r="BH41" s="28">
        <v>235.19999999999996</v>
      </c>
      <c r="BI41" s="28">
        <v>235.19999999999996</v>
      </c>
      <c r="BJ41" s="28">
        <v>235.19999999999996</v>
      </c>
      <c r="BK41" s="28">
        <v>468.90000000000049</v>
      </c>
      <c r="BL41" s="28">
        <v>235.19999999999996</v>
      </c>
      <c r="BM41" s="28">
        <v>235.19999999999996</v>
      </c>
      <c r="BN41" s="28">
        <v>235.19999999999996</v>
      </c>
      <c r="BO41" s="28">
        <v>235.19999999999996</v>
      </c>
      <c r="BP41" s="28">
        <v>235.19999999999996</v>
      </c>
      <c r="BQ41" s="28">
        <v>570.3000000000003</v>
      </c>
      <c r="BR41" s="28">
        <v>235.19999999999996</v>
      </c>
      <c r="BS41" s="28">
        <v>235.19999999999996</v>
      </c>
      <c r="BT41" s="28">
        <v>276.80000000000007</v>
      </c>
      <c r="BU41" s="28">
        <v>235.19999999999996</v>
      </c>
      <c r="BV41" s="28">
        <v>235.19999999999996</v>
      </c>
    </row>
    <row r="42" spans="1:74" x14ac:dyDescent="0.3">
      <c r="A42" s="29" t="s">
        <v>10</v>
      </c>
      <c r="B42" s="29" t="s">
        <v>61</v>
      </c>
      <c r="C42" s="28">
        <v>95.999999999999915</v>
      </c>
      <c r="D42" s="28">
        <v>81.239999999999995</v>
      </c>
      <c r="E42" s="28">
        <v>81.239999999999995</v>
      </c>
      <c r="F42" s="28">
        <v>0</v>
      </c>
      <c r="G42" s="28">
        <v>0</v>
      </c>
      <c r="H42" s="28">
        <v>0</v>
      </c>
      <c r="I42" s="28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28">
        <v>0</v>
      </c>
      <c r="P42" s="28">
        <v>0</v>
      </c>
      <c r="Q42" s="28">
        <v>0</v>
      </c>
      <c r="R42" s="28">
        <v>0</v>
      </c>
      <c r="S42" s="28">
        <v>0</v>
      </c>
      <c r="T42" s="28">
        <v>0</v>
      </c>
      <c r="U42" s="28">
        <v>0</v>
      </c>
      <c r="V42" s="28">
        <v>0</v>
      </c>
      <c r="W42" s="28">
        <v>0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151.79999999999922</v>
      </c>
      <c r="AH42" s="28">
        <v>184.04000000000025</v>
      </c>
      <c r="AI42" s="28">
        <v>81.239999999999995</v>
      </c>
      <c r="AJ42" s="28">
        <v>0</v>
      </c>
      <c r="AK42" s="28">
        <v>0</v>
      </c>
      <c r="AL42" s="28">
        <v>0</v>
      </c>
      <c r="AM42" s="28">
        <v>0</v>
      </c>
      <c r="AN42" s="28">
        <v>0</v>
      </c>
      <c r="AO42" s="28">
        <v>0</v>
      </c>
      <c r="AP42" s="28">
        <v>0</v>
      </c>
      <c r="AQ42" s="28">
        <v>0</v>
      </c>
      <c r="AR42" s="28">
        <v>0</v>
      </c>
      <c r="AS42" s="28">
        <v>0</v>
      </c>
      <c r="AT42" s="28">
        <v>0</v>
      </c>
      <c r="AU42" s="28">
        <v>0</v>
      </c>
      <c r="AV42" s="28">
        <v>0</v>
      </c>
      <c r="AW42" s="28">
        <v>0</v>
      </c>
      <c r="AX42" s="28">
        <v>0</v>
      </c>
      <c r="AY42" s="28">
        <v>0</v>
      </c>
      <c r="AZ42" s="28">
        <v>0</v>
      </c>
      <c r="BA42" s="28">
        <v>0</v>
      </c>
      <c r="BB42" s="28">
        <v>0</v>
      </c>
      <c r="BC42" s="28">
        <v>0</v>
      </c>
      <c r="BD42" s="28">
        <v>0</v>
      </c>
      <c r="BE42" s="28">
        <v>0</v>
      </c>
      <c r="BF42" s="28">
        <v>0</v>
      </c>
      <c r="BG42" s="28">
        <v>0</v>
      </c>
      <c r="BH42" s="28">
        <v>0</v>
      </c>
      <c r="BI42" s="28">
        <v>0</v>
      </c>
      <c r="BJ42" s="28">
        <v>0</v>
      </c>
      <c r="BK42" s="28">
        <v>203.1</v>
      </c>
      <c r="BL42" s="28">
        <v>203.1</v>
      </c>
      <c r="BM42" s="28">
        <v>81.239999999999995</v>
      </c>
      <c r="BN42" s="28">
        <v>203.1</v>
      </c>
      <c r="BO42" s="28">
        <v>197.40000000000006</v>
      </c>
      <c r="BP42" s="28">
        <v>81.239999999999995</v>
      </c>
      <c r="BQ42" s="28">
        <v>0</v>
      </c>
      <c r="BR42" s="28">
        <v>0</v>
      </c>
      <c r="BS42" s="28">
        <v>0</v>
      </c>
      <c r="BT42" s="28">
        <v>0</v>
      </c>
      <c r="BU42" s="28">
        <v>0</v>
      </c>
      <c r="BV42" s="28">
        <v>0</v>
      </c>
    </row>
    <row r="43" spans="1:74" x14ac:dyDescent="0.3">
      <c r="A43" s="29" t="s">
        <v>10</v>
      </c>
      <c r="B43" s="29" t="s">
        <v>103</v>
      </c>
      <c r="C43" s="28">
        <v>0</v>
      </c>
      <c r="D43" s="28">
        <v>0</v>
      </c>
      <c r="E43" s="28">
        <v>0</v>
      </c>
      <c r="F43" s="28">
        <v>0</v>
      </c>
      <c r="G43" s="28">
        <v>0</v>
      </c>
      <c r="H43" s="28">
        <v>0</v>
      </c>
      <c r="I43" s="28">
        <v>0</v>
      </c>
      <c r="J43" s="28">
        <v>0</v>
      </c>
      <c r="K43" s="28">
        <v>0</v>
      </c>
      <c r="L43" s="28">
        <v>0</v>
      </c>
      <c r="M43" s="28">
        <v>0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0</v>
      </c>
      <c r="W43" s="28">
        <v>0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150.4</v>
      </c>
      <c r="AH43" s="28">
        <v>60.159999999999989</v>
      </c>
      <c r="AI43" s="28">
        <v>60.159999999999989</v>
      </c>
      <c r="AJ43" s="28">
        <v>0</v>
      </c>
      <c r="AK43" s="28">
        <v>0</v>
      </c>
      <c r="AL43" s="28">
        <v>0</v>
      </c>
      <c r="AM43" s="28">
        <v>0</v>
      </c>
      <c r="AN43" s="28">
        <v>0</v>
      </c>
      <c r="AO43" s="28">
        <v>0</v>
      </c>
      <c r="AP43" s="28">
        <v>0</v>
      </c>
      <c r="AQ43" s="28">
        <v>0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>
        <v>0</v>
      </c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>
        <v>0</v>
      </c>
      <c r="BD43" s="28">
        <v>0</v>
      </c>
      <c r="BE43" s="28">
        <v>145.00000000000074</v>
      </c>
      <c r="BF43" s="28">
        <v>138.39999999999992</v>
      </c>
      <c r="BG43" s="28">
        <v>60.159999999999989</v>
      </c>
      <c r="BH43" s="28">
        <v>0</v>
      </c>
      <c r="BI43" s="28">
        <v>0</v>
      </c>
      <c r="BJ43" s="28">
        <v>0</v>
      </c>
      <c r="BK43" s="28">
        <v>0</v>
      </c>
      <c r="BL43" s="28">
        <v>0</v>
      </c>
      <c r="BM43" s="28">
        <v>0</v>
      </c>
      <c r="BN43" s="28">
        <v>0</v>
      </c>
      <c r="BO43" s="28">
        <v>0</v>
      </c>
      <c r="BP43" s="28">
        <v>0</v>
      </c>
      <c r="BQ43" s="28">
        <v>0</v>
      </c>
      <c r="BR43" s="28">
        <v>0</v>
      </c>
      <c r="BS43" s="28">
        <v>0</v>
      </c>
      <c r="BT43" s="28">
        <v>0</v>
      </c>
      <c r="BU43" s="28">
        <v>0</v>
      </c>
      <c r="BV43" s="28">
        <v>0</v>
      </c>
    </row>
    <row r="44" spans="1:74" x14ac:dyDescent="0.3">
      <c r="A44" s="29" t="s">
        <v>10</v>
      </c>
      <c r="B44" s="29" t="s">
        <v>102</v>
      </c>
      <c r="C44" s="28">
        <v>194.4</v>
      </c>
      <c r="D44" s="28">
        <v>162.20399480519475</v>
      </c>
      <c r="E44" s="28">
        <v>77.760000000000005</v>
      </c>
      <c r="F44" s="28">
        <v>194.4</v>
      </c>
      <c r="G44" s="28">
        <v>77.760000000000005</v>
      </c>
      <c r="H44" s="28">
        <v>77.760000000000005</v>
      </c>
      <c r="I44" s="28">
        <v>194.4</v>
      </c>
      <c r="J44" s="28">
        <v>194.4</v>
      </c>
      <c r="K44" s="28">
        <v>77.760000000000005</v>
      </c>
      <c r="L44" s="28">
        <v>0</v>
      </c>
      <c r="M44" s="28">
        <v>0</v>
      </c>
      <c r="N44" s="28">
        <v>0</v>
      </c>
      <c r="O44" s="28">
        <v>0</v>
      </c>
      <c r="P44" s="28">
        <v>0</v>
      </c>
      <c r="Q44" s="28">
        <v>0</v>
      </c>
      <c r="R44" s="28">
        <v>0</v>
      </c>
      <c r="S44" s="28">
        <v>0</v>
      </c>
      <c r="T44" s="28">
        <v>0</v>
      </c>
      <c r="U44" s="28">
        <v>194.4</v>
      </c>
      <c r="V44" s="28">
        <v>77.760000000000005</v>
      </c>
      <c r="W44" s="28">
        <v>77.760000000000005</v>
      </c>
      <c r="X44" s="28">
        <v>194.4</v>
      </c>
      <c r="Y44" s="28">
        <v>77.760000000000005</v>
      </c>
      <c r="Z44" s="28">
        <v>77.760000000000005</v>
      </c>
      <c r="AA44" s="28">
        <v>137.40000000000046</v>
      </c>
      <c r="AB44" s="28">
        <v>174.79999999999956</v>
      </c>
      <c r="AC44" s="28">
        <v>77.760000000000005</v>
      </c>
      <c r="AD44" s="28">
        <v>0</v>
      </c>
      <c r="AE44" s="28">
        <v>0</v>
      </c>
      <c r="AF44" s="28">
        <v>0</v>
      </c>
      <c r="AG44" s="28">
        <v>194.4</v>
      </c>
      <c r="AH44" s="28">
        <v>194.4</v>
      </c>
      <c r="AI44" s="28">
        <v>77.760000000000005</v>
      </c>
      <c r="AJ44" s="28">
        <v>194.4</v>
      </c>
      <c r="AK44" s="28">
        <v>194.4</v>
      </c>
      <c r="AL44" s="28">
        <v>77.760000000000005</v>
      </c>
      <c r="AM44" s="28">
        <v>194.4</v>
      </c>
      <c r="AN44" s="28">
        <v>120.26818181818177</v>
      </c>
      <c r="AO44" s="28">
        <v>77.760000000000005</v>
      </c>
      <c r="AP44" s="28">
        <v>0</v>
      </c>
      <c r="AQ44" s="28">
        <v>0</v>
      </c>
      <c r="AR44" s="28">
        <v>0</v>
      </c>
      <c r="AS44" s="28">
        <v>194.4</v>
      </c>
      <c r="AT44" s="28">
        <v>194.4</v>
      </c>
      <c r="AU44" s="28">
        <v>77.760000000000005</v>
      </c>
      <c r="AV44" s="28">
        <v>194.4</v>
      </c>
      <c r="AW44" s="28">
        <v>77.760000000000005</v>
      </c>
      <c r="AX44" s="28">
        <v>77.760000000000005</v>
      </c>
      <c r="AY44" s="28">
        <v>0</v>
      </c>
      <c r="AZ44" s="28">
        <v>0</v>
      </c>
      <c r="BA44" s="28">
        <v>0</v>
      </c>
      <c r="BB44" s="28">
        <v>0</v>
      </c>
      <c r="BC44" s="28">
        <v>0</v>
      </c>
      <c r="BD44" s="28">
        <v>0</v>
      </c>
      <c r="BE44" s="28">
        <v>194.4</v>
      </c>
      <c r="BF44" s="28">
        <v>194.4</v>
      </c>
      <c r="BG44" s="28">
        <v>77.760000000000005</v>
      </c>
      <c r="BH44" s="28">
        <v>194.4</v>
      </c>
      <c r="BI44" s="28">
        <v>119.69999999999997</v>
      </c>
      <c r="BJ44" s="28">
        <v>77.760000000000005</v>
      </c>
      <c r="BK44" s="28">
        <v>194.4</v>
      </c>
      <c r="BL44" s="28">
        <v>194.4</v>
      </c>
      <c r="BM44" s="28">
        <v>77.760000000000005</v>
      </c>
      <c r="BN44" s="28">
        <v>194.4</v>
      </c>
      <c r="BO44" s="28">
        <v>194.4</v>
      </c>
      <c r="BP44" s="28">
        <v>77.760000000000005</v>
      </c>
      <c r="BQ44" s="28">
        <v>194.4</v>
      </c>
      <c r="BR44" s="28">
        <v>80.999999999999801</v>
      </c>
      <c r="BS44" s="28">
        <v>77.760000000000005</v>
      </c>
      <c r="BT44" s="28">
        <v>194.4</v>
      </c>
      <c r="BU44" s="28">
        <v>77.760000000000005</v>
      </c>
      <c r="BV44" s="28">
        <v>77.760000000000005</v>
      </c>
    </row>
    <row r="45" spans="1:74" x14ac:dyDescent="0.3">
      <c r="A45" s="29" t="s">
        <v>10</v>
      </c>
      <c r="B45" s="29" t="s">
        <v>62</v>
      </c>
      <c r="C45" s="28">
        <v>500</v>
      </c>
      <c r="D45" s="28">
        <v>500</v>
      </c>
      <c r="E45" s="28">
        <v>500</v>
      </c>
      <c r="F45" s="28">
        <v>500</v>
      </c>
      <c r="G45" s="28">
        <v>500</v>
      </c>
      <c r="H45" s="28">
        <v>500</v>
      </c>
      <c r="I45" s="28">
        <v>500</v>
      </c>
      <c r="J45" s="28">
        <v>500</v>
      </c>
      <c r="K45" s="28">
        <v>483.63999999999987</v>
      </c>
      <c r="L45" s="28">
        <v>500</v>
      </c>
      <c r="M45" s="28">
        <v>500</v>
      </c>
      <c r="N45" s="28">
        <v>319.89999999999986</v>
      </c>
      <c r="O45" s="28">
        <v>500</v>
      </c>
      <c r="P45" s="28">
        <v>500</v>
      </c>
      <c r="Q45" s="28">
        <v>398.50000000000085</v>
      </c>
      <c r="R45" s="28">
        <v>500</v>
      </c>
      <c r="S45" s="28">
        <v>500</v>
      </c>
      <c r="T45" s="28">
        <v>247.70000000000005</v>
      </c>
      <c r="U45" s="28">
        <v>500</v>
      </c>
      <c r="V45" s="28">
        <v>500</v>
      </c>
      <c r="W45" s="28">
        <v>486.96251308900531</v>
      </c>
      <c r="X45" s="28">
        <v>500</v>
      </c>
      <c r="Y45" s="28">
        <v>500</v>
      </c>
      <c r="Z45" s="28">
        <v>400.4625130890056</v>
      </c>
      <c r="AA45" s="28">
        <v>500</v>
      </c>
      <c r="AB45" s="28">
        <v>500</v>
      </c>
      <c r="AC45" s="28">
        <v>447.19153190731146</v>
      </c>
      <c r="AD45" s="28">
        <v>500</v>
      </c>
      <c r="AE45" s="28">
        <v>500</v>
      </c>
      <c r="AF45" s="28">
        <v>447.19153190731146</v>
      </c>
      <c r="AG45" s="28">
        <v>500</v>
      </c>
      <c r="AH45" s="28">
        <v>500</v>
      </c>
      <c r="AI45" s="28">
        <v>500</v>
      </c>
      <c r="AJ45" s="28">
        <v>500</v>
      </c>
      <c r="AK45" s="28">
        <v>500</v>
      </c>
      <c r="AL45" s="28">
        <v>500</v>
      </c>
      <c r="AM45" s="28">
        <v>500</v>
      </c>
      <c r="AN45" s="28">
        <v>500</v>
      </c>
      <c r="AO45" s="28">
        <v>500</v>
      </c>
      <c r="AP45" s="28">
        <v>500</v>
      </c>
      <c r="AQ45" s="28">
        <v>500</v>
      </c>
      <c r="AR45" s="28">
        <v>500</v>
      </c>
      <c r="AS45" s="28">
        <v>500</v>
      </c>
      <c r="AT45" s="28">
        <v>500</v>
      </c>
      <c r="AU45" s="28">
        <v>500</v>
      </c>
      <c r="AV45" s="28">
        <v>500</v>
      </c>
      <c r="AW45" s="28">
        <v>500</v>
      </c>
      <c r="AX45" s="28">
        <v>500</v>
      </c>
      <c r="AY45" s="28">
        <v>500</v>
      </c>
      <c r="AZ45" s="28">
        <v>500</v>
      </c>
      <c r="BA45" s="28">
        <v>500</v>
      </c>
      <c r="BB45" s="28">
        <v>500</v>
      </c>
      <c r="BC45" s="28">
        <v>500</v>
      </c>
      <c r="BD45" s="28">
        <v>500</v>
      </c>
      <c r="BE45" s="28">
        <v>500</v>
      </c>
      <c r="BF45" s="28">
        <v>500</v>
      </c>
      <c r="BG45" s="28">
        <v>427.98318584070802</v>
      </c>
      <c r="BH45" s="28">
        <v>500</v>
      </c>
      <c r="BI45" s="28">
        <v>500</v>
      </c>
      <c r="BJ45" s="28">
        <v>427.98318584070802</v>
      </c>
      <c r="BK45" s="28">
        <v>500</v>
      </c>
      <c r="BL45" s="28">
        <v>500</v>
      </c>
      <c r="BM45" s="28">
        <v>405.30000000000024</v>
      </c>
      <c r="BN45" s="28">
        <v>500</v>
      </c>
      <c r="BO45" s="28">
        <v>500</v>
      </c>
      <c r="BP45" s="28">
        <v>341.82575757575808</v>
      </c>
      <c r="BQ45" s="28">
        <v>500</v>
      </c>
      <c r="BR45" s="28">
        <v>500</v>
      </c>
      <c r="BS45" s="28">
        <v>500</v>
      </c>
      <c r="BT45" s="28">
        <v>500</v>
      </c>
      <c r="BU45" s="28">
        <v>500</v>
      </c>
      <c r="BV45" s="28">
        <v>217.24000000000061</v>
      </c>
    </row>
    <row r="46" spans="1:74" x14ac:dyDescent="0.3">
      <c r="A46" s="29" t="s">
        <v>10</v>
      </c>
      <c r="B46" s="29" t="s">
        <v>63</v>
      </c>
      <c r="C46" s="28">
        <v>500</v>
      </c>
      <c r="D46" s="28">
        <v>500</v>
      </c>
      <c r="E46" s="28">
        <v>204.40272727272736</v>
      </c>
      <c r="F46" s="28">
        <v>500</v>
      </c>
      <c r="G46" s="28">
        <v>500</v>
      </c>
      <c r="H46" s="28">
        <v>100</v>
      </c>
      <c r="I46" s="28">
        <v>500</v>
      </c>
      <c r="J46" s="28">
        <v>500</v>
      </c>
      <c r="K46" s="28">
        <v>100</v>
      </c>
      <c r="L46" s="28">
        <v>500</v>
      </c>
      <c r="M46" s="28">
        <v>463.70000000000056</v>
      </c>
      <c r="N46" s="28">
        <v>100</v>
      </c>
      <c r="O46" s="28">
        <v>500</v>
      </c>
      <c r="P46" s="28">
        <v>500</v>
      </c>
      <c r="Q46" s="28">
        <v>100</v>
      </c>
      <c r="R46" s="28">
        <v>500</v>
      </c>
      <c r="S46" s="28">
        <v>316.79999999999984</v>
      </c>
      <c r="T46" s="28">
        <v>100</v>
      </c>
      <c r="U46" s="28">
        <v>500</v>
      </c>
      <c r="V46" s="28">
        <v>500</v>
      </c>
      <c r="W46" s="28">
        <v>100</v>
      </c>
      <c r="X46" s="28">
        <v>0</v>
      </c>
      <c r="Y46" s="28">
        <v>0</v>
      </c>
      <c r="Z46" s="28">
        <v>0</v>
      </c>
      <c r="AA46" s="28">
        <v>500</v>
      </c>
      <c r="AB46" s="28">
        <v>500</v>
      </c>
      <c r="AC46" s="28">
        <v>100</v>
      </c>
      <c r="AD46" s="28">
        <v>0</v>
      </c>
      <c r="AE46" s="28">
        <v>0</v>
      </c>
      <c r="AF46" s="28">
        <v>0</v>
      </c>
      <c r="AG46" s="28">
        <v>500</v>
      </c>
      <c r="AH46" s="28">
        <v>500</v>
      </c>
      <c r="AI46" s="28">
        <v>100</v>
      </c>
      <c r="AJ46" s="28">
        <v>0</v>
      </c>
      <c r="AK46" s="28">
        <v>0</v>
      </c>
      <c r="AL46" s="28">
        <v>0</v>
      </c>
      <c r="AM46" s="28">
        <v>500</v>
      </c>
      <c r="AN46" s="28">
        <v>500</v>
      </c>
      <c r="AO46" s="28">
        <v>250.51222454964366</v>
      </c>
      <c r="AP46" s="28">
        <v>500</v>
      </c>
      <c r="AQ46" s="28">
        <v>500</v>
      </c>
      <c r="AR46" s="28">
        <v>137.87222454964387</v>
      </c>
      <c r="AS46" s="28">
        <v>500</v>
      </c>
      <c r="AT46" s="28">
        <v>500</v>
      </c>
      <c r="AU46" s="28">
        <v>231.1399999999999</v>
      </c>
      <c r="AV46" s="28">
        <v>500</v>
      </c>
      <c r="AW46" s="28">
        <v>492.34000000000003</v>
      </c>
      <c r="AX46" s="28">
        <v>231.1399999999999</v>
      </c>
      <c r="AY46" s="28">
        <v>500</v>
      </c>
      <c r="AZ46" s="28">
        <v>500</v>
      </c>
      <c r="BA46" s="28">
        <v>318.88181818181812</v>
      </c>
      <c r="BB46" s="28">
        <v>500</v>
      </c>
      <c r="BC46" s="28">
        <v>420.3000000000003</v>
      </c>
      <c r="BD46" s="28">
        <v>318.88181818181812</v>
      </c>
      <c r="BE46" s="28">
        <v>500</v>
      </c>
      <c r="BF46" s="28">
        <v>500</v>
      </c>
      <c r="BG46" s="28">
        <v>100</v>
      </c>
      <c r="BH46" s="28">
        <v>0</v>
      </c>
      <c r="BI46" s="28">
        <v>0</v>
      </c>
      <c r="BJ46" s="28">
        <v>0</v>
      </c>
      <c r="BK46" s="28">
        <v>500</v>
      </c>
      <c r="BL46" s="28">
        <v>500</v>
      </c>
      <c r="BM46" s="28">
        <v>100</v>
      </c>
      <c r="BN46" s="28">
        <v>0</v>
      </c>
      <c r="BO46" s="28">
        <v>0</v>
      </c>
      <c r="BP46" s="28">
        <v>0</v>
      </c>
      <c r="BQ46" s="28">
        <v>500</v>
      </c>
      <c r="BR46" s="28">
        <v>500</v>
      </c>
      <c r="BS46" s="28">
        <v>111.3400000000005</v>
      </c>
      <c r="BT46" s="28">
        <v>500</v>
      </c>
      <c r="BU46" s="28">
        <v>364.60407032967032</v>
      </c>
      <c r="BV46" s="28">
        <v>100</v>
      </c>
    </row>
    <row r="47" spans="1:74" x14ac:dyDescent="0.3">
      <c r="A47" s="29" t="s">
        <v>10</v>
      </c>
      <c r="B47" s="29" t="s">
        <v>64</v>
      </c>
      <c r="C47" s="28">
        <v>500</v>
      </c>
      <c r="D47" s="28">
        <v>500</v>
      </c>
      <c r="E47" s="28">
        <v>100</v>
      </c>
      <c r="F47" s="28">
        <v>0</v>
      </c>
      <c r="G47" s="28">
        <v>0</v>
      </c>
      <c r="H47" s="28">
        <v>0</v>
      </c>
      <c r="I47" s="28">
        <v>0</v>
      </c>
      <c r="J47" s="28">
        <v>0</v>
      </c>
      <c r="K47" s="28">
        <v>0</v>
      </c>
      <c r="L47" s="28">
        <v>0</v>
      </c>
      <c r="M47" s="28">
        <v>0</v>
      </c>
      <c r="N47" s="28">
        <v>0</v>
      </c>
      <c r="O47" s="28">
        <v>500</v>
      </c>
      <c r="P47" s="28">
        <v>478.2000000000005</v>
      </c>
      <c r="Q47" s="28">
        <v>100</v>
      </c>
      <c r="R47" s="28">
        <v>0</v>
      </c>
      <c r="S47" s="28">
        <v>0</v>
      </c>
      <c r="T47" s="28">
        <v>0</v>
      </c>
      <c r="U47" s="28">
        <v>0</v>
      </c>
      <c r="V47" s="28">
        <v>0</v>
      </c>
      <c r="W47" s="28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  <c r="AL47" s="28">
        <v>0</v>
      </c>
      <c r="AM47" s="28">
        <v>500</v>
      </c>
      <c r="AN47" s="28">
        <v>500</v>
      </c>
      <c r="AO47" s="28">
        <v>100</v>
      </c>
      <c r="AP47" s="28">
        <v>0</v>
      </c>
      <c r="AQ47" s="28">
        <v>0</v>
      </c>
      <c r="AR47" s="28">
        <v>0</v>
      </c>
      <c r="AS47" s="28">
        <v>0</v>
      </c>
      <c r="AT47" s="28">
        <v>0</v>
      </c>
      <c r="AU47" s="28">
        <v>0</v>
      </c>
      <c r="AV47" s="28">
        <v>0</v>
      </c>
      <c r="AW47" s="28">
        <v>0</v>
      </c>
      <c r="AX47" s="28">
        <v>0</v>
      </c>
      <c r="AY47" s="28">
        <v>500</v>
      </c>
      <c r="AZ47" s="28">
        <v>481.89999999999986</v>
      </c>
      <c r="BA47" s="28">
        <v>100</v>
      </c>
      <c r="BB47" s="28">
        <v>0</v>
      </c>
      <c r="BC47" s="28">
        <v>0</v>
      </c>
      <c r="BD47" s="28">
        <v>0</v>
      </c>
      <c r="BE47" s="28">
        <v>0</v>
      </c>
      <c r="BF47" s="28">
        <v>0</v>
      </c>
      <c r="BG47" s="28">
        <v>0</v>
      </c>
      <c r="BH47" s="28">
        <v>0</v>
      </c>
      <c r="BI47" s="28">
        <v>0</v>
      </c>
      <c r="BJ47" s="28">
        <v>0</v>
      </c>
      <c r="BK47" s="28">
        <v>0</v>
      </c>
      <c r="BL47" s="28">
        <v>0</v>
      </c>
      <c r="BM47" s="28">
        <v>0</v>
      </c>
      <c r="BN47" s="28">
        <v>0</v>
      </c>
      <c r="BO47" s="28">
        <v>0</v>
      </c>
      <c r="BP47" s="28">
        <v>0</v>
      </c>
      <c r="BQ47" s="28">
        <v>500</v>
      </c>
      <c r="BR47" s="28">
        <v>500</v>
      </c>
      <c r="BS47" s="28">
        <v>100</v>
      </c>
      <c r="BT47" s="28">
        <v>0</v>
      </c>
      <c r="BU47" s="28">
        <v>0</v>
      </c>
      <c r="BV47" s="28">
        <v>0</v>
      </c>
    </row>
    <row r="48" spans="1:74" x14ac:dyDescent="0.3">
      <c r="A48" s="29" t="s">
        <v>10</v>
      </c>
      <c r="B48" s="29" t="s">
        <v>65</v>
      </c>
      <c r="C48" s="28">
        <v>667.5</v>
      </c>
      <c r="D48" s="28">
        <v>667.5</v>
      </c>
      <c r="E48" s="28">
        <v>667.5</v>
      </c>
      <c r="F48" s="28">
        <v>667.5</v>
      </c>
      <c r="G48" s="28">
        <v>667.5</v>
      </c>
      <c r="H48" s="28">
        <v>667.5</v>
      </c>
      <c r="I48" s="28">
        <v>667.5</v>
      </c>
      <c r="J48" s="28">
        <v>667.5</v>
      </c>
      <c r="K48" s="28">
        <v>667.5</v>
      </c>
      <c r="L48" s="28">
        <v>667.5</v>
      </c>
      <c r="M48" s="28">
        <v>667.5</v>
      </c>
      <c r="N48" s="28">
        <v>667.5</v>
      </c>
      <c r="O48" s="28">
        <v>667.5</v>
      </c>
      <c r="P48" s="28">
        <v>667.5</v>
      </c>
      <c r="Q48" s="28">
        <v>667.5</v>
      </c>
      <c r="R48" s="28">
        <v>667.5</v>
      </c>
      <c r="S48" s="28">
        <v>667.5</v>
      </c>
      <c r="T48" s="28">
        <v>667.5</v>
      </c>
      <c r="U48" s="28">
        <v>667.5</v>
      </c>
      <c r="V48" s="28">
        <v>667.5</v>
      </c>
      <c r="W48" s="28">
        <v>667.5</v>
      </c>
      <c r="X48" s="28">
        <v>667.5</v>
      </c>
      <c r="Y48" s="28">
        <v>667.5</v>
      </c>
      <c r="Z48" s="28">
        <v>667.5</v>
      </c>
      <c r="AA48" s="28">
        <v>667.5</v>
      </c>
      <c r="AB48" s="28">
        <v>667.5</v>
      </c>
      <c r="AC48" s="28">
        <v>667.5</v>
      </c>
      <c r="AD48" s="28">
        <v>667.5</v>
      </c>
      <c r="AE48" s="28">
        <v>667.5</v>
      </c>
      <c r="AF48" s="28">
        <v>667.5</v>
      </c>
      <c r="AG48" s="28">
        <v>667.5</v>
      </c>
      <c r="AH48" s="28">
        <v>667.5</v>
      </c>
      <c r="AI48" s="28">
        <v>667.5</v>
      </c>
      <c r="AJ48" s="28">
        <v>667.5</v>
      </c>
      <c r="AK48" s="28">
        <v>667.5</v>
      </c>
      <c r="AL48" s="28">
        <v>667.5</v>
      </c>
      <c r="AM48" s="28">
        <v>667.5</v>
      </c>
      <c r="AN48" s="28">
        <v>667.5</v>
      </c>
      <c r="AO48" s="28">
        <v>667.5</v>
      </c>
      <c r="AP48" s="28">
        <v>667.5</v>
      </c>
      <c r="AQ48" s="28">
        <v>667.5</v>
      </c>
      <c r="AR48" s="28">
        <v>667.5</v>
      </c>
      <c r="AS48" s="28">
        <v>667.5</v>
      </c>
      <c r="AT48" s="28">
        <v>667.5</v>
      </c>
      <c r="AU48" s="28">
        <v>667.5</v>
      </c>
      <c r="AV48" s="28">
        <v>667.5</v>
      </c>
      <c r="AW48" s="28">
        <v>667.5</v>
      </c>
      <c r="AX48" s="28">
        <v>667.5</v>
      </c>
      <c r="AY48" s="28">
        <v>667.5</v>
      </c>
      <c r="AZ48" s="28">
        <v>667.5</v>
      </c>
      <c r="BA48" s="28">
        <v>667.5</v>
      </c>
      <c r="BB48" s="28">
        <v>667.5</v>
      </c>
      <c r="BC48" s="28">
        <v>667.5</v>
      </c>
      <c r="BD48" s="28">
        <v>667.5</v>
      </c>
      <c r="BE48" s="28">
        <v>667.5</v>
      </c>
      <c r="BF48" s="28">
        <v>667.5</v>
      </c>
      <c r="BG48" s="28">
        <v>667.5</v>
      </c>
      <c r="BH48" s="28">
        <v>667.5</v>
      </c>
      <c r="BI48" s="28">
        <v>667.5</v>
      </c>
      <c r="BJ48" s="28">
        <v>667.5</v>
      </c>
      <c r="BK48" s="28">
        <v>667.5</v>
      </c>
      <c r="BL48" s="28">
        <v>667.5</v>
      </c>
      <c r="BM48" s="28">
        <v>667.5</v>
      </c>
      <c r="BN48" s="28">
        <v>667.5</v>
      </c>
      <c r="BO48" s="28">
        <v>667.5</v>
      </c>
      <c r="BP48" s="28">
        <v>667.5</v>
      </c>
      <c r="BQ48" s="28">
        <v>667.5</v>
      </c>
      <c r="BR48" s="28">
        <v>667.5</v>
      </c>
      <c r="BS48" s="28">
        <v>667.5</v>
      </c>
      <c r="BT48" s="28">
        <v>667.5</v>
      </c>
      <c r="BU48" s="28">
        <v>667.5</v>
      </c>
      <c r="BV48" s="28">
        <v>667.5</v>
      </c>
    </row>
    <row r="49" spans="1:74" x14ac:dyDescent="0.3">
      <c r="A49" s="29" t="s">
        <v>10</v>
      </c>
      <c r="B49" s="29" t="s">
        <v>66</v>
      </c>
      <c r="C49" s="28">
        <v>0</v>
      </c>
      <c r="D49" s="28">
        <v>0</v>
      </c>
      <c r="E49" s="28">
        <v>0</v>
      </c>
      <c r="F49" s="28">
        <v>0</v>
      </c>
      <c r="G49" s="28">
        <v>0</v>
      </c>
      <c r="H49" s="28">
        <v>0</v>
      </c>
      <c r="I49" s="28">
        <v>0</v>
      </c>
      <c r="J49" s="28">
        <v>0</v>
      </c>
      <c r="K49" s="28">
        <v>0</v>
      </c>
      <c r="L49" s="28">
        <v>0</v>
      </c>
      <c r="M49" s="28">
        <v>0</v>
      </c>
      <c r="N49" s="28">
        <v>0</v>
      </c>
      <c r="O49" s="28">
        <v>0</v>
      </c>
      <c r="P49" s="28">
        <v>0</v>
      </c>
      <c r="Q49" s="28">
        <v>0</v>
      </c>
      <c r="R49" s="28">
        <v>0</v>
      </c>
      <c r="S49" s="28">
        <v>0</v>
      </c>
      <c r="T49" s="28">
        <v>0</v>
      </c>
      <c r="U49" s="28">
        <v>0</v>
      </c>
      <c r="V49" s="28">
        <v>0</v>
      </c>
      <c r="W49" s="28">
        <v>0</v>
      </c>
      <c r="X49" s="28">
        <v>0</v>
      </c>
      <c r="Y49" s="28">
        <v>0</v>
      </c>
      <c r="Z49" s="28">
        <v>0</v>
      </c>
      <c r="AA49" s="28">
        <v>0</v>
      </c>
      <c r="AB49" s="28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  <c r="AL49" s="28">
        <v>0</v>
      </c>
      <c r="AM49" s="28">
        <v>0</v>
      </c>
      <c r="AN49" s="28">
        <v>0</v>
      </c>
      <c r="AO49" s="28">
        <v>0</v>
      </c>
      <c r="AP49" s="28">
        <v>0</v>
      </c>
      <c r="AQ49" s="28">
        <v>0</v>
      </c>
      <c r="AR49" s="28">
        <v>0</v>
      </c>
      <c r="AS49" s="28">
        <v>0</v>
      </c>
      <c r="AT49" s="28">
        <v>0</v>
      </c>
      <c r="AU49" s="28">
        <v>0</v>
      </c>
      <c r="AV49" s="28">
        <v>0</v>
      </c>
      <c r="AW49" s="28">
        <v>0</v>
      </c>
      <c r="AX49" s="28">
        <v>0</v>
      </c>
      <c r="AY49" s="28">
        <v>0</v>
      </c>
      <c r="AZ49" s="28">
        <v>0</v>
      </c>
      <c r="BA49" s="28">
        <v>0</v>
      </c>
      <c r="BB49" s="28">
        <v>0</v>
      </c>
      <c r="BC49" s="28">
        <v>0</v>
      </c>
      <c r="BD49" s="28">
        <v>0</v>
      </c>
      <c r="BE49" s="28">
        <v>0</v>
      </c>
      <c r="BF49" s="28">
        <v>0</v>
      </c>
      <c r="BG49" s="28">
        <v>0</v>
      </c>
      <c r="BH49" s="28">
        <v>0</v>
      </c>
      <c r="BI49" s="28">
        <v>0</v>
      </c>
      <c r="BJ49" s="28">
        <v>0</v>
      </c>
      <c r="BK49" s="28">
        <v>0</v>
      </c>
      <c r="BL49" s="28">
        <v>0</v>
      </c>
      <c r="BM49" s="28">
        <v>0</v>
      </c>
      <c r="BN49" s="28">
        <v>0</v>
      </c>
      <c r="BO49" s="28">
        <v>0</v>
      </c>
      <c r="BP49" s="28">
        <v>0</v>
      </c>
      <c r="BQ49" s="28">
        <v>0</v>
      </c>
      <c r="BR49" s="28">
        <v>0</v>
      </c>
      <c r="BS49" s="28">
        <v>0</v>
      </c>
      <c r="BT49" s="28">
        <v>0</v>
      </c>
      <c r="BU49" s="28">
        <v>0</v>
      </c>
      <c r="BV49" s="28">
        <v>0</v>
      </c>
    </row>
    <row r="50" spans="1:74" x14ac:dyDescent="0.3">
      <c r="A50" s="29" t="s">
        <v>10</v>
      </c>
      <c r="B50" s="29" t="s">
        <v>67</v>
      </c>
      <c r="C50" s="28">
        <v>0</v>
      </c>
      <c r="D50" s="28">
        <v>0</v>
      </c>
      <c r="E50" s="28">
        <v>0</v>
      </c>
      <c r="F50" s="28">
        <v>0</v>
      </c>
      <c r="G50" s="28">
        <v>0</v>
      </c>
      <c r="H50" s="28">
        <v>0</v>
      </c>
      <c r="I50" s="28">
        <v>0</v>
      </c>
      <c r="J50" s="28">
        <v>0</v>
      </c>
      <c r="K50" s="28">
        <v>0</v>
      </c>
      <c r="L50" s="28">
        <v>0</v>
      </c>
      <c r="M50" s="28">
        <v>0</v>
      </c>
      <c r="N50" s="28">
        <v>0</v>
      </c>
      <c r="O50" s="28">
        <v>0</v>
      </c>
      <c r="P50" s="28">
        <v>0</v>
      </c>
      <c r="Q50" s="28">
        <v>0</v>
      </c>
      <c r="R50" s="28">
        <v>0</v>
      </c>
      <c r="S50" s="28">
        <v>0</v>
      </c>
      <c r="T50" s="28">
        <v>0</v>
      </c>
      <c r="U50" s="28">
        <v>0</v>
      </c>
      <c r="V50" s="28">
        <v>0</v>
      </c>
      <c r="W50" s="28">
        <v>0</v>
      </c>
      <c r="X50" s="28">
        <v>0</v>
      </c>
      <c r="Y50" s="28">
        <v>0</v>
      </c>
      <c r="Z50" s="28">
        <v>0</v>
      </c>
      <c r="AA50" s="28">
        <v>0</v>
      </c>
      <c r="AB50" s="28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  <c r="AL50" s="28">
        <v>0</v>
      </c>
      <c r="AM50" s="28">
        <v>0</v>
      </c>
      <c r="AN50" s="28">
        <v>0</v>
      </c>
      <c r="AO50" s="28">
        <v>0</v>
      </c>
      <c r="AP50" s="28">
        <v>0</v>
      </c>
      <c r="AQ50" s="28">
        <v>0</v>
      </c>
      <c r="AR50" s="28">
        <v>0</v>
      </c>
      <c r="AS50" s="28">
        <v>0</v>
      </c>
      <c r="AT50" s="28">
        <v>0</v>
      </c>
      <c r="AU50" s="28">
        <v>0</v>
      </c>
      <c r="AV50" s="28">
        <v>0</v>
      </c>
      <c r="AW50" s="28">
        <v>0</v>
      </c>
      <c r="AX50" s="28">
        <v>0</v>
      </c>
      <c r="AY50" s="28">
        <v>0</v>
      </c>
      <c r="AZ50" s="28">
        <v>0</v>
      </c>
      <c r="BA50" s="28">
        <v>0</v>
      </c>
      <c r="BB50" s="28">
        <v>0</v>
      </c>
      <c r="BC50" s="28">
        <v>0</v>
      </c>
      <c r="BD50" s="28">
        <v>0</v>
      </c>
      <c r="BE50" s="28">
        <v>0</v>
      </c>
      <c r="BF50" s="28">
        <v>0</v>
      </c>
      <c r="BG50" s="28">
        <v>0</v>
      </c>
      <c r="BH50" s="28">
        <v>0</v>
      </c>
      <c r="BI50" s="28">
        <v>0</v>
      </c>
      <c r="BJ50" s="28">
        <v>0</v>
      </c>
      <c r="BK50" s="28">
        <v>0</v>
      </c>
      <c r="BL50" s="28">
        <v>0</v>
      </c>
      <c r="BM50" s="28">
        <v>0</v>
      </c>
      <c r="BN50" s="28">
        <v>0</v>
      </c>
      <c r="BO50" s="28">
        <v>0</v>
      </c>
      <c r="BP50" s="28">
        <v>0</v>
      </c>
      <c r="BQ50" s="28">
        <v>0</v>
      </c>
      <c r="BR50" s="28">
        <v>0</v>
      </c>
      <c r="BS50" s="28">
        <v>0</v>
      </c>
      <c r="BT50" s="28">
        <v>0</v>
      </c>
      <c r="BU50" s="28">
        <v>0</v>
      </c>
      <c r="BV50" s="28">
        <v>0</v>
      </c>
    </row>
    <row r="51" spans="1:74" x14ac:dyDescent="0.3">
      <c r="A51" s="29" t="s">
        <v>10</v>
      </c>
      <c r="B51" s="29" t="s">
        <v>68</v>
      </c>
      <c r="C51" s="28">
        <v>0</v>
      </c>
      <c r="D51" s="28">
        <v>0</v>
      </c>
      <c r="E51" s="28">
        <v>0</v>
      </c>
      <c r="F51" s="28">
        <v>0</v>
      </c>
      <c r="G51" s="28">
        <v>0</v>
      </c>
      <c r="H51" s="28">
        <v>0</v>
      </c>
      <c r="I51" s="28">
        <v>0</v>
      </c>
      <c r="J51" s="28">
        <v>0</v>
      </c>
      <c r="K51" s="28">
        <v>0</v>
      </c>
      <c r="L51" s="28">
        <v>0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8">
        <v>0</v>
      </c>
      <c r="U51" s="28">
        <v>0</v>
      </c>
      <c r="V51" s="28">
        <v>0</v>
      </c>
      <c r="W51" s="28">
        <v>0</v>
      </c>
      <c r="X51" s="28">
        <v>0</v>
      </c>
      <c r="Y51" s="28">
        <v>0</v>
      </c>
      <c r="Z51" s="28">
        <v>0</v>
      </c>
      <c r="AA51" s="28">
        <v>0</v>
      </c>
      <c r="AB51" s="28">
        <v>0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  <c r="AL51" s="28">
        <v>0</v>
      </c>
      <c r="AM51" s="28">
        <v>0</v>
      </c>
      <c r="AN51" s="28">
        <v>0</v>
      </c>
      <c r="AO51" s="28">
        <v>0</v>
      </c>
      <c r="AP51" s="28">
        <v>0</v>
      </c>
      <c r="AQ51" s="28">
        <v>0</v>
      </c>
      <c r="AR51" s="28">
        <v>0</v>
      </c>
      <c r="AS51" s="28">
        <v>0</v>
      </c>
      <c r="AT51" s="28">
        <v>0</v>
      </c>
      <c r="AU51" s="28">
        <v>0</v>
      </c>
      <c r="AV51" s="28">
        <v>0</v>
      </c>
      <c r="AW51" s="28">
        <v>0</v>
      </c>
      <c r="AX51" s="28">
        <v>0</v>
      </c>
      <c r="AY51" s="28">
        <v>0</v>
      </c>
      <c r="AZ51" s="28">
        <v>0</v>
      </c>
      <c r="BA51" s="28">
        <v>0</v>
      </c>
      <c r="BB51" s="28">
        <v>0</v>
      </c>
      <c r="BC51" s="28">
        <v>0</v>
      </c>
      <c r="BD51" s="28">
        <v>0</v>
      </c>
      <c r="BE51" s="28">
        <v>0</v>
      </c>
      <c r="BF51" s="28">
        <v>0</v>
      </c>
      <c r="BG51" s="28">
        <v>0</v>
      </c>
      <c r="BH51" s="28">
        <v>0</v>
      </c>
      <c r="BI51" s="28">
        <v>0</v>
      </c>
      <c r="BJ51" s="28">
        <v>0</v>
      </c>
      <c r="BK51" s="28">
        <v>0</v>
      </c>
      <c r="BL51" s="28">
        <v>0</v>
      </c>
      <c r="BM51" s="28">
        <v>0</v>
      </c>
      <c r="BN51" s="28">
        <v>0</v>
      </c>
      <c r="BO51" s="28">
        <v>0</v>
      </c>
      <c r="BP51" s="28">
        <v>0</v>
      </c>
      <c r="BQ51" s="28">
        <v>0</v>
      </c>
      <c r="BR51" s="28">
        <v>0</v>
      </c>
      <c r="BS51" s="28">
        <v>0</v>
      </c>
      <c r="BT51" s="28">
        <v>0</v>
      </c>
      <c r="BU51" s="28">
        <v>0</v>
      </c>
      <c r="BV51" s="28">
        <v>0</v>
      </c>
    </row>
    <row r="52" spans="1:74" x14ac:dyDescent="0.3">
      <c r="A52" s="29" t="s">
        <v>10</v>
      </c>
      <c r="B52" s="29" t="s">
        <v>69</v>
      </c>
      <c r="C52" s="28">
        <v>0</v>
      </c>
      <c r="D52" s="28">
        <v>0</v>
      </c>
      <c r="E52" s="28">
        <v>0</v>
      </c>
      <c r="F52" s="28">
        <v>0</v>
      </c>
      <c r="G52" s="28">
        <v>0</v>
      </c>
      <c r="H52" s="28">
        <v>0</v>
      </c>
      <c r="I52" s="28">
        <v>0</v>
      </c>
      <c r="J52" s="28">
        <v>0</v>
      </c>
      <c r="K52" s="28">
        <v>0</v>
      </c>
      <c r="L52" s="28">
        <v>0</v>
      </c>
      <c r="M52" s="28">
        <v>0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28">
        <v>0</v>
      </c>
      <c r="W52" s="28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0</v>
      </c>
      <c r="AC52" s="28">
        <v>0</v>
      </c>
      <c r="AD52" s="28">
        <v>0</v>
      </c>
      <c r="AE52" s="28">
        <v>0</v>
      </c>
      <c r="AF52" s="28">
        <v>0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  <c r="AL52" s="28">
        <v>0</v>
      </c>
      <c r="AM52" s="28">
        <v>0</v>
      </c>
      <c r="AN52" s="28">
        <v>0</v>
      </c>
      <c r="AO52" s="28">
        <v>0</v>
      </c>
      <c r="AP52" s="28">
        <v>0</v>
      </c>
      <c r="AQ52" s="28">
        <v>0</v>
      </c>
      <c r="AR52" s="28">
        <v>0</v>
      </c>
      <c r="AS52" s="28">
        <v>0</v>
      </c>
      <c r="AT52" s="28">
        <v>0</v>
      </c>
      <c r="AU52" s="28">
        <v>0</v>
      </c>
      <c r="AV52" s="28">
        <v>0</v>
      </c>
      <c r="AW52" s="28">
        <v>0</v>
      </c>
      <c r="AX52" s="28">
        <v>0</v>
      </c>
      <c r="AY52" s="28">
        <v>0</v>
      </c>
      <c r="AZ52" s="28">
        <v>0</v>
      </c>
      <c r="BA52" s="28">
        <v>0</v>
      </c>
      <c r="BB52" s="28">
        <v>0</v>
      </c>
      <c r="BC52" s="28">
        <v>0</v>
      </c>
      <c r="BD52" s="28">
        <v>0</v>
      </c>
      <c r="BE52" s="28">
        <v>0</v>
      </c>
      <c r="BF52" s="28">
        <v>0</v>
      </c>
      <c r="BG52" s="28">
        <v>0</v>
      </c>
      <c r="BH52" s="28">
        <v>0</v>
      </c>
      <c r="BI52" s="28">
        <v>0</v>
      </c>
      <c r="BJ52" s="28">
        <v>0</v>
      </c>
      <c r="BK52" s="28">
        <v>0</v>
      </c>
      <c r="BL52" s="28">
        <v>0</v>
      </c>
      <c r="BM52" s="28">
        <v>0</v>
      </c>
      <c r="BN52" s="28">
        <v>0</v>
      </c>
      <c r="BO52" s="28">
        <v>0</v>
      </c>
      <c r="BP52" s="28">
        <v>0</v>
      </c>
      <c r="BQ52" s="28">
        <v>0</v>
      </c>
      <c r="BR52" s="28">
        <v>0</v>
      </c>
      <c r="BS52" s="28">
        <v>0</v>
      </c>
      <c r="BT52" s="28">
        <v>0</v>
      </c>
      <c r="BU52" s="28">
        <v>0</v>
      </c>
      <c r="BV52" s="28">
        <v>0</v>
      </c>
    </row>
    <row r="53" spans="1:74" x14ac:dyDescent="0.3">
      <c r="A53" s="29" t="s">
        <v>10</v>
      </c>
      <c r="B53" s="29" t="s">
        <v>27</v>
      </c>
      <c r="C53" s="28">
        <v>150</v>
      </c>
      <c r="D53" s="28">
        <v>150</v>
      </c>
      <c r="E53" s="28">
        <v>149.99727272727273</v>
      </c>
      <c r="F53" s="28">
        <v>150</v>
      </c>
      <c r="G53" s="28">
        <v>150</v>
      </c>
      <c r="H53" s="28">
        <v>67.340000000000117</v>
      </c>
      <c r="I53" s="28">
        <v>150</v>
      </c>
      <c r="J53" s="28">
        <v>150</v>
      </c>
      <c r="K53" s="28">
        <v>150</v>
      </c>
      <c r="L53" s="28">
        <v>150</v>
      </c>
      <c r="M53" s="28">
        <v>150</v>
      </c>
      <c r="N53" s="28">
        <v>150</v>
      </c>
      <c r="O53" s="28">
        <v>150</v>
      </c>
      <c r="P53" s="28">
        <v>150</v>
      </c>
      <c r="Q53" s="28">
        <v>150</v>
      </c>
      <c r="R53" s="28">
        <v>150</v>
      </c>
      <c r="S53" s="28">
        <v>150</v>
      </c>
      <c r="T53" s="28">
        <v>150</v>
      </c>
      <c r="U53" s="28">
        <v>150</v>
      </c>
      <c r="V53" s="28">
        <v>150</v>
      </c>
      <c r="W53" s="28">
        <v>83.277486910994767</v>
      </c>
      <c r="X53" s="28">
        <v>150</v>
      </c>
      <c r="Y53" s="28">
        <v>150</v>
      </c>
      <c r="Z53" s="28">
        <v>83.277486910994767</v>
      </c>
      <c r="AA53" s="28">
        <v>150</v>
      </c>
      <c r="AB53" s="28">
        <v>150</v>
      </c>
      <c r="AC53" s="28">
        <v>16.517647058823545</v>
      </c>
      <c r="AD53" s="28">
        <v>150</v>
      </c>
      <c r="AE53" s="28">
        <v>150</v>
      </c>
      <c r="AF53" s="28">
        <v>16.517647058823549</v>
      </c>
      <c r="AG53" s="28">
        <v>150</v>
      </c>
      <c r="AH53" s="28">
        <v>89.957142857142841</v>
      </c>
      <c r="AI53" s="28">
        <v>0</v>
      </c>
      <c r="AJ53" s="28">
        <v>150</v>
      </c>
      <c r="AK53" s="28">
        <v>89.957142857142841</v>
      </c>
      <c r="AL53" s="28">
        <v>0</v>
      </c>
      <c r="AM53" s="28">
        <v>150</v>
      </c>
      <c r="AN53" s="28">
        <v>124.33181818181821</v>
      </c>
      <c r="AO53" s="28">
        <v>0</v>
      </c>
      <c r="AP53" s="28">
        <v>150</v>
      </c>
      <c r="AQ53" s="28">
        <v>22.799999999999933</v>
      </c>
      <c r="AR53" s="28">
        <v>0</v>
      </c>
      <c r="AS53" s="28">
        <v>150</v>
      </c>
      <c r="AT53" s="28">
        <v>136.35104895104894</v>
      </c>
      <c r="AU53" s="28">
        <v>0</v>
      </c>
      <c r="AV53" s="28">
        <v>150</v>
      </c>
      <c r="AW53" s="28">
        <v>0</v>
      </c>
      <c r="AX53" s="28">
        <v>0</v>
      </c>
      <c r="AY53" s="28">
        <v>150</v>
      </c>
      <c r="AZ53" s="28">
        <v>150</v>
      </c>
      <c r="BA53" s="28">
        <v>30.218181818181819</v>
      </c>
      <c r="BB53" s="28">
        <v>150</v>
      </c>
      <c r="BC53" s="28">
        <v>150</v>
      </c>
      <c r="BD53" s="28">
        <v>30.218181818181819</v>
      </c>
      <c r="BE53" s="28">
        <v>150</v>
      </c>
      <c r="BF53" s="28">
        <v>150</v>
      </c>
      <c r="BG53" s="28">
        <v>104.996814159292</v>
      </c>
      <c r="BH53" s="28">
        <v>150</v>
      </c>
      <c r="BI53" s="28">
        <v>150</v>
      </c>
      <c r="BJ53" s="28">
        <v>63.356814159292007</v>
      </c>
      <c r="BK53" s="28">
        <v>150</v>
      </c>
      <c r="BL53" s="28">
        <v>150</v>
      </c>
      <c r="BM53" s="28">
        <v>150</v>
      </c>
      <c r="BN53" s="28">
        <v>150</v>
      </c>
      <c r="BO53" s="28">
        <v>150</v>
      </c>
      <c r="BP53" s="28">
        <v>150</v>
      </c>
      <c r="BQ53" s="28">
        <v>150</v>
      </c>
      <c r="BR53" s="28">
        <v>150</v>
      </c>
      <c r="BS53" s="28">
        <v>150</v>
      </c>
      <c r="BT53" s="28">
        <v>150</v>
      </c>
      <c r="BU53" s="28">
        <v>150</v>
      </c>
      <c r="BV53" s="28">
        <v>150</v>
      </c>
    </row>
    <row r="54" spans="1:74" x14ac:dyDescent="0.3">
      <c r="A54" s="29" t="s">
        <v>10</v>
      </c>
      <c r="B54" s="29" t="s">
        <v>95</v>
      </c>
      <c r="C54" s="28">
        <v>200</v>
      </c>
      <c r="D54" s="28">
        <v>15.456005194804993</v>
      </c>
      <c r="E54" s="28">
        <v>0</v>
      </c>
      <c r="F54" s="28">
        <v>200</v>
      </c>
      <c r="G54" s="28">
        <v>0</v>
      </c>
      <c r="H54" s="28">
        <v>0</v>
      </c>
      <c r="I54" s="28">
        <v>200</v>
      </c>
      <c r="J54" s="28">
        <v>200</v>
      </c>
      <c r="K54" s="28">
        <v>0</v>
      </c>
      <c r="L54" s="28">
        <v>200</v>
      </c>
      <c r="M54" s="28">
        <v>0</v>
      </c>
      <c r="N54" s="28">
        <v>0</v>
      </c>
      <c r="O54" s="28">
        <v>200</v>
      </c>
      <c r="P54" s="28">
        <v>0</v>
      </c>
      <c r="Q54" s="28">
        <v>0</v>
      </c>
      <c r="R54" s="28">
        <v>200</v>
      </c>
      <c r="S54" s="28">
        <v>0</v>
      </c>
      <c r="T54" s="28">
        <v>0</v>
      </c>
      <c r="U54" s="28">
        <v>200</v>
      </c>
      <c r="V54" s="28">
        <v>145.54000000000011</v>
      </c>
      <c r="W54" s="28">
        <v>0</v>
      </c>
      <c r="X54" s="28">
        <v>200</v>
      </c>
      <c r="Y54" s="28">
        <v>48.439999999999927</v>
      </c>
      <c r="Z54" s="28">
        <v>0</v>
      </c>
      <c r="AA54" s="28">
        <v>200</v>
      </c>
      <c r="AB54" s="28">
        <v>33.984950245988564</v>
      </c>
      <c r="AC54" s="28">
        <v>0</v>
      </c>
      <c r="AD54" s="28">
        <v>200</v>
      </c>
      <c r="AE54" s="28">
        <v>33.984950245988564</v>
      </c>
      <c r="AF54" s="28">
        <v>0</v>
      </c>
      <c r="AG54" s="28">
        <v>200</v>
      </c>
      <c r="AH54" s="28">
        <v>125.64285714285722</v>
      </c>
      <c r="AI54" s="28">
        <v>0</v>
      </c>
      <c r="AJ54" s="28">
        <v>200</v>
      </c>
      <c r="AK54" s="28">
        <v>125.64285714285722</v>
      </c>
      <c r="AL54" s="28">
        <v>0</v>
      </c>
      <c r="AM54" s="28">
        <v>106.51889741207735</v>
      </c>
      <c r="AN54" s="28">
        <v>0</v>
      </c>
      <c r="AO54" s="28">
        <v>0</v>
      </c>
      <c r="AP54" s="28">
        <v>29.318897412077799</v>
      </c>
      <c r="AQ54" s="28">
        <v>0</v>
      </c>
      <c r="AR54" s="28">
        <v>0</v>
      </c>
      <c r="AS54" s="28">
        <v>200</v>
      </c>
      <c r="AT54" s="28">
        <v>87.448951048951557</v>
      </c>
      <c r="AU54" s="28">
        <v>0</v>
      </c>
      <c r="AV54" s="28">
        <v>0</v>
      </c>
      <c r="AW54" s="28">
        <v>0</v>
      </c>
      <c r="AX54" s="28">
        <v>0</v>
      </c>
      <c r="AY54" s="28">
        <v>200</v>
      </c>
      <c r="AZ54" s="28">
        <v>0</v>
      </c>
      <c r="BA54" s="28">
        <v>0</v>
      </c>
      <c r="BB54" s="28">
        <v>200</v>
      </c>
      <c r="BC54" s="28">
        <v>0</v>
      </c>
      <c r="BD54" s="28">
        <v>0</v>
      </c>
      <c r="BE54" s="28">
        <v>200</v>
      </c>
      <c r="BF54" s="28">
        <v>0</v>
      </c>
      <c r="BG54" s="28">
        <v>0</v>
      </c>
      <c r="BH54" s="28">
        <v>200</v>
      </c>
      <c r="BI54" s="28">
        <v>0</v>
      </c>
      <c r="BJ54" s="28">
        <v>0</v>
      </c>
      <c r="BK54" s="28">
        <v>200</v>
      </c>
      <c r="BL54" s="28">
        <v>200</v>
      </c>
      <c r="BM54" s="28">
        <v>0</v>
      </c>
      <c r="BN54" s="28">
        <v>181.40000000000052</v>
      </c>
      <c r="BO54" s="28">
        <v>0</v>
      </c>
      <c r="BP54" s="28">
        <v>0</v>
      </c>
      <c r="BQ54" s="28">
        <v>200</v>
      </c>
      <c r="BR54" s="28">
        <v>200</v>
      </c>
      <c r="BS54" s="28">
        <v>0</v>
      </c>
      <c r="BT54" s="28">
        <v>200</v>
      </c>
      <c r="BU54" s="28">
        <v>44.035929670329629</v>
      </c>
      <c r="BV54" s="28">
        <v>0</v>
      </c>
    </row>
    <row r="55" spans="1:74" x14ac:dyDescent="0.3">
      <c r="A55" s="29" t="s">
        <v>10</v>
      </c>
      <c r="B55" s="29" t="s">
        <v>96</v>
      </c>
      <c r="C55" s="28">
        <v>200</v>
      </c>
      <c r="D55" s="28">
        <v>0</v>
      </c>
      <c r="E55" s="28">
        <v>0</v>
      </c>
      <c r="F55" s="28">
        <v>78.600000000000065</v>
      </c>
      <c r="G55" s="28">
        <v>0</v>
      </c>
      <c r="H55" s="28">
        <v>0</v>
      </c>
      <c r="I55" s="28">
        <v>200</v>
      </c>
      <c r="J55" s="28">
        <v>108.6054831515153</v>
      </c>
      <c r="K55" s="28">
        <v>0</v>
      </c>
      <c r="L55" s="28">
        <v>136.99999999999986</v>
      </c>
      <c r="M55" s="28">
        <v>0</v>
      </c>
      <c r="N55" s="28">
        <v>0</v>
      </c>
      <c r="O55" s="28">
        <v>104.29999999999967</v>
      </c>
      <c r="P55" s="28">
        <v>0</v>
      </c>
      <c r="Q55" s="28">
        <v>0</v>
      </c>
      <c r="R55" s="28">
        <v>17.699999999999825</v>
      </c>
      <c r="S55" s="28">
        <v>0</v>
      </c>
      <c r="T55" s="28">
        <v>0</v>
      </c>
      <c r="U55" s="28">
        <v>133.30000000000047</v>
      </c>
      <c r="V55" s="28">
        <v>0</v>
      </c>
      <c r="W55" s="28">
        <v>0</v>
      </c>
      <c r="X55" s="28">
        <v>123.20000000000003</v>
      </c>
      <c r="Y55" s="28">
        <v>0</v>
      </c>
      <c r="Z55" s="28">
        <v>0</v>
      </c>
      <c r="AA55" s="28">
        <v>184.60000000000016</v>
      </c>
      <c r="AB55" s="28">
        <v>0</v>
      </c>
      <c r="AC55" s="28">
        <v>0</v>
      </c>
      <c r="AD55" s="28">
        <v>184.60000000000016</v>
      </c>
      <c r="AE55" s="28">
        <v>0</v>
      </c>
      <c r="AF55" s="28">
        <v>0</v>
      </c>
      <c r="AG55" s="28">
        <v>182.10000000000065</v>
      </c>
      <c r="AH55" s="28">
        <v>0</v>
      </c>
      <c r="AI55" s="28">
        <v>0</v>
      </c>
      <c r="AJ55" s="28">
        <v>182.10000000000065</v>
      </c>
      <c r="AK55" s="28">
        <v>0</v>
      </c>
      <c r="AL55" s="28">
        <v>0</v>
      </c>
      <c r="AM55" s="28">
        <v>159.28110258792236</v>
      </c>
      <c r="AN55" s="28">
        <v>0</v>
      </c>
      <c r="AO55" s="28">
        <v>0</v>
      </c>
      <c r="AP55" s="28">
        <v>159.28110258792236</v>
      </c>
      <c r="AQ55" s="28">
        <v>0</v>
      </c>
      <c r="AR55" s="28">
        <v>0</v>
      </c>
      <c r="AS55" s="28">
        <v>159.40000000000003</v>
      </c>
      <c r="AT55" s="28">
        <v>0</v>
      </c>
      <c r="AU55" s="28">
        <v>0</v>
      </c>
      <c r="AV55" s="28">
        <v>54.300000000000679</v>
      </c>
      <c r="AW55" s="28">
        <v>0</v>
      </c>
      <c r="AX55" s="28">
        <v>0</v>
      </c>
      <c r="AY55" s="28">
        <v>84.899999999999594</v>
      </c>
      <c r="AZ55" s="28">
        <v>0</v>
      </c>
      <c r="BA55" s="28">
        <v>0</v>
      </c>
      <c r="BB55" s="28">
        <v>67.200000000000088</v>
      </c>
      <c r="BC55" s="28">
        <v>0</v>
      </c>
      <c r="BD55" s="28">
        <v>0</v>
      </c>
      <c r="BE55" s="28">
        <v>123.2999999999998</v>
      </c>
      <c r="BF55" s="28">
        <v>0</v>
      </c>
      <c r="BG55" s="28">
        <v>0</v>
      </c>
      <c r="BH55" s="28">
        <v>123.2999999999998</v>
      </c>
      <c r="BI55" s="28">
        <v>0</v>
      </c>
      <c r="BJ55" s="28">
        <v>0</v>
      </c>
      <c r="BK55" s="28">
        <v>200</v>
      </c>
      <c r="BL55" s="28">
        <v>22.999999999999908</v>
      </c>
      <c r="BM55" s="28">
        <v>0</v>
      </c>
      <c r="BN55" s="28">
        <v>200</v>
      </c>
      <c r="BO55" s="28">
        <v>0</v>
      </c>
      <c r="BP55" s="28">
        <v>0</v>
      </c>
      <c r="BQ55" s="28">
        <v>0</v>
      </c>
      <c r="BR55" s="28">
        <v>0</v>
      </c>
      <c r="BS55" s="28">
        <v>0</v>
      </c>
      <c r="BT55" s="28">
        <v>0</v>
      </c>
      <c r="BU55" s="28">
        <v>0</v>
      </c>
      <c r="BV55" s="28">
        <v>0</v>
      </c>
    </row>
    <row r="56" spans="1:74" x14ac:dyDescent="0.3">
      <c r="A56" s="29" t="s">
        <v>10</v>
      </c>
      <c r="B56" s="29" t="s">
        <v>97</v>
      </c>
      <c r="C56" s="28">
        <v>200</v>
      </c>
      <c r="D56" s="28">
        <v>200</v>
      </c>
      <c r="E56" s="28">
        <v>0</v>
      </c>
      <c r="F56" s="28">
        <v>200</v>
      </c>
      <c r="G56" s="28">
        <v>87.840000000000359</v>
      </c>
      <c r="H56" s="28">
        <v>0</v>
      </c>
      <c r="I56" s="28">
        <v>200</v>
      </c>
      <c r="J56" s="28">
        <v>200</v>
      </c>
      <c r="K56" s="28">
        <v>200</v>
      </c>
      <c r="L56" s="28">
        <v>200</v>
      </c>
      <c r="M56" s="28">
        <v>200</v>
      </c>
      <c r="N56" s="28">
        <v>200</v>
      </c>
      <c r="O56" s="28">
        <v>200</v>
      </c>
      <c r="P56" s="28">
        <v>200</v>
      </c>
      <c r="Q56" s="28">
        <v>200</v>
      </c>
      <c r="R56" s="28">
        <v>200</v>
      </c>
      <c r="S56" s="28">
        <v>200</v>
      </c>
      <c r="T56" s="28">
        <v>200</v>
      </c>
      <c r="U56" s="28">
        <v>200</v>
      </c>
      <c r="V56" s="28">
        <v>200</v>
      </c>
      <c r="W56" s="28">
        <v>0</v>
      </c>
      <c r="X56" s="28">
        <v>200</v>
      </c>
      <c r="Y56" s="28">
        <v>200</v>
      </c>
      <c r="Z56" s="28">
        <v>0</v>
      </c>
      <c r="AA56" s="28">
        <v>200</v>
      </c>
      <c r="AB56" s="28">
        <v>200</v>
      </c>
      <c r="AC56" s="28">
        <v>86.630821033865288</v>
      </c>
      <c r="AD56" s="28">
        <v>200</v>
      </c>
      <c r="AE56" s="28">
        <v>200</v>
      </c>
      <c r="AF56" s="28">
        <v>47.290821033865463</v>
      </c>
      <c r="AG56" s="28">
        <v>200</v>
      </c>
      <c r="AH56" s="28">
        <v>200</v>
      </c>
      <c r="AI56" s="28">
        <v>83.140000000000043</v>
      </c>
      <c r="AJ56" s="28">
        <v>200</v>
      </c>
      <c r="AK56" s="28">
        <v>200</v>
      </c>
      <c r="AL56" s="28">
        <v>60.339999999999947</v>
      </c>
      <c r="AM56" s="28">
        <v>200</v>
      </c>
      <c r="AN56" s="28">
        <v>200</v>
      </c>
      <c r="AO56" s="28">
        <v>87.127775450356495</v>
      </c>
      <c r="AP56" s="28">
        <v>200</v>
      </c>
      <c r="AQ56" s="28">
        <v>200</v>
      </c>
      <c r="AR56" s="28">
        <v>87.127775450356495</v>
      </c>
      <c r="AS56" s="28">
        <v>200</v>
      </c>
      <c r="AT56" s="28">
        <v>200</v>
      </c>
      <c r="AU56" s="28">
        <v>0</v>
      </c>
      <c r="AV56" s="28">
        <v>200</v>
      </c>
      <c r="AW56" s="28">
        <v>200</v>
      </c>
      <c r="AX56" s="28">
        <v>0</v>
      </c>
      <c r="AY56" s="28">
        <v>200</v>
      </c>
      <c r="AZ56" s="28">
        <v>200</v>
      </c>
      <c r="BA56" s="28">
        <v>0</v>
      </c>
      <c r="BB56" s="28">
        <v>200</v>
      </c>
      <c r="BC56" s="28">
        <v>200</v>
      </c>
      <c r="BD56" s="28">
        <v>0</v>
      </c>
      <c r="BE56" s="28">
        <v>200</v>
      </c>
      <c r="BF56" s="28">
        <v>200</v>
      </c>
      <c r="BG56" s="28">
        <v>0</v>
      </c>
      <c r="BH56" s="28">
        <v>200</v>
      </c>
      <c r="BI56" s="28">
        <v>200</v>
      </c>
      <c r="BJ56" s="28">
        <v>0</v>
      </c>
      <c r="BK56" s="28">
        <v>200</v>
      </c>
      <c r="BL56" s="28">
        <v>200</v>
      </c>
      <c r="BM56" s="28">
        <v>200</v>
      </c>
      <c r="BN56" s="28">
        <v>200</v>
      </c>
      <c r="BO56" s="28">
        <v>200</v>
      </c>
      <c r="BP56" s="28">
        <v>61.074242424241625</v>
      </c>
      <c r="BQ56" s="28">
        <v>200</v>
      </c>
      <c r="BR56" s="28">
        <v>200</v>
      </c>
      <c r="BS56" s="28">
        <v>200</v>
      </c>
      <c r="BT56" s="28">
        <v>200</v>
      </c>
      <c r="BU56" s="28">
        <v>200</v>
      </c>
      <c r="BV56" s="28">
        <v>200</v>
      </c>
    </row>
    <row r="57" spans="1:74" x14ac:dyDescent="0.3">
      <c r="A57" s="29" t="s">
        <v>10</v>
      </c>
      <c r="B57" s="29" t="s">
        <v>28</v>
      </c>
      <c r="C57" s="28">
        <v>200</v>
      </c>
      <c r="D57" s="28">
        <v>200</v>
      </c>
      <c r="E57" s="28">
        <v>200</v>
      </c>
      <c r="F57" s="28">
        <v>200</v>
      </c>
      <c r="G57" s="28">
        <v>200</v>
      </c>
      <c r="H57" s="28">
        <v>200</v>
      </c>
      <c r="I57" s="28">
        <v>200</v>
      </c>
      <c r="J57" s="28">
        <v>200</v>
      </c>
      <c r="K57" s="28">
        <v>200</v>
      </c>
      <c r="L57" s="28">
        <v>200</v>
      </c>
      <c r="M57" s="28">
        <v>200</v>
      </c>
      <c r="N57" s="28">
        <v>200</v>
      </c>
      <c r="O57" s="28">
        <v>200</v>
      </c>
      <c r="P57" s="28">
        <v>200</v>
      </c>
      <c r="Q57" s="28">
        <v>200</v>
      </c>
      <c r="R57" s="28">
        <v>200</v>
      </c>
      <c r="S57" s="28">
        <v>200</v>
      </c>
      <c r="T57" s="28">
        <v>200</v>
      </c>
      <c r="U57" s="28">
        <v>200</v>
      </c>
      <c r="V57" s="28">
        <v>200</v>
      </c>
      <c r="W57" s="28">
        <v>200</v>
      </c>
      <c r="X57" s="28">
        <v>200</v>
      </c>
      <c r="Y57" s="28">
        <v>200</v>
      </c>
      <c r="Z57" s="28">
        <v>200</v>
      </c>
      <c r="AA57" s="28">
        <v>200</v>
      </c>
      <c r="AB57" s="28">
        <v>200</v>
      </c>
      <c r="AC57" s="28">
        <v>200</v>
      </c>
      <c r="AD57" s="28">
        <v>200</v>
      </c>
      <c r="AE57" s="28">
        <v>200</v>
      </c>
      <c r="AF57" s="28">
        <v>200</v>
      </c>
      <c r="AG57" s="28">
        <v>200</v>
      </c>
      <c r="AH57" s="28">
        <v>200</v>
      </c>
      <c r="AI57" s="28">
        <v>200</v>
      </c>
      <c r="AJ57" s="28">
        <v>200</v>
      </c>
      <c r="AK57" s="28">
        <v>200</v>
      </c>
      <c r="AL57" s="28">
        <v>200</v>
      </c>
      <c r="AM57" s="28">
        <v>200</v>
      </c>
      <c r="AN57" s="28">
        <v>200</v>
      </c>
      <c r="AO57" s="28">
        <v>200</v>
      </c>
      <c r="AP57" s="28">
        <v>200</v>
      </c>
      <c r="AQ57" s="28">
        <v>200</v>
      </c>
      <c r="AR57" s="28">
        <v>200</v>
      </c>
      <c r="AS57" s="28">
        <v>200</v>
      </c>
      <c r="AT57" s="28">
        <v>200</v>
      </c>
      <c r="AU57" s="28">
        <v>200</v>
      </c>
      <c r="AV57" s="28">
        <v>200</v>
      </c>
      <c r="AW57" s="28">
        <v>200</v>
      </c>
      <c r="AX57" s="28">
        <v>200</v>
      </c>
      <c r="AY57" s="28">
        <v>200</v>
      </c>
      <c r="AZ57" s="28">
        <v>200</v>
      </c>
      <c r="BA57" s="28">
        <v>200</v>
      </c>
      <c r="BB57" s="28">
        <v>200</v>
      </c>
      <c r="BC57" s="28">
        <v>200</v>
      </c>
      <c r="BD57" s="28">
        <v>200</v>
      </c>
      <c r="BE57" s="28">
        <v>200</v>
      </c>
      <c r="BF57" s="28">
        <v>200</v>
      </c>
      <c r="BG57" s="28">
        <v>200</v>
      </c>
      <c r="BH57" s="28">
        <v>200</v>
      </c>
      <c r="BI57" s="28">
        <v>200</v>
      </c>
      <c r="BJ57" s="28">
        <v>200</v>
      </c>
      <c r="BK57" s="28">
        <v>200</v>
      </c>
      <c r="BL57" s="28">
        <v>200</v>
      </c>
      <c r="BM57" s="28">
        <v>200</v>
      </c>
      <c r="BN57" s="28">
        <v>200</v>
      </c>
      <c r="BO57" s="28">
        <v>200</v>
      </c>
      <c r="BP57" s="28">
        <v>200</v>
      </c>
      <c r="BQ57" s="28">
        <v>200</v>
      </c>
      <c r="BR57" s="28">
        <v>200</v>
      </c>
      <c r="BS57" s="28">
        <v>200</v>
      </c>
      <c r="BT57" s="28">
        <v>200</v>
      </c>
      <c r="BU57" s="28">
        <v>200</v>
      </c>
      <c r="BV57" s="28">
        <v>200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">
    <tabColor indexed="47"/>
  </sheetPr>
  <dimension ref="A1:BV57"/>
  <sheetViews>
    <sheetView showRowColHeaders="0" workbookViewId="0">
      <pane xSplit="2" ySplit="3" topLeftCell="AT15" activePane="bottomRight" state="frozen"/>
      <selection pane="topRight"/>
      <selection pane="bottomLeft"/>
      <selection pane="bottomRight" activeCell="C4" sqref="C4"/>
    </sheetView>
  </sheetViews>
  <sheetFormatPr baseColWidth="10" defaultColWidth="11.44140625" defaultRowHeight="13.8" x14ac:dyDescent="0.3"/>
  <cols>
    <col min="1" max="1" width="4.5546875" style="29" bestFit="1" customWidth="1"/>
    <col min="2" max="2" width="24.44140625" style="29" bestFit="1" customWidth="1"/>
    <col min="3" max="74" width="8.33203125" style="6" bestFit="1" customWidth="1"/>
    <col min="75" max="16384" width="11.44140625" style="6"/>
  </cols>
  <sheetData>
    <row r="1" spans="1:74" s="27" customFormat="1" x14ac:dyDescent="0.3">
      <c r="A1" s="25" t="s">
        <v>117</v>
      </c>
      <c r="B1" s="25" t="s">
        <v>118</v>
      </c>
      <c r="C1" s="30" t="s">
        <v>21</v>
      </c>
      <c r="D1" s="30" t="s">
        <v>21</v>
      </c>
      <c r="E1" s="30" t="s">
        <v>21</v>
      </c>
      <c r="F1" s="27" t="s">
        <v>21</v>
      </c>
      <c r="G1" s="27" t="s">
        <v>21</v>
      </c>
      <c r="H1" s="27" t="s">
        <v>21</v>
      </c>
      <c r="I1" s="27" t="s">
        <v>29</v>
      </c>
      <c r="J1" s="27" t="s">
        <v>29</v>
      </c>
      <c r="K1" s="27" t="s">
        <v>29</v>
      </c>
      <c r="L1" s="27" t="s">
        <v>29</v>
      </c>
      <c r="M1" s="27" t="s">
        <v>29</v>
      </c>
      <c r="N1" s="27" t="s">
        <v>29</v>
      </c>
      <c r="O1" s="27" t="s">
        <v>30</v>
      </c>
      <c r="P1" s="27" t="s">
        <v>30</v>
      </c>
      <c r="Q1" s="27" t="s">
        <v>30</v>
      </c>
      <c r="R1" s="27" t="s">
        <v>30</v>
      </c>
      <c r="S1" s="27" t="s">
        <v>30</v>
      </c>
      <c r="T1" s="27" t="s">
        <v>30</v>
      </c>
      <c r="U1" s="27" t="s">
        <v>31</v>
      </c>
      <c r="V1" s="27" t="s">
        <v>31</v>
      </c>
      <c r="W1" s="27" t="s">
        <v>31</v>
      </c>
      <c r="X1" s="27" t="s">
        <v>31</v>
      </c>
      <c r="Y1" s="27" t="s">
        <v>31</v>
      </c>
      <c r="Z1" s="27" t="s">
        <v>31</v>
      </c>
      <c r="AA1" s="27" t="s">
        <v>32</v>
      </c>
      <c r="AB1" s="27" t="s">
        <v>32</v>
      </c>
      <c r="AC1" s="27" t="s">
        <v>32</v>
      </c>
      <c r="AD1" s="27" t="s">
        <v>32</v>
      </c>
      <c r="AE1" s="27" t="s">
        <v>32</v>
      </c>
      <c r="AF1" s="27" t="s">
        <v>32</v>
      </c>
      <c r="AG1" s="27" t="s">
        <v>33</v>
      </c>
      <c r="AH1" s="27" t="s">
        <v>33</v>
      </c>
      <c r="AI1" s="27" t="s">
        <v>33</v>
      </c>
      <c r="AJ1" s="27" t="s">
        <v>33</v>
      </c>
      <c r="AK1" s="27" t="s">
        <v>33</v>
      </c>
      <c r="AL1" s="27" t="s">
        <v>33</v>
      </c>
      <c r="AM1" s="27" t="s">
        <v>34</v>
      </c>
      <c r="AN1" s="27" t="s">
        <v>34</v>
      </c>
      <c r="AO1" s="27" t="s">
        <v>34</v>
      </c>
      <c r="AP1" s="27" t="s">
        <v>34</v>
      </c>
      <c r="AQ1" s="27" t="s">
        <v>34</v>
      </c>
      <c r="AR1" s="27" t="s">
        <v>34</v>
      </c>
      <c r="AS1" s="27" t="s">
        <v>35</v>
      </c>
      <c r="AT1" s="27" t="s">
        <v>35</v>
      </c>
      <c r="AU1" s="27" t="s">
        <v>35</v>
      </c>
      <c r="AV1" s="27" t="s">
        <v>35</v>
      </c>
      <c r="AW1" s="27" t="s">
        <v>35</v>
      </c>
      <c r="AX1" s="27" t="s">
        <v>35</v>
      </c>
      <c r="AY1" s="27" t="s">
        <v>36</v>
      </c>
      <c r="AZ1" s="27" t="s">
        <v>36</v>
      </c>
      <c r="BA1" s="27" t="s">
        <v>36</v>
      </c>
      <c r="BB1" s="27" t="s">
        <v>36</v>
      </c>
      <c r="BC1" s="27" t="s">
        <v>36</v>
      </c>
      <c r="BD1" s="27" t="s">
        <v>36</v>
      </c>
      <c r="BE1" s="27" t="s">
        <v>37</v>
      </c>
      <c r="BF1" s="27" t="s">
        <v>37</v>
      </c>
      <c r="BG1" s="27" t="s">
        <v>37</v>
      </c>
      <c r="BH1" s="27" t="s">
        <v>37</v>
      </c>
      <c r="BI1" s="27" t="s">
        <v>37</v>
      </c>
      <c r="BJ1" s="27" t="s">
        <v>37</v>
      </c>
      <c r="BK1" s="27" t="s">
        <v>38</v>
      </c>
      <c r="BL1" s="27" t="s">
        <v>38</v>
      </c>
      <c r="BM1" s="27" t="s">
        <v>38</v>
      </c>
      <c r="BN1" s="27" t="s">
        <v>38</v>
      </c>
      <c r="BO1" s="27" t="s">
        <v>38</v>
      </c>
      <c r="BP1" s="27" t="s">
        <v>38</v>
      </c>
      <c r="BQ1" s="27" t="s">
        <v>22</v>
      </c>
      <c r="BR1" s="27" t="s">
        <v>22</v>
      </c>
      <c r="BS1" s="27" t="s">
        <v>22</v>
      </c>
      <c r="BT1" s="27" t="s">
        <v>22</v>
      </c>
      <c r="BU1" s="27" t="s">
        <v>22</v>
      </c>
      <c r="BV1" s="27" t="s">
        <v>22</v>
      </c>
    </row>
    <row r="2" spans="1:74" s="27" customFormat="1" x14ac:dyDescent="0.3">
      <c r="A2" s="25"/>
      <c r="B2" s="25"/>
      <c r="C2" s="30" t="s">
        <v>104</v>
      </c>
      <c r="D2" s="30" t="s">
        <v>104</v>
      </c>
      <c r="E2" s="30" t="s">
        <v>104</v>
      </c>
      <c r="F2" s="27" t="s">
        <v>39</v>
      </c>
      <c r="G2" s="27" t="s">
        <v>39</v>
      </c>
      <c r="H2" s="27" t="s">
        <v>39</v>
      </c>
      <c r="I2" s="27" t="s">
        <v>104</v>
      </c>
      <c r="J2" s="27" t="s">
        <v>104</v>
      </c>
      <c r="K2" s="27" t="s">
        <v>104</v>
      </c>
      <c r="L2" s="27" t="s">
        <v>39</v>
      </c>
      <c r="M2" s="27" t="s">
        <v>39</v>
      </c>
      <c r="N2" s="27" t="s">
        <v>39</v>
      </c>
      <c r="O2" s="27" t="s">
        <v>104</v>
      </c>
      <c r="P2" s="27" t="s">
        <v>104</v>
      </c>
      <c r="Q2" s="27" t="s">
        <v>104</v>
      </c>
      <c r="R2" s="27" t="s">
        <v>39</v>
      </c>
      <c r="S2" s="27" t="s">
        <v>39</v>
      </c>
      <c r="T2" s="27" t="s">
        <v>39</v>
      </c>
      <c r="U2" s="27" t="s">
        <v>104</v>
      </c>
      <c r="V2" s="27" t="s">
        <v>104</v>
      </c>
      <c r="W2" s="27" t="s">
        <v>104</v>
      </c>
      <c r="X2" s="27" t="s">
        <v>39</v>
      </c>
      <c r="Y2" s="27" t="s">
        <v>39</v>
      </c>
      <c r="Z2" s="27" t="s">
        <v>39</v>
      </c>
      <c r="AA2" s="27" t="s">
        <v>104</v>
      </c>
      <c r="AB2" s="27" t="s">
        <v>104</v>
      </c>
      <c r="AC2" s="27" t="s">
        <v>104</v>
      </c>
      <c r="AD2" s="27" t="s">
        <v>39</v>
      </c>
      <c r="AE2" s="27" t="s">
        <v>39</v>
      </c>
      <c r="AF2" s="27" t="s">
        <v>39</v>
      </c>
      <c r="AG2" s="27" t="s">
        <v>104</v>
      </c>
      <c r="AH2" s="27" t="s">
        <v>104</v>
      </c>
      <c r="AI2" s="27" t="s">
        <v>104</v>
      </c>
      <c r="AJ2" s="27" t="s">
        <v>39</v>
      </c>
      <c r="AK2" s="27" t="s">
        <v>39</v>
      </c>
      <c r="AL2" s="27" t="s">
        <v>39</v>
      </c>
      <c r="AM2" s="27" t="s">
        <v>104</v>
      </c>
      <c r="AN2" s="27" t="s">
        <v>104</v>
      </c>
      <c r="AO2" s="27" t="s">
        <v>104</v>
      </c>
      <c r="AP2" s="27" t="s">
        <v>39</v>
      </c>
      <c r="AQ2" s="27" t="s">
        <v>39</v>
      </c>
      <c r="AR2" s="27" t="s">
        <v>39</v>
      </c>
      <c r="AS2" s="27" t="s">
        <v>104</v>
      </c>
      <c r="AT2" s="27" t="s">
        <v>104</v>
      </c>
      <c r="AU2" s="27" t="s">
        <v>104</v>
      </c>
      <c r="AV2" s="27" t="s">
        <v>39</v>
      </c>
      <c r="AW2" s="27" t="s">
        <v>39</v>
      </c>
      <c r="AX2" s="27" t="s">
        <v>39</v>
      </c>
      <c r="AY2" s="27" t="s">
        <v>104</v>
      </c>
      <c r="AZ2" s="27" t="s">
        <v>104</v>
      </c>
      <c r="BA2" s="27" t="s">
        <v>104</v>
      </c>
      <c r="BB2" s="27" t="s">
        <v>39</v>
      </c>
      <c r="BC2" s="27" t="s">
        <v>39</v>
      </c>
      <c r="BD2" s="27" t="s">
        <v>39</v>
      </c>
      <c r="BE2" s="27" t="s">
        <v>104</v>
      </c>
      <c r="BF2" s="27" t="s">
        <v>104</v>
      </c>
      <c r="BG2" s="27" t="s">
        <v>104</v>
      </c>
      <c r="BH2" s="27" t="s">
        <v>39</v>
      </c>
      <c r="BI2" s="27" t="s">
        <v>39</v>
      </c>
      <c r="BJ2" s="27" t="s">
        <v>39</v>
      </c>
      <c r="BK2" s="27" t="s">
        <v>104</v>
      </c>
      <c r="BL2" s="27" t="s">
        <v>104</v>
      </c>
      <c r="BM2" s="27" t="s">
        <v>104</v>
      </c>
      <c r="BN2" s="27" t="s">
        <v>39</v>
      </c>
      <c r="BO2" s="27" t="s">
        <v>39</v>
      </c>
      <c r="BP2" s="27" t="s">
        <v>39</v>
      </c>
      <c r="BQ2" s="27" t="s">
        <v>104</v>
      </c>
      <c r="BR2" s="27" t="s">
        <v>104</v>
      </c>
      <c r="BS2" s="27" t="s">
        <v>104</v>
      </c>
      <c r="BT2" s="27" t="s">
        <v>39</v>
      </c>
      <c r="BU2" s="27" t="s">
        <v>39</v>
      </c>
      <c r="BV2" s="27" t="s">
        <v>39</v>
      </c>
    </row>
    <row r="3" spans="1:74" s="27" customFormat="1" x14ac:dyDescent="0.3">
      <c r="A3" s="25"/>
      <c r="B3" s="25"/>
      <c r="C3" s="30" t="s">
        <v>26</v>
      </c>
      <c r="D3" s="30" t="s">
        <v>56</v>
      </c>
      <c r="E3" s="30" t="s">
        <v>57</v>
      </c>
      <c r="F3" s="27" t="s">
        <v>26</v>
      </c>
      <c r="G3" s="27" t="s">
        <v>56</v>
      </c>
      <c r="H3" s="27" t="s">
        <v>57</v>
      </c>
      <c r="I3" s="27" t="s">
        <v>26</v>
      </c>
      <c r="J3" s="27" t="s">
        <v>56</v>
      </c>
      <c r="K3" s="27" t="s">
        <v>57</v>
      </c>
      <c r="L3" s="27" t="s">
        <v>26</v>
      </c>
      <c r="M3" s="27" t="s">
        <v>56</v>
      </c>
      <c r="N3" s="27" t="s">
        <v>57</v>
      </c>
      <c r="O3" s="27" t="s">
        <v>26</v>
      </c>
      <c r="P3" s="27" t="s">
        <v>56</v>
      </c>
      <c r="Q3" s="27" t="s">
        <v>57</v>
      </c>
      <c r="R3" s="27" t="s">
        <v>26</v>
      </c>
      <c r="S3" s="27" t="s">
        <v>56</v>
      </c>
      <c r="T3" s="27" t="s">
        <v>57</v>
      </c>
      <c r="U3" s="27" t="s">
        <v>26</v>
      </c>
      <c r="V3" s="27" t="s">
        <v>56</v>
      </c>
      <c r="W3" s="27" t="s">
        <v>57</v>
      </c>
      <c r="X3" s="27" t="s">
        <v>26</v>
      </c>
      <c r="Y3" s="27" t="s">
        <v>56</v>
      </c>
      <c r="Z3" s="27" t="s">
        <v>57</v>
      </c>
      <c r="AA3" s="27" t="s">
        <v>26</v>
      </c>
      <c r="AB3" s="27" t="s">
        <v>56</v>
      </c>
      <c r="AC3" s="27" t="s">
        <v>57</v>
      </c>
      <c r="AD3" s="27" t="s">
        <v>26</v>
      </c>
      <c r="AE3" s="27" t="s">
        <v>56</v>
      </c>
      <c r="AF3" s="27" t="s">
        <v>57</v>
      </c>
      <c r="AG3" s="27" t="s">
        <v>26</v>
      </c>
      <c r="AH3" s="27" t="s">
        <v>56</v>
      </c>
      <c r="AI3" s="27" t="s">
        <v>57</v>
      </c>
      <c r="AJ3" s="27" t="s">
        <v>26</v>
      </c>
      <c r="AK3" s="27" t="s">
        <v>56</v>
      </c>
      <c r="AL3" s="27" t="s">
        <v>57</v>
      </c>
      <c r="AM3" s="27" t="s">
        <v>26</v>
      </c>
      <c r="AN3" s="27" t="s">
        <v>56</v>
      </c>
      <c r="AO3" s="27" t="s">
        <v>57</v>
      </c>
      <c r="AP3" s="27" t="s">
        <v>26</v>
      </c>
      <c r="AQ3" s="27" t="s">
        <v>56</v>
      </c>
      <c r="AR3" s="27" t="s">
        <v>57</v>
      </c>
      <c r="AS3" s="27" t="s">
        <v>26</v>
      </c>
      <c r="AT3" s="27" t="s">
        <v>56</v>
      </c>
      <c r="AU3" s="27" t="s">
        <v>57</v>
      </c>
      <c r="AV3" s="27" t="s">
        <v>26</v>
      </c>
      <c r="AW3" s="27" t="s">
        <v>56</v>
      </c>
      <c r="AX3" s="27" t="s">
        <v>57</v>
      </c>
      <c r="AY3" s="27" t="s">
        <v>26</v>
      </c>
      <c r="AZ3" s="27" t="s">
        <v>56</v>
      </c>
      <c r="BA3" s="27" t="s">
        <v>57</v>
      </c>
      <c r="BB3" s="27" t="s">
        <v>26</v>
      </c>
      <c r="BC3" s="27" t="s">
        <v>56</v>
      </c>
      <c r="BD3" s="27" t="s">
        <v>57</v>
      </c>
      <c r="BE3" s="27" t="s">
        <v>26</v>
      </c>
      <c r="BF3" s="27" t="s">
        <v>56</v>
      </c>
      <c r="BG3" s="27" t="s">
        <v>57</v>
      </c>
      <c r="BH3" s="27" t="s">
        <v>26</v>
      </c>
      <c r="BI3" s="27" t="s">
        <v>56</v>
      </c>
      <c r="BJ3" s="27" t="s">
        <v>57</v>
      </c>
      <c r="BK3" s="27" t="s">
        <v>26</v>
      </c>
      <c r="BL3" s="27" t="s">
        <v>56</v>
      </c>
      <c r="BM3" s="27" t="s">
        <v>57</v>
      </c>
      <c r="BN3" s="27" t="s">
        <v>26</v>
      </c>
      <c r="BO3" s="27" t="s">
        <v>56</v>
      </c>
      <c r="BP3" s="27" t="s">
        <v>57</v>
      </c>
      <c r="BQ3" s="27" t="s">
        <v>26</v>
      </c>
      <c r="BR3" s="27" t="s">
        <v>56</v>
      </c>
      <c r="BS3" s="27" t="s">
        <v>57</v>
      </c>
      <c r="BT3" s="27" t="s">
        <v>26</v>
      </c>
      <c r="BU3" s="27" t="s">
        <v>56</v>
      </c>
      <c r="BV3" s="27" t="s">
        <v>57</v>
      </c>
    </row>
    <row r="4" spans="1:74" x14ac:dyDescent="0.3">
      <c r="A4" s="25" t="s">
        <v>8</v>
      </c>
      <c r="B4" s="25" t="s">
        <v>60</v>
      </c>
      <c r="C4" s="28">
        <v>67900.800000000003</v>
      </c>
      <c r="D4" s="28">
        <v>237652.80000000002</v>
      </c>
      <c r="E4" s="28">
        <v>101851.20000000001</v>
      </c>
      <c r="F4" s="28">
        <v>27777.600000000002</v>
      </c>
      <c r="G4" s="28">
        <v>97221.6</v>
      </c>
      <c r="H4" s="28">
        <v>41666.400000000001</v>
      </c>
      <c r="I4" s="28">
        <v>46296.000000000007</v>
      </c>
      <c r="J4" s="28">
        <v>231480.00000000003</v>
      </c>
      <c r="K4" s="28">
        <v>92592.000000000015</v>
      </c>
      <c r="L4" s="28">
        <v>18518.400000000001</v>
      </c>
      <c r="M4" s="28">
        <v>80246.400000000009</v>
      </c>
      <c r="N4" s="28">
        <v>49382.400000000001</v>
      </c>
      <c r="O4" s="28">
        <v>64814.400000000009</v>
      </c>
      <c r="P4" s="28">
        <v>226850.4</v>
      </c>
      <c r="Q4" s="28">
        <v>97221.6</v>
      </c>
      <c r="R4" s="28">
        <v>23148.000000000004</v>
      </c>
      <c r="S4" s="28">
        <v>100308</v>
      </c>
      <c r="T4" s="28">
        <v>61728.000000000007</v>
      </c>
      <c r="U4" s="28">
        <v>58641.600000000006</v>
      </c>
      <c r="V4" s="28">
        <v>205245.60000000003</v>
      </c>
      <c r="W4" s="28">
        <v>87962.400000000009</v>
      </c>
      <c r="X4" s="28">
        <v>25462.800000000003</v>
      </c>
      <c r="Y4" s="28">
        <v>118826.40000000001</v>
      </c>
      <c r="Z4" s="28">
        <v>59413.200000000004</v>
      </c>
      <c r="AA4" s="28">
        <v>67900.800000000003</v>
      </c>
      <c r="AB4" s="28">
        <v>237652.80000000002</v>
      </c>
      <c r="AC4" s="28">
        <v>101851.20000000001</v>
      </c>
      <c r="AD4" s="28">
        <v>20833.2</v>
      </c>
      <c r="AE4" s="28">
        <v>90277.200000000012</v>
      </c>
      <c r="AF4" s="28">
        <v>55555.200000000004</v>
      </c>
      <c r="AG4" s="28">
        <v>64814.400000000009</v>
      </c>
      <c r="AH4" s="28">
        <v>226850.4</v>
      </c>
      <c r="AI4" s="28">
        <v>97221.6</v>
      </c>
      <c r="AJ4" s="28">
        <v>20833.2</v>
      </c>
      <c r="AK4" s="28">
        <v>97221.6</v>
      </c>
      <c r="AL4" s="28">
        <v>48610.8</v>
      </c>
      <c r="AM4" s="28">
        <v>84876</v>
      </c>
      <c r="AN4" s="28">
        <v>203702.40000000002</v>
      </c>
      <c r="AO4" s="28">
        <v>118826.40000000001</v>
      </c>
      <c r="AP4" s="28">
        <v>20833.2</v>
      </c>
      <c r="AQ4" s="28">
        <v>97221.6</v>
      </c>
      <c r="AR4" s="28">
        <v>48610.8</v>
      </c>
      <c r="AS4" s="28">
        <v>67900.800000000003</v>
      </c>
      <c r="AT4" s="28">
        <v>220677.6</v>
      </c>
      <c r="AU4" s="28">
        <v>118826.40000000001</v>
      </c>
      <c r="AV4" s="28">
        <v>20833.2</v>
      </c>
      <c r="AW4" s="28">
        <v>97221.6</v>
      </c>
      <c r="AX4" s="28">
        <v>48610.8</v>
      </c>
      <c r="AY4" s="28">
        <v>77160.000000000015</v>
      </c>
      <c r="AZ4" s="28">
        <v>185184.00000000003</v>
      </c>
      <c r="BA4" s="28">
        <v>108024.00000000001</v>
      </c>
      <c r="BB4" s="28">
        <v>23148.000000000004</v>
      </c>
      <c r="BC4" s="28">
        <v>100308</v>
      </c>
      <c r="BD4" s="28">
        <v>61728.000000000007</v>
      </c>
      <c r="BE4" s="28">
        <v>50925.600000000006</v>
      </c>
      <c r="BF4" s="28">
        <v>237652.80000000002</v>
      </c>
      <c r="BG4" s="28">
        <v>118826.40000000001</v>
      </c>
      <c r="BH4" s="28">
        <v>20833.2</v>
      </c>
      <c r="BI4" s="28">
        <v>90277.200000000012</v>
      </c>
      <c r="BJ4" s="28">
        <v>55555.200000000004</v>
      </c>
      <c r="BK4" s="28">
        <v>32407.200000000004</v>
      </c>
      <c r="BL4" s="28">
        <v>243054.00000000003</v>
      </c>
      <c r="BM4" s="28">
        <v>113425.2</v>
      </c>
      <c r="BN4" s="28">
        <v>20833.2</v>
      </c>
      <c r="BO4" s="28">
        <v>90277.200000000012</v>
      </c>
      <c r="BP4" s="28">
        <v>55555.200000000004</v>
      </c>
      <c r="BQ4" s="28">
        <v>52468.800000000003</v>
      </c>
      <c r="BR4" s="28">
        <v>183640.80000000002</v>
      </c>
      <c r="BS4" s="28">
        <v>78703.200000000012</v>
      </c>
      <c r="BT4" s="28">
        <v>43209.599999999999</v>
      </c>
      <c r="BU4" s="28">
        <v>140431.20000000001</v>
      </c>
      <c r="BV4" s="28">
        <v>75616.800000000017</v>
      </c>
    </row>
    <row r="5" spans="1:74" x14ac:dyDescent="0.3">
      <c r="A5" s="25" t="s">
        <v>8</v>
      </c>
      <c r="B5" s="25" t="s">
        <v>101</v>
      </c>
      <c r="C5" s="28">
        <v>20697.599999999999</v>
      </c>
      <c r="D5" s="28">
        <v>72441.599999999991</v>
      </c>
      <c r="E5" s="28">
        <v>31046.399999999994</v>
      </c>
      <c r="F5" s="28">
        <v>8467.1999999999989</v>
      </c>
      <c r="G5" s="28">
        <v>29635.199999999993</v>
      </c>
      <c r="H5" s="28">
        <v>12700.799999999997</v>
      </c>
      <c r="I5" s="28">
        <v>14111.999999999998</v>
      </c>
      <c r="J5" s="28">
        <v>70559.999999999985</v>
      </c>
      <c r="K5" s="28">
        <v>28223.999999999996</v>
      </c>
      <c r="L5" s="28">
        <v>5644.7999999999993</v>
      </c>
      <c r="M5" s="28">
        <v>24460.799999999996</v>
      </c>
      <c r="N5" s="28">
        <v>15052.799999999997</v>
      </c>
      <c r="O5" s="28">
        <v>19756.8</v>
      </c>
      <c r="P5" s="28">
        <v>69148.799999999988</v>
      </c>
      <c r="Q5" s="28">
        <v>29635.199999999993</v>
      </c>
      <c r="R5" s="28">
        <v>7055.9999999999991</v>
      </c>
      <c r="S5" s="28">
        <v>30575.999999999996</v>
      </c>
      <c r="T5" s="28">
        <v>18815.999999999996</v>
      </c>
      <c r="U5" s="28">
        <v>17875.199999999997</v>
      </c>
      <c r="V5" s="28">
        <v>62563.19999999999</v>
      </c>
      <c r="W5" s="28">
        <v>26812.799999999996</v>
      </c>
      <c r="X5" s="28">
        <v>7761.5999999999985</v>
      </c>
      <c r="Y5" s="28">
        <v>36220.799999999996</v>
      </c>
      <c r="Z5" s="28">
        <v>18110.399999999998</v>
      </c>
      <c r="AA5" s="28">
        <v>20697.599999999999</v>
      </c>
      <c r="AB5" s="28">
        <v>72441.599999999991</v>
      </c>
      <c r="AC5" s="28">
        <v>31046.399999999994</v>
      </c>
      <c r="AD5" s="28">
        <v>6350.3999999999987</v>
      </c>
      <c r="AE5" s="28">
        <v>27518.399999999998</v>
      </c>
      <c r="AF5" s="28">
        <v>16934.399999999998</v>
      </c>
      <c r="AG5" s="28">
        <v>19756.8</v>
      </c>
      <c r="AH5" s="28">
        <v>69148.799999999988</v>
      </c>
      <c r="AI5" s="28">
        <v>29635.199999999993</v>
      </c>
      <c r="AJ5" s="28">
        <v>6350.3999999999987</v>
      </c>
      <c r="AK5" s="28">
        <v>29635.199999999993</v>
      </c>
      <c r="AL5" s="28">
        <v>14817.599999999997</v>
      </c>
      <c r="AM5" s="28">
        <v>25871.999999999996</v>
      </c>
      <c r="AN5" s="28">
        <v>62092.799999999988</v>
      </c>
      <c r="AO5" s="28">
        <v>36220.799999999996</v>
      </c>
      <c r="AP5" s="28">
        <v>6350.3999999999987</v>
      </c>
      <c r="AQ5" s="28">
        <v>29635.199999999993</v>
      </c>
      <c r="AR5" s="28">
        <v>14817.599999999997</v>
      </c>
      <c r="AS5" s="28">
        <v>20697.599999999999</v>
      </c>
      <c r="AT5" s="28">
        <v>67267.199999999983</v>
      </c>
      <c r="AU5" s="28">
        <v>36220.799999999996</v>
      </c>
      <c r="AV5" s="28">
        <v>0</v>
      </c>
      <c r="AW5" s="28">
        <v>0</v>
      </c>
      <c r="AX5" s="28">
        <v>0</v>
      </c>
      <c r="AY5" s="28">
        <v>23519.999999999996</v>
      </c>
      <c r="AZ5" s="28">
        <v>56447.999999999993</v>
      </c>
      <c r="BA5" s="28">
        <v>32928</v>
      </c>
      <c r="BB5" s="28">
        <v>0</v>
      </c>
      <c r="BC5" s="28">
        <v>0</v>
      </c>
      <c r="BD5" s="28">
        <v>0</v>
      </c>
      <c r="BE5" s="28">
        <v>15523.199999999997</v>
      </c>
      <c r="BF5" s="28">
        <v>72441.599999999991</v>
      </c>
      <c r="BG5" s="28">
        <v>36220.799999999996</v>
      </c>
      <c r="BH5" s="28">
        <v>6350.3999999999987</v>
      </c>
      <c r="BI5" s="28">
        <v>27518.399999999998</v>
      </c>
      <c r="BJ5" s="28">
        <v>16934.399999999998</v>
      </c>
      <c r="BK5" s="28">
        <v>9878.4</v>
      </c>
      <c r="BL5" s="28">
        <v>74088</v>
      </c>
      <c r="BM5" s="28">
        <v>34574.399999999994</v>
      </c>
      <c r="BN5" s="28">
        <v>6350.3999999999987</v>
      </c>
      <c r="BO5" s="28">
        <v>27518.399999999998</v>
      </c>
      <c r="BP5" s="28">
        <v>16934.399999999998</v>
      </c>
      <c r="BQ5" s="28">
        <v>38371.468363636144</v>
      </c>
      <c r="BR5" s="28">
        <v>55977.599999999991</v>
      </c>
      <c r="BS5" s="28">
        <v>23990.399999999998</v>
      </c>
      <c r="BT5" s="28">
        <v>15500.800000000001</v>
      </c>
      <c r="BU5" s="28">
        <v>42806.399999999994</v>
      </c>
      <c r="BV5" s="28">
        <v>23049.599999999999</v>
      </c>
    </row>
    <row r="6" spans="1:74" x14ac:dyDescent="0.3">
      <c r="A6" s="25" t="s">
        <v>8</v>
      </c>
      <c r="B6" s="25" t="s">
        <v>61</v>
      </c>
      <c r="C6" s="28">
        <v>8447.9999999999927</v>
      </c>
      <c r="D6" s="28">
        <v>25021.919999999998</v>
      </c>
      <c r="E6" s="28">
        <v>10723.68</v>
      </c>
      <c r="F6" s="28">
        <v>0</v>
      </c>
      <c r="G6" s="28">
        <v>0</v>
      </c>
      <c r="H6" s="28">
        <v>0</v>
      </c>
      <c r="I6" s="28">
        <v>0</v>
      </c>
      <c r="J6" s="28">
        <v>0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8">
        <v>0</v>
      </c>
      <c r="U6" s="28">
        <v>0</v>
      </c>
      <c r="V6" s="28">
        <v>0</v>
      </c>
      <c r="W6" s="28">
        <v>0</v>
      </c>
      <c r="X6" s="28">
        <v>0</v>
      </c>
      <c r="Y6" s="28">
        <v>0</v>
      </c>
      <c r="Z6" s="28">
        <v>0</v>
      </c>
      <c r="AA6" s="28">
        <v>0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0</v>
      </c>
      <c r="AM6" s="28">
        <v>0</v>
      </c>
      <c r="AN6" s="28">
        <v>0</v>
      </c>
      <c r="AO6" s="28">
        <v>0</v>
      </c>
      <c r="AP6" s="28">
        <v>0</v>
      </c>
      <c r="AQ6" s="28">
        <v>0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8">
        <v>0</v>
      </c>
      <c r="BE6" s="28">
        <v>0</v>
      </c>
      <c r="BF6" s="28">
        <v>0</v>
      </c>
      <c r="BG6" s="28">
        <v>0</v>
      </c>
      <c r="BH6" s="28">
        <v>0</v>
      </c>
      <c r="BI6" s="28">
        <v>0</v>
      </c>
      <c r="BJ6" s="28">
        <v>0</v>
      </c>
      <c r="BK6" s="28">
        <v>5510.4000000000206</v>
      </c>
      <c r="BL6" s="28">
        <v>25590.6</v>
      </c>
      <c r="BM6" s="28">
        <v>11942.279999999999</v>
      </c>
      <c r="BN6" s="28">
        <v>0</v>
      </c>
      <c r="BO6" s="28">
        <v>0</v>
      </c>
      <c r="BP6" s="28">
        <v>0</v>
      </c>
      <c r="BQ6" s="28">
        <v>0</v>
      </c>
      <c r="BR6" s="28">
        <v>0</v>
      </c>
      <c r="BS6" s="28">
        <v>0</v>
      </c>
      <c r="BT6" s="28">
        <v>0</v>
      </c>
      <c r="BU6" s="28">
        <v>0</v>
      </c>
      <c r="BV6" s="28">
        <v>0</v>
      </c>
    </row>
    <row r="7" spans="1:74" x14ac:dyDescent="0.3">
      <c r="A7" s="25" t="s">
        <v>8</v>
      </c>
      <c r="B7" s="25" t="s">
        <v>103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8">
        <v>0</v>
      </c>
      <c r="J7" s="28">
        <v>0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8">
        <v>0</v>
      </c>
      <c r="U7" s="28">
        <v>0</v>
      </c>
      <c r="V7" s="28">
        <v>0</v>
      </c>
      <c r="W7" s="28">
        <v>0</v>
      </c>
      <c r="X7" s="28">
        <v>0</v>
      </c>
      <c r="Y7" s="28">
        <v>0</v>
      </c>
      <c r="Z7" s="28">
        <v>0</v>
      </c>
      <c r="AA7" s="28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0</v>
      </c>
      <c r="AQ7" s="28">
        <v>0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  <c r="BE7" s="28">
        <v>4507.8000000000347</v>
      </c>
      <c r="BF7" s="28">
        <v>18529.279999999995</v>
      </c>
      <c r="BG7" s="28">
        <v>9264.6399999999976</v>
      </c>
      <c r="BH7" s="28">
        <v>0</v>
      </c>
      <c r="BI7" s="28">
        <v>0</v>
      </c>
      <c r="BJ7" s="28">
        <v>0</v>
      </c>
      <c r="BK7" s="28">
        <v>0</v>
      </c>
      <c r="BL7" s="28">
        <v>0</v>
      </c>
      <c r="BM7" s="28">
        <v>0</v>
      </c>
      <c r="BN7" s="28">
        <v>0</v>
      </c>
      <c r="BO7" s="28">
        <v>0</v>
      </c>
      <c r="BP7" s="28">
        <v>0</v>
      </c>
      <c r="BQ7" s="28">
        <v>0</v>
      </c>
      <c r="BR7" s="28">
        <v>0</v>
      </c>
      <c r="BS7" s="28">
        <v>0</v>
      </c>
      <c r="BT7" s="28">
        <v>0</v>
      </c>
      <c r="BU7" s="28">
        <v>0</v>
      </c>
      <c r="BV7" s="28">
        <v>0</v>
      </c>
    </row>
    <row r="8" spans="1:74" x14ac:dyDescent="0.3">
      <c r="A8" s="25" t="s">
        <v>8</v>
      </c>
      <c r="B8" s="25" t="s">
        <v>102</v>
      </c>
      <c r="C8" s="28">
        <v>17107.2</v>
      </c>
      <c r="D8" s="28">
        <v>49958.830399999992</v>
      </c>
      <c r="E8" s="28">
        <v>10264.320000000002</v>
      </c>
      <c r="F8" s="28">
        <v>6998.4000000000005</v>
      </c>
      <c r="G8" s="28">
        <v>9797.760000000002</v>
      </c>
      <c r="H8" s="28">
        <v>4199.04</v>
      </c>
      <c r="I8" s="28">
        <v>5538.0000000000564</v>
      </c>
      <c r="J8" s="28">
        <v>29420.864872727401</v>
      </c>
      <c r="K8" s="28">
        <v>9331.2000000000007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8">
        <v>0</v>
      </c>
      <c r="U8" s="28">
        <v>9705.2000000000498</v>
      </c>
      <c r="V8" s="28">
        <v>29482.200000000026</v>
      </c>
      <c r="W8" s="28">
        <v>8864.6400000000012</v>
      </c>
      <c r="X8" s="28">
        <v>3880.800000000007</v>
      </c>
      <c r="Y8" s="28">
        <v>11975.04</v>
      </c>
      <c r="Z8" s="28">
        <v>5987.52</v>
      </c>
      <c r="AA8" s="28">
        <v>12091.200000000041</v>
      </c>
      <c r="AB8" s="28">
        <v>53838.3999999999</v>
      </c>
      <c r="AC8" s="28">
        <v>10264.320000000002</v>
      </c>
      <c r="AD8" s="28">
        <v>0</v>
      </c>
      <c r="AE8" s="28">
        <v>0</v>
      </c>
      <c r="AF8" s="28">
        <v>0</v>
      </c>
      <c r="AG8" s="28">
        <v>16329.600000000002</v>
      </c>
      <c r="AH8" s="28">
        <v>27271.927636363991</v>
      </c>
      <c r="AI8" s="28">
        <v>9797.760000000002</v>
      </c>
      <c r="AJ8" s="28">
        <v>0</v>
      </c>
      <c r="AK8" s="28">
        <v>0</v>
      </c>
      <c r="AL8" s="28">
        <v>0</v>
      </c>
      <c r="AM8" s="28">
        <v>21384</v>
      </c>
      <c r="AN8" s="28">
        <v>34429.199999999983</v>
      </c>
      <c r="AO8" s="28">
        <v>11975.04</v>
      </c>
      <c r="AP8" s="28">
        <v>0</v>
      </c>
      <c r="AQ8" s="28">
        <v>0</v>
      </c>
      <c r="AR8" s="28">
        <v>0</v>
      </c>
      <c r="AS8" s="28">
        <v>17107.2</v>
      </c>
      <c r="AT8" s="28">
        <v>51464.747636364045</v>
      </c>
      <c r="AU8" s="28">
        <v>11975.04</v>
      </c>
      <c r="AV8" s="28">
        <v>2099.52</v>
      </c>
      <c r="AW8" s="28">
        <v>9797.760000000002</v>
      </c>
      <c r="AX8" s="28">
        <v>4898.880000000001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  <c r="BE8" s="28">
        <v>12830.400000000001</v>
      </c>
      <c r="BF8" s="28">
        <v>59875.200000000004</v>
      </c>
      <c r="BG8" s="28">
        <v>11975.04</v>
      </c>
      <c r="BH8" s="28">
        <v>3177.8999999999992</v>
      </c>
      <c r="BI8" s="28">
        <v>14004.899999999998</v>
      </c>
      <c r="BJ8" s="28">
        <v>5598.7200000000012</v>
      </c>
      <c r="BK8" s="28">
        <v>0</v>
      </c>
      <c r="BL8" s="28">
        <v>0</v>
      </c>
      <c r="BM8" s="28">
        <v>0</v>
      </c>
      <c r="BN8" s="28">
        <v>0</v>
      </c>
      <c r="BO8" s="28">
        <v>0</v>
      </c>
      <c r="BP8" s="28">
        <v>0</v>
      </c>
      <c r="BQ8" s="28">
        <v>13219.2</v>
      </c>
      <c r="BR8" s="28">
        <v>45187.178909090835</v>
      </c>
      <c r="BS8" s="28">
        <v>7931.52</v>
      </c>
      <c r="BT8" s="28">
        <v>10886.400000000001</v>
      </c>
      <c r="BU8" s="28">
        <v>14152.320000000002</v>
      </c>
      <c r="BV8" s="28">
        <v>7620.4800000000005</v>
      </c>
    </row>
    <row r="9" spans="1:74" x14ac:dyDescent="0.3">
      <c r="A9" s="25" t="s">
        <v>8</v>
      </c>
      <c r="B9" s="25" t="s">
        <v>62</v>
      </c>
      <c r="C9" s="28">
        <v>44000</v>
      </c>
      <c r="D9" s="28">
        <v>154000</v>
      </c>
      <c r="E9" s="28">
        <v>66000</v>
      </c>
      <c r="F9" s="28">
        <v>18000</v>
      </c>
      <c r="G9" s="28">
        <v>63000</v>
      </c>
      <c r="H9" s="28">
        <v>27000</v>
      </c>
      <c r="I9" s="28">
        <v>30000</v>
      </c>
      <c r="J9" s="28">
        <v>150000</v>
      </c>
      <c r="K9" s="28">
        <v>60000</v>
      </c>
      <c r="L9" s="28">
        <v>12000</v>
      </c>
      <c r="M9" s="28">
        <v>52000</v>
      </c>
      <c r="N9" s="28">
        <v>32000</v>
      </c>
      <c r="O9" s="28">
        <v>42000</v>
      </c>
      <c r="P9" s="28">
        <v>147000</v>
      </c>
      <c r="Q9" s="28">
        <v>63000</v>
      </c>
      <c r="R9" s="28">
        <v>15000</v>
      </c>
      <c r="S9" s="28">
        <v>65000</v>
      </c>
      <c r="T9" s="28">
        <v>40000</v>
      </c>
      <c r="U9" s="28">
        <v>38000</v>
      </c>
      <c r="V9" s="28">
        <v>133000</v>
      </c>
      <c r="W9" s="28">
        <v>54245.700314136142</v>
      </c>
      <c r="X9" s="28">
        <v>16500</v>
      </c>
      <c r="Y9" s="28">
        <v>77000</v>
      </c>
      <c r="Z9" s="28">
        <v>36639.639685863884</v>
      </c>
      <c r="AA9" s="28">
        <v>44000</v>
      </c>
      <c r="AB9" s="28">
        <v>154000</v>
      </c>
      <c r="AC9" s="28">
        <v>66000</v>
      </c>
      <c r="AD9" s="28">
        <v>13500</v>
      </c>
      <c r="AE9" s="28">
        <v>58500</v>
      </c>
      <c r="AF9" s="28">
        <v>36000</v>
      </c>
      <c r="AG9" s="28">
        <v>42000</v>
      </c>
      <c r="AH9" s="28">
        <v>147000</v>
      </c>
      <c r="AI9" s="28">
        <v>63000</v>
      </c>
      <c r="AJ9" s="28">
        <v>13500</v>
      </c>
      <c r="AK9" s="28">
        <v>63000</v>
      </c>
      <c r="AL9" s="28">
        <v>31500</v>
      </c>
      <c r="AM9" s="28">
        <v>55000</v>
      </c>
      <c r="AN9" s="28">
        <v>132000</v>
      </c>
      <c r="AO9" s="28">
        <v>77000</v>
      </c>
      <c r="AP9" s="28">
        <v>13500</v>
      </c>
      <c r="AQ9" s="28">
        <v>63000</v>
      </c>
      <c r="AR9" s="28">
        <v>31500</v>
      </c>
      <c r="AS9" s="28">
        <v>44000</v>
      </c>
      <c r="AT9" s="28">
        <v>143000</v>
      </c>
      <c r="AU9" s="28">
        <v>77000</v>
      </c>
      <c r="AV9" s="28">
        <v>13500</v>
      </c>
      <c r="AW9" s="28">
        <v>63000</v>
      </c>
      <c r="AX9" s="28">
        <v>31500</v>
      </c>
      <c r="AY9" s="28">
        <v>50000</v>
      </c>
      <c r="AZ9" s="28">
        <v>120000</v>
      </c>
      <c r="BA9" s="28">
        <v>70000</v>
      </c>
      <c r="BB9" s="28">
        <v>15000</v>
      </c>
      <c r="BC9" s="28">
        <v>65000</v>
      </c>
      <c r="BD9" s="28">
        <v>40000</v>
      </c>
      <c r="BE9" s="28">
        <v>33000</v>
      </c>
      <c r="BF9" s="28">
        <v>154000</v>
      </c>
      <c r="BG9" s="28">
        <v>69103.34336283186</v>
      </c>
      <c r="BH9" s="28">
        <v>13500</v>
      </c>
      <c r="BI9" s="28">
        <v>58500</v>
      </c>
      <c r="BJ9" s="28">
        <v>32308.056637168142</v>
      </c>
      <c r="BK9" s="28">
        <v>21000</v>
      </c>
      <c r="BL9" s="28">
        <v>157500</v>
      </c>
      <c r="BM9" s="28">
        <v>73500</v>
      </c>
      <c r="BN9" s="28">
        <v>13500</v>
      </c>
      <c r="BO9" s="28">
        <v>58500</v>
      </c>
      <c r="BP9" s="28">
        <v>36000</v>
      </c>
      <c r="BQ9" s="28">
        <v>34000</v>
      </c>
      <c r="BR9" s="28">
        <v>119000</v>
      </c>
      <c r="BS9" s="28">
        <v>51000</v>
      </c>
      <c r="BT9" s="28">
        <v>28000</v>
      </c>
      <c r="BU9" s="28">
        <v>91000</v>
      </c>
      <c r="BV9" s="28">
        <v>45353.520000000033</v>
      </c>
    </row>
    <row r="10" spans="1:74" x14ac:dyDescent="0.3">
      <c r="A10" s="25" t="s">
        <v>8</v>
      </c>
      <c r="B10" s="25" t="s">
        <v>63</v>
      </c>
      <c r="C10" s="28">
        <v>44000</v>
      </c>
      <c r="D10" s="28">
        <v>154000</v>
      </c>
      <c r="E10" s="28">
        <v>26981.160000000011</v>
      </c>
      <c r="F10" s="28">
        <v>18000</v>
      </c>
      <c r="G10" s="28">
        <v>63000</v>
      </c>
      <c r="H10" s="28">
        <v>5400</v>
      </c>
      <c r="I10" s="28">
        <v>30000</v>
      </c>
      <c r="J10" s="28">
        <v>150000</v>
      </c>
      <c r="K10" s="28">
        <v>24666.36521739126</v>
      </c>
      <c r="L10" s="28">
        <v>12000</v>
      </c>
      <c r="M10" s="28">
        <v>52000</v>
      </c>
      <c r="N10" s="28">
        <v>9076.0347826086709</v>
      </c>
      <c r="O10" s="28">
        <v>42000</v>
      </c>
      <c r="P10" s="28">
        <v>147000</v>
      </c>
      <c r="Q10" s="28">
        <v>25291.000000000073</v>
      </c>
      <c r="R10" s="28">
        <v>15000</v>
      </c>
      <c r="S10" s="28">
        <v>65000</v>
      </c>
      <c r="T10" s="28">
        <v>8000</v>
      </c>
      <c r="U10" s="28">
        <v>38000</v>
      </c>
      <c r="V10" s="28">
        <v>133000</v>
      </c>
      <c r="W10" s="28">
        <v>11400</v>
      </c>
      <c r="X10" s="28">
        <v>0</v>
      </c>
      <c r="Y10" s="28">
        <v>0</v>
      </c>
      <c r="Z10" s="28">
        <v>0</v>
      </c>
      <c r="AA10" s="28">
        <v>44000</v>
      </c>
      <c r="AB10" s="28">
        <v>154000</v>
      </c>
      <c r="AC10" s="28">
        <v>18392.879999999979</v>
      </c>
      <c r="AD10" s="28">
        <v>0</v>
      </c>
      <c r="AE10" s="28">
        <v>0</v>
      </c>
      <c r="AF10" s="28">
        <v>0</v>
      </c>
      <c r="AG10" s="28">
        <v>42000</v>
      </c>
      <c r="AH10" s="28">
        <v>147000</v>
      </c>
      <c r="AI10" s="28">
        <v>28292.040000000005</v>
      </c>
      <c r="AJ10" s="28">
        <v>13500</v>
      </c>
      <c r="AK10" s="28">
        <v>63000</v>
      </c>
      <c r="AL10" s="28">
        <v>8700.2999999999975</v>
      </c>
      <c r="AM10" s="28">
        <v>55000</v>
      </c>
      <c r="AN10" s="28">
        <v>132000</v>
      </c>
      <c r="AO10" s="28">
        <v>51996.560000000027</v>
      </c>
      <c r="AP10" s="28">
        <v>13500</v>
      </c>
      <c r="AQ10" s="28">
        <v>63000</v>
      </c>
      <c r="AR10" s="28">
        <v>14175.000000000024</v>
      </c>
      <c r="AS10" s="28">
        <v>44000</v>
      </c>
      <c r="AT10" s="28">
        <v>143000</v>
      </c>
      <c r="AU10" s="28">
        <v>35595.559999999983</v>
      </c>
      <c r="AV10" s="28">
        <v>13500</v>
      </c>
      <c r="AW10" s="28">
        <v>63000</v>
      </c>
      <c r="AX10" s="28">
        <v>14561.819999999994</v>
      </c>
      <c r="AY10" s="28">
        <v>50000</v>
      </c>
      <c r="AZ10" s="28">
        <v>120000</v>
      </c>
      <c r="BA10" s="28">
        <v>47117.636363636353</v>
      </c>
      <c r="BB10" s="28">
        <v>15000</v>
      </c>
      <c r="BC10" s="28">
        <v>65000</v>
      </c>
      <c r="BD10" s="28">
        <v>26924.363636363629</v>
      </c>
      <c r="BE10" s="28">
        <v>33000</v>
      </c>
      <c r="BF10" s="28">
        <v>154000</v>
      </c>
      <c r="BG10" s="28">
        <v>15400</v>
      </c>
      <c r="BH10" s="28">
        <v>0</v>
      </c>
      <c r="BI10" s="28">
        <v>0</v>
      </c>
      <c r="BJ10" s="28">
        <v>0</v>
      </c>
      <c r="BK10" s="28">
        <v>21000</v>
      </c>
      <c r="BL10" s="28">
        <v>157500</v>
      </c>
      <c r="BM10" s="28">
        <v>28486.619999999988</v>
      </c>
      <c r="BN10" s="28">
        <v>13500</v>
      </c>
      <c r="BO10" s="28">
        <v>58500</v>
      </c>
      <c r="BP10" s="28">
        <v>7200</v>
      </c>
      <c r="BQ10" s="28">
        <v>34000</v>
      </c>
      <c r="BR10" s="28">
        <v>119000</v>
      </c>
      <c r="BS10" s="28">
        <v>31756.680000000037</v>
      </c>
      <c r="BT10" s="28">
        <v>28000</v>
      </c>
      <c r="BU10" s="28">
        <v>91000</v>
      </c>
      <c r="BV10" s="28">
        <v>9800</v>
      </c>
    </row>
    <row r="11" spans="1:74" x14ac:dyDescent="0.3">
      <c r="A11" s="25" t="s">
        <v>8</v>
      </c>
      <c r="B11" s="25" t="s">
        <v>64</v>
      </c>
      <c r="C11" s="28">
        <v>44000</v>
      </c>
      <c r="D11" s="28">
        <v>154000</v>
      </c>
      <c r="E11" s="28">
        <v>13200.000000000002</v>
      </c>
      <c r="F11" s="28">
        <v>0</v>
      </c>
      <c r="G11" s="28">
        <v>0</v>
      </c>
      <c r="H11" s="28">
        <v>0</v>
      </c>
      <c r="I11" s="28">
        <v>30000</v>
      </c>
      <c r="J11" s="28">
        <v>150000</v>
      </c>
      <c r="K11" s="28">
        <v>12000</v>
      </c>
      <c r="L11" s="28">
        <v>0</v>
      </c>
      <c r="M11" s="28">
        <v>0</v>
      </c>
      <c r="N11" s="28">
        <v>0</v>
      </c>
      <c r="O11" s="28">
        <v>42000</v>
      </c>
      <c r="P11" s="28">
        <v>147000</v>
      </c>
      <c r="Q11" s="28">
        <v>12600.000000000002</v>
      </c>
      <c r="R11" s="28">
        <v>0</v>
      </c>
      <c r="S11" s="28">
        <v>0</v>
      </c>
      <c r="T11" s="28">
        <v>0</v>
      </c>
      <c r="U11" s="28">
        <v>0</v>
      </c>
      <c r="V11" s="28">
        <v>0</v>
      </c>
      <c r="W11" s="28">
        <v>0</v>
      </c>
      <c r="X11" s="28">
        <v>0</v>
      </c>
      <c r="Y11" s="28">
        <v>0</v>
      </c>
      <c r="Z11" s="28">
        <v>0</v>
      </c>
      <c r="AA11" s="28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42000</v>
      </c>
      <c r="AH11" s="28">
        <v>147000</v>
      </c>
      <c r="AI11" s="28">
        <v>12600.000000000002</v>
      </c>
      <c r="AJ11" s="28">
        <v>0</v>
      </c>
      <c r="AK11" s="28">
        <v>0</v>
      </c>
      <c r="AL11" s="28">
        <v>0</v>
      </c>
      <c r="AM11" s="28">
        <v>55000</v>
      </c>
      <c r="AN11" s="28">
        <v>132000</v>
      </c>
      <c r="AO11" s="28">
        <v>15400</v>
      </c>
      <c r="AP11" s="28">
        <v>0</v>
      </c>
      <c r="AQ11" s="28">
        <v>0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>
        <v>0</v>
      </c>
      <c r="AX11" s="28">
        <v>0</v>
      </c>
      <c r="AY11" s="28">
        <v>50000</v>
      </c>
      <c r="AZ11" s="28">
        <v>120000</v>
      </c>
      <c r="BA11" s="28">
        <v>14000</v>
      </c>
      <c r="BB11" s="28">
        <v>0</v>
      </c>
      <c r="BC11" s="28">
        <v>0</v>
      </c>
      <c r="BD11" s="28">
        <v>0</v>
      </c>
      <c r="BE11" s="28">
        <v>0</v>
      </c>
      <c r="BF11" s="28">
        <v>0</v>
      </c>
      <c r="BG11" s="28">
        <v>0</v>
      </c>
      <c r="BH11" s="28">
        <v>0</v>
      </c>
      <c r="BI11" s="28">
        <v>0</v>
      </c>
      <c r="BJ11" s="28">
        <v>0</v>
      </c>
      <c r="BK11" s="28">
        <v>21000</v>
      </c>
      <c r="BL11" s="28">
        <v>157500</v>
      </c>
      <c r="BM11" s="28">
        <v>14700.000000000002</v>
      </c>
      <c r="BN11" s="28">
        <v>0</v>
      </c>
      <c r="BO11" s="28">
        <v>0</v>
      </c>
      <c r="BP11" s="28">
        <v>0</v>
      </c>
      <c r="BQ11" s="28">
        <v>34000</v>
      </c>
      <c r="BR11" s="28">
        <v>119000</v>
      </c>
      <c r="BS11" s="28">
        <v>10200.000000000002</v>
      </c>
      <c r="BT11" s="28">
        <v>0</v>
      </c>
      <c r="BU11" s="28">
        <v>0</v>
      </c>
      <c r="BV11" s="28">
        <v>0</v>
      </c>
    </row>
    <row r="12" spans="1:74" x14ac:dyDescent="0.3">
      <c r="A12" s="25" t="s">
        <v>8</v>
      </c>
      <c r="B12" s="25" t="s">
        <v>65</v>
      </c>
      <c r="C12" s="28">
        <v>58739.999999999993</v>
      </c>
      <c r="D12" s="28">
        <v>205590</v>
      </c>
      <c r="E12" s="28">
        <v>88110</v>
      </c>
      <c r="F12" s="28">
        <v>24030</v>
      </c>
      <c r="G12" s="28">
        <v>84105</v>
      </c>
      <c r="H12" s="28">
        <v>36045</v>
      </c>
      <c r="I12" s="28">
        <v>40050</v>
      </c>
      <c r="J12" s="28">
        <v>200250</v>
      </c>
      <c r="K12" s="28">
        <v>80100</v>
      </c>
      <c r="L12" s="28">
        <v>16020</v>
      </c>
      <c r="M12" s="28">
        <v>69420</v>
      </c>
      <c r="N12" s="28">
        <v>42720</v>
      </c>
      <c r="O12" s="28">
        <v>56070</v>
      </c>
      <c r="P12" s="28">
        <v>196245</v>
      </c>
      <c r="Q12" s="28">
        <v>84105</v>
      </c>
      <c r="R12" s="28">
        <v>20025</v>
      </c>
      <c r="S12" s="28">
        <v>86774.999999999985</v>
      </c>
      <c r="T12" s="28">
        <v>53400</v>
      </c>
      <c r="U12" s="28">
        <v>50730</v>
      </c>
      <c r="V12" s="28">
        <v>177555</v>
      </c>
      <c r="W12" s="28">
        <v>76095</v>
      </c>
      <c r="X12" s="28">
        <v>22027.5</v>
      </c>
      <c r="Y12" s="28">
        <v>102795</v>
      </c>
      <c r="Z12" s="28">
        <v>51397.5</v>
      </c>
      <c r="AA12" s="28">
        <v>58739.999999999993</v>
      </c>
      <c r="AB12" s="28">
        <v>205590</v>
      </c>
      <c r="AC12" s="28">
        <v>88110</v>
      </c>
      <c r="AD12" s="28">
        <v>18022.5</v>
      </c>
      <c r="AE12" s="28">
        <v>78097.5</v>
      </c>
      <c r="AF12" s="28">
        <v>48060</v>
      </c>
      <c r="AG12" s="28">
        <v>56070</v>
      </c>
      <c r="AH12" s="28">
        <v>196245</v>
      </c>
      <c r="AI12" s="28">
        <v>84105</v>
      </c>
      <c r="AJ12" s="28">
        <v>18022.5</v>
      </c>
      <c r="AK12" s="28">
        <v>84105</v>
      </c>
      <c r="AL12" s="28">
        <v>42052.5</v>
      </c>
      <c r="AM12" s="28">
        <v>73425</v>
      </c>
      <c r="AN12" s="28">
        <v>176220</v>
      </c>
      <c r="AO12" s="28">
        <v>102795</v>
      </c>
      <c r="AP12" s="28">
        <v>18022.5</v>
      </c>
      <c r="AQ12" s="28">
        <v>84105</v>
      </c>
      <c r="AR12" s="28">
        <v>42052.5</v>
      </c>
      <c r="AS12" s="28">
        <v>58739.999999999993</v>
      </c>
      <c r="AT12" s="28">
        <v>190905</v>
      </c>
      <c r="AU12" s="28">
        <v>102795</v>
      </c>
      <c r="AV12" s="28">
        <v>18022.5</v>
      </c>
      <c r="AW12" s="28">
        <v>84105</v>
      </c>
      <c r="AX12" s="28">
        <v>42052.5</v>
      </c>
      <c r="AY12" s="28">
        <v>66750</v>
      </c>
      <c r="AZ12" s="28">
        <v>160200</v>
      </c>
      <c r="BA12" s="28">
        <v>93450</v>
      </c>
      <c r="BB12" s="28">
        <v>20025</v>
      </c>
      <c r="BC12" s="28">
        <v>86774.999999999985</v>
      </c>
      <c r="BD12" s="28">
        <v>53400</v>
      </c>
      <c r="BE12" s="28">
        <v>44055</v>
      </c>
      <c r="BF12" s="28">
        <v>205590</v>
      </c>
      <c r="BG12" s="28">
        <v>102795</v>
      </c>
      <c r="BH12" s="28">
        <v>18022.5</v>
      </c>
      <c r="BI12" s="28">
        <v>78097.5</v>
      </c>
      <c r="BJ12" s="28">
        <v>48060</v>
      </c>
      <c r="BK12" s="28">
        <v>28035</v>
      </c>
      <c r="BL12" s="28">
        <v>210262.5</v>
      </c>
      <c r="BM12" s="28">
        <v>98122.5</v>
      </c>
      <c r="BN12" s="28">
        <v>18022.5</v>
      </c>
      <c r="BO12" s="28">
        <v>78097.5</v>
      </c>
      <c r="BP12" s="28">
        <v>48060</v>
      </c>
      <c r="BQ12" s="28">
        <v>45390</v>
      </c>
      <c r="BR12" s="28">
        <v>158865</v>
      </c>
      <c r="BS12" s="28">
        <v>68085</v>
      </c>
      <c r="BT12" s="28">
        <v>37379.999999999993</v>
      </c>
      <c r="BU12" s="28">
        <v>121485</v>
      </c>
      <c r="BV12" s="28">
        <v>65414.999999999993</v>
      </c>
    </row>
    <row r="13" spans="1:74" x14ac:dyDescent="0.3">
      <c r="A13" s="25" t="s">
        <v>8</v>
      </c>
      <c r="B13" s="25" t="s">
        <v>66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>
        <v>0</v>
      </c>
      <c r="J13" s="28">
        <v>0</v>
      </c>
      <c r="K13" s="28">
        <v>0</v>
      </c>
      <c r="L13" s="28">
        <v>0</v>
      </c>
      <c r="M13" s="28">
        <v>0</v>
      </c>
      <c r="N13" s="28">
        <v>0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28">
        <v>0</v>
      </c>
      <c r="AA13" s="28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  <c r="AL13" s="28">
        <v>0</v>
      </c>
      <c r="AM13" s="28">
        <v>0</v>
      </c>
      <c r="AN13" s="28">
        <v>0</v>
      </c>
      <c r="AO13" s="28">
        <v>0</v>
      </c>
      <c r="AP13" s="28">
        <v>0</v>
      </c>
      <c r="AQ13" s="28">
        <v>0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>
        <v>0</v>
      </c>
      <c r="AX13" s="28">
        <v>0</v>
      </c>
      <c r="AY13" s="28">
        <v>0</v>
      </c>
      <c r="AZ13" s="28">
        <v>0</v>
      </c>
      <c r="BA13" s="28">
        <v>0</v>
      </c>
      <c r="BB13" s="28">
        <v>0</v>
      </c>
      <c r="BC13" s="28">
        <v>0</v>
      </c>
      <c r="BD13" s="28">
        <v>0</v>
      </c>
      <c r="BE13" s="28">
        <v>0</v>
      </c>
      <c r="BF13" s="28">
        <v>0</v>
      </c>
      <c r="BG13" s="28">
        <v>0</v>
      </c>
      <c r="BH13" s="28">
        <v>0</v>
      </c>
      <c r="BI13" s="28">
        <v>0</v>
      </c>
      <c r="BJ13" s="28">
        <v>0</v>
      </c>
      <c r="BK13" s="28">
        <v>0</v>
      </c>
      <c r="BL13" s="28">
        <v>0</v>
      </c>
      <c r="BM13" s="28">
        <v>0</v>
      </c>
      <c r="BN13" s="28">
        <v>0</v>
      </c>
      <c r="BO13" s="28">
        <v>0</v>
      </c>
      <c r="BP13" s="28">
        <v>0</v>
      </c>
      <c r="BQ13" s="28">
        <v>0</v>
      </c>
      <c r="BR13" s="28">
        <v>0</v>
      </c>
      <c r="BS13" s="28">
        <v>0</v>
      </c>
      <c r="BT13" s="28">
        <v>0</v>
      </c>
      <c r="BU13" s="28">
        <v>0</v>
      </c>
      <c r="BV13" s="28">
        <v>0</v>
      </c>
    </row>
    <row r="14" spans="1:74" x14ac:dyDescent="0.3">
      <c r="A14" s="25" t="s">
        <v>8</v>
      </c>
      <c r="B14" s="25" t="s">
        <v>67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>
        <v>0</v>
      </c>
      <c r="J14" s="28">
        <v>0</v>
      </c>
      <c r="K14" s="28">
        <v>0</v>
      </c>
      <c r="L14" s="28">
        <v>0</v>
      </c>
      <c r="M14" s="28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0</v>
      </c>
      <c r="U14" s="28">
        <v>0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  <c r="AL14" s="28">
        <v>0</v>
      </c>
      <c r="AM14" s="28">
        <v>0</v>
      </c>
      <c r="AN14" s="28">
        <v>0</v>
      </c>
      <c r="AO14" s="28">
        <v>0</v>
      </c>
      <c r="AP14" s="28">
        <v>0</v>
      </c>
      <c r="AQ14" s="28">
        <v>0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>
        <v>0</v>
      </c>
      <c r="AX14" s="28">
        <v>0</v>
      </c>
      <c r="AY14" s="28">
        <v>0</v>
      </c>
      <c r="AZ14" s="28">
        <v>0</v>
      </c>
      <c r="BA14" s="28">
        <v>0</v>
      </c>
      <c r="BB14" s="28">
        <v>0</v>
      </c>
      <c r="BC14" s="28">
        <v>0</v>
      </c>
      <c r="BD14" s="28">
        <v>0</v>
      </c>
      <c r="BE14" s="28">
        <v>0</v>
      </c>
      <c r="BF14" s="28">
        <v>0</v>
      </c>
      <c r="BG14" s="28">
        <v>0</v>
      </c>
      <c r="BH14" s="28">
        <v>0</v>
      </c>
      <c r="BI14" s="28">
        <v>0</v>
      </c>
      <c r="BJ14" s="28">
        <v>0</v>
      </c>
      <c r="BK14" s="28">
        <v>0</v>
      </c>
      <c r="BL14" s="28">
        <v>0</v>
      </c>
      <c r="BM14" s="28">
        <v>0</v>
      </c>
      <c r="BN14" s="28">
        <v>0</v>
      </c>
      <c r="BO14" s="28">
        <v>0</v>
      </c>
      <c r="BP14" s="28">
        <v>0</v>
      </c>
      <c r="BQ14" s="28">
        <v>0</v>
      </c>
      <c r="BR14" s="28">
        <v>0</v>
      </c>
      <c r="BS14" s="28">
        <v>0</v>
      </c>
      <c r="BT14" s="28">
        <v>0</v>
      </c>
      <c r="BU14" s="28">
        <v>0</v>
      </c>
      <c r="BV14" s="28">
        <v>0</v>
      </c>
    </row>
    <row r="15" spans="1:74" x14ac:dyDescent="0.3">
      <c r="A15" s="25" t="s">
        <v>8</v>
      </c>
      <c r="B15" s="25" t="s">
        <v>68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>
        <v>0</v>
      </c>
      <c r="J15" s="28">
        <v>0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  <c r="AL15" s="28">
        <v>0</v>
      </c>
      <c r="AM15" s="28">
        <v>0</v>
      </c>
      <c r="AN15" s="28">
        <v>0</v>
      </c>
      <c r="AO15" s="28">
        <v>0</v>
      </c>
      <c r="AP15" s="28">
        <v>0</v>
      </c>
      <c r="AQ15" s="28">
        <v>0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>
        <v>0</v>
      </c>
      <c r="AX15" s="28">
        <v>0</v>
      </c>
      <c r="AY15" s="28">
        <v>0</v>
      </c>
      <c r="AZ15" s="28">
        <v>0</v>
      </c>
      <c r="BA15" s="28">
        <v>0</v>
      </c>
      <c r="BB15" s="28">
        <v>0</v>
      </c>
      <c r="BC15" s="28">
        <v>0</v>
      </c>
      <c r="BD15" s="28">
        <v>0</v>
      </c>
      <c r="BE15" s="28">
        <v>0</v>
      </c>
      <c r="BF15" s="28">
        <v>0</v>
      </c>
      <c r="BG15" s="28">
        <v>0</v>
      </c>
      <c r="BH15" s="28">
        <v>0</v>
      </c>
      <c r="BI15" s="28">
        <v>0</v>
      </c>
      <c r="BJ15" s="28">
        <v>0</v>
      </c>
      <c r="BK15" s="28">
        <v>0</v>
      </c>
      <c r="BL15" s="28">
        <v>0</v>
      </c>
      <c r="BM15" s="28">
        <v>0</v>
      </c>
      <c r="BN15" s="28">
        <v>0</v>
      </c>
      <c r="BO15" s="28">
        <v>0</v>
      </c>
      <c r="BP15" s="28">
        <v>0</v>
      </c>
      <c r="BQ15" s="28">
        <v>0</v>
      </c>
      <c r="BR15" s="28">
        <v>0</v>
      </c>
      <c r="BS15" s="28">
        <v>0</v>
      </c>
      <c r="BT15" s="28">
        <v>0</v>
      </c>
      <c r="BU15" s="28">
        <v>0</v>
      </c>
      <c r="BV15" s="28">
        <v>0</v>
      </c>
    </row>
    <row r="16" spans="1:74" x14ac:dyDescent="0.3">
      <c r="A16" s="25" t="s">
        <v>8</v>
      </c>
      <c r="B16" s="25" t="s">
        <v>69</v>
      </c>
      <c r="C16" s="28">
        <v>0</v>
      </c>
      <c r="D16" s="28">
        <v>0</v>
      </c>
      <c r="E16" s="28">
        <v>0</v>
      </c>
      <c r="F16" s="28">
        <v>0</v>
      </c>
      <c r="G16" s="28">
        <v>0</v>
      </c>
      <c r="H16" s="28">
        <v>0</v>
      </c>
      <c r="I16" s="28">
        <v>0</v>
      </c>
      <c r="J16" s="28">
        <v>0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U16" s="28">
        <v>0</v>
      </c>
      <c r="V16" s="28">
        <v>0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  <c r="AL16" s="28">
        <v>0</v>
      </c>
      <c r="AM16" s="28">
        <v>0</v>
      </c>
      <c r="AN16" s="28">
        <v>0</v>
      </c>
      <c r="AO16" s="28">
        <v>0</v>
      </c>
      <c r="AP16" s="28">
        <v>0</v>
      </c>
      <c r="AQ16" s="28">
        <v>0</v>
      </c>
      <c r="AR16" s="28">
        <v>0</v>
      </c>
      <c r="AS16" s="28">
        <v>0</v>
      </c>
      <c r="AT16" s="28">
        <v>0</v>
      </c>
      <c r="AU16" s="28">
        <v>0</v>
      </c>
      <c r="AV16" s="28">
        <v>0</v>
      </c>
      <c r="AW16" s="28">
        <v>0</v>
      </c>
      <c r="AX16" s="28">
        <v>0</v>
      </c>
      <c r="AY16" s="28">
        <v>0</v>
      </c>
      <c r="AZ16" s="28">
        <v>0</v>
      </c>
      <c r="BA16" s="28">
        <v>0</v>
      </c>
      <c r="BB16" s="28">
        <v>0</v>
      </c>
      <c r="BC16" s="28">
        <v>0</v>
      </c>
      <c r="BD16" s="28">
        <v>0</v>
      </c>
      <c r="BE16" s="28">
        <v>0</v>
      </c>
      <c r="BF16" s="28">
        <v>0</v>
      </c>
      <c r="BG16" s="28">
        <v>0</v>
      </c>
      <c r="BH16" s="28">
        <v>0</v>
      </c>
      <c r="BI16" s="28">
        <v>0</v>
      </c>
      <c r="BJ16" s="28">
        <v>0</v>
      </c>
      <c r="BK16" s="28">
        <v>0</v>
      </c>
      <c r="BL16" s="28">
        <v>0</v>
      </c>
      <c r="BM16" s="28">
        <v>0</v>
      </c>
      <c r="BN16" s="28">
        <v>0</v>
      </c>
      <c r="BO16" s="28">
        <v>0</v>
      </c>
      <c r="BP16" s="28">
        <v>0</v>
      </c>
      <c r="BQ16" s="28">
        <v>0</v>
      </c>
      <c r="BR16" s="28">
        <v>0</v>
      </c>
      <c r="BS16" s="28">
        <v>0</v>
      </c>
      <c r="BT16" s="28">
        <v>0</v>
      </c>
      <c r="BU16" s="28">
        <v>0</v>
      </c>
      <c r="BV16" s="28">
        <v>0</v>
      </c>
    </row>
    <row r="17" spans="1:74" x14ac:dyDescent="0.3">
      <c r="A17" s="25" t="s">
        <v>8</v>
      </c>
      <c r="B17" s="25" t="s">
        <v>27</v>
      </c>
      <c r="C17" s="28">
        <v>13200</v>
      </c>
      <c r="D17" s="28">
        <v>46199.999999999993</v>
      </c>
      <c r="E17" s="28">
        <v>19799.64</v>
      </c>
      <c r="F17" s="28">
        <v>5399.9999999999991</v>
      </c>
      <c r="G17" s="28">
        <v>18900</v>
      </c>
      <c r="H17" s="28">
        <v>3636.3600000000065</v>
      </c>
      <c r="I17" s="28">
        <v>9000</v>
      </c>
      <c r="J17" s="28">
        <v>45000</v>
      </c>
      <c r="K17" s="28">
        <v>15370.434782608705</v>
      </c>
      <c r="L17" s="28">
        <v>3599.9999999999995</v>
      </c>
      <c r="M17" s="28">
        <v>15600</v>
      </c>
      <c r="N17" s="28">
        <v>8197.5652173913095</v>
      </c>
      <c r="O17" s="28">
        <v>12600</v>
      </c>
      <c r="P17" s="28">
        <v>44100</v>
      </c>
      <c r="Q17" s="28">
        <v>18620.000000000018</v>
      </c>
      <c r="R17" s="28">
        <v>4500</v>
      </c>
      <c r="S17" s="28">
        <v>19500</v>
      </c>
      <c r="T17" s="28">
        <v>7816.0000000000009</v>
      </c>
      <c r="U17" s="28">
        <v>11400</v>
      </c>
      <c r="V17" s="28">
        <v>39900</v>
      </c>
      <c r="W17" s="28">
        <v>10761.659685863864</v>
      </c>
      <c r="X17" s="28">
        <v>4950</v>
      </c>
      <c r="Y17" s="28">
        <v>23099.999999999996</v>
      </c>
      <c r="Z17" s="28">
        <v>608.34031413614298</v>
      </c>
      <c r="AA17" s="28">
        <v>13200</v>
      </c>
      <c r="AB17" s="28">
        <v>45730.390588235285</v>
      </c>
      <c r="AC17" s="28">
        <v>0</v>
      </c>
      <c r="AD17" s="28">
        <v>4050</v>
      </c>
      <c r="AE17" s="28">
        <v>17371.609411764701</v>
      </c>
      <c r="AF17" s="28">
        <v>0</v>
      </c>
      <c r="AG17" s="28">
        <v>12600</v>
      </c>
      <c r="AH17" s="28">
        <v>35190.000000000015</v>
      </c>
      <c r="AI17" s="28">
        <v>0</v>
      </c>
      <c r="AJ17" s="28">
        <v>4050</v>
      </c>
      <c r="AK17" s="28">
        <v>0</v>
      </c>
      <c r="AL17" s="28">
        <v>0</v>
      </c>
      <c r="AM17" s="28">
        <v>16500</v>
      </c>
      <c r="AN17" s="28">
        <v>30145.200000000012</v>
      </c>
      <c r="AO17" s="28">
        <v>0</v>
      </c>
      <c r="AP17" s="28">
        <v>4050</v>
      </c>
      <c r="AQ17" s="28">
        <v>2872.7999999999915</v>
      </c>
      <c r="AR17" s="28">
        <v>0</v>
      </c>
      <c r="AS17" s="28">
        <v>13200</v>
      </c>
      <c r="AT17" s="28">
        <v>36318.000000000007</v>
      </c>
      <c r="AU17" s="28">
        <v>0</v>
      </c>
      <c r="AV17" s="28">
        <v>4050</v>
      </c>
      <c r="AW17" s="28">
        <v>0</v>
      </c>
      <c r="AX17" s="28">
        <v>0</v>
      </c>
      <c r="AY17" s="28">
        <v>15000</v>
      </c>
      <c r="AZ17" s="28">
        <v>36000</v>
      </c>
      <c r="BA17" s="28">
        <v>1756.3636363636354</v>
      </c>
      <c r="BB17" s="28">
        <v>4500</v>
      </c>
      <c r="BC17" s="28">
        <v>19500</v>
      </c>
      <c r="BD17" s="28">
        <v>1003.6363636363629</v>
      </c>
      <c r="BE17" s="28">
        <v>9900</v>
      </c>
      <c r="BF17" s="28">
        <v>46199.999999999993</v>
      </c>
      <c r="BG17" s="28">
        <v>12975.576637168135</v>
      </c>
      <c r="BH17" s="28">
        <v>4050</v>
      </c>
      <c r="BI17" s="28">
        <v>17550</v>
      </c>
      <c r="BJ17" s="28">
        <v>3068.4233628318548</v>
      </c>
      <c r="BK17" s="28">
        <v>6300</v>
      </c>
      <c r="BL17" s="28">
        <v>47250</v>
      </c>
      <c r="BM17" s="28">
        <v>20473.200000000026</v>
      </c>
      <c r="BN17" s="28">
        <v>4050</v>
      </c>
      <c r="BO17" s="28">
        <v>17550</v>
      </c>
      <c r="BP17" s="28">
        <v>8056.7999999999847</v>
      </c>
      <c r="BQ17" s="28">
        <v>10200</v>
      </c>
      <c r="BR17" s="28">
        <v>35699.999999999993</v>
      </c>
      <c r="BS17" s="28">
        <v>15299.999999999998</v>
      </c>
      <c r="BT17" s="28">
        <v>8400</v>
      </c>
      <c r="BU17" s="28">
        <v>27300</v>
      </c>
      <c r="BV17" s="28">
        <v>10236.000000000009</v>
      </c>
    </row>
    <row r="18" spans="1:74" x14ac:dyDescent="0.3">
      <c r="A18" s="25" t="s">
        <v>8</v>
      </c>
      <c r="B18" s="25" t="s">
        <v>95</v>
      </c>
      <c r="C18" s="28">
        <v>17600</v>
      </c>
      <c r="D18" s="28">
        <v>4760.4495999999381</v>
      </c>
      <c r="E18" s="28">
        <v>0</v>
      </c>
      <c r="F18" s="28">
        <v>7200</v>
      </c>
      <c r="G18" s="28">
        <v>0</v>
      </c>
      <c r="H18" s="28">
        <v>0</v>
      </c>
      <c r="I18" s="28">
        <v>12000</v>
      </c>
      <c r="J18" s="28">
        <v>15077.891022862263</v>
      </c>
      <c r="K18" s="28">
        <v>0</v>
      </c>
      <c r="L18" s="28">
        <v>4800.0000000000009</v>
      </c>
      <c r="M18" s="28">
        <v>2020.6353771377778</v>
      </c>
      <c r="N18" s="28">
        <v>0</v>
      </c>
      <c r="O18" s="28">
        <v>16800</v>
      </c>
      <c r="P18" s="28">
        <v>0</v>
      </c>
      <c r="Q18" s="28">
        <v>0</v>
      </c>
      <c r="R18" s="28">
        <v>6000</v>
      </c>
      <c r="S18" s="28">
        <v>0</v>
      </c>
      <c r="T18" s="28">
        <v>0</v>
      </c>
      <c r="U18" s="28">
        <v>15200.000000000002</v>
      </c>
      <c r="V18" s="28">
        <v>29915.600000000006</v>
      </c>
      <c r="W18" s="28">
        <v>0</v>
      </c>
      <c r="X18" s="28">
        <v>6600.0000000000009</v>
      </c>
      <c r="Y18" s="28">
        <v>7459.7599999999884</v>
      </c>
      <c r="Z18" s="28">
        <v>0</v>
      </c>
      <c r="AA18" s="28">
        <v>17600</v>
      </c>
      <c r="AB18" s="28">
        <v>13929.209411764794</v>
      </c>
      <c r="AC18" s="28">
        <v>0</v>
      </c>
      <c r="AD18" s="28">
        <v>5400</v>
      </c>
      <c r="AE18" s="28">
        <v>5291.290588235327</v>
      </c>
      <c r="AF18" s="28">
        <v>0</v>
      </c>
      <c r="AG18" s="28">
        <v>3959.3556363637485</v>
      </c>
      <c r="AH18" s="28">
        <v>0</v>
      </c>
      <c r="AI18" s="28">
        <v>0</v>
      </c>
      <c r="AJ18" s="28">
        <v>0</v>
      </c>
      <c r="AK18" s="28">
        <v>0</v>
      </c>
      <c r="AL18" s="28">
        <v>0</v>
      </c>
      <c r="AM18" s="28">
        <v>22000</v>
      </c>
      <c r="AN18" s="28">
        <v>0</v>
      </c>
      <c r="AO18" s="28">
        <v>0</v>
      </c>
      <c r="AP18" s="28">
        <v>5092.2000000000044</v>
      </c>
      <c r="AQ18" s="28">
        <v>0</v>
      </c>
      <c r="AR18" s="28">
        <v>0</v>
      </c>
      <c r="AS18" s="28">
        <v>17600</v>
      </c>
      <c r="AT18" s="28">
        <v>31822.452363636105</v>
      </c>
      <c r="AU18" s="28">
        <v>0</v>
      </c>
      <c r="AV18" s="28">
        <v>4615.3800000000156</v>
      </c>
      <c r="AW18" s="28">
        <v>0</v>
      </c>
      <c r="AX18" s="28">
        <v>0</v>
      </c>
      <c r="AY18" s="28">
        <v>20000</v>
      </c>
      <c r="AZ18" s="28">
        <v>0</v>
      </c>
      <c r="BA18" s="28">
        <v>0</v>
      </c>
      <c r="BB18" s="28">
        <v>6000</v>
      </c>
      <c r="BC18" s="28">
        <v>0</v>
      </c>
      <c r="BD18" s="28">
        <v>0</v>
      </c>
      <c r="BE18" s="28">
        <v>13200.000000000002</v>
      </c>
      <c r="BF18" s="28">
        <v>24097.919999999976</v>
      </c>
      <c r="BG18" s="28">
        <v>0</v>
      </c>
      <c r="BH18" s="28">
        <v>5400</v>
      </c>
      <c r="BI18" s="28">
        <v>0</v>
      </c>
      <c r="BJ18" s="28">
        <v>0</v>
      </c>
      <c r="BK18" s="28">
        <v>8400</v>
      </c>
      <c r="BL18" s="28">
        <v>24697.690909090885</v>
      </c>
      <c r="BM18" s="28">
        <v>0</v>
      </c>
      <c r="BN18" s="28">
        <v>5400</v>
      </c>
      <c r="BO18" s="28">
        <v>0</v>
      </c>
      <c r="BP18" s="28">
        <v>0</v>
      </c>
      <c r="BQ18" s="28">
        <v>13600.000000000002</v>
      </c>
      <c r="BR18" s="28">
        <v>21690.821090909125</v>
      </c>
      <c r="BS18" s="28">
        <v>0</v>
      </c>
      <c r="BT18" s="28">
        <v>11200.000000000002</v>
      </c>
      <c r="BU18" s="28">
        <v>0</v>
      </c>
      <c r="BV18" s="28">
        <v>0</v>
      </c>
    </row>
    <row r="19" spans="1:74" x14ac:dyDescent="0.3">
      <c r="A19" s="25" t="s">
        <v>8</v>
      </c>
      <c r="B19" s="25" t="s">
        <v>96</v>
      </c>
      <c r="C19" s="28">
        <v>17600</v>
      </c>
      <c r="D19" s="28">
        <v>0</v>
      </c>
      <c r="E19" s="28">
        <v>0</v>
      </c>
      <c r="F19" s="28">
        <v>2829.6000000000017</v>
      </c>
      <c r="G19" s="28">
        <v>0</v>
      </c>
      <c r="H19" s="28">
        <v>0</v>
      </c>
      <c r="I19" s="28">
        <v>8219.9999999999891</v>
      </c>
      <c r="J19" s="28">
        <v>0</v>
      </c>
      <c r="K19" s="28">
        <v>0</v>
      </c>
      <c r="L19" s="28">
        <v>3287.9999999999964</v>
      </c>
      <c r="M19" s="28">
        <v>0</v>
      </c>
      <c r="N19" s="28">
        <v>0</v>
      </c>
      <c r="O19" s="28">
        <v>8761.1999999999716</v>
      </c>
      <c r="P19" s="28">
        <v>0</v>
      </c>
      <c r="Q19" s="28">
        <v>0</v>
      </c>
      <c r="R19" s="28">
        <v>530.99999999999477</v>
      </c>
      <c r="S19" s="28">
        <v>0</v>
      </c>
      <c r="T19" s="28">
        <v>0</v>
      </c>
      <c r="U19" s="28">
        <v>15200.000000000002</v>
      </c>
      <c r="V19" s="28">
        <v>0</v>
      </c>
      <c r="W19" s="28">
        <v>0</v>
      </c>
      <c r="X19" s="28">
        <v>6600.0000000000009</v>
      </c>
      <c r="Y19" s="28">
        <v>0</v>
      </c>
      <c r="Z19" s="28">
        <v>0</v>
      </c>
      <c r="AA19" s="28">
        <v>16244.800000000012</v>
      </c>
      <c r="AB19" s="28">
        <v>0</v>
      </c>
      <c r="AC19" s="28">
        <v>0</v>
      </c>
      <c r="AD19" s="28">
        <v>4984.2000000000044</v>
      </c>
      <c r="AE19" s="28">
        <v>0</v>
      </c>
      <c r="AF19" s="28">
        <v>0</v>
      </c>
      <c r="AG19" s="28">
        <v>11521.84436363621</v>
      </c>
      <c r="AH19" s="28">
        <v>0</v>
      </c>
      <c r="AI19" s="28">
        <v>0</v>
      </c>
      <c r="AJ19" s="28">
        <v>2065.5000000000077</v>
      </c>
      <c r="AK19" s="28">
        <v>0</v>
      </c>
      <c r="AL19" s="28">
        <v>0</v>
      </c>
      <c r="AM19" s="28">
        <v>7237.9999999999654</v>
      </c>
      <c r="AN19" s="28">
        <v>0</v>
      </c>
      <c r="AO19" s="28">
        <v>0</v>
      </c>
      <c r="AP19" s="28">
        <v>0</v>
      </c>
      <c r="AQ19" s="28">
        <v>0</v>
      </c>
      <c r="AR19" s="28">
        <v>0</v>
      </c>
      <c r="AS19" s="28">
        <v>14027.200000000004</v>
      </c>
      <c r="AT19" s="28">
        <v>0</v>
      </c>
      <c r="AU19" s="28">
        <v>0</v>
      </c>
      <c r="AV19" s="28">
        <v>0</v>
      </c>
      <c r="AW19" s="28">
        <v>0</v>
      </c>
      <c r="AX19" s="28">
        <v>0</v>
      </c>
      <c r="AY19" s="28">
        <v>8489.99999999996</v>
      </c>
      <c r="AZ19" s="28">
        <v>0</v>
      </c>
      <c r="BA19" s="28">
        <v>0</v>
      </c>
      <c r="BB19" s="28">
        <v>2016.0000000000027</v>
      </c>
      <c r="BC19" s="28">
        <v>0</v>
      </c>
      <c r="BD19" s="28">
        <v>0</v>
      </c>
      <c r="BE19" s="28">
        <v>13200.000000000002</v>
      </c>
      <c r="BF19" s="28">
        <v>0</v>
      </c>
      <c r="BG19" s="28">
        <v>0</v>
      </c>
      <c r="BH19" s="28">
        <v>5400</v>
      </c>
      <c r="BI19" s="28">
        <v>0</v>
      </c>
      <c r="BJ19" s="28">
        <v>0</v>
      </c>
      <c r="BK19" s="28">
        <v>8400</v>
      </c>
      <c r="BL19" s="28">
        <v>0</v>
      </c>
      <c r="BM19" s="28">
        <v>0</v>
      </c>
      <c r="BN19" s="28">
        <v>2130.3000000000065</v>
      </c>
      <c r="BO19" s="28">
        <v>0</v>
      </c>
      <c r="BP19" s="28">
        <v>0</v>
      </c>
      <c r="BQ19" s="28">
        <v>408.93163636387118</v>
      </c>
      <c r="BR19" s="28">
        <v>0</v>
      </c>
      <c r="BS19" s="28">
        <v>0</v>
      </c>
      <c r="BT19" s="28">
        <v>0</v>
      </c>
      <c r="BU19" s="28">
        <v>0</v>
      </c>
      <c r="BV19" s="28">
        <v>0</v>
      </c>
    </row>
    <row r="20" spans="1:74" x14ac:dyDescent="0.3">
      <c r="A20" s="25" t="s">
        <v>8</v>
      </c>
      <c r="B20" s="25" t="s">
        <v>97</v>
      </c>
      <c r="C20" s="28">
        <v>17600</v>
      </c>
      <c r="D20" s="28">
        <v>61600</v>
      </c>
      <c r="E20" s="28">
        <v>0</v>
      </c>
      <c r="F20" s="28">
        <v>7200</v>
      </c>
      <c r="G20" s="28">
        <v>11067.840000000047</v>
      </c>
      <c r="H20" s="28">
        <v>0</v>
      </c>
      <c r="I20" s="28">
        <v>12000</v>
      </c>
      <c r="J20" s="28">
        <v>43281.244104410362</v>
      </c>
      <c r="K20" s="28">
        <v>0</v>
      </c>
      <c r="L20" s="28">
        <v>4800.0000000000009</v>
      </c>
      <c r="M20" s="28">
        <v>15004.164622862259</v>
      </c>
      <c r="N20" s="28">
        <v>0</v>
      </c>
      <c r="O20" s="28">
        <v>16800</v>
      </c>
      <c r="P20" s="28">
        <v>52390.80000000009</v>
      </c>
      <c r="Q20" s="28">
        <v>0</v>
      </c>
      <c r="R20" s="28">
        <v>6000</v>
      </c>
      <c r="S20" s="28">
        <v>2183.9999999999832</v>
      </c>
      <c r="T20" s="28">
        <v>0</v>
      </c>
      <c r="U20" s="28">
        <v>15200.000000000002</v>
      </c>
      <c r="V20" s="28">
        <v>53200</v>
      </c>
      <c r="W20" s="28">
        <v>0</v>
      </c>
      <c r="X20" s="28">
        <v>6600.0000000000009</v>
      </c>
      <c r="Y20" s="28">
        <v>30800</v>
      </c>
      <c r="Z20" s="28">
        <v>0</v>
      </c>
      <c r="AA20" s="28">
        <v>17600</v>
      </c>
      <c r="AB20" s="28">
        <v>61600</v>
      </c>
      <c r="AC20" s="28">
        <v>1452.0000000000525</v>
      </c>
      <c r="AD20" s="28">
        <v>5400</v>
      </c>
      <c r="AE20" s="28">
        <v>23400.000000000004</v>
      </c>
      <c r="AF20" s="28">
        <v>792.00000000002865</v>
      </c>
      <c r="AG20" s="28">
        <v>16800</v>
      </c>
      <c r="AH20" s="28">
        <v>41672.872363636045</v>
      </c>
      <c r="AI20" s="28">
        <v>0</v>
      </c>
      <c r="AJ20" s="28">
        <v>5400</v>
      </c>
      <c r="AK20" s="28">
        <v>13859.999999999991</v>
      </c>
      <c r="AL20" s="28">
        <v>0</v>
      </c>
      <c r="AM20" s="28">
        <v>22000</v>
      </c>
      <c r="AN20" s="28">
        <v>52800.000000000007</v>
      </c>
      <c r="AO20" s="28">
        <v>0</v>
      </c>
      <c r="AP20" s="28">
        <v>5400</v>
      </c>
      <c r="AQ20" s="28">
        <v>25200.000000000004</v>
      </c>
      <c r="AR20" s="28">
        <v>0</v>
      </c>
      <c r="AS20" s="28">
        <v>17600</v>
      </c>
      <c r="AT20" s="28">
        <v>57200</v>
      </c>
      <c r="AU20" s="28">
        <v>0</v>
      </c>
      <c r="AV20" s="28">
        <v>5400</v>
      </c>
      <c r="AW20" s="28">
        <v>24234.839999999997</v>
      </c>
      <c r="AX20" s="28">
        <v>0</v>
      </c>
      <c r="AY20" s="28">
        <v>20000</v>
      </c>
      <c r="AZ20" s="28">
        <v>43655.99999999992</v>
      </c>
      <c r="BA20" s="28">
        <v>0</v>
      </c>
      <c r="BB20" s="28">
        <v>6000</v>
      </c>
      <c r="BC20" s="28">
        <v>15639.000000000045</v>
      </c>
      <c r="BD20" s="28">
        <v>0</v>
      </c>
      <c r="BE20" s="28">
        <v>13200.000000000002</v>
      </c>
      <c r="BF20" s="28">
        <v>61600</v>
      </c>
      <c r="BG20" s="28">
        <v>0</v>
      </c>
      <c r="BH20" s="28">
        <v>5400</v>
      </c>
      <c r="BI20" s="28">
        <v>23400.000000000004</v>
      </c>
      <c r="BJ20" s="28">
        <v>0</v>
      </c>
      <c r="BK20" s="28">
        <v>8400</v>
      </c>
      <c r="BL20" s="28">
        <v>50669.209090909091</v>
      </c>
      <c r="BM20" s="28">
        <v>0</v>
      </c>
      <c r="BN20" s="28">
        <v>5400</v>
      </c>
      <c r="BO20" s="28">
        <v>10740.600000000006</v>
      </c>
      <c r="BP20" s="28">
        <v>0</v>
      </c>
      <c r="BQ20" s="28">
        <v>13600.000000000002</v>
      </c>
      <c r="BR20" s="28">
        <v>47600</v>
      </c>
      <c r="BS20" s="28">
        <v>0</v>
      </c>
      <c r="BT20" s="28">
        <v>11200.000000000002</v>
      </c>
      <c r="BU20" s="28">
        <v>19772.479999999974</v>
      </c>
      <c r="BV20" s="28">
        <v>0</v>
      </c>
    </row>
    <row r="21" spans="1:74" x14ac:dyDescent="0.3">
      <c r="A21" s="25" t="s">
        <v>8</v>
      </c>
      <c r="B21" s="25" t="s">
        <v>28</v>
      </c>
      <c r="C21" s="28">
        <v>17600</v>
      </c>
      <c r="D21" s="28">
        <v>61600</v>
      </c>
      <c r="E21" s="28">
        <v>26400.000000000004</v>
      </c>
      <c r="F21" s="28">
        <v>7200</v>
      </c>
      <c r="G21" s="28">
        <v>25200.000000000004</v>
      </c>
      <c r="H21" s="28">
        <v>10800</v>
      </c>
      <c r="I21" s="28">
        <v>12000</v>
      </c>
      <c r="J21" s="28">
        <v>60000</v>
      </c>
      <c r="K21" s="28">
        <v>24000</v>
      </c>
      <c r="L21" s="28">
        <v>4800.0000000000009</v>
      </c>
      <c r="M21" s="28">
        <v>20800</v>
      </c>
      <c r="N21" s="28">
        <v>12800</v>
      </c>
      <c r="O21" s="28">
        <v>16800</v>
      </c>
      <c r="P21" s="28">
        <v>58800.000000000007</v>
      </c>
      <c r="Q21" s="28">
        <v>25200.000000000004</v>
      </c>
      <c r="R21" s="28">
        <v>6000</v>
      </c>
      <c r="S21" s="28">
        <v>26000</v>
      </c>
      <c r="T21" s="28">
        <v>16000</v>
      </c>
      <c r="U21" s="28">
        <v>15200.000000000002</v>
      </c>
      <c r="V21" s="28">
        <v>53200</v>
      </c>
      <c r="W21" s="28">
        <v>22800</v>
      </c>
      <c r="X21" s="28">
        <v>6600.0000000000009</v>
      </c>
      <c r="Y21" s="28">
        <v>30800</v>
      </c>
      <c r="Z21" s="28">
        <v>15400</v>
      </c>
      <c r="AA21" s="28">
        <v>17600</v>
      </c>
      <c r="AB21" s="28">
        <v>61600</v>
      </c>
      <c r="AC21" s="28">
        <v>26400.000000000004</v>
      </c>
      <c r="AD21" s="28">
        <v>5400</v>
      </c>
      <c r="AE21" s="28">
        <v>23400.000000000004</v>
      </c>
      <c r="AF21" s="28">
        <v>14400</v>
      </c>
      <c r="AG21" s="28">
        <v>16800</v>
      </c>
      <c r="AH21" s="28">
        <v>58800.000000000007</v>
      </c>
      <c r="AI21" s="28">
        <v>25200.000000000004</v>
      </c>
      <c r="AJ21" s="28">
        <v>5400</v>
      </c>
      <c r="AK21" s="28">
        <v>25200.000000000004</v>
      </c>
      <c r="AL21" s="28">
        <v>12600.000000000002</v>
      </c>
      <c r="AM21" s="28">
        <v>22000</v>
      </c>
      <c r="AN21" s="28">
        <v>52800.000000000007</v>
      </c>
      <c r="AO21" s="28">
        <v>30800</v>
      </c>
      <c r="AP21" s="28">
        <v>5400</v>
      </c>
      <c r="AQ21" s="28">
        <v>25200.000000000004</v>
      </c>
      <c r="AR21" s="28">
        <v>12600.000000000002</v>
      </c>
      <c r="AS21" s="28">
        <v>17600</v>
      </c>
      <c r="AT21" s="28">
        <v>57200</v>
      </c>
      <c r="AU21" s="28">
        <v>30800</v>
      </c>
      <c r="AV21" s="28">
        <v>5400</v>
      </c>
      <c r="AW21" s="28">
        <v>25200.000000000004</v>
      </c>
      <c r="AX21" s="28">
        <v>12600.000000000002</v>
      </c>
      <c r="AY21" s="28">
        <v>20000</v>
      </c>
      <c r="AZ21" s="28">
        <v>48000</v>
      </c>
      <c r="BA21" s="28">
        <v>28000</v>
      </c>
      <c r="BB21" s="28">
        <v>6000</v>
      </c>
      <c r="BC21" s="28">
        <v>26000</v>
      </c>
      <c r="BD21" s="28">
        <v>16000</v>
      </c>
      <c r="BE21" s="28">
        <v>13200.000000000002</v>
      </c>
      <c r="BF21" s="28">
        <v>61600</v>
      </c>
      <c r="BG21" s="28">
        <v>30800</v>
      </c>
      <c r="BH21" s="28">
        <v>5400</v>
      </c>
      <c r="BI21" s="28">
        <v>23400.000000000004</v>
      </c>
      <c r="BJ21" s="28">
        <v>14400</v>
      </c>
      <c r="BK21" s="28">
        <v>8400</v>
      </c>
      <c r="BL21" s="28">
        <v>63000</v>
      </c>
      <c r="BM21" s="28">
        <v>29400.000000000004</v>
      </c>
      <c r="BN21" s="28">
        <v>5400</v>
      </c>
      <c r="BO21" s="28">
        <v>23400.000000000004</v>
      </c>
      <c r="BP21" s="28">
        <v>14400</v>
      </c>
      <c r="BQ21" s="28">
        <v>13600.000000000002</v>
      </c>
      <c r="BR21" s="28">
        <v>47600</v>
      </c>
      <c r="BS21" s="28">
        <v>20400.000000000004</v>
      </c>
      <c r="BT21" s="28">
        <v>11200.000000000002</v>
      </c>
      <c r="BU21" s="28">
        <v>36400</v>
      </c>
      <c r="BV21" s="28">
        <v>19600</v>
      </c>
    </row>
    <row r="22" spans="1:74" x14ac:dyDescent="0.3">
      <c r="A22" s="25" t="s">
        <v>9</v>
      </c>
      <c r="B22" s="25" t="s">
        <v>60</v>
      </c>
      <c r="C22" s="28">
        <v>67900.800000000003</v>
      </c>
      <c r="D22" s="28">
        <v>237652.80000000002</v>
      </c>
      <c r="E22" s="28">
        <v>101851.20000000001</v>
      </c>
      <c r="F22" s="28">
        <v>27777.600000000002</v>
      </c>
      <c r="G22" s="28">
        <v>97221.6</v>
      </c>
      <c r="H22" s="28">
        <v>41666.400000000001</v>
      </c>
      <c r="I22" s="28">
        <v>46296.000000000007</v>
      </c>
      <c r="J22" s="28">
        <v>231480.00000000003</v>
      </c>
      <c r="K22" s="28">
        <v>92592.000000000015</v>
      </c>
      <c r="L22" s="28">
        <v>18518.400000000001</v>
      </c>
      <c r="M22" s="28">
        <v>80246.400000000009</v>
      </c>
      <c r="N22" s="28">
        <v>49382.400000000001</v>
      </c>
      <c r="O22" s="28">
        <v>64814.400000000009</v>
      </c>
      <c r="P22" s="28">
        <v>226850.4</v>
      </c>
      <c r="Q22" s="28">
        <v>97221.6</v>
      </c>
      <c r="R22" s="28">
        <v>23148.000000000004</v>
      </c>
      <c r="S22" s="28">
        <v>100308</v>
      </c>
      <c r="T22" s="28">
        <v>61728.000000000007</v>
      </c>
      <c r="U22" s="28">
        <v>58641.600000000006</v>
      </c>
      <c r="V22" s="28">
        <v>205245.60000000003</v>
      </c>
      <c r="W22" s="28">
        <v>87962.400000000009</v>
      </c>
      <c r="X22" s="28">
        <v>25462.800000000003</v>
      </c>
      <c r="Y22" s="28">
        <v>118826.40000000001</v>
      </c>
      <c r="Z22" s="28">
        <v>59413.200000000004</v>
      </c>
      <c r="AA22" s="28">
        <v>67900.800000000003</v>
      </c>
      <c r="AB22" s="28">
        <v>237652.80000000002</v>
      </c>
      <c r="AC22" s="28">
        <v>101851.20000000001</v>
      </c>
      <c r="AD22" s="28">
        <v>20833.2</v>
      </c>
      <c r="AE22" s="28">
        <v>90277.200000000012</v>
      </c>
      <c r="AF22" s="28">
        <v>55555.200000000004</v>
      </c>
      <c r="AG22" s="28">
        <v>64814.400000000009</v>
      </c>
      <c r="AH22" s="28">
        <v>226850.4</v>
      </c>
      <c r="AI22" s="28">
        <v>97221.6</v>
      </c>
      <c r="AJ22" s="28">
        <v>20833.2</v>
      </c>
      <c r="AK22" s="28">
        <v>97221.6</v>
      </c>
      <c r="AL22" s="28">
        <v>48610.8</v>
      </c>
      <c r="AM22" s="28">
        <v>84876</v>
      </c>
      <c r="AN22" s="28">
        <v>203702.40000000002</v>
      </c>
      <c r="AO22" s="28">
        <v>118826.40000000001</v>
      </c>
      <c r="AP22" s="28">
        <v>20833.2</v>
      </c>
      <c r="AQ22" s="28">
        <v>97221.6</v>
      </c>
      <c r="AR22" s="28">
        <v>48610.8</v>
      </c>
      <c r="AS22" s="28">
        <v>67900.800000000003</v>
      </c>
      <c r="AT22" s="28">
        <v>220677.6</v>
      </c>
      <c r="AU22" s="28">
        <v>118826.40000000001</v>
      </c>
      <c r="AV22" s="28">
        <v>20833.2</v>
      </c>
      <c r="AW22" s="28">
        <v>97221.6</v>
      </c>
      <c r="AX22" s="28">
        <v>48610.8</v>
      </c>
      <c r="AY22" s="28">
        <v>77160.000000000015</v>
      </c>
      <c r="AZ22" s="28">
        <v>185184.00000000003</v>
      </c>
      <c r="BA22" s="28">
        <v>108024.00000000001</v>
      </c>
      <c r="BB22" s="28">
        <v>23148.000000000004</v>
      </c>
      <c r="BC22" s="28">
        <v>100308</v>
      </c>
      <c r="BD22" s="28">
        <v>61728.000000000007</v>
      </c>
      <c r="BE22" s="28">
        <v>50925.600000000006</v>
      </c>
      <c r="BF22" s="28">
        <v>237652.80000000002</v>
      </c>
      <c r="BG22" s="28">
        <v>118826.40000000001</v>
      </c>
      <c r="BH22" s="28">
        <v>20833.2</v>
      </c>
      <c r="BI22" s="28">
        <v>90277.200000000012</v>
      </c>
      <c r="BJ22" s="28">
        <v>55555.200000000004</v>
      </c>
      <c r="BK22" s="28">
        <v>32407.200000000004</v>
      </c>
      <c r="BL22" s="28">
        <v>243054.00000000003</v>
      </c>
      <c r="BM22" s="28">
        <v>113425.2</v>
      </c>
      <c r="BN22" s="28">
        <v>20833.2</v>
      </c>
      <c r="BO22" s="28">
        <v>90277.200000000012</v>
      </c>
      <c r="BP22" s="28">
        <v>55555.200000000004</v>
      </c>
      <c r="BQ22" s="28">
        <v>52468.800000000003</v>
      </c>
      <c r="BR22" s="28">
        <v>183640.80000000002</v>
      </c>
      <c r="BS22" s="28">
        <v>78703.200000000012</v>
      </c>
      <c r="BT22" s="28">
        <v>43209.599999999999</v>
      </c>
      <c r="BU22" s="28">
        <v>140431.20000000001</v>
      </c>
      <c r="BV22" s="28">
        <v>75616.800000000017</v>
      </c>
    </row>
    <row r="23" spans="1:74" x14ac:dyDescent="0.3">
      <c r="A23" s="25" t="s">
        <v>9</v>
      </c>
      <c r="B23" s="25" t="s">
        <v>101</v>
      </c>
      <c r="C23" s="28">
        <v>20697.599999999999</v>
      </c>
      <c r="D23" s="28">
        <v>72441.599999999991</v>
      </c>
      <c r="E23" s="28">
        <v>31046.399999999994</v>
      </c>
      <c r="F23" s="28">
        <v>8467.1999999999989</v>
      </c>
      <c r="G23" s="28">
        <v>29635.199999999993</v>
      </c>
      <c r="H23" s="28">
        <v>12700.799999999997</v>
      </c>
      <c r="I23" s="28">
        <v>14111.999999999998</v>
      </c>
      <c r="J23" s="28">
        <v>70559.999999999985</v>
      </c>
      <c r="K23" s="28">
        <v>28223.999999999996</v>
      </c>
      <c r="L23" s="28">
        <v>5644.7999999999993</v>
      </c>
      <c r="M23" s="28">
        <v>24460.799999999996</v>
      </c>
      <c r="N23" s="28">
        <v>15052.799999999997</v>
      </c>
      <c r="O23" s="28">
        <v>19756.8</v>
      </c>
      <c r="P23" s="28">
        <v>69148.799999999988</v>
      </c>
      <c r="Q23" s="28">
        <v>29635.199999999993</v>
      </c>
      <c r="R23" s="28">
        <v>7055.9999999999991</v>
      </c>
      <c r="S23" s="28">
        <v>30575.999999999996</v>
      </c>
      <c r="T23" s="28">
        <v>18815.999999999996</v>
      </c>
      <c r="U23" s="28">
        <v>17875.199999999997</v>
      </c>
      <c r="V23" s="28">
        <v>62563.19999999999</v>
      </c>
      <c r="W23" s="28">
        <v>26812.799999999996</v>
      </c>
      <c r="X23" s="28">
        <v>0</v>
      </c>
      <c r="Y23" s="28">
        <v>0</v>
      </c>
      <c r="Z23" s="28">
        <v>0</v>
      </c>
      <c r="AA23" s="28">
        <v>20697.599999999999</v>
      </c>
      <c r="AB23" s="28">
        <v>72441.599999999991</v>
      </c>
      <c r="AC23" s="28">
        <v>31046.399999999994</v>
      </c>
      <c r="AD23" s="28">
        <v>6350.3999999999987</v>
      </c>
      <c r="AE23" s="28">
        <v>27518.399999999998</v>
      </c>
      <c r="AF23" s="28">
        <v>16934.399999999998</v>
      </c>
      <c r="AG23" s="28">
        <v>19756.8</v>
      </c>
      <c r="AH23" s="28">
        <v>69148.799999999988</v>
      </c>
      <c r="AI23" s="28">
        <v>29635.199999999993</v>
      </c>
      <c r="AJ23" s="28">
        <v>6350.3999999999987</v>
      </c>
      <c r="AK23" s="28">
        <v>29635.199999999993</v>
      </c>
      <c r="AL23" s="28">
        <v>14817.599999999997</v>
      </c>
      <c r="AM23" s="28">
        <v>25871.999999999996</v>
      </c>
      <c r="AN23" s="28">
        <v>62092.799999999988</v>
      </c>
      <c r="AO23" s="28">
        <v>36220.799999999996</v>
      </c>
      <c r="AP23" s="28">
        <v>6350.3999999999987</v>
      </c>
      <c r="AQ23" s="28">
        <v>29635.199999999993</v>
      </c>
      <c r="AR23" s="28">
        <v>14817.599999999997</v>
      </c>
      <c r="AS23" s="28">
        <v>20697.599999999999</v>
      </c>
      <c r="AT23" s="28">
        <v>67267.199999999983</v>
      </c>
      <c r="AU23" s="28">
        <v>36220.799999999996</v>
      </c>
      <c r="AV23" s="28">
        <v>0</v>
      </c>
      <c r="AW23" s="28">
        <v>0</v>
      </c>
      <c r="AX23" s="28">
        <v>0</v>
      </c>
      <c r="AY23" s="28">
        <v>0</v>
      </c>
      <c r="AZ23" s="28">
        <v>0</v>
      </c>
      <c r="BA23" s="28">
        <v>0</v>
      </c>
      <c r="BB23" s="28">
        <v>0</v>
      </c>
      <c r="BC23" s="28">
        <v>0</v>
      </c>
      <c r="BD23" s="28">
        <v>0</v>
      </c>
      <c r="BE23" s="28">
        <v>0</v>
      </c>
      <c r="BF23" s="28">
        <v>0</v>
      </c>
      <c r="BG23" s="28">
        <v>0</v>
      </c>
      <c r="BH23" s="28">
        <v>0</v>
      </c>
      <c r="BI23" s="28">
        <v>0</v>
      </c>
      <c r="BJ23" s="28">
        <v>0</v>
      </c>
      <c r="BK23" s="28">
        <v>9878.4</v>
      </c>
      <c r="BL23" s="28">
        <v>74088</v>
      </c>
      <c r="BM23" s="28">
        <v>34574.399999999994</v>
      </c>
      <c r="BN23" s="28">
        <v>6350.3999999999987</v>
      </c>
      <c r="BO23" s="28">
        <v>27518.399999999998</v>
      </c>
      <c r="BP23" s="28">
        <v>16934.399999999998</v>
      </c>
      <c r="BQ23" s="28">
        <v>15993.599999999997</v>
      </c>
      <c r="BR23" s="28">
        <v>55977.599999999991</v>
      </c>
      <c r="BS23" s="28">
        <v>23990.399999999998</v>
      </c>
      <c r="BT23" s="28">
        <v>13171.199999999999</v>
      </c>
      <c r="BU23" s="28">
        <v>42806.399999999994</v>
      </c>
      <c r="BV23" s="28">
        <v>23049.599999999999</v>
      </c>
    </row>
    <row r="24" spans="1:74" x14ac:dyDescent="0.3">
      <c r="A24" s="25" t="s">
        <v>9</v>
      </c>
      <c r="B24" s="25" t="s">
        <v>61</v>
      </c>
      <c r="C24" s="28">
        <v>8447.9999999999927</v>
      </c>
      <c r="D24" s="28">
        <v>25021.919999999998</v>
      </c>
      <c r="E24" s="28">
        <v>10723.68</v>
      </c>
      <c r="F24" s="28">
        <v>0</v>
      </c>
      <c r="G24" s="28">
        <v>0</v>
      </c>
      <c r="H24" s="28">
        <v>0</v>
      </c>
      <c r="I24" s="28">
        <v>0</v>
      </c>
      <c r="J24" s="28">
        <v>0</v>
      </c>
      <c r="K24" s="28">
        <v>0</v>
      </c>
      <c r="L24" s="28">
        <v>0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28">
        <v>0</v>
      </c>
      <c r="V24" s="28">
        <v>0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  <c r="AL24" s="28">
        <v>0</v>
      </c>
      <c r="AM24" s="28">
        <v>0</v>
      </c>
      <c r="AN24" s="28">
        <v>0</v>
      </c>
      <c r="AO24" s="28">
        <v>0</v>
      </c>
      <c r="AP24" s="28">
        <v>0</v>
      </c>
      <c r="AQ24" s="28">
        <v>0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>
        <v>0</v>
      </c>
      <c r="AX24" s="28">
        <v>0</v>
      </c>
      <c r="AY24" s="28">
        <v>19273.999999999942</v>
      </c>
      <c r="AZ24" s="28">
        <v>39009.599999999933</v>
      </c>
      <c r="BA24" s="28">
        <v>11373.6</v>
      </c>
      <c r="BB24" s="28">
        <v>0</v>
      </c>
      <c r="BC24" s="28">
        <v>0</v>
      </c>
      <c r="BD24" s="28">
        <v>0</v>
      </c>
      <c r="BE24" s="28">
        <v>9570.0000000000309</v>
      </c>
      <c r="BF24" s="28">
        <v>25021.919999999998</v>
      </c>
      <c r="BG24" s="28">
        <v>12510.96</v>
      </c>
      <c r="BH24" s="28">
        <v>0</v>
      </c>
      <c r="BI24" s="28">
        <v>0</v>
      </c>
      <c r="BJ24" s="28">
        <v>0</v>
      </c>
      <c r="BK24" s="28">
        <v>8530.2000000000007</v>
      </c>
      <c r="BL24" s="28">
        <v>63976.5</v>
      </c>
      <c r="BM24" s="28">
        <v>11942.279999999999</v>
      </c>
      <c r="BN24" s="28">
        <v>0</v>
      </c>
      <c r="BO24" s="28">
        <v>0</v>
      </c>
      <c r="BP24" s="28">
        <v>0</v>
      </c>
      <c r="BQ24" s="28">
        <v>6311.6476000003704</v>
      </c>
      <c r="BR24" s="28">
        <v>48015.211236363946</v>
      </c>
      <c r="BS24" s="28">
        <v>8286.48</v>
      </c>
      <c r="BT24" s="28">
        <v>0</v>
      </c>
      <c r="BU24" s="28">
        <v>0</v>
      </c>
      <c r="BV24" s="28">
        <v>0</v>
      </c>
    </row>
    <row r="25" spans="1:74" x14ac:dyDescent="0.3">
      <c r="A25" s="25" t="s">
        <v>9</v>
      </c>
      <c r="B25" s="25" t="s">
        <v>103</v>
      </c>
      <c r="C25" s="28">
        <v>0</v>
      </c>
      <c r="D25" s="28">
        <v>0</v>
      </c>
      <c r="E25" s="28">
        <v>0</v>
      </c>
      <c r="F25" s="28">
        <v>0</v>
      </c>
      <c r="G25" s="28">
        <v>0</v>
      </c>
      <c r="H25" s="28">
        <v>0</v>
      </c>
      <c r="I25" s="28">
        <v>0</v>
      </c>
      <c r="J25" s="28">
        <v>0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  <c r="AL25" s="28">
        <v>0</v>
      </c>
      <c r="AM25" s="28">
        <v>0</v>
      </c>
      <c r="AN25" s="28">
        <v>0</v>
      </c>
      <c r="AO25" s="28">
        <v>0</v>
      </c>
      <c r="AP25" s="28">
        <v>0</v>
      </c>
      <c r="AQ25" s="28">
        <v>0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>
        <v>0</v>
      </c>
      <c r="AX25" s="28">
        <v>0</v>
      </c>
      <c r="AY25" s="28">
        <v>6015.9999999999991</v>
      </c>
      <c r="AZ25" s="28">
        <v>14438.399999999998</v>
      </c>
      <c r="BA25" s="28">
        <v>8422.4</v>
      </c>
      <c r="BB25" s="28">
        <v>0</v>
      </c>
      <c r="BC25" s="28">
        <v>0</v>
      </c>
      <c r="BD25" s="28">
        <v>0</v>
      </c>
      <c r="BE25" s="28">
        <v>0</v>
      </c>
      <c r="BF25" s="28">
        <v>0</v>
      </c>
      <c r="BG25" s="28">
        <v>0</v>
      </c>
      <c r="BH25" s="28">
        <v>0</v>
      </c>
      <c r="BI25" s="28">
        <v>0</v>
      </c>
      <c r="BJ25" s="28">
        <v>0</v>
      </c>
      <c r="BK25" s="28">
        <v>0</v>
      </c>
      <c r="BL25" s="28">
        <v>0</v>
      </c>
      <c r="BM25" s="28">
        <v>0</v>
      </c>
      <c r="BN25" s="28">
        <v>0</v>
      </c>
      <c r="BO25" s="28">
        <v>0</v>
      </c>
      <c r="BP25" s="28">
        <v>0</v>
      </c>
      <c r="BQ25" s="28">
        <v>4090.8799999999992</v>
      </c>
      <c r="BR25" s="28">
        <v>14318.079999999998</v>
      </c>
      <c r="BS25" s="28">
        <v>6136.32</v>
      </c>
      <c r="BT25" s="28">
        <v>0</v>
      </c>
      <c r="BU25" s="28">
        <v>0</v>
      </c>
      <c r="BV25" s="28">
        <v>0</v>
      </c>
    </row>
    <row r="26" spans="1:74" x14ac:dyDescent="0.3">
      <c r="A26" s="29" t="s">
        <v>9</v>
      </c>
      <c r="B26" s="29" t="s">
        <v>102</v>
      </c>
      <c r="C26" s="28">
        <v>17107.2</v>
      </c>
      <c r="D26" s="28">
        <v>49958.830399999992</v>
      </c>
      <c r="E26" s="28">
        <v>10264.320000000002</v>
      </c>
      <c r="F26" s="28">
        <v>6998.4000000000005</v>
      </c>
      <c r="G26" s="28">
        <v>9797.760000000002</v>
      </c>
      <c r="H26" s="28">
        <v>4199.04</v>
      </c>
      <c r="I26" s="28">
        <v>5538.0000000000564</v>
      </c>
      <c r="J26" s="28">
        <v>38669.99999999992</v>
      </c>
      <c r="K26" s="28">
        <v>9331.2000000000007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8">
        <v>0</v>
      </c>
      <c r="U26" s="28">
        <v>14774.400000000001</v>
      </c>
      <c r="V26" s="28">
        <v>51710.400000000009</v>
      </c>
      <c r="W26" s="28">
        <v>8864.6400000000012</v>
      </c>
      <c r="X26" s="28">
        <v>6415.2000000000007</v>
      </c>
      <c r="Y26" s="28">
        <v>11975.04</v>
      </c>
      <c r="Z26" s="28">
        <v>5987.52</v>
      </c>
      <c r="AA26" s="28">
        <v>12091.200000000032</v>
      </c>
      <c r="AB26" s="28">
        <v>53838.3999999999</v>
      </c>
      <c r="AC26" s="28">
        <v>10264.320000000002</v>
      </c>
      <c r="AD26" s="28">
        <v>0</v>
      </c>
      <c r="AE26" s="28">
        <v>0</v>
      </c>
      <c r="AF26" s="28">
        <v>0</v>
      </c>
      <c r="AG26" s="28">
        <v>16329.600000000002</v>
      </c>
      <c r="AH26" s="28">
        <v>57153.600000000006</v>
      </c>
      <c r="AI26" s="28">
        <v>9797.760000000002</v>
      </c>
      <c r="AJ26" s="28">
        <v>0</v>
      </c>
      <c r="AK26" s="28">
        <v>0</v>
      </c>
      <c r="AL26" s="28">
        <v>0</v>
      </c>
      <c r="AM26" s="28">
        <v>21384</v>
      </c>
      <c r="AN26" s="28">
        <v>51321.600000000006</v>
      </c>
      <c r="AO26" s="28">
        <v>11975.04</v>
      </c>
      <c r="AP26" s="28">
        <v>0</v>
      </c>
      <c r="AQ26" s="28">
        <v>0</v>
      </c>
      <c r="AR26" s="28">
        <v>0</v>
      </c>
      <c r="AS26" s="28">
        <v>17107.2</v>
      </c>
      <c r="AT26" s="28">
        <v>55598.400000000009</v>
      </c>
      <c r="AU26" s="28">
        <v>11975.04</v>
      </c>
      <c r="AV26" s="28">
        <v>5248.8</v>
      </c>
      <c r="AW26" s="28">
        <v>24494.400000000001</v>
      </c>
      <c r="AX26" s="28">
        <v>4898.880000000001</v>
      </c>
      <c r="AY26" s="28">
        <v>19440</v>
      </c>
      <c r="AZ26" s="28">
        <v>46656.000000000007</v>
      </c>
      <c r="BA26" s="28">
        <v>10886.400000000001</v>
      </c>
      <c r="BB26" s="28">
        <v>5832.0000000000009</v>
      </c>
      <c r="BC26" s="28">
        <v>16767.000000000051</v>
      </c>
      <c r="BD26" s="28">
        <v>6220.8</v>
      </c>
      <c r="BE26" s="28">
        <v>12830.400000000001</v>
      </c>
      <c r="BF26" s="28">
        <v>57522.079999999958</v>
      </c>
      <c r="BG26" s="28">
        <v>11975.04</v>
      </c>
      <c r="BH26" s="28">
        <v>5248.8</v>
      </c>
      <c r="BI26" s="28">
        <v>9097.9200000000019</v>
      </c>
      <c r="BJ26" s="28">
        <v>5598.7200000000012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8">
        <v>0</v>
      </c>
      <c r="BQ26" s="28">
        <v>13219.2</v>
      </c>
      <c r="BR26" s="28">
        <v>46267.200000000004</v>
      </c>
      <c r="BS26" s="28">
        <v>7931.52</v>
      </c>
      <c r="BT26" s="28">
        <v>10886.400000000001</v>
      </c>
      <c r="BU26" s="28">
        <v>33924.799999999967</v>
      </c>
      <c r="BV26" s="28">
        <v>7620.4800000000005</v>
      </c>
    </row>
    <row r="27" spans="1:74" x14ac:dyDescent="0.3">
      <c r="A27" s="29" t="s">
        <v>9</v>
      </c>
      <c r="B27" s="29" t="s">
        <v>62</v>
      </c>
      <c r="C27" s="28">
        <v>44000</v>
      </c>
      <c r="D27" s="28">
        <v>154000</v>
      </c>
      <c r="E27" s="28">
        <v>66000</v>
      </c>
      <c r="F27" s="28">
        <v>18000</v>
      </c>
      <c r="G27" s="28">
        <v>63000</v>
      </c>
      <c r="H27" s="28">
        <v>27000</v>
      </c>
      <c r="I27" s="28">
        <v>30000</v>
      </c>
      <c r="J27" s="28">
        <v>150000</v>
      </c>
      <c r="K27" s="28">
        <v>60000</v>
      </c>
      <c r="L27" s="28">
        <v>12000</v>
      </c>
      <c r="M27" s="28">
        <v>52000</v>
      </c>
      <c r="N27" s="28">
        <v>32000</v>
      </c>
      <c r="O27" s="28">
        <v>42000</v>
      </c>
      <c r="P27" s="28">
        <v>147000</v>
      </c>
      <c r="Q27" s="28">
        <v>63000</v>
      </c>
      <c r="R27" s="28">
        <v>15000</v>
      </c>
      <c r="S27" s="28">
        <v>65000</v>
      </c>
      <c r="T27" s="28">
        <v>40000</v>
      </c>
      <c r="U27" s="28">
        <v>38000</v>
      </c>
      <c r="V27" s="28">
        <v>133000</v>
      </c>
      <c r="W27" s="28">
        <v>57000</v>
      </c>
      <c r="X27" s="28">
        <v>16500</v>
      </c>
      <c r="Y27" s="28">
        <v>77000</v>
      </c>
      <c r="Z27" s="28">
        <v>38500</v>
      </c>
      <c r="AA27" s="28">
        <v>44000</v>
      </c>
      <c r="AB27" s="28">
        <v>154000</v>
      </c>
      <c r="AC27" s="28">
        <v>66000</v>
      </c>
      <c r="AD27" s="28">
        <v>13500</v>
      </c>
      <c r="AE27" s="28">
        <v>58500</v>
      </c>
      <c r="AF27" s="28">
        <v>36000</v>
      </c>
      <c r="AG27" s="28">
        <v>42000</v>
      </c>
      <c r="AH27" s="28">
        <v>147000</v>
      </c>
      <c r="AI27" s="28">
        <v>63000</v>
      </c>
      <c r="AJ27" s="28">
        <v>13500</v>
      </c>
      <c r="AK27" s="28">
        <v>63000</v>
      </c>
      <c r="AL27" s="28">
        <v>31500</v>
      </c>
      <c r="AM27" s="28">
        <v>55000</v>
      </c>
      <c r="AN27" s="28">
        <v>132000</v>
      </c>
      <c r="AO27" s="28">
        <v>77000</v>
      </c>
      <c r="AP27" s="28">
        <v>13500</v>
      </c>
      <c r="AQ27" s="28">
        <v>63000</v>
      </c>
      <c r="AR27" s="28">
        <v>31500</v>
      </c>
      <c r="AS27" s="28">
        <v>44000</v>
      </c>
      <c r="AT27" s="28">
        <v>143000</v>
      </c>
      <c r="AU27" s="28">
        <v>77000</v>
      </c>
      <c r="AV27" s="28">
        <v>13500</v>
      </c>
      <c r="AW27" s="28">
        <v>63000</v>
      </c>
      <c r="AX27" s="28">
        <v>31500</v>
      </c>
      <c r="AY27" s="28">
        <v>50000</v>
      </c>
      <c r="AZ27" s="28">
        <v>120000</v>
      </c>
      <c r="BA27" s="28">
        <v>70000</v>
      </c>
      <c r="BB27" s="28">
        <v>15000</v>
      </c>
      <c r="BC27" s="28">
        <v>65000</v>
      </c>
      <c r="BD27" s="28">
        <v>40000</v>
      </c>
      <c r="BE27" s="28">
        <v>33000</v>
      </c>
      <c r="BF27" s="28">
        <v>154000</v>
      </c>
      <c r="BG27" s="28">
        <v>77000</v>
      </c>
      <c r="BH27" s="28">
        <v>13500</v>
      </c>
      <c r="BI27" s="28">
        <v>58500</v>
      </c>
      <c r="BJ27" s="28">
        <v>36000</v>
      </c>
      <c r="BK27" s="28">
        <v>21000</v>
      </c>
      <c r="BL27" s="28">
        <v>157500</v>
      </c>
      <c r="BM27" s="28">
        <v>73500</v>
      </c>
      <c r="BN27" s="28">
        <v>13500</v>
      </c>
      <c r="BO27" s="28">
        <v>58500</v>
      </c>
      <c r="BP27" s="28">
        <v>36000</v>
      </c>
      <c r="BQ27" s="28">
        <v>34000</v>
      </c>
      <c r="BR27" s="28">
        <v>119000</v>
      </c>
      <c r="BS27" s="28">
        <v>51000</v>
      </c>
      <c r="BT27" s="28">
        <v>28000</v>
      </c>
      <c r="BU27" s="28">
        <v>91000</v>
      </c>
      <c r="BV27" s="28">
        <v>49000</v>
      </c>
    </row>
    <row r="28" spans="1:74" x14ac:dyDescent="0.3">
      <c r="A28" s="29" t="s">
        <v>9</v>
      </c>
      <c r="B28" s="29" t="s">
        <v>63</v>
      </c>
      <c r="C28" s="28">
        <v>44000</v>
      </c>
      <c r="D28" s="28">
        <v>154000</v>
      </c>
      <c r="E28" s="28">
        <v>26981.160000000011</v>
      </c>
      <c r="F28" s="28">
        <v>18000</v>
      </c>
      <c r="G28" s="28">
        <v>63000</v>
      </c>
      <c r="H28" s="28">
        <v>5400</v>
      </c>
      <c r="I28" s="28">
        <v>30000</v>
      </c>
      <c r="J28" s="28">
        <v>150000</v>
      </c>
      <c r="K28" s="28">
        <v>27821.843478260831</v>
      </c>
      <c r="L28" s="28">
        <v>12000</v>
      </c>
      <c r="M28" s="28">
        <v>52000</v>
      </c>
      <c r="N28" s="28">
        <v>10758.956521739108</v>
      </c>
      <c r="O28" s="28">
        <v>42000</v>
      </c>
      <c r="P28" s="28">
        <v>147000</v>
      </c>
      <c r="Q28" s="28">
        <v>30647.800000000076</v>
      </c>
      <c r="R28" s="28">
        <v>15000</v>
      </c>
      <c r="S28" s="28">
        <v>65000</v>
      </c>
      <c r="T28" s="28">
        <v>8000</v>
      </c>
      <c r="U28" s="28">
        <v>38000</v>
      </c>
      <c r="V28" s="28">
        <v>133000</v>
      </c>
      <c r="W28" s="28">
        <v>20880.228062827253</v>
      </c>
      <c r="X28" s="28">
        <v>16500</v>
      </c>
      <c r="Y28" s="28">
        <v>74480.559999999983</v>
      </c>
      <c r="Z28" s="28">
        <v>14103.311937172793</v>
      </c>
      <c r="AA28" s="28">
        <v>44000</v>
      </c>
      <c r="AB28" s="28">
        <v>154000</v>
      </c>
      <c r="AC28" s="28">
        <v>18392.879999999979</v>
      </c>
      <c r="AD28" s="28">
        <v>0</v>
      </c>
      <c r="AE28" s="28">
        <v>0</v>
      </c>
      <c r="AF28" s="28">
        <v>0</v>
      </c>
      <c r="AG28" s="28">
        <v>42000</v>
      </c>
      <c r="AH28" s="28">
        <v>147000</v>
      </c>
      <c r="AI28" s="28">
        <v>28292.040000000005</v>
      </c>
      <c r="AJ28" s="28">
        <v>13500</v>
      </c>
      <c r="AK28" s="28">
        <v>63000</v>
      </c>
      <c r="AL28" s="28">
        <v>8700.2999999999975</v>
      </c>
      <c r="AM28" s="28">
        <v>55000</v>
      </c>
      <c r="AN28" s="28">
        <v>132000</v>
      </c>
      <c r="AO28" s="28">
        <v>51996.560000000027</v>
      </c>
      <c r="AP28" s="28">
        <v>13500</v>
      </c>
      <c r="AQ28" s="28">
        <v>63000</v>
      </c>
      <c r="AR28" s="28">
        <v>14175.000000000024</v>
      </c>
      <c r="AS28" s="28">
        <v>44000</v>
      </c>
      <c r="AT28" s="28">
        <v>143000</v>
      </c>
      <c r="AU28" s="28">
        <v>35595.559999999983</v>
      </c>
      <c r="AV28" s="28">
        <v>13500</v>
      </c>
      <c r="AW28" s="28">
        <v>63000</v>
      </c>
      <c r="AX28" s="28">
        <v>14561.819999999994</v>
      </c>
      <c r="AY28" s="28">
        <v>50000</v>
      </c>
      <c r="AZ28" s="28">
        <v>120000</v>
      </c>
      <c r="BA28" s="28">
        <v>47465.600000000086</v>
      </c>
      <c r="BB28" s="28">
        <v>15000</v>
      </c>
      <c r="BC28" s="28">
        <v>65000</v>
      </c>
      <c r="BD28" s="28">
        <v>21707.199999999993</v>
      </c>
      <c r="BE28" s="28">
        <v>33000</v>
      </c>
      <c r="BF28" s="28">
        <v>154000</v>
      </c>
      <c r="BG28" s="28">
        <v>30314.695575221245</v>
      </c>
      <c r="BH28" s="28">
        <v>13500</v>
      </c>
      <c r="BI28" s="28">
        <v>55825.38</v>
      </c>
      <c r="BJ28" s="28">
        <v>12692.784424778758</v>
      </c>
      <c r="BK28" s="28">
        <v>21000</v>
      </c>
      <c r="BL28" s="28">
        <v>157500</v>
      </c>
      <c r="BM28" s="28">
        <v>33289.217260273996</v>
      </c>
      <c r="BN28" s="28">
        <v>13500</v>
      </c>
      <c r="BO28" s="28">
        <v>58500</v>
      </c>
      <c r="BP28" s="28">
        <v>7581.4027397260124</v>
      </c>
      <c r="BQ28" s="28">
        <v>34000</v>
      </c>
      <c r="BR28" s="28">
        <v>119000</v>
      </c>
      <c r="BS28" s="28">
        <v>17333.880000000045</v>
      </c>
      <c r="BT28" s="28">
        <v>28000</v>
      </c>
      <c r="BU28" s="28">
        <v>91000</v>
      </c>
      <c r="BV28" s="28">
        <v>11510.32000000004</v>
      </c>
    </row>
    <row r="29" spans="1:74" x14ac:dyDescent="0.3">
      <c r="A29" s="29" t="s">
        <v>9</v>
      </c>
      <c r="B29" s="29" t="s">
        <v>64</v>
      </c>
      <c r="C29" s="28">
        <v>44000</v>
      </c>
      <c r="D29" s="28">
        <v>154000</v>
      </c>
      <c r="E29" s="28">
        <v>13200.000000000002</v>
      </c>
      <c r="F29" s="28">
        <v>0</v>
      </c>
      <c r="G29" s="28">
        <v>0</v>
      </c>
      <c r="H29" s="28">
        <v>0</v>
      </c>
      <c r="I29" s="28">
        <v>30000</v>
      </c>
      <c r="J29" s="28">
        <v>150000</v>
      </c>
      <c r="K29" s="28">
        <v>12000</v>
      </c>
      <c r="L29" s="28">
        <v>0</v>
      </c>
      <c r="M29" s="28">
        <v>0</v>
      </c>
      <c r="N29" s="28">
        <v>0</v>
      </c>
      <c r="O29" s="28">
        <v>42000</v>
      </c>
      <c r="P29" s="28">
        <v>147000</v>
      </c>
      <c r="Q29" s="28">
        <v>12600.000000000002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42000</v>
      </c>
      <c r="AH29" s="28">
        <v>147000</v>
      </c>
      <c r="AI29" s="28">
        <v>12600.000000000002</v>
      </c>
      <c r="AJ29" s="28">
        <v>0</v>
      </c>
      <c r="AK29" s="28">
        <v>0</v>
      </c>
      <c r="AL29" s="28">
        <v>0</v>
      </c>
      <c r="AM29" s="28">
        <v>55000</v>
      </c>
      <c r="AN29" s="28">
        <v>132000</v>
      </c>
      <c r="AO29" s="28">
        <v>15400</v>
      </c>
      <c r="AP29" s="28">
        <v>0</v>
      </c>
      <c r="AQ29" s="28">
        <v>0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>
        <v>0</v>
      </c>
      <c r="AX29" s="28">
        <v>0</v>
      </c>
      <c r="AY29" s="28">
        <v>50000</v>
      </c>
      <c r="AZ29" s="28">
        <v>120000</v>
      </c>
      <c r="BA29" s="28">
        <v>14000</v>
      </c>
      <c r="BB29" s="28">
        <v>0</v>
      </c>
      <c r="BC29" s="28">
        <v>0</v>
      </c>
      <c r="BD29" s="28">
        <v>0</v>
      </c>
      <c r="BE29" s="28">
        <v>33000</v>
      </c>
      <c r="BF29" s="28">
        <v>154000</v>
      </c>
      <c r="BG29" s="28">
        <v>15400</v>
      </c>
      <c r="BH29" s="28">
        <v>0</v>
      </c>
      <c r="BI29" s="28">
        <v>0</v>
      </c>
      <c r="BJ29" s="28">
        <v>0</v>
      </c>
      <c r="BK29" s="28">
        <v>21000</v>
      </c>
      <c r="BL29" s="28">
        <v>157500</v>
      </c>
      <c r="BM29" s="28">
        <v>14700.000000000002</v>
      </c>
      <c r="BN29" s="28">
        <v>0</v>
      </c>
      <c r="BO29" s="28">
        <v>0</v>
      </c>
      <c r="BP29" s="28">
        <v>0</v>
      </c>
      <c r="BQ29" s="28">
        <v>34000</v>
      </c>
      <c r="BR29" s="28">
        <v>119000</v>
      </c>
      <c r="BS29" s="28">
        <v>10200.000000000002</v>
      </c>
      <c r="BT29" s="28">
        <v>0</v>
      </c>
      <c r="BU29" s="28">
        <v>0</v>
      </c>
      <c r="BV29" s="28">
        <v>0</v>
      </c>
    </row>
    <row r="30" spans="1:74" x14ac:dyDescent="0.3">
      <c r="A30" s="29" t="s">
        <v>9</v>
      </c>
      <c r="B30" s="29" t="s">
        <v>65</v>
      </c>
      <c r="C30" s="28">
        <v>58739.999999999993</v>
      </c>
      <c r="D30" s="28">
        <v>205590</v>
      </c>
      <c r="E30" s="28">
        <v>88110</v>
      </c>
      <c r="F30" s="28">
        <v>24030</v>
      </c>
      <c r="G30" s="28">
        <v>84105</v>
      </c>
      <c r="H30" s="28">
        <v>36045</v>
      </c>
      <c r="I30" s="28">
        <v>40050</v>
      </c>
      <c r="J30" s="28">
        <v>200250</v>
      </c>
      <c r="K30" s="28">
        <v>80100</v>
      </c>
      <c r="L30" s="28">
        <v>16020</v>
      </c>
      <c r="M30" s="28">
        <v>69420</v>
      </c>
      <c r="N30" s="28">
        <v>42720</v>
      </c>
      <c r="O30" s="28">
        <v>56070</v>
      </c>
      <c r="P30" s="28">
        <v>196245</v>
      </c>
      <c r="Q30" s="28">
        <v>84105</v>
      </c>
      <c r="R30" s="28">
        <v>20025</v>
      </c>
      <c r="S30" s="28">
        <v>86774.999999999985</v>
      </c>
      <c r="T30" s="28">
        <v>53400</v>
      </c>
      <c r="U30" s="28">
        <v>50730</v>
      </c>
      <c r="V30" s="28">
        <v>177555</v>
      </c>
      <c r="W30" s="28">
        <v>76095</v>
      </c>
      <c r="X30" s="28">
        <v>22027.5</v>
      </c>
      <c r="Y30" s="28">
        <v>102795</v>
      </c>
      <c r="Z30" s="28">
        <v>51397.5</v>
      </c>
      <c r="AA30" s="28">
        <v>58739.999999999993</v>
      </c>
      <c r="AB30" s="28">
        <v>205590</v>
      </c>
      <c r="AC30" s="28">
        <v>88110</v>
      </c>
      <c r="AD30" s="28">
        <v>18022.5</v>
      </c>
      <c r="AE30" s="28">
        <v>78097.5</v>
      </c>
      <c r="AF30" s="28">
        <v>48060</v>
      </c>
      <c r="AG30" s="28">
        <v>56070</v>
      </c>
      <c r="AH30" s="28">
        <v>196245</v>
      </c>
      <c r="AI30" s="28">
        <v>84105</v>
      </c>
      <c r="AJ30" s="28">
        <v>18022.5</v>
      </c>
      <c r="AK30" s="28">
        <v>84105</v>
      </c>
      <c r="AL30" s="28">
        <v>42052.5</v>
      </c>
      <c r="AM30" s="28">
        <v>73425</v>
      </c>
      <c r="AN30" s="28">
        <v>176220</v>
      </c>
      <c r="AO30" s="28">
        <v>102795</v>
      </c>
      <c r="AP30" s="28">
        <v>18022.5</v>
      </c>
      <c r="AQ30" s="28">
        <v>84105</v>
      </c>
      <c r="AR30" s="28">
        <v>42052.5</v>
      </c>
      <c r="AS30" s="28">
        <v>58739.999999999993</v>
      </c>
      <c r="AT30" s="28">
        <v>190905</v>
      </c>
      <c r="AU30" s="28">
        <v>102795</v>
      </c>
      <c r="AV30" s="28">
        <v>18022.5</v>
      </c>
      <c r="AW30" s="28">
        <v>84105</v>
      </c>
      <c r="AX30" s="28">
        <v>42052.5</v>
      </c>
      <c r="AY30" s="28">
        <v>66750</v>
      </c>
      <c r="AZ30" s="28">
        <v>160200</v>
      </c>
      <c r="BA30" s="28">
        <v>93450</v>
      </c>
      <c r="BB30" s="28">
        <v>20025</v>
      </c>
      <c r="BC30" s="28">
        <v>86774.999999999985</v>
      </c>
      <c r="BD30" s="28">
        <v>53400</v>
      </c>
      <c r="BE30" s="28">
        <v>44055</v>
      </c>
      <c r="BF30" s="28">
        <v>205590</v>
      </c>
      <c r="BG30" s="28">
        <v>102795</v>
      </c>
      <c r="BH30" s="28">
        <v>18022.5</v>
      </c>
      <c r="BI30" s="28">
        <v>78097.5</v>
      </c>
      <c r="BJ30" s="28">
        <v>48060</v>
      </c>
      <c r="BK30" s="28">
        <v>28035</v>
      </c>
      <c r="BL30" s="28">
        <v>210262.5</v>
      </c>
      <c r="BM30" s="28">
        <v>98122.5</v>
      </c>
      <c r="BN30" s="28">
        <v>18022.5</v>
      </c>
      <c r="BO30" s="28">
        <v>78097.5</v>
      </c>
      <c r="BP30" s="28">
        <v>48060</v>
      </c>
      <c r="BQ30" s="28">
        <v>45390</v>
      </c>
      <c r="BR30" s="28">
        <v>158865</v>
      </c>
      <c r="BS30" s="28">
        <v>68085</v>
      </c>
      <c r="BT30" s="28">
        <v>37379.999999999993</v>
      </c>
      <c r="BU30" s="28">
        <v>121485</v>
      </c>
      <c r="BV30" s="28">
        <v>65414.999999999993</v>
      </c>
    </row>
    <row r="31" spans="1:74" x14ac:dyDescent="0.3">
      <c r="A31" s="29" t="s">
        <v>9</v>
      </c>
      <c r="B31" s="29" t="s">
        <v>66</v>
      </c>
      <c r="C31" s="28">
        <v>0</v>
      </c>
      <c r="D31" s="28">
        <v>0</v>
      </c>
      <c r="E31" s="28">
        <v>0</v>
      </c>
      <c r="F31" s="28">
        <v>0</v>
      </c>
      <c r="G31" s="28">
        <v>0</v>
      </c>
      <c r="H31" s="28">
        <v>0</v>
      </c>
      <c r="I31" s="28">
        <v>0</v>
      </c>
      <c r="J31" s="28">
        <v>0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  <c r="AL31" s="28">
        <v>0</v>
      </c>
      <c r="AM31" s="28">
        <v>0</v>
      </c>
      <c r="AN31" s="28">
        <v>0</v>
      </c>
      <c r="AO31" s="28">
        <v>0</v>
      </c>
      <c r="AP31" s="28">
        <v>0</v>
      </c>
      <c r="AQ31" s="28">
        <v>0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>
        <v>0</v>
      </c>
      <c r="AX31" s="28">
        <v>0</v>
      </c>
      <c r="AY31" s="28">
        <v>0</v>
      </c>
      <c r="AZ31" s="28">
        <v>0</v>
      </c>
      <c r="BA31" s="28">
        <v>0</v>
      </c>
      <c r="BB31" s="28">
        <v>0</v>
      </c>
      <c r="BC31" s="28">
        <v>0</v>
      </c>
      <c r="BD31" s="28">
        <v>0</v>
      </c>
      <c r="BE31" s="28">
        <v>0</v>
      </c>
      <c r="BF31" s="28">
        <v>0</v>
      </c>
      <c r="BG31" s="28">
        <v>0</v>
      </c>
      <c r="BH31" s="28">
        <v>0</v>
      </c>
      <c r="BI31" s="28">
        <v>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8">
        <v>0</v>
      </c>
      <c r="BQ31" s="28">
        <v>0</v>
      </c>
      <c r="BR31" s="28">
        <v>0</v>
      </c>
      <c r="BS31" s="28">
        <v>0</v>
      </c>
      <c r="BT31" s="28">
        <v>0</v>
      </c>
      <c r="BU31" s="28">
        <v>0</v>
      </c>
      <c r="BV31" s="28">
        <v>0</v>
      </c>
    </row>
    <row r="32" spans="1:74" x14ac:dyDescent="0.3">
      <c r="A32" s="29" t="s">
        <v>9</v>
      </c>
      <c r="B32" s="29" t="s">
        <v>67</v>
      </c>
      <c r="C32" s="28">
        <v>0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</v>
      </c>
      <c r="K32" s="28">
        <v>0</v>
      </c>
      <c r="L32" s="28">
        <v>0</v>
      </c>
      <c r="M32" s="28">
        <v>0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8">
        <v>0</v>
      </c>
      <c r="U32" s="28">
        <v>0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  <c r="AL32" s="28">
        <v>0</v>
      </c>
      <c r="AM32" s="28">
        <v>0</v>
      </c>
      <c r="AN32" s="28">
        <v>0</v>
      </c>
      <c r="AO32" s="28">
        <v>0</v>
      </c>
      <c r="AP32" s="28">
        <v>0</v>
      </c>
      <c r="AQ32" s="28">
        <v>0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>
        <v>0</v>
      </c>
      <c r="AX32" s="28">
        <v>0</v>
      </c>
      <c r="AY32" s="28">
        <v>0</v>
      </c>
      <c r="AZ32" s="28">
        <v>0</v>
      </c>
      <c r="BA32" s="28">
        <v>0</v>
      </c>
      <c r="BB32" s="28">
        <v>0</v>
      </c>
      <c r="BC32" s="28">
        <v>0</v>
      </c>
      <c r="BD32" s="28">
        <v>0</v>
      </c>
      <c r="BE32" s="28">
        <v>0</v>
      </c>
      <c r="BF32" s="28">
        <v>0</v>
      </c>
      <c r="BG32" s="28">
        <v>0</v>
      </c>
      <c r="BH32" s="28">
        <v>0</v>
      </c>
      <c r="BI32" s="28">
        <v>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8">
        <v>0</v>
      </c>
      <c r="BQ32" s="28">
        <v>0</v>
      </c>
      <c r="BR32" s="28">
        <v>0</v>
      </c>
      <c r="BS32" s="28">
        <v>0</v>
      </c>
      <c r="BT32" s="28">
        <v>0</v>
      </c>
      <c r="BU32" s="28">
        <v>0</v>
      </c>
      <c r="BV32" s="28">
        <v>0</v>
      </c>
    </row>
    <row r="33" spans="1:74" x14ac:dyDescent="0.3">
      <c r="A33" s="29" t="s">
        <v>9</v>
      </c>
      <c r="B33" s="29" t="s">
        <v>68</v>
      </c>
      <c r="C33" s="28">
        <v>0</v>
      </c>
      <c r="D33" s="28">
        <v>0</v>
      </c>
      <c r="E33" s="28">
        <v>0</v>
      </c>
      <c r="F33" s="28">
        <v>0</v>
      </c>
      <c r="G33" s="28">
        <v>0</v>
      </c>
      <c r="H33" s="28">
        <v>0</v>
      </c>
      <c r="I33" s="28">
        <v>0</v>
      </c>
      <c r="J33" s="28">
        <v>0</v>
      </c>
      <c r="K33" s="28">
        <v>0</v>
      </c>
      <c r="L33" s="28">
        <v>0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0</v>
      </c>
      <c r="AN33" s="28">
        <v>0</v>
      </c>
      <c r="AO33" s="28">
        <v>0</v>
      </c>
      <c r="AP33" s="28">
        <v>0</v>
      </c>
      <c r="AQ33" s="28">
        <v>0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>
        <v>0</v>
      </c>
      <c r="AX33" s="28">
        <v>0</v>
      </c>
      <c r="AY33" s="28">
        <v>0</v>
      </c>
      <c r="AZ33" s="28">
        <v>0</v>
      </c>
      <c r="BA33" s="28">
        <v>0</v>
      </c>
      <c r="BB33" s="28">
        <v>0</v>
      </c>
      <c r="BC33" s="28">
        <v>0</v>
      </c>
      <c r="BD33" s="28">
        <v>0</v>
      </c>
      <c r="BE33" s="28">
        <v>0</v>
      </c>
      <c r="BF33" s="28">
        <v>0</v>
      </c>
      <c r="BG33" s="28">
        <v>0</v>
      </c>
      <c r="BH33" s="28">
        <v>0</v>
      </c>
      <c r="BI33" s="28">
        <v>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8">
        <v>0</v>
      </c>
      <c r="BQ33" s="28">
        <v>0</v>
      </c>
      <c r="BR33" s="28">
        <v>0</v>
      </c>
      <c r="BS33" s="28">
        <v>0</v>
      </c>
      <c r="BT33" s="28">
        <v>0</v>
      </c>
      <c r="BU33" s="28">
        <v>0</v>
      </c>
      <c r="BV33" s="28">
        <v>0</v>
      </c>
    </row>
    <row r="34" spans="1:74" x14ac:dyDescent="0.3">
      <c r="A34" s="29" t="s">
        <v>9</v>
      </c>
      <c r="B34" s="29" t="s">
        <v>69</v>
      </c>
      <c r="C34" s="28">
        <v>0</v>
      </c>
      <c r="D34" s="28">
        <v>0</v>
      </c>
      <c r="E34" s="28">
        <v>0</v>
      </c>
      <c r="F34" s="28">
        <v>0</v>
      </c>
      <c r="G34" s="28">
        <v>0</v>
      </c>
      <c r="H34" s="28">
        <v>0</v>
      </c>
      <c r="I34" s="28">
        <v>0</v>
      </c>
      <c r="J34" s="28">
        <v>0</v>
      </c>
      <c r="K34" s="28">
        <v>0</v>
      </c>
      <c r="L34" s="28">
        <v>0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  <c r="AL34" s="28">
        <v>0</v>
      </c>
      <c r="AM34" s="28">
        <v>0</v>
      </c>
      <c r="AN34" s="28">
        <v>0</v>
      </c>
      <c r="AO34" s="28">
        <v>0</v>
      </c>
      <c r="AP34" s="28">
        <v>0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>
        <v>0</v>
      </c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>
        <v>0</v>
      </c>
      <c r="BD34" s="28">
        <v>0</v>
      </c>
      <c r="BE34" s="28">
        <v>0</v>
      </c>
      <c r="BF34" s="28">
        <v>0</v>
      </c>
      <c r="BG34" s="28">
        <v>0</v>
      </c>
      <c r="BH34" s="28">
        <v>0</v>
      </c>
      <c r="BI34" s="28">
        <v>0</v>
      </c>
      <c r="BJ34" s="28">
        <v>0</v>
      </c>
      <c r="BK34" s="28">
        <v>0</v>
      </c>
      <c r="BL34" s="28">
        <v>0</v>
      </c>
      <c r="BM34" s="28">
        <v>0</v>
      </c>
      <c r="BN34" s="28">
        <v>0</v>
      </c>
      <c r="BO34" s="28">
        <v>0</v>
      </c>
      <c r="BP34" s="28">
        <v>0</v>
      </c>
      <c r="BQ34" s="28">
        <v>0</v>
      </c>
      <c r="BR34" s="28">
        <v>0</v>
      </c>
      <c r="BS34" s="28">
        <v>0</v>
      </c>
      <c r="BT34" s="28">
        <v>0</v>
      </c>
      <c r="BU34" s="28">
        <v>0</v>
      </c>
      <c r="BV34" s="28">
        <v>0</v>
      </c>
    </row>
    <row r="35" spans="1:74" x14ac:dyDescent="0.3">
      <c r="A35" s="29" t="s">
        <v>9</v>
      </c>
      <c r="B35" s="29" t="s">
        <v>27</v>
      </c>
      <c r="C35" s="28">
        <v>13200</v>
      </c>
      <c r="D35" s="28">
        <v>46199.999999999993</v>
      </c>
      <c r="E35" s="28">
        <v>19799.64</v>
      </c>
      <c r="F35" s="28">
        <v>5399.9999999999991</v>
      </c>
      <c r="G35" s="28">
        <v>18900</v>
      </c>
      <c r="H35" s="28">
        <v>3636.3600000000065</v>
      </c>
      <c r="I35" s="28">
        <v>9000</v>
      </c>
      <c r="J35" s="28">
        <v>45000</v>
      </c>
      <c r="K35" s="28">
        <v>12214.956521739134</v>
      </c>
      <c r="L35" s="28">
        <v>3599.9999999999995</v>
      </c>
      <c r="M35" s="28">
        <v>15600</v>
      </c>
      <c r="N35" s="28">
        <v>6514.6434782608712</v>
      </c>
      <c r="O35" s="28">
        <v>12600</v>
      </c>
      <c r="P35" s="28">
        <v>44100</v>
      </c>
      <c r="Q35" s="28">
        <v>13263.20000000001</v>
      </c>
      <c r="R35" s="28">
        <v>4500</v>
      </c>
      <c r="S35" s="28">
        <v>19500</v>
      </c>
      <c r="T35" s="28">
        <v>7816.0000000000009</v>
      </c>
      <c r="U35" s="28">
        <v>11400</v>
      </c>
      <c r="V35" s="28">
        <v>39900</v>
      </c>
      <c r="W35" s="28">
        <v>4078.9319371727875</v>
      </c>
      <c r="X35" s="28">
        <v>4950</v>
      </c>
      <c r="Y35" s="28">
        <v>23099.999999999996</v>
      </c>
      <c r="Z35" s="28">
        <v>2755.0680628272339</v>
      </c>
      <c r="AA35" s="28">
        <v>13200</v>
      </c>
      <c r="AB35" s="28">
        <v>42818.812235294121</v>
      </c>
      <c r="AC35" s="28">
        <v>0</v>
      </c>
      <c r="AD35" s="28">
        <v>4050</v>
      </c>
      <c r="AE35" s="28">
        <v>16265.587764705881</v>
      </c>
      <c r="AF35" s="28">
        <v>0</v>
      </c>
      <c r="AG35" s="28">
        <v>12600</v>
      </c>
      <c r="AH35" s="28">
        <v>27210.960000000028</v>
      </c>
      <c r="AI35" s="28">
        <v>0</v>
      </c>
      <c r="AJ35" s="28">
        <v>4050</v>
      </c>
      <c r="AK35" s="28">
        <v>5387.0399999999754</v>
      </c>
      <c r="AL35" s="28">
        <v>0</v>
      </c>
      <c r="AM35" s="28">
        <v>16500</v>
      </c>
      <c r="AN35" s="28">
        <v>22874.584615384625</v>
      </c>
      <c r="AO35" s="28">
        <v>0</v>
      </c>
      <c r="AP35" s="28">
        <v>4050</v>
      </c>
      <c r="AQ35" s="28">
        <v>7465.0153846153798</v>
      </c>
      <c r="AR35" s="28">
        <v>0</v>
      </c>
      <c r="AS35" s="28">
        <v>13200</v>
      </c>
      <c r="AT35" s="28">
        <v>33639.599999999999</v>
      </c>
      <c r="AU35" s="28">
        <v>0</v>
      </c>
      <c r="AV35" s="28">
        <v>4050</v>
      </c>
      <c r="AW35" s="28">
        <v>0</v>
      </c>
      <c r="AX35" s="28">
        <v>0</v>
      </c>
      <c r="AY35" s="28">
        <v>15000</v>
      </c>
      <c r="AZ35" s="28">
        <v>36000</v>
      </c>
      <c r="BA35" s="28">
        <v>0</v>
      </c>
      <c r="BB35" s="28">
        <v>4500</v>
      </c>
      <c r="BC35" s="28">
        <v>18371.999999999996</v>
      </c>
      <c r="BD35" s="28">
        <v>0</v>
      </c>
      <c r="BE35" s="28">
        <v>9900</v>
      </c>
      <c r="BF35" s="28">
        <v>46199.999999999993</v>
      </c>
      <c r="BG35" s="28">
        <v>7738.7044247787635</v>
      </c>
      <c r="BH35" s="28">
        <v>4050</v>
      </c>
      <c r="BI35" s="28">
        <v>17550</v>
      </c>
      <c r="BJ35" s="28">
        <v>3618.0955752212399</v>
      </c>
      <c r="BK35" s="28">
        <v>6300</v>
      </c>
      <c r="BL35" s="28">
        <v>47250</v>
      </c>
      <c r="BM35" s="28">
        <v>15670.602739726028</v>
      </c>
      <c r="BN35" s="28">
        <v>4050</v>
      </c>
      <c r="BO35" s="28">
        <v>17550</v>
      </c>
      <c r="BP35" s="28">
        <v>7675.3972602739732</v>
      </c>
      <c r="BQ35" s="28">
        <v>10200</v>
      </c>
      <c r="BR35" s="28">
        <v>35699.999999999993</v>
      </c>
      <c r="BS35" s="28">
        <v>15299.999999999998</v>
      </c>
      <c r="BT35" s="28">
        <v>8400</v>
      </c>
      <c r="BU35" s="28">
        <v>27300</v>
      </c>
      <c r="BV35" s="28">
        <v>4879.2</v>
      </c>
    </row>
    <row r="36" spans="1:74" x14ac:dyDescent="0.3">
      <c r="A36" s="29" t="s">
        <v>9</v>
      </c>
      <c r="B36" s="29" t="s">
        <v>95</v>
      </c>
      <c r="C36" s="28">
        <v>17600</v>
      </c>
      <c r="D36" s="28">
        <v>4760.4495999999381</v>
      </c>
      <c r="E36" s="28">
        <v>0</v>
      </c>
      <c r="F36" s="28">
        <v>7200</v>
      </c>
      <c r="G36" s="28">
        <v>0</v>
      </c>
      <c r="H36" s="28">
        <v>0</v>
      </c>
      <c r="I36" s="28">
        <v>12000</v>
      </c>
      <c r="J36" s="28">
        <v>17692.289405940664</v>
      </c>
      <c r="K36" s="28">
        <v>0</v>
      </c>
      <c r="L36" s="28">
        <v>4800.0000000000009</v>
      </c>
      <c r="M36" s="28">
        <v>6133.3269940594291</v>
      </c>
      <c r="N36" s="28">
        <v>0</v>
      </c>
      <c r="O36" s="28">
        <v>16800</v>
      </c>
      <c r="P36" s="28">
        <v>0</v>
      </c>
      <c r="Q36" s="28">
        <v>0</v>
      </c>
      <c r="R36" s="28">
        <v>6000</v>
      </c>
      <c r="S36" s="28">
        <v>0</v>
      </c>
      <c r="T36" s="28">
        <v>0</v>
      </c>
      <c r="U36" s="28">
        <v>15200.000000000002</v>
      </c>
      <c r="V36" s="28">
        <v>7687.4000000000688</v>
      </c>
      <c r="W36" s="28">
        <v>0</v>
      </c>
      <c r="X36" s="28">
        <v>1927.2000000000003</v>
      </c>
      <c r="Y36" s="28">
        <v>0</v>
      </c>
      <c r="Z36" s="28">
        <v>0</v>
      </c>
      <c r="AA36" s="28">
        <v>17600</v>
      </c>
      <c r="AB36" s="28">
        <v>16233.046802823355</v>
      </c>
      <c r="AC36" s="28">
        <v>0</v>
      </c>
      <c r="AD36" s="28">
        <v>5400</v>
      </c>
      <c r="AE36" s="28">
        <v>6166.4495971764054</v>
      </c>
      <c r="AF36" s="28">
        <v>0</v>
      </c>
      <c r="AG36" s="28">
        <v>15481.199999999961</v>
      </c>
      <c r="AH36" s="28">
        <v>0</v>
      </c>
      <c r="AI36" s="28">
        <v>0</v>
      </c>
      <c r="AJ36" s="28">
        <v>2065.5000000000077</v>
      </c>
      <c r="AK36" s="28">
        <v>0</v>
      </c>
      <c r="AL36" s="28">
        <v>0</v>
      </c>
      <c r="AM36" s="28">
        <v>22000</v>
      </c>
      <c r="AN36" s="28">
        <v>0</v>
      </c>
      <c r="AO36" s="28">
        <v>0</v>
      </c>
      <c r="AP36" s="28">
        <v>5092.2000000000044</v>
      </c>
      <c r="AQ36" s="28">
        <v>0</v>
      </c>
      <c r="AR36" s="28">
        <v>0</v>
      </c>
      <c r="AS36" s="28">
        <v>17600</v>
      </c>
      <c r="AT36" s="28">
        <v>30367.200000000146</v>
      </c>
      <c r="AU36" s="28">
        <v>0</v>
      </c>
      <c r="AV36" s="28">
        <v>0</v>
      </c>
      <c r="AW36" s="28">
        <v>0</v>
      </c>
      <c r="AX36" s="28">
        <v>0</v>
      </c>
      <c r="AY36" s="28">
        <v>7280.00000000002</v>
      </c>
      <c r="AZ36" s="28">
        <v>0</v>
      </c>
      <c r="BA36" s="28">
        <v>0</v>
      </c>
      <c r="BB36" s="28">
        <v>2184.0000000000059</v>
      </c>
      <c r="BC36" s="28">
        <v>0</v>
      </c>
      <c r="BD36" s="28">
        <v>0</v>
      </c>
      <c r="BE36" s="28">
        <v>0</v>
      </c>
      <c r="BF36" s="28">
        <v>0</v>
      </c>
      <c r="BG36" s="28">
        <v>0</v>
      </c>
      <c r="BH36" s="28">
        <v>0</v>
      </c>
      <c r="BI36" s="28">
        <v>0</v>
      </c>
      <c r="BJ36" s="28">
        <v>0</v>
      </c>
      <c r="BK36" s="28">
        <v>8400</v>
      </c>
      <c r="BL36" s="28">
        <v>4276.0287999999919</v>
      </c>
      <c r="BM36" s="28">
        <v>0</v>
      </c>
      <c r="BN36" s="28">
        <v>4071.6000000000026</v>
      </c>
      <c r="BO36" s="28">
        <v>0</v>
      </c>
      <c r="BP36" s="28">
        <v>0</v>
      </c>
      <c r="BQ36" s="28">
        <v>13600.000000000002</v>
      </c>
      <c r="BR36" s="28">
        <v>0</v>
      </c>
      <c r="BS36" s="28">
        <v>0</v>
      </c>
      <c r="BT36" s="28">
        <v>11200.000000000002</v>
      </c>
      <c r="BU36" s="28">
        <v>0</v>
      </c>
      <c r="BV36" s="28">
        <v>0</v>
      </c>
    </row>
    <row r="37" spans="1:74" x14ac:dyDescent="0.3">
      <c r="A37" s="29" t="s">
        <v>9</v>
      </c>
      <c r="B37" s="29" t="s">
        <v>96</v>
      </c>
      <c r="C37" s="28">
        <v>17600</v>
      </c>
      <c r="D37" s="28">
        <v>0</v>
      </c>
      <c r="E37" s="28">
        <v>0</v>
      </c>
      <c r="F37" s="28">
        <v>2829.6000000000017</v>
      </c>
      <c r="G37" s="28">
        <v>0</v>
      </c>
      <c r="H37" s="28">
        <v>0</v>
      </c>
      <c r="I37" s="28">
        <v>8219.9999999999891</v>
      </c>
      <c r="J37" s="28">
        <v>0</v>
      </c>
      <c r="K37" s="28">
        <v>0</v>
      </c>
      <c r="L37" s="28">
        <v>3287.9999999999964</v>
      </c>
      <c r="M37" s="28">
        <v>0</v>
      </c>
      <c r="N37" s="28">
        <v>0</v>
      </c>
      <c r="O37" s="28">
        <v>8761.1999999999716</v>
      </c>
      <c r="P37" s="28">
        <v>0</v>
      </c>
      <c r="Q37" s="28">
        <v>0</v>
      </c>
      <c r="R37" s="28">
        <v>530.99999999999477</v>
      </c>
      <c r="S37" s="28">
        <v>0</v>
      </c>
      <c r="T37" s="28">
        <v>0</v>
      </c>
      <c r="U37" s="28">
        <v>10130.800000000036</v>
      </c>
      <c r="V37" s="28">
        <v>0</v>
      </c>
      <c r="W37" s="28">
        <v>0</v>
      </c>
      <c r="X37" s="28">
        <v>0</v>
      </c>
      <c r="Y37" s="28">
        <v>0</v>
      </c>
      <c r="Z37" s="28">
        <v>0</v>
      </c>
      <c r="AA37" s="28">
        <v>16244.800000000012</v>
      </c>
      <c r="AB37" s="28">
        <v>607.7409618826058</v>
      </c>
      <c r="AC37" s="28">
        <v>0</v>
      </c>
      <c r="AD37" s="28">
        <v>4984.2000000000044</v>
      </c>
      <c r="AE37" s="28">
        <v>230.86263811774313</v>
      </c>
      <c r="AF37" s="28">
        <v>0</v>
      </c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7237.9999999999654</v>
      </c>
      <c r="AN37" s="28">
        <v>0</v>
      </c>
      <c r="AO37" s="28">
        <v>0</v>
      </c>
      <c r="AP37" s="28">
        <v>0</v>
      </c>
      <c r="AQ37" s="28">
        <v>0</v>
      </c>
      <c r="AR37" s="28">
        <v>0</v>
      </c>
      <c r="AS37" s="28">
        <v>14027.200000000004</v>
      </c>
      <c r="AT37" s="28">
        <v>0</v>
      </c>
      <c r="AU37" s="28">
        <v>0</v>
      </c>
      <c r="AV37" s="28">
        <v>1466.1000000000183</v>
      </c>
      <c r="AW37" s="28">
        <v>0</v>
      </c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>
        <v>0</v>
      </c>
      <c r="BD37" s="28">
        <v>0</v>
      </c>
      <c r="BE37" s="28">
        <v>3860.999999999985</v>
      </c>
      <c r="BF37" s="28">
        <v>0</v>
      </c>
      <c r="BG37" s="28">
        <v>0</v>
      </c>
      <c r="BH37" s="28">
        <v>1579.4999999999939</v>
      </c>
      <c r="BI37" s="28">
        <v>0</v>
      </c>
      <c r="BJ37" s="28">
        <v>0</v>
      </c>
      <c r="BK37" s="28">
        <v>5380.2000000000062</v>
      </c>
      <c r="BL37" s="28">
        <v>0</v>
      </c>
      <c r="BM37" s="28">
        <v>0</v>
      </c>
      <c r="BN37" s="28">
        <v>3458.7000000000044</v>
      </c>
      <c r="BO37" s="28">
        <v>0</v>
      </c>
      <c r="BP37" s="28">
        <v>0</v>
      </c>
      <c r="BQ37" s="28">
        <v>12384.272399999651</v>
      </c>
      <c r="BR37" s="28">
        <v>0</v>
      </c>
      <c r="BS37" s="28">
        <v>0</v>
      </c>
      <c r="BT37" s="28">
        <v>2329.6000000000045</v>
      </c>
      <c r="BU37" s="28">
        <v>0</v>
      </c>
      <c r="BV37" s="28">
        <v>0</v>
      </c>
    </row>
    <row r="38" spans="1:74" x14ac:dyDescent="0.3">
      <c r="A38" s="29" t="s">
        <v>9</v>
      </c>
      <c r="B38" s="29" t="s">
        <v>97</v>
      </c>
      <c r="C38" s="28">
        <v>17600</v>
      </c>
      <c r="D38" s="28">
        <v>61600</v>
      </c>
      <c r="E38" s="28">
        <v>0</v>
      </c>
      <c r="F38" s="28">
        <v>7200</v>
      </c>
      <c r="G38" s="28">
        <v>11067.840000000047</v>
      </c>
      <c r="H38" s="28">
        <v>0</v>
      </c>
      <c r="I38" s="28">
        <v>12000</v>
      </c>
      <c r="J38" s="28">
        <v>31417.710594059445</v>
      </c>
      <c r="K38" s="28">
        <v>0</v>
      </c>
      <c r="L38" s="28">
        <v>4800.0000000000009</v>
      </c>
      <c r="M38" s="28">
        <v>10891.473005940608</v>
      </c>
      <c r="N38" s="28">
        <v>0</v>
      </c>
      <c r="O38" s="28">
        <v>16800</v>
      </c>
      <c r="P38" s="28">
        <v>52390.80000000009</v>
      </c>
      <c r="Q38" s="28">
        <v>0</v>
      </c>
      <c r="R38" s="28">
        <v>6000</v>
      </c>
      <c r="S38" s="28">
        <v>2183.9999999999832</v>
      </c>
      <c r="T38" s="28">
        <v>0</v>
      </c>
      <c r="U38" s="28">
        <v>15200.000000000002</v>
      </c>
      <c r="V38" s="28">
        <v>53200</v>
      </c>
      <c r="W38" s="28">
        <v>0</v>
      </c>
      <c r="X38" s="28">
        <v>6600.0000000000009</v>
      </c>
      <c r="Y38" s="28">
        <v>0</v>
      </c>
      <c r="Z38" s="28">
        <v>0</v>
      </c>
      <c r="AA38" s="28">
        <v>17600</v>
      </c>
      <c r="AB38" s="28">
        <v>61600</v>
      </c>
      <c r="AC38" s="28">
        <v>1452.0000000000525</v>
      </c>
      <c r="AD38" s="28">
        <v>5400</v>
      </c>
      <c r="AE38" s="28">
        <v>23400.000000000004</v>
      </c>
      <c r="AF38" s="28">
        <v>792.00000000002865</v>
      </c>
      <c r="AG38" s="28">
        <v>16800</v>
      </c>
      <c r="AH38" s="28">
        <v>19770.240000000038</v>
      </c>
      <c r="AI38" s="28">
        <v>0</v>
      </c>
      <c r="AJ38" s="28">
        <v>5400</v>
      </c>
      <c r="AK38" s="28">
        <v>8472.9600000000155</v>
      </c>
      <c r="AL38" s="28">
        <v>0</v>
      </c>
      <c r="AM38" s="28">
        <v>22000</v>
      </c>
      <c r="AN38" s="28">
        <v>43178.215384615381</v>
      </c>
      <c r="AO38" s="28">
        <v>0</v>
      </c>
      <c r="AP38" s="28">
        <v>5400</v>
      </c>
      <c r="AQ38" s="28">
        <v>20607.784615384615</v>
      </c>
      <c r="AR38" s="28">
        <v>0</v>
      </c>
      <c r="AS38" s="28">
        <v>17600</v>
      </c>
      <c r="AT38" s="28">
        <v>57200</v>
      </c>
      <c r="AU38" s="28">
        <v>0</v>
      </c>
      <c r="AV38" s="28">
        <v>5400</v>
      </c>
      <c r="AW38" s="28">
        <v>9538.2000000000044</v>
      </c>
      <c r="AX38" s="28">
        <v>0</v>
      </c>
      <c r="AY38" s="28">
        <v>20000</v>
      </c>
      <c r="AZ38" s="28">
        <v>0</v>
      </c>
      <c r="BA38" s="28">
        <v>0</v>
      </c>
      <c r="BB38" s="28">
        <v>6000</v>
      </c>
      <c r="BC38" s="28">
        <v>0</v>
      </c>
      <c r="BD38" s="28">
        <v>0</v>
      </c>
      <c r="BE38" s="28">
        <v>13200.000000000002</v>
      </c>
      <c r="BF38" s="28">
        <v>0</v>
      </c>
      <c r="BG38" s="28">
        <v>0</v>
      </c>
      <c r="BH38" s="28">
        <v>5400</v>
      </c>
      <c r="BI38" s="28">
        <v>0</v>
      </c>
      <c r="BJ38" s="28">
        <v>0</v>
      </c>
      <c r="BK38" s="28">
        <v>8400</v>
      </c>
      <c r="BL38" s="28">
        <v>32704.971199999974</v>
      </c>
      <c r="BM38" s="28">
        <v>0</v>
      </c>
      <c r="BN38" s="28">
        <v>5400</v>
      </c>
      <c r="BO38" s="28">
        <v>10740.600000000006</v>
      </c>
      <c r="BP38" s="28">
        <v>0</v>
      </c>
      <c r="BQ38" s="28">
        <v>13600.000000000002</v>
      </c>
      <c r="BR38" s="28">
        <v>5877.5087636360204</v>
      </c>
      <c r="BS38" s="28">
        <v>0</v>
      </c>
      <c r="BT38" s="28">
        <v>11200.000000000002</v>
      </c>
      <c r="BU38" s="28">
        <v>0</v>
      </c>
      <c r="BV38" s="28">
        <v>0</v>
      </c>
    </row>
    <row r="39" spans="1:74" x14ac:dyDescent="0.3">
      <c r="A39" s="29" t="s">
        <v>9</v>
      </c>
      <c r="B39" s="29" t="s">
        <v>28</v>
      </c>
      <c r="C39" s="28">
        <v>17600</v>
      </c>
      <c r="D39" s="28">
        <v>61600</v>
      </c>
      <c r="E39" s="28">
        <v>26400.000000000004</v>
      </c>
      <c r="F39" s="28">
        <v>7200</v>
      </c>
      <c r="G39" s="28">
        <v>25200.000000000004</v>
      </c>
      <c r="H39" s="28">
        <v>10800</v>
      </c>
      <c r="I39" s="28">
        <v>12000</v>
      </c>
      <c r="J39" s="28">
        <v>60000</v>
      </c>
      <c r="K39" s="28">
        <v>24000</v>
      </c>
      <c r="L39" s="28">
        <v>4800.0000000000009</v>
      </c>
      <c r="M39" s="28">
        <v>20800</v>
      </c>
      <c r="N39" s="28">
        <v>12800</v>
      </c>
      <c r="O39" s="28">
        <v>16800</v>
      </c>
      <c r="P39" s="28">
        <v>58800.000000000007</v>
      </c>
      <c r="Q39" s="28">
        <v>25200.000000000004</v>
      </c>
      <c r="R39" s="28">
        <v>6000</v>
      </c>
      <c r="S39" s="28">
        <v>26000</v>
      </c>
      <c r="T39" s="28">
        <v>16000</v>
      </c>
      <c r="U39" s="28">
        <v>15200.000000000002</v>
      </c>
      <c r="V39" s="28">
        <v>53200</v>
      </c>
      <c r="W39" s="28">
        <v>22800</v>
      </c>
      <c r="X39" s="28">
        <v>6600.0000000000009</v>
      </c>
      <c r="Y39" s="28">
        <v>30800</v>
      </c>
      <c r="Z39" s="28">
        <v>15400</v>
      </c>
      <c r="AA39" s="28">
        <v>17600</v>
      </c>
      <c r="AB39" s="28">
        <v>61600</v>
      </c>
      <c r="AC39" s="28">
        <v>26400.000000000004</v>
      </c>
      <c r="AD39" s="28">
        <v>5400</v>
      </c>
      <c r="AE39" s="28">
        <v>23400.000000000004</v>
      </c>
      <c r="AF39" s="28">
        <v>14400</v>
      </c>
      <c r="AG39" s="28">
        <v>16800</v>
      </c>
      <c r="AH39" s="28">
        <v>58800.000000000007</v>
      </c>
      <c r="AI39" s="28">
        <v>25200.000000000004</v>
      </c>
      <c r="AJ39" s="28">
        <v>5400</v>
      </c>
      <c r="AK39" s="28">
        <v>25200.000000000004</v>
      </c>
      <c r="AL39" s="28">
        <v>12600.000000000002</v>
      </c>
      <c r="AM39" s="28">
        <v>22000</v>
      </c>
      <c r="AN39" s="28">
        <v>52800.000000000007</v>
      </c>
      <c r="AO39" s="28">
        <v>30800</v>
      </c>
      <c r="AP39" s="28">
        <v>5400</v>
      </c>
      <c r="AQ39" s="28">
        <v>25200.000000000004</v>
      </c>
      <c r="AR39" s="28">
        <v>12600.000000000002</v>
      </c>
      <c r="AS39" s="28">
        <v>17600</v>
      </c>
      <c r="AT39" s="28">
        <v>57200</v>
      </c>
      <c r="AU39" s="28">
        <v>30800</v>
      </c>
      <c r="AV39" s="28">
        <v>5400</v>
      </c>
      <c r="AW39" s="28">
        <v>25200.000000000004</v>
      </c>
      <c r="AX39" s="28">
        <v>12600.000000000002</v>
      </c>
      <c r="AY39" s="28">
        <v>20000</v>
      </c>
      <c r="AZ39" s="28">
        <v>48000</v>
      </c>
      <c r="BA39" s="28">
        <v>28000</v>
      </c>
      <c r="BB39" s="28">
        <v>6000</v>
      </c>
      <c r="BC39" s="28">
        <v>26000</v>
      </c>
      <c r="BD39" s="28">
        <v>16000</v>
      </c>
      <c r="BE39" s="28">
        <v>13200.000000000002</v>
      </c>
      <c r="BF39" s="28">
        <v>61600</v>
      </c>
      <c r="BG39" s="28">
        <v>30800</v>
      </c>
      <c r="BH39" s="28">
        <v>5400</v>
      </c>
      <c r="BI39" s="28">
        <v>23400.000000000004</v>
      </c>
      <c r="BJ39" s="28">
        <v>14400</v>
      </c>
      <c r="BK39" s="28">
        <v>8400</v>
      </c>
      <c r="BL39" s="28">
        <v>63000</v>
      </c>
      <c r="BM39" s="28">
        <v>29400.000000000004</v>
      </c>
      <c r="BN39" s="28">
        <v>5400</v>
      </c>
      <c r="BO39" s="28">
        <v>23400.000000000004</v>
      </c>
      <c r="BP39" s="28">
        <v>14400</v>
      </c>
      <c r="BQ39" s="28">
        <v>13600.000000000002</v>
      </c>
      <c r="BR39" s="28">
        <v>47600</v>
      </c>
      <c r="BS39" s="28">
        <v>20400.000000000004</v>
      </c>
      <c r="BT39" s="28">
        <v>11200.000000000002</v>
      </c>
      <c r="BU39" s="28">
        <v>36400</v>
      </c>
      <c r="BV39" s="28">
        <v>19600</v>
      </c>
    </row>
    <row r="40" spans="1:74" x14ac:dyDescent="0.3">
      <c r="A40" s="29" t="s">
        <v>10</v>
      </c>
      <c r="B40" s="29" t="s">
        <v>60</v>
      </c>
      <c r="C40" s="28">
        <v>67900.800000000003</v>
      </c>
      <c r="D40" s="28">
        <v>237652.80000000002</v>
      </c>
      <c r="E40" s="28">
        <v>101851.20000000001</v>
      </c>
      <c r="F40" s="28">
        <v>27777.600000000002</v>
      </c>
      <c r="G40" s="28">
        <v>97221.6</v>
      </c>
      <c r="H40" s="28">
        <v>41666.400000000001</v>
      </c>
      <c r="I40" s="28">
        <v>46296.000000000007</v>
      </c>
      <c r="J40" s="28">
        <v>231480.00000000003</v>
      </c>
      <c r="K40" s="28">
        <v>92592.000000000015</v>
      </c>
      <c r="L40" s="28">
        <v>18518.400000000001</v>
      </c>
      <c r="M40" s="28">
        <v>80246.400000000009</v>
      </c>
      <c r="N40" s="28">
        <v>49382.400000000001</v>
      </c>
      <c r="O40" s="28">
        <v>64814.400000000009</v>
      </c>
      <c r="P40" s="28">
        <v>226850.4</v>
      </c>
      <c r="Q40" s="28">
        <v>97221.6</v>
      </c>
      <c r="R40" s="28">
        <v>23148.000000000004</v>
      </c>
      <c r="S40" s="28">
        <v>100308</v>
      </c>
      <c r="T40" s="28">
        <v>61728.000000000007</v>
      </c>
      <c r="U40" s="28">
        <v>58641.600000000006</v>
      </c>
      <c r="V40" s="28">
        <v>205245.60000000003</v>
      </c>
      <c r="W40" s="28">
        <v>87962.400000000009</v>
      </c>
      <c r="X40" s="28">
        <v>25462.800000000003</v>
      </c>
      <c r="Y40" s="28">
        <v>118826.40000000001</v>
      </c>
      <c r="Z40" s="28">
        <v>59413.200000000004</v>
      </c>
      <c r="AA40" s="28">
        <v>67900.800000000003</v>
      </c>
      <c r="AB40" s="28">
        <v>237652.80000000002</v>
      </c>
      <c r="AC40" s="28">
        <v>101851.20000000001</v>
      </c>
      <c r="AD40" s="28">
        <v>20833.2</v>
      </c>
      <c r="AE40" s="28">
        <v>90277.200000000012</v>
      </c>
      <c r="AF40" s="28">
        <v>55555.200000000004</v>
      </c>
      <c r="AG40" s="28">
        <v>64814.400000000009</v>
      </c>
      <c r="AH40" s="28">
        <v>226850.4</v>
      </c>
      <c r="AI40" s="28">
        <v>97221.6</v>
      </c>
      <c r="AJ40" s="28">
        <v>20833.2</v>
      </c>
      <c r="AK40" s="28">
        <v>97221.6</v>
      </c>
      <c r="AL40" s="28">
        <v>48610.8</v>
      </c>
      <c r="AM40" s="28">
        <v>84876</v>
      </c>
      <c r="AN40" s="28">
        <v>203702.40000000002</v>
      </c>
      <c r="AO40" s="28">
        <v>118826.40000000001</v>
      </c>
      <c r="AP40" s="28">
        <v>20833.2</v>
      </c>
      <c r="AQ40" s="28">
        <v>97221.6</v>
      </c>
      <c r="AR40" s="28">
        <v>48610.8</v>
      </c>
      <c r="AS40" s="28">
        <v>67900.800000000003</v>
      </c>
      <c r="AT40" s="28">
        <v>220677.6</v>
      </c>
      <c r="AU40" s="28">
        <v>118826.40000000001</v>
      </c>
      <c r="AV40" s="28">
        <v>20833.2</v>
      </c>
      <c r="AW40" s="28">
        <v>97221.6</v>
      </c>
      <c r="AX40" s="28">
        <v>48610.8</v>
      </c>
      <c r="AY40" s="28">
        <v>77160.000000000015</v>
      </c>
      <c r="AZ40" s="28">
        <v>185184.00000000003</v>
      </c>
      <c r="BA40" s="28">
        <v>108024.00000000001</v>
      </c>
      <c r="BB40" s="28">
        <v>23148.000000000004</v>
      </c>
      <c r="BC40" s="28">
        <v>100308</v>
      </c>
      <c r="BD40" s="28">
        <v>61728.000000000007</v>
      </c>
      <c r="BE40" s="28">
        <v>50925.600000000006</v>
      </c>
      <c r="BF40" s="28">
        <v>237652.80000000002</v>
      </c>
      <c r="BG40" s="28">
        <v>118826.40000000001</v>
      </c>
      <c r="BH40" s="28">
        <v>20833.2</v>
      </c>
      <c r="BI40" s="28">
        <v>90277.200000000012</v>
      </c>
      <c r="BJ40" s="28">
        <v>55555.200000000004</v>
      </c>
      <c r="BK40" s="28">
        <v>32407.200000000004</v>
      </c>
      <c r="BL40" s="28">
        <v>243054.00000000003</v>
      </c>
      <c r="BM40" s="28">
        <v>113425.2</v>
      </c>
      <c r="BN40" s="28">
        <v>20833.2</v>
      </c>
      <c r="BO40" s="28">
        <v>90277.200000000012</v>
      </c>
      <c r="BP40" s="28">
        <v>55555.200000000004</v>
      </c>
      <c r="BQ40" s="28">
        <v>52468.800000000003</v>
      </c>
      <c r="BR40" s="28">
        <v>183640.80000000002</v>
      </c>
      <c r="BS40" s="28">
        <v>78703.200000000012</v>
      </c>
      <c r="BT40" s="28">
        <v>43209.599999999999</v>
      </c>
      <c r="BU40" s="28">
        <v>140431.20000000001</v>
      </c>
      <c r="BV40" s="28">
        <v>75616.800000000017</v>
      </c>
    </row>
    <row r="41" spans="1:74" x14ac:dyDescent="0.3">
      <c r="A41" s="29" t="s">
        <v>10</v>
      </c>
      <c r="B41" s="29" t="s">
        <v>101</v>
      </c>
      <c r="C41" s="28">
        <v>20697.599999999999</v>
      </c>
      <c r="D41" s="28">
        <v>72441.599999999991</v>
      </c>
      <c r="E41" s="28">
        <v>31046.399999999994</v>
      </c>
      <c r="F41" s="28">
        <v>8467.1999999999989</v>
      </c>
      <c r="G41" s="28">
        <v>29635.199999999993</v>
      </c>
      <c r="H41" s="28">
        <v>12700.799999999997</v>
      </c>
      <c r="I41" s="28">
        <v>34206.000000000058</v>
      </c>
      <c r="J41" s="28">
        <v>97438.355054545522</v>
      </c>
      <c r="K41" s="28">
        <v>28223.999999999996</v>
      </c>
      <c r="L41" s="28">
        <v>5644.7999999999993</v>
      </c>
      <c r="M41" s="28">
        <v>24460.799999999996</v>
      </c>
      <c r="N41" s="28">
        <v>15052.799999999997</v>
      </c>
      <c r="O41" s="28">
        <v>19756.8</v>
      </c>
      <c r="P41" s="28">
        <v>69148.799999999988</v>
      </c>
      <c r="Q41" s="28">
        <v>29635.199999999993</v>
      </c>
      <c r="R41" s="28">
        <v>7055.9999999999991</v>
      </c>
      <c r="S41" s="28">
        <v>30575.999999999996</v>
      </c>
      <c r="T41" s="28">
        <v>18815.999999999996</v>
      </c>
      <c r="U41" s="28">
        <v>17875.199999999997</v>
      </c>
      <c r="V41" s="28">
        <v>62563.19999999999</v>
      </c>
      <c r="W41" s="28">
        <v>26812.799999999996</v>
      </c>
      <c r="X41" s="28">
        <v>7761.5999999999985</v>
      </c>
      <c r="Y41" s="28">
        <v>36220.799999999996</v>
      </c>
      <c r="Z41" s="28">
        <v>18110.399999999998</v>
      </c>
      <c r="AA41" s="28">
        <v>20697.599999999999</v>
      </c>
      <c r="AB41" s="28">
        <v>75433.835324235566</v>
      </c>
      <c r="AC41" s="28">
        <v>31046.399999999994</v>
      </c>
      <c r="AD41" s="28">
        <v>6350.3999999999987</v>
      </c>
      <c r="AE41" s="28">
        <v>28655.060821219355</v>
      </c>
      <c r="AF41" s="28">
        <v>16934.399999999998</v>
      </c>
      <c r="AG41" s="28">
        <v>19756.8</v>
      </c>
      <c r="AH41" s="28">
        <v>69148.799999999988</v>
      </c>
      <c r="AI41" s="28">
        <v>29635.199999999993</v>
      </c>
      <c r="AJ41" s="28">
        <v>6350.3999999999987</v>
      </c>
      <c r="AK41" s="28">
        <v>29635.199999999993</v>
      </c>
      <c r="AL41" s="28">
        <v>14817.599999999997</v>
      </c>
      <c r="AM41" s="28">
        <v>25871.999999999996</v>
      </c>
      <c r="AN41" s="28">
        <v>62092.799999999988</v>
      </c>
      <c r="AO41" s="28">
        <v>36220.799999999996</v>
      </c>
      <c r="AP41" s="28">
        <v>6350.3999999999987</v>
      </c>
      <c r="AQ41" s="28">
        <v>29635.199999999993</v>
      </c>
      <c r="AR41" s="28">
        <v>14817.599999999997</v>
      </c>
      <c r="AS41" s="28">
        <v>20697.599999999999</v>
      </c>
      <c r="AT41" s="28">
        <v>67267.199999999983</v>
      </c>
      <c r="AU41" s="28">
        <v>36220.799999999996</v>
      </c>
      <c r="AV41" s="28">
        <v>0</v>
      </c>
      <c r="AW41" s="28">
        <v>0</v>
      </c>
      <c r="AX41" s="28">
        <v>0</v>
      </c>
      <c r="AY41" s="28">
        <v>23519.999999999996</v>
      </c>
      <c r="AZ41" s="28">
        <v>56447.999999999993</v>
      </c>
      <c r="BA41" s="28">
        <v>32928</v>
      </c>
      <c r="BB41" s="28">
        <v>0</v>
      </c>
      <c r="BC41" s="28">
        <v>0</v>
      </c>
      <c r="BD41" s="28">
        <v>0</v>
      </c>
      <c r="BE41" s="28">
        <v>15523.199999999997</v>
      </c>
      <c r="BF41" s="28">
        <v>72441.599999999991</v>
      </c>
      <c r="BG41" s="28">
        <v>36220.799999999996</v>
      </c>
      <c r="BH41" s="28">
        <v>6350.3999999999987</v>
      </c>
      <c r="BI41" s="28">
        <v>27518.399999999998</v>
      </c>
      <c r="BJ41" s="28">
        <v>16934.399999999998</v>
      </c>
      <c r="BK41" s="28">
        <v>19693.800000000021</v>
      </c>
      <c r="BL41" s="28">
        <v>74088</v>
      </c>
      <c r="BM41" s="28">
        <v>34574.399999999994</v>
      </c>
      <c r="BN41" s="28">
        <v>6350.3999999999987</v>
      </c>
      <c r="BO41" s="28">
        <v>27518.399999999998</v>
      </c>
      <c r="BP41" s="28">
        <v>16934.399999999998</v>
      </c>
      <c r="BQ41" s="28">
        <v>38780.400000000016</v>
      </c>
      <c r="BR41" s="28">
        <v>55977.599999999991</v>
      </c>
      <c r="BS41" s="28">
        <v>23990.399999999998</v>
      </c>
      <c r="BT41" s="28">
        <v>15500.800000000001</v>
      </c>
      <c r="BU41" s="28">
        <v>42806.399999999994</v>
      </c>
      <c r="BV41" s="28">
        <v>23049.599999999999</v>
      </c>
    </row>
    <row r="42" spans="1:74" x14ac:dyDescent="0.3">
      <c r="A42" s="29" t="s">
        <v>10</v>
      </c>
      <c r="B42" s="29" t="s">
        <v>61</v>
      </c>
      <c r="C42" s="28">
        <v>8447.9999999999927</v>
      </c>
      <c r="D42" s="28">
        <v>25021.919999999998</v>
      </c>
      <c r="E42" s="28">
        <v>10723.68</v>
      </c>
      <c r="F42" s="28">
        <v>0</v>
      </c>
      <c r="G42" s="28">
        <v>0</v>
      </c>
      <c r="H42" s="28">
        <v>0</v>
      </c>
      <c r="I42" s="28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28">
        <v>0</v>
      </c>
      <c r="P42" s="28">
        <v>0</v>
      </c>
      <c r="Q42" s="28">
        <v>0</v>
      </c>
      <c r="R42" s="28">
        <v>0</v>
      </c>
      <c r="S42" s="28">
        <v>0</v>
      </c>
      <c r="T42" s="28">
        <v>0</v>
      </c>
      <c r="U42" s="28">
        <v>0</v>
      </c>
      <c r="V42" s="28">
        <v>0</v>
      </c>
      <c r="W42" s="28">
        <v>0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12751.199999999933</v>
      </c>
      <c r="AH42" s="28">
        <v>54107.760000000075</v>
      </c>
      <c r="AI42" s="28">
        <v>10236.239999999998</v>
      </c>
      <c r="AJ42" s="28">
        <v>0</v>
      </c>
      <c r="AK42" s="28">
        <v>0</v>
      </c>
      <c r="AL42" s="28">
        <v>0</v>
      </c>
      <c r="AM42" s="28">
        <v>0</v>
      </c>
      <c r="AN42" s="28">
        <v>0</v>
      </c>
      <c r="AO42" s="28">
        <v>0</v>
      </c>
      <c r="AP42" s="28">
        <v>0</v>
      </c>
      <c r="AQ42" s="28">
        <v>0</v>
      </c>
      <c r="AR42" s="28">
        <v>0</v>
      </c>
      <c r="AS42" s="28">
        <v>0</v>
      </c>
      <c r="AT42" s="28">
        <v>0</v>
      </c>
      <c r="AU42" s="28">
        <v>0</v>
      </c>
      <c r="AV42" s="28">
        <v>0</v>
      </c>
      <c r="AW42" s="28">
        <v>0</v>
      </c>
      <c r="AX42" s="28">
        <v>0</v>
      </c>
      <c r="AY42" s="28">
        <v>0</v>
      </c>
      <c r="AZ42" s="28">
        <v>0</v>
      </c>
      <c r="BA42" s="28">
        <v>0</v>
      </c>
      <c r="BB42" s="28">
        <v>0</v>
      </c>
      <c r="BC42" s="28">
        <v>0</v>
      </c>
      <c r="BD42" s="28">
        <v>0</v>
      </c>
      <c r="BE42" s="28">
        <v>0</v>
      </c>
      <c r="BF42" s="28">
        <v>0</v>
      </c>
      <c r="BG42" s="28">
        <v>0</v>
      </c>
      <c r="BH42" s="28">
        <v>0</v>
      </c>
      <c r="BI42" s="28">
        <v>0</v>
      </c>
      <c r="BJ42" s="28">
        <v>0</v>
      </c>
      <c r="BK42" s="28">
        <v>8530.2000000000007</v>
      </c>
      <c r="BL42" s="28">
        <v>63976.5</v>
      </c>
      <c r="BM42" s="28">
        <v>11942.279999999999</v>
      </c>
      <c r="BN42" s="28">
        <v>5483.7</v>
      </c>
      <c r="BO42" s="28">
        <v>23095.800000000007</v>
      </c>
      <c r="BP42" s="28">
        <v>5849.28</v>
      </c>
      <c r="BQ42" s="28">
        <v>0</v>
      </c>
      <c r="BR42" s="28">
        <v>0</v>
      </c>
      <c r="BS42" s="28">
        <v>0</v>
      </c>
      <c r="BT42" s="28">
        <v>0</v>
      </c>
      <c r="BU42" s="28">
        <v>0</v>
      </c>
      <c r="BV42" s="28">
        <v>0</v>
      </c>
    </row>
    <row r="43" spans="1:74" x14ac:dyDescent="0.3">
      <c r="A43" s="29" t="s">
        <v>10</v>
      </c>
      <c r="B43" s="29" t="s">
        <v>103</v>
      </c>
      <c r="C43" s="28">
        <v>0</v>
      </c>
      <c r="D43" s="28">
        <v>0</v>
      </c>
      <c r="E43" s="28">
        <v>0</v>
      </c>
      <c r="F43" s="28">
        <v>0</v>
      </c>
      <c r="G43" s="28">
        <v>0</v>
      </c>
      <c r="H43" s="28">
        <v>0</v>
      </c>
      <c r="I43" s="28">
        <v>0</v>
      </c>
      <c r="J43" s="28">
        <v>0</v>
      </c>
      <c r="K43" s="28">
        <v>0</v>
      </c>
      <c r="L43" s="28">
        <v>0</v>
      </c>
      <c r="M43" s="28">
        <v>0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0</v>
      </c>
      <c r="W43" s="28">
        <v>0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12633.600000000002</v>
      </c>
      <c r="AH43" s="28">
        <v>17687.039999999997</v>
      </c>
      <c r="AI43" s="28">
        <v>7580.1599999999989</v>
      </c>
      <c r="AJ43" s="28">
        <v>0</v>
      </c>
      <c r="AK43" s="28">
        <v>0</v>
      </c>
      <c r="AL43" s="28">
        <v>0</v>
      </c>
      <c r="AM43" s="28">
        <v>0</v>
      </c>
      <c r="AN43" s="28">
        <v>0</v>
      </c>
      <c r="AO43" s="28">
        <v>0</v>
      </c>
      <c r="AP43" s="28">
        <v>0</v>
      </c>
      <c r="AQ43" s="28">
        <v>0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>
        <v>0</v>
      </c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>
        <v>0</v>
      </c>
      <c r="BD43" s="28">
        <v>0</v>
      </c>
      <c r="BE43" s="28">
        <v>9570.0000000000491</v>
      </c>
      <c r="BF43" s="28">
        <v>42627.199999999975</v>
      </c>
      <c r="BG43" s="28">
        <v>9264.6399999999976</v>
      </c>
      <c r="BH43" s="28">
        <v>0</v>
      </c>
      <c r="BI43" s="28">
        <v>0</v>
      </c>
      <c r="BJ43" s="28">
        <v>0</v>
      </c>
      <c r="BK43" s="28">
        <v>0</v>
      </c>
      <c r="BL43" s="28">
        <v>0</v>
      </c>
      <c r="BM43" s="28">
        <v>0</v>
      </c>
      <c r="BN43" s="28">
        <v>0</v>
      </c>
      <c r="BO43" s="28">
        <v>0</v>
      </c>
      <c r="BP43" s="28">
        <v>0</v>
      </c>
      <c r="BQ43" s="28">
        <v>0</v>
      </c>
      <c r="BR43" s="28">
        <v>0</v>
      </c>
      <c r="BS43" s="28">
        <v>0</v>
      </c>
      <c r="BT43" s="28">
        <v>0</v>
      </c>
      <c r="BU43" s="28">
        <v>0</v>
      </c>
      <c r="BV43" s="28">
        <v>0</v>
      </c>
    </row>
    <row r="44" spans="1:74" x14ac:dyDescent="0.3">
      <c r="A44" s="29" t="s">
        <v>10</v>
      </c>
      <c r="B44" s="29" t="s">
        <v>102</v>
      </c>
      <c r="C44" s="28">
        <v>17107.2</v>
      </c>
      <c r="D44" s="28">
        <v>49958.830399999992</v>
      </c>
      <c r="E44" s="28">
        <v>10264.320000000002</v>
      </c>
      <c r="F44" s="28">
        <v>6998.4000000000005</v>
      </c>
      <c r="G44" s="28">
        <v>9797.760000000002</v>
      </c>
      <c r="H44" s="28">
        <v>4199.04</v>
      </c>
      <c r="I44" s="28">
        <v>11664.000000000002</v>
      </c>
      <c r="J44" s="28">
        <v>58320.000000000007</v>
      </c>
      <c r="K44" s="28">
        <v>9331.2000000000007</v>
      </c>
      <c r="L44" s="28">
        <v>0</v>
      </c>
      <c r="M44" s="28">
        <v>0</v>
      </c>
      <c r="N44" s="28">
        <v>0</v>
      </c>
      <c r="O44" s="28">
        <v>0</v>
      </c>
      <c r="P44" s="28">
        <v>0</v>
      </c>
      <c r="Q44" s="28">
        <v>0</v>
      </c>
      <c r="R44" s="28">
        <v>0</v>
      </c>
      <c r="S44" s="28">
        <v>0</v>
      </c>
      <c r="T44" s="28">
        <v>0</v>
      </c>
      <c r="U44" s="28">
        <v>14774.400000000001</v>
      </c>
      <c r="V44" s="28">
        <v>20684.160000000003</v>
      </c>
      <c r="W44" s="28">
        <v>8864.6400000000012</v>
      </c>
      <c r="X44" s="28">
        <v>6415.2000000000007</v>
      </c>
      <c r="Y44" s="28">
        <v>11975.04</v>
      </c>
      <c r="Z44" s="28">
        <v>5987.52</v>
      </c>
      <c r="AA44" s="28">
        <v>12091.200000000041</v>
      </c>
      <c r="AB44" s="28">
        <v>53838.399999999863</v>
      </c>
      <c r="AC44" s="28">
        <v>10264.320000000002</v>
      </c>
      <c r="AD44" s="28">
        <v>0</v>
      </c>
      <c r="AE44" s="28">
        <v>0</v>
      </c>
      <c r="AF44" s="28">
        <v>0</v>
      </c>
      <c r="AG44" s="28">
        <v>16329.600000000002</v>
      </c>
      <c r="AH44" s="28">
        <v>57153.600000000006</v>
      </c>
      <c r="AI44" s="28">
        <v>9797.760000000002</v>
      </c>
      <c r="AJ44" s="28">
        <v>5248.8</v>
      </c>
      <c r="AK44" s="28">
        <v>24494.400000000001</v>
      </c>
      <c r="AL44" s="28">
        <v>4898.880000000001</v>
      </c>
      <c r="AM44" s="28">
        <v>21384</v>
      </c>
      <c r="AN44" s="28">
        <v>31750.799999999988</v>
      </c>
      <c r="AO44" s="28">
        <v>11975.04</v>
      </c>
      <c r="AP44" s="28">
        <v>0</v>
      </c>
      <c r="AQ44" s="28">
        <v>0</v>
      </c>
      <c r="AR44" s="28">
        <v>0</v>
      </c>
      <c r="AS44" s="28">
        <v>17107.2</v>
      </c>
      <c r="AT44" s="28">
        <v>55598.400000000009</v>
      </c>
      <c r="AU44" s="28">
        <v>11975.04</v>
      </c>
      <c r="AV44" s="28">
        <v>5248.8</v>
      </c>
      <c r="AW44" s="28">
        <v>9797.760000000002</v>
      </c>
      <c r="AX44" s="28">
        <v>4898.880000000001</v>
      </c>
      <c r="AY44" s="28">
        <v>0</v>
      </c>
      <c r="AZ44" s="28">
        <v>0</v>
      </c>
      <c r="BA44" s="28">
        <v>0</v>
      </c>
      <c r="BB44" s="28">
        <v>0</v>
      </c>
      <c r="BC44" s="28">
        <v>0</v>
      </c>
      <c r="BD44" s="28">
        <v>0</v>
      </c>
      <c r="BE44" s="28">
        <v>12830.400000000001</v>
      </c>
      <c r="BF44" s="28">
        <v>59875.200000000004</v>
      </c>
      <c r="BG44" s="28">
        <v>11975.04</v>
      </c>
      <c r="BH44" s="28">
        <v>5248.8</v>
      </c>
      <c r="BI44" s="28">
        <v>14004.899999999998</v>
      </c>
      <c r="BJ44" s="28">
        <v>5598.7200000000012</v>
      </c>
      <c r="BK44" s="28">
        <v>8164.8000000000011</v>
      </c>
      <c r="BL44" s="28">
        <v>61236.000000000007</v>
      </c>
      <c r="BM44" s="28">
        <v>11430.720000000001</v>
      </c>
      <c r="BN44" s="28">
        <v>5248.8</v>
      </c>
      <c r="BO44" s="28">
        <v>22744.800000000003</v>
      </c>
      <c r="BP44" s="28">
        <v>5598.7200000000012</v>
      </c>
      <c r="BQ44" s="28">
        <v>13219.2</v>
      </c>
      <c r="BR44" s="28">
        <v>19277.999999999953</v>
      </c>
      <c r="BS44" s="28">
        <v>7931.52</v>
      </c>
      <c r="BT44" s="28">
        <v>10886.400000000001</v>
      </c>
      <c r="BU44" s="28">
        <v>14152.320000000002</v>
      </c>
      <c r="BV44" s="28">
        <v>7620.4800000000005</v>
      </c>
    </row>
    <row r="45" spans="1:74" x14ac:dyDescent="0.3">
      <c r="A45" s="29" t="s">
        <v>10</v>
      </c>
      <c r="B45" s="29" t="s">
        <v>62</v>
      </c>
      <c r="C45" s="28">
        <v>44000</v>
      </c>
      <c r="D45" s="28">
        <v>154000</v>
      </c>
      <c r="E45" s="28">
        <v>66000</v>
      </c>
      <c r="F45" s="28">
        <v>18000</v>
      </c>
      <c r="G45" s="28">
        <v>63000</v>
      </c>
      <c r="H45" s="28">
        <v>27000</v>
      </c>
      <c r="I45" s="28">
        <v>30000</v>
      </c>
      <c r="J45" s="28">
        <v>150000</v>
      </c>
      <c r="K45" s="28">
        <v>58036.799999999988</v>
      </c>
      <c r="L45" s="28">
        <v>12000</v>
      </c>
      <c r="M45" s="28">
        <v>52000</v>
      </c>
      <c r="N45" s="28">
        <v>20473.599999999991</v>
      </c>
      <c r="O45" s="28">
        <v>42000</v>
      </c>
      <c r="P45" s="28">
        <v>147000</v>
      </c>
      <c r="Q45" s="28">
        <v>50211.000000000102</v>
      </c>
      <c r="R45" s="28">
        <v>15000</v>
      </c>
      <c r="S45" s="28">
        <v>65000</v>
      </c>
      <c r="T45" s="28">
        <v>19816.000000000004</v>
      </c>
      <c r="U45" s="28">
        <v>38000</v>
      </c>
      <c r="V45" s="28">
        <v>133000</v>
      </c>
      <c r="W45" s="28">
        <v>55513.726492146605</v>
      </c>
      <c r="X45" s="28">
        <v>16500</v>
      </c>
      <c r="Y45" s="28">
        <v>77000</v>
      </c>
      <c r="Z45" s="28">
        <v>30835.613507853432</v>
      </c>
      <c r="AA45" s="28">
        <v>44000</v>
      </c>
      <c r="AB45" s="28">
        <v>154000</v>
      </c>
      <c r="AC45" s="28">
        <v>59029.282211765116</v>
      </c>
      <c r="AD45" s="28">
        <v>13500</v>
      </c>
      <c r="AE45" s="28">
        <v>58500</v>
      </c>
      <c r="AF45" s="28">
        <v>32197.790297326428</v>
      </c>
      <c r="AG45" s="28">
        <v>42000</v>
      </c>
      <c r="AH45" s="28">
        <v>147000</v>
      </c>
      <c r="AI45" s="28">
        <v>63000</v>
      </c>
      <c r="AJ45" s="28">
        <v>13500</v>
      </c>
      <c r="AK45" s="28">
        <v>63000</v>
      </c>
      <c r="AL45" s="28">
        <v>31500</v>
      </c>
      <c r="AM45" s="28">
        <v>55000</v>
      </c>
      <c r="AN45" s="28">
        <v>132000</v>
      </c>
      <c r="AO45" s="28">
        <v>77000</v>
      </c>
      <c r="AP45" s="28">
        <v>13500</v>
      </c>
      <c r="AQ45" s="28">
        <v>63000</v>
      </c>
      <c r="AR45" s="28">
        <v>31500</v>
      </c>
      <c r="AS45" s="28">
        <v>44000</v>
      </c>
      <c r="AT45" s="28">
        <v>143000</v>
      </c>
      <c r="AU45" s="28">
        <v>77000</v>
      </c>
      <c r="AV45" s="28">
        <v>13500</v>
      </c>
      <c r="AW45" s="28">
        <v>63000</v>
      </c>
      <c r="AX45" s="28">
        <v>31500</v>
      </c>
      <c r="AY45" s="28">
        <v>50000</v>
      </c>
      <c r="AZ45" s="28">
        <v>120000</v>
      </c>
      <c r="BA45" s="28">
        <v>70000</v>
      </c>
      <c r="BB45" s="28">
        <v>15000</v>
      </c>
      <c r="BC45" s="28">
        <v>65000</v>
      </c>
      <c r="BD45" s="28">
        <v>40000</v>
      </c>
      <c r="BE45" s="28">
        <v>33000</v>
      </c>
      <c r="BF45" s="28">
        <v>154000</v>
      </c>
      <c r="BG45" s="28">
        <v>65909.410619469025</v>
      </c>
      <c r="BH45" s="28">
        <v>13500</v>
      </c>
      <c r="BI45" s="28">
        <v>58500</v>
      </c>
      <c r="BJ45" s="28">
        <v>30814.789380530976</v>
      </c>
      <c r="BK45" s="28">
        <v>21000</v>
      </c>
      <c r="BL45" s="28">
        <v>157500</v>
      </c>
      <c r="BM45" s="28">
        <v>59579.100000000035</v>
      </c>
      <c r="BN45" s="28">
        <v>13500</v>
      </c>
      <c r="BO45" s="28">
        <v>58500</v>
      </c>
      <c r="BP45" s="28">
        <v>24611.454545454581</v>
      </c>
      <c r="BQ45" s="28">
        <v>34000</v>
      </c>
      <c r="BR45" s="28">
        <v>119000</v>
      </c>
      <c r="BS45" s="28">
        <v>51000</v>
      </c>
      <c r="BT45" s="28">
        <v>28000</v>
      </c>
      <c r="BU45" s="28">
        <v>91000</v>
      </c>
      <c r="BV45" s="28">
        <v>21289.520000000059</v>
      </c>
    </row>
    <row r="46" spans="1:74" x14ac:dyDescent="0.3">
      <c r="A46" s="29" t="s">
        <v>10</v>
      </c>
      <c r="B46" s="29" t="s">
        <v>63</v>
      </c>
      <c r="C46" s="28">
        <v>44000</v>
      </c>
      <c r="D46" s="28">
        <v>154000</v>
      </c>
      <c r="E46" s="28">
        <v>26981.160000000011</v>
      </c>
      <c r="F46" s="28">
        <v>18000</v>
      </c>
      <c r="G46" s="28">
        <v>63000</v>
      </c>
      <c r="H46" s="28">
        <v>5400</v>
      </c>
      <c r="I46" s="28">
        <v>30000</v>
      </c>
      <c r="J46" s="28">
        <v>150000</v>
      </c>
      <c r="K46" s="28">
        <v>12000</v>
      </c>
      <c r="L46" s="28">
        <v>12000</v>
      </c>
      <c r="M46" s="28">
        <v>48224.800000000061</v>
      </c>
      <c r="N46" s="28">
        <v>6400</v>
      </c>
      <c r="O46" s="28">
        <v>42000</v>
      </c>
      <c r="P46" s="28">
        <v>147000</v>
      </c>
      <c r="Q46" s="28">
        <v>12600.000000000002</v>
      </c>
      <c r="R46" s="28">
        <v>15000</v>
      </c>
      <c r="S46" s="28">
        <v>41183.999999999985</v>
      </c>
      <c r="T46" s="28">
        <v>8000</v>
      </c>
      <c r="U46" s="28">
        <v>38000</v>
      </c>
      <c r="V46" s="28">
        <v>133000</v>
      </c>
      <c r="W46" s="28">
        <v>11400</v>
      </c>
      <c r="X46" s="28">
        <v>0</v>
      </c>
      <c r="Y46" s="28">
        <v>0</v>
      </c>
      <c r="Z46" s="28">
        <v>0</v>
      </c>
      <c r="AA46" s="28">
        <v>44000</v>
      </c>
      <c r="AB46" s="28">
        <v>154000</v>
      </c>
      <c r="AC46" s="28">
        <v>13200.000000000002</v>
      </c>
      <c r="AD46" s="28">
        <v>0</v>
      </c>
      <c r="AE46" s="28">
        <v>0</v>
      </c>
      <c r="AF46" s="28">
        <v>0</v>
      </c>
      <c r="AG46" s="28">
        <v>42000</v>
      </c>
      <c r="AH46" s="28">
        <v>147000</v>
      </c>
      <c r="AI46" s="28">
        <v>12600.000000000002</v>
      </c>
      <c r="AJ46" s="28">
        <v>0</v>
      </c>
      <c r="AK46" s="28">
        <v>0</v>
      </c>
      <c r="AL46" s="28">
        <v>0</v>
      </c>
      <c r="AM46" s="28">
        <v>55000</v>
      </c>
      <c r="AN46" s="28">
        <v>132000</v>
      </c>
      <c r="AO46" s="28">
        <v>38578.882580645128</v>
      </c>
      <c r="AP46" s="28">
        <v>13500</v>
      </c>
      <c r="AQ46" s="28">
        <v>63000</v>
      </c>
      <c r="AR46" s="28">
        <v>8685.9501466275633</v>
      </c>
      <c r="AS46" s="28">
        <v>44000</v>
      </c>
      <c r="AT46" s="28">
        <v>143000</v>
      </c>
      <c r="AU46" s="28">
        <v>35595.559999999983</v>
      </c>
      <c r="AV46" s="28">
        <v>13500</v>
      </c>
      <c r="AW46" s="28">
        <v>62034.840000000011</v>
      </c>
      <c r="AX46" s="28">
        <v>14561.819999999994</v>
      </c>
      <c r="AY46" s="28">
        <v>50000</v>
      </c>
      <c r="AZ46" s="28">
        <v>120000</v>
      </c>
      <c r="BA46" s="28">
        <v>44643.45454545453</v>
      </c>
      <c r="BB46" s="28">
        <v>15000</v>
      </c>
      <c r="BC46" s="28">
        <v>54639.000000000036</v>
      </c>
      <c r="BD46" s="28">
        <v>25510.545454545449</v>
      </c>
      <c r="BE46" s="28">
        <v>33000</v>
      </c>
      <c r="BF46" s="28">
        <v>154000</v>
      </c>
      <c r="BG46" s="28">
        <v>15400</v>
      </c>
      <c r="BH46" s="28">
        <v>0</v>
      </c>
      <c r="BI46" s="28">
        <v>0</v>
      </c>
      <c r="BJ46" s="28">
        <v>0</v>
      </c>
      <c r="BK46" s="28">
        <v>21000</v>
      </c>
      <c r="BL46" s="28">
        <v>157500</v>
      </c>
      <c r="BM46" s="28">
        <v>14700.000000000002</v>
      </c>
      <c r="BN46" s="28">
        <v>0</v>
      </c>
      <c r="BO46" s="28">
        <v>0</v>
      </c>
      <c r="BP46" s="28">
        <v>0</v>
      </c>
      <c r="BQ46" s="28">
        <v>34000</v>
      </c>
      <c r="BR46" s="28">
        <v>119000</v>
      </c>
      <c r="BS46" s="28">
        <v>11356.680000000051</v>
      </c>
      <c r="BT46" s="28">
        <v>28000</v>
      </c>
      <c r="BU46" s="28">
        <v>66357.940800000011</v>
      </c>
      <c r="BV46" s="28">
        <v>9800</v>
      </c>
    </row>
    <row r="47" spans="1:74" x14ac:dyDescent="0.3">
      <c r="A47" s="29" t="s">
        <v>10</v>
      </c>
      <c r="B47" s="29" t="s">
        <v>64</v>
      </c>
      <c r="C47" s="28">
        <v>44000</v>
      </c>
      <c r="D47" s="28">
        <v>154000</v>
      </c>
      <c r="E47" s="28">
        <v>13200.000000000002</v>
      </c>
      <c r="F47" s="28">
        <v>0</v>
      </c>
      <c r="G47" s="28">
        <v>0</v>
      </c>
      <c r="H47" s="28">
        <v>0</v>
      </c>
      <c r="I47" s="28">
        <v>0</v>
      </c>
      <c r="J47" s="28">
        <v>0</v>
      </c>
      <c r="K47" s="28">
        <v>0</v>
      </c>
      <c r="L47" s="28">
        <v>0</v>
      </c>
      <c r="M47" s="28">
        <v>0</v>
      </c>
      <c r="N47" s="28">
        <v>0</v>
      </c>
      <c r="O47" s="28">
        <v>42000</v>
      </c>
      <c r="P47" s="28">
        <v>140590.80000000013</v>
      </c>
      <c r="Q47" s="28">
        <v>12600.000000000002</v>
      </c>
      <c r="R47" s="28">
        <v>0</v>
      </c>
      <c r="S47" s="28">
        <v>0</v>
      </c>
      <c r="T47" s="28">
        <v>0</v>
      </c>
      <c r="U47" s="28">
        <v>0</v>
      </c>
      <c r="V47" s="28">
        <v>0</v>
      </c>
      <c r="W47" s="28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  <c r="AL47" s="28">
        <v>0</v>
      </c>
      <c r="AM47" s="28">
        <v>55000</v>
      </c>
      <c r="AN47" s="28">
        <v>132000</v>
      </c>
      <c r="AO47" s="28">
        <v>15400</v>
      </c>
      <c r="AP47" s="28">
        <v>0</v>
      </c>
      <c r="AQ47" s="28">
        <v>0</v>
      </c>
      <c r="AR47" s="28">
        <v>0</v>
      </c>
      <c r="AS47" s="28">
        <v>0</v>
      </c>
      <c r="AT47" s="28">
        <v>0</v>
      </c>
      <c r="AU47" s="28">
        <v>0</v>
      </c>
      <c r="AV47" s="28">
        <v>0</v>
      </c>
      <c r="AW47" s="28">
        <v>0</v>
      </c>
      <c r="AX47" s="28">
        <v>0</v>
      </c>
      <c r="AY47" s="28">
        <v>50000</v>
      </c>
      <c r="AZ47" s="28">
        <v>115655.99999999997</v>
      </c>
      <c r="BA47" s="28">
        <v>14000</v>
      </c>
      <c r="BB47" s="28">
        <v>0</v>
      </c>
      <c r="BC47" s="28">
        <v>0</v>
      </c>
      <c r="BD47" s="28">
        <v>0</v>
      </c>
      <c r="BE47" s="28">
        <v>0</v>
      </c>
      <c r="BF47" s="28">
        <v>0</v>
      </c>
      <c r="BG47" s="28">
        <v>0</v>
      </c>
      <c r="BH47" s="28">
        <v>0</v>
      </c>
      <c r="BI47" s="28">
        <v>0</v>
      </c>
      <c r="BJ47" s="28">
        <v>0</v>
      </c>
      <c r="BK47" s="28">
        <v>0</v>
      </c>
      <c r="BL47" s="28">
        <v>0</v>
      </c>
      <c r="BM47" s="28">
        <v>0</v>
      </c>
      <c r="BN47" s="28">
        <v>0</v>
      </c>
      <c r="BO47" s="28">
        <v>0</v>
      </c>
      <c r="BP47" s="28">
        <v>0</v>
      </c>
      <c r="BQ47" s="28">
        <v>34000</v>
      </c>
      <c r="BR47" s="28">
        <v>119000</v>
      </c>
      <c r="BS47" s="28">
        <v>10200.000000000002</v>
      </c>
      <c r="BT47" s="28">
        <v>0</v>
      </c>
      <c r="BU47" s="28">
        <v>0</v>
      </c>
      <c r="BV47" s="28">
        <v>0</v>
      </c>
    </row>
    <row r="48" spans="1:74" x14ac:dyDescent="0.3">
      <c r="A48" s="29" t="s">
        <v>10</v>
      </c>
      <c r="B48" s="29" t="s">
        <v>65</v>
      </c>
      <c r="C48" s="28">
        <v>58739.999999999993</v>
      </c>
      <c r="D48" s="28">
        <v>205590</v>
      </c>
      <c r="E48" s="28">
        <v>88110</v>
      </c>
      <c r="F48" s="28">
        <v>24030</v>
      </c>
      <c r="G48" s="28">
        <v>84105</v>
      </c>
      <c r="H48" s="28">
        <v>36045</v>
      </c>
      <c r="I48" s="28">
        <v>40050</v>
      </c>
      <c r="J48" s="28">
        <v>200250</v>
      </c>
      <c r="K48" s="28">
        <v>80100</v>
      </c>
      <c r="L48" s="28">
        <v>16020</v>
      </c>
      <c r="M48" s="28">
        <v>69420</v>
      </c>
      <c r="N48" s="28">
        <v>42720</v>
      </c>
      <c r="O48" s="28">
        <v>56070</v>
      </c>
      <c r="P48" s="28">
        <v>196245</v>
      </c>
      <c r="Q48" s="28">
        <v>84105</v>
      </c>
      <c r="R48" s="28">
        <v>20025</v>
      </c>
      <c r="S48" s="28">
        <v>86774.999999999985</v>
      </c>
      <c r="T48" s="28">
        <v>53400</v>
      </c>
      <c r="U48" s="28">
        <v>50730</v>
      </c>
      <c r="V48" s="28">
        <v>177555</v>
      </c>
      <c r="W48" s="28">
        <v>76095</v>
      </c>
      <c r="X48" s="28">
        <v>22027.5</v>
      </c>
      <c r="Y48" s="28">
        <v>102795</v>
      </c>
      <c r="Z48" s="28">
        <v>51397.5</v>
      </c>
      <c r="AA48" s="28">
        <v>58739.999999999993</v>
      </c>
      <c r="AB48" s="28">
        <v>205590</v>
      </c>
      <c r="AC48" s="28">
        <v>88110</v>
      </c>
      <c r="AD48" s="28">
        <v>18022.5</v>
      </c>
      <c r="AE48" s="28">
        <v>78097.5</v>
      </c>
      <c r="AF48" s="28">
        <v>48060</v>
      </c>
      <c r="AG48" s="28">
        <v>56070</v>
      </c>
      <c r="AH48" s="28">
        <v>196245</v>
      </c>
      <c r="AI48" s="28">
        <v>84105</v>
      </c>
      <c r="AJ48" s="28">
        <v>18022.5</v>
      </c>
      <c r="AK48" s="28">
        <v>84105</v>
      </c>
      <c r="AL48" s="28">
        <v>42052.5</v>
      </c>
      <c r="AM48" s="28">
        <v>73425</v>
      </c>
      <c r="AN48" s="28">
        <v>176220</v>
      </c>
      <c r="AO48" s="28">
        <v>102795</v>
      </c>
      <c r="AP48" s="28">
        <v>18022.5</v>
      </c>
      <c r="AQ48" s="28">
        <v>84105</v>
      </c>
      <c r="AR48" s="28">
        <v>42052.5</v>
      </c>
      <c r="AS48" s="28">
        <v>58739.999999999993</v>
      </c>
      <c r="AT48" s="28">
        <v>190905</v>
      </c>
      <c r="AU48" s="28">
        <v>102795</v>
      </c>
      <c r="AV48" s="28">
        <v>18022.5</v>
      </c>
      <c r="AW48" s="28">
        <v>84105</v>
      </c>
      <c r="AX48" s="28">
        <v>42052.5</v>
      </c>
      <c r="AY48" s="28">
        <v>66750</v>
      </c>
      <c r="AZ48" s="28">
        <v>160200</v>
      </c>
      <c r="BA48" s="28">
        <v>93450</v>
      </c>
      <c r="BB48" s="28">
        <v>20025</v>
      </c>
      <c r="BC48" s="28">
        <v>86774.999999999985</v>
      </c>
      <c r="BD48" s="28">
        <v>53400</v>
      </c>
      <c r="BE48" s="28">
        <v>44055</v>
      </c>
      <c r="BF48" s="28">
        <v>205590</v>
      </c>
      <c r="BG48" s="28">
        <v>102795</v>
      </c>
      <c r="BH48" s="28">
        <v>18022.5</v>
      </c>
      <c r="BI48" s="28">
        <v>78097.5</v>
      </c>
      <c r="BJ48" s="28">
        <v>48060</v>
      </c>
      <c r="BK48" s="28">
        <v>28035</v>
      </c>
      <c r="BL48" s="28">
        <v>210262.5</v>
      </c>
      <c r="BM48" s="28">
        <v>98122.5</v>
      </c>
      <c r="BN48" s="28">
        <v>18022.5</v>
      </c>
      <c r="BO48" s="28">
        <v>78097.5</v>
      </c>
      <c r="BP48" s="28">
        <v>48060</v>
      </c>
      <c r="BQ48" s="28">
        <v>45390</v>
      </c>
      <c r="BR48" s="28">
        <v>158865</v>
      </c>
      <c r="BS48" s="28">
        <v>68085</v>
      </c>
      <c r="BT48" s="28">
        <v>37379.999999999993</v>
      </c>
      <c r="BU48" s="28">
        <v>121485</v>
      </c>
      <c r="BV48" s="28">
        <v>65414.999999999993</v>
      </c>
    </row>
    <row r="49" spans="1:74" x14ac:dyDescent="0.3">
      <c r="A49" s="29" t="s">
        <v>10</v>
      </c>
      <c r="B49" s="29" t="s">
        <v>66</v>
      </c>
      <c r="C49" s="28">
        <v>0</v>
      </c>
      <c r="D49" s="28">
        <v>0</v>
      </c>
      <c r="E49" s="28">
        <v>0</v>
      </c>
      <c r="F49" s="28">
        <v>0</v>
      </c>
      <c r="G49" s="28">
        <v>0</v>
      </c>
      <c r="H49" s="28">
        <v>0</v>
      </c>
      <c r="I49" s="28">
        <v>0</v>
      </c>
      <c r="J49" s="28">
        <v>0</v>
      </c>
      <c r="K49" s="28">
        <v>0</v>
      </c>
      <c r="L49" s="28">
        <v>0</v>
      </c>
      <c r="M49" s="28">
        <v>0</v>
      </c>
      <c r="N49" s="28">
        <v>0</v>
      </c>
      <c r="O49" s="28">
        <v>0</v>
      </c>
      <c r="P49" s="28">
        <v>0</v>
      </c>
      <c r="Q49" s="28">
        <v>0</v>
      </c>
      <c r="R49" s="28">
        <v>0</v>
      </c>
      <c r="S49" s="28">
        <v>0</v>
      </c>
      <c r="T49" s="28">
        <v>0</v>
      </c>
      <c r="U49" s="28">
        <v>0</v>
      </c>
      <c r="V49" s="28">
        <v>0</v>
      </c>
      <c r="W49" s="28">
        <v>0</v>
      </c>
      <c r="X49" s="28">
        <v>0</v>
      </c>
      <c r="Y49" s="28">
        <v>0</v>
      </c>
      <c r="Z49" s="28">
        <v>0</v>
      </c>
      <c r="AA49" s="28">
        <v>0</v>
      </c>
      <c r="AB49" s="28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  <c r="AL49" s="28">
        <v>0</v>
      </c>
      <c r="AM49" s="28">
        <v>0</v>
      </c>
      <c r="AN49" s="28">
        <v>0</v>
      </c>
      <c r="AO49" s="28">
        <v>0</v>
      </c>
      <c r="AP49" s="28">
        <v>0</v>
      </c>
      <c r="AQ49" s="28">
        <v>0</v>
      </c>
      <c r="AR49" s="28">
        <v>0</v>
      </c>
      <c r="AS49" s="28">
        <v>0</v>
      </c>
      <c r="AT49" s="28">
        <v>0</v>
      </c>
      <c r="AU49" s="28">
        <v>0</v>
      </c>
      <c r="AV49" s="28">
        <v>0</v>
      </c>
      <c r="AW49" s="28">
        <v>0</v>
      </c>
      <c r="AX49" s="28">
        <v>0</v>
      </c>
      <c r="AY49" s="28">
        <v>0</v>
      </c>
      <c r="AZ49" s="28">
        <v>0</v>
      </c>
      <c r="BA49" s="28">
        <v>0</v>
      </c>
      <c r="BB49" s="28">
        <v>0</v>
      </c>
      <c r="BC49" s="28">
        <v>0</v>
      </c>
      <c r="BD49" s="28">
        <v>0</v>
      </c>
      <c r="BE49" s="28">
        <v>0</v>
      </c>
      <c r="BF49" s="28">
        <v>0</v>
      </c>
      <c r="BG49" s="28">
        <v>0</v>
      </c>
      <c r="BH49" s="28">
        <v>0</v>
      </c>
      <c r="BI49" s="28">
        <v>0</v>
      </c>
      <c r="BJ49" s="28">
        <v>0</v>
      </c>
      <c r="BK49" s="28">
        <v>0</v>
      </c>
      <c r="BL49" s="28">
        <v>0</v>
      </c>
      <c r="BM49" s="28">
        <v>0</v>
      </c>
      <c r="BN49" s="28">
        <v>0</v>
      </c>
      <c r="BO49" s="28">
        <v>0</v>
      </c>
      <c r="BP49" s="28">
        <v>0</v>
      </c>
      <c r="BQ49" s="28">
        <v>0</v>
      </c>
      <c r="BR49" s="28">
        <v>0</v>
      </c>
      <c r="BS49" s="28">
        <v>0</v>
      </c>
      <c r="BT49" s="28">
        <v>0</v>
      </c>
      <c r="BU49" s="28">
        <v>0</v>
      </c>
      <c r="BV49" s="28">
        <v>0</v>
      </c>
    </row>
    <row r="50" spans="1:74" x14ac:dyDescent="0.3">
      <c r="A50" s="29" t="s">
        <v>10</v>
      </c>
      <c r="B50" s="29" t="s">
        <v>67</v>
      </c>
      <c r="C50" s="28">
        <v>0</v>
      </c>
      <c r="D50" s="28">
        <v>0</v>
      </c>
      <c r="E50" s="28">
        <v>0</v>
      </c>
      <c r="F50" s="28">
        <v>0</v>
      </c>
      <c r="G50" s="28">
        <v>0</v>
      </c>
      <c r="H50" s="28">
        <v>0</v>
      </c>
      <c r="I50" s="28">
        <v>0</v>
      </c>
      <c r="J50" s="28">
        <v>0</v>
      </c>
      <c r="K50" s="28">
        <v>0</v>
      </c>
      <c r="L50" s="28">
        <v>0</v>
      </c>
      <c r="M50" s="28">
        <v>0</v>
      </c>
      <c r="N50" s="28">
        <v>0</v>
      </c>
      <c r="O50" s="28">
        <v>0</v>
      </c>
      <c r="P50" s="28">
        <v>0</v>
      </c>
      <c r="Q50" s="28">
        <v>0</v>
      </c>
      <c r="R50" s="28">
        <v>0</v>
      </c>
      <c r="S50" s="28">
        <v>0</v>
      </c>
      <c r="T50" s="28">
        <v>0</v>
      </c>
      <c r="U50" s="28">
        <v>0</v>
      </c>
      <c r="V50" s="28">
        <v>0</v>
      </c>
      <c r="W50" s="28">
        <v>0</v>
      </c>
      <c r="X50" s="28">
        <v>0</v>
      </c>
      <c r="Y50" s="28">
        <v>0</v>
      </c>
      <c r="Z50" s="28">
        <v>0</v>
      </c>
      <c r="AA50" s="28">
        <v>0</v>
      </c>
      <c r="AB50" s="28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  <c r="AL50" s="28">
        <v>0</v>
      </c>
      <c r="AM50" s="28">
        <v>0</v>
      </c>
      <c r="AN50" s="28">
        <v>0</v>
      </c>
      <c r="AO50" s="28">
        <v>0</v>
      </c>
      <c r="AP50" s="28">
        <v>0</v>
      </c>
      <c r="AQ50" s="28">
        <v>0</v>
      </c>
      <c r="AR50" s="28">
        <v>0</v>
      </c>
      <c r="AS50" s="28">
        <v>0</v>
      </c>
      <c r="AT50" s="28">
        <v>0</v>
      </c>
      <c r="AU50" s="28">
        <v>0</v>
      </c>
      <c r="AV50" s="28">
        <v>0</v>
      </c>
      <c r="AW50" s="28">
        <v>0</v>
      </c>
      <c r="AX50" s="28">
        <v>0</v>
      </c>
      <c r="AY50" s="28">
        <v>0</v>
      </c>
      <c r="AZ50" s="28">
        <v>0</v>
      </c>
      <c r="BA50" s="28">
        <v>0</v>
      </c>
      <c r="BB50" s="28">
        <v>0</v>
      </c>
      <c r="BC50" s="28">
        <v>0</v>
      </c>
      <c r="BD50" s="28">
        <v>0</v>
      </c>
      <c r="BE50" s="28">
        <v>0</v>
      </c>
      <c r="BF50" s="28">
        <v>0</v>
      </c>
      <c r="BG50" s="28">
        <v>0</v>
      </c>
      <c r="BH50" s="28">
        <v>0</v>
      </c>
      <c r="BI50" s="28">
        <v>0</v>
      </c>
      <c r="BJ50" s="28">
        <v>0</v>
      </c>
      <c r="BK50" s="28">
        <v>0</v>
      </c>
      <c r="BL50" s="28">
        <v>0</v>
      </c>
      <c r="BM50" s="28">
        <v>0</v>
      </c>
      <c r="BN50" s="28">
        <v>0</v>
      </c>
      <c r="BO50" s="28">
        <v>0</v>
      </c>
      <c r="BP50" s="28">
        <v>0</v>
      </c>
      <c r="BQ50" s="28">
        <v>0</v>
      </c>
      <c r="BR50" s="28">
        <v>0</v>
      </c>
      <c r="BS50" s="28">
        <v>0</v>
      </c>
      <c r="BT50" s="28">
        <v>0</v>
      </c>
      <c r="BU50" s="28">
        <v>0</v>
      </c>
      <c r="BV50" s="28">
        <v>0</v>
      </c>
    </row>
    <row r="51" spans="1:74" x14ac:dyDescent="0.3">
      <c r="A51" s="29" t="s">
        <v>10</v>
      </c>
      <c r="B51" s="29" t="s">
        <v>68</v>
      </c>
      <c r="C51" s="28">
        <v>0</v>
      </c>
      <c r="D51" s="28">
        <v>0</v>
      </c>
      <c r="E51" s="28">
        <v>0</v>
      </c>
      <c r="F51" s="28">
        <v>0</v>
      </c>
      <c r="G51" s="28">
        <v>0</v>
      </c>
      <c r="H51" s="28">
        <v>0</v>
      </c>
      <c r="I51" s="28">
        <v>0</v>
      </c>
      <c r="J51" s="28">
        <v>0</v>
      </c>
      <c r="K51" s="28">
        <v>0</v>
      </c>
      <c r="L51" s="28">
        <v>0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8">
        <v>0</v>
      </c>
      <c r="U51" s="28">
        <v>0</v>
      </c>
      <c r="V51" s="28">
        <v>0</v>
      </c>
      <c r="W51" s="28">
        <v>0</v>
      </c>
      <c r="X51" s="28">
        <v>0</v>
      </c>
      <c r="Y51" s="28">
        <v>0</v>
      </c>
      <c r="Z51" s="28">
        <v>0</v>
      </c>
      <c r="AA51" s="28">
        <v>0</v>
      </c>
      <c r="AB51" s="28">
        <v>0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  <c r="AL51" s="28">
        <v>0</v>
      </c>
      <c r="AM51" s="28">
        <v>0</v>
      </c>
      <c r="AN51" s="28">
        <v>0</v>
      </c>
      <c r="AO51" s="28">
        <v>0</v>
      </c>
      <c r="AP51" s="28">
        <v>0</v>
      </c>
      <c r="AQ51" s="28">
        <v>0</v>
      </c>
      <c r="AR51" s="28">
        <v>0</v>
      </c>
      <c r="AS51" s="28">
        <v>0</v>
      </c>
      <c r="AT51" s="28">
        <v>0</v>
      </c>
      <c r="AU51" s="28">
        <v>0</v>
      </c>
      <c r="AV51" s="28">
        <v>0</v>
      </c>
      <c r="AW51" s="28">
        <v>0</v>
      </c>
      <c r="AX51" s="28">
        <v>0</v>
      </c>
      <c r="AY51" s="28">
        <v>0</v>
      </c>
      <c r="AZ51" s="28">
        <v>0</v>
      </c>
      <c r="BA51" s="28">
        <v>0</v>
      </c>
      <c r="BB51" s="28">
        <v>0</v>
      </c>
      <c r="BC51" s="28">
        <v>0</v>
      </c>
      <c r="BD51" s="28">
        <v>0</v>
      </c>
      <c r="BE51" s="28">
        <v>0</v>
      </c>
      <c r="BF51" s="28">
        <v>0</v>
      </c>
      <c r="BG51" s="28">
        <v>0</v>
      </c>
      <c r="BH51" s="28">
        <v>0</v>
      </c>
      <c r="BI51" s="28">
        <v>0</v>
      </c>
      <c r="BJ51" s="28">
        <v>0</v>
      </c>
      <c r="BK51" s="28">
        <v>0</v>
      </c>
      <c r="BL51" s="28">
        <v>0</v>
      </c>
      <c r="BM51" s="28">
        <v>0</v>
      </c>
      <c r="BN51" s="28">
        <v>0</v>
      </c>
      <c r="BO51" s="28">
        <v>0</v>
      </c>
      <c r="BP51" s="28">
        <v>0</v>
      </c>
      <c r="BQ51" s="28">
        <v>0</v>
      </c>
      <c r="BR51" s="28">
        <v>0</v>
      </c>
      <c r="BS51" s="28">
        <v>0</v>
      </c>
      <c r="BT51" s="28">
        <v>0</v>
      </c>
      <c r="BU51" s="28">
        <v>0</v>
      </c>
      <c r="BV51" s="28">
        <v>0</v>
      </c>
    </row>
    <row r="52" spans="1:74" x14ac:dyDescent="0.3">
      <c r="A52" s="29" t="s">
        <v>10</v>
      </c>
      <c r="B52" s="29" t="s">
        <v>69</v>
      </c>
      <c r="C52" s="28">
        <v>0</v>
      </c>
      <c r="D52" s="28">
        <v>0</v>
      </c>
      <c r="E52" s="28">
        <v>0</v>
      </c>
      <c r="F52" s="28">
        <v>0</v>
      </c>
      <c r="G52" s="28">
        <v>0</v>
      </c>
      <c r="H52" s="28">
        <v>0</v>
      </c>
      <c r="I52" s="28">
        <v>0</v>
      </c>
      <c r="J52" s="28">
        <v>0</v>
      </c>
      <c r="K52" s="28">
        <v>0</v>
      </c>
      <c r="L52" s="28">
        <v>0</v>
      </c>
      <c r="M52" s="28">
        <v>0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28">
        <v>0</v>
      </c>
      <c r="W52" s="28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0</v>
      </c>
      <c r="AC52" s="28">
        <v>0</v>
      </c>
      <c r="AD52" s="28">
        <v>0</v>
      </c>
      <c r="AE52" s="28">
        <v>0</v>
      </c>
      <c r="AF52" s="28">
        <v>0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  <c r="AL52" s="28">
        <v>0</v>
      </c>
      <c r="AM52" s="28">
        <v>0</v>
      </c>
      <c r="AN52" s="28">
        <v>0</v>
      </c>
      <c r="AO52" s="28">
        <v>0</v>
      </c>
      <c r="AP52" s="28">
        <v>0</v>
      </c>
      <c r="AQ52" s="28">
        <v>0</v>
      </c>
      <c r="AR52" s="28">
        <v>0</v>
      </c>
      <c r="AS52" s="28">
        <v>0</v>
      </c>
      <c r="AT52" s="28">
        <v>0</v>
      </c>
      <c r="AU52" s="28">
        <v>0</v>
      </c>
      <c r="AV52" s="28">
        <v>0</v>
      </c>
      <c r="AW52" s="28">
        <v>0</v>
      </c>
      <c r="AX52" s="28">
        <v>0</v>
      </c>
      <c r="AY52" s="28">
        <v>0</v>
      </c>
      <c r="AZ52" s="28">
        <v>0</v>
      </c>
      <c r="BA52" s="28">
        <v>0</v>
      </c>
      <c r="BB52" s="28">
        <v>0</v>
      </c>
      <c r="BC52" s="28">
        <v>0</v>
      </c>
      <c r="BD52" s="28">
        <v>0</v>
      </c>
      <c r="BE52" s="28">
        <v>0</v>
      </c>
      <c r="BF52" s="28">
        <v>0</v>
      </c>
      <c r="BG52" s="28">
        <v>0</v>
      </c>
      <c r="BH52" s="28">
        <v>0</v>
      </c>
      <c r="BI52" s="28">
        <v>0</v>
      </c>
      <c r="BJ52" s="28">
        <v>0</v>
      </c>
      <c r="BK52" s="28">
        <v>0</v>
      </c>
      <c r="BL52" s="28">
        <v>0</v>
      </c>
      <c r="BM52" s="28">
        <v>0</v>
      </c>
      <c r="BN52" s="28">
        <v>0</v>
      </c>
      <c r="BO52" s="28">
        <v>0</v>
      </c>
      <c r="BP52" s="28">
        <v>0</v>
      </c>
      <c r="BQ52" s="28">
        <v>0</v>
      </c>
      <c r="BR52" s="28">
        <v>0</v>
      </c>
      <c r="BS52" s="28">
        <v>0</v>
      </c>
      <c r="BT52" s="28">
        <v>0</v>
      </c>
      <c r="BU52" s="28">
        <v>0</v>
      </c>
      <c r="BV52" s="28">
        <v>0</v>
      </c>
    </row>
    <row r="53" spans="1:74" x14ac:dyDescent="0.3">
      <c r="A53" s="29" t="s">
        <v>10</v>
      </c>
      <c r="B53" s="29" t="s">
        <v>27</v>
      </c>
      <c r="C53" s="28">
        <v>13200</v>
      </c>
      <c r="D53" s="28">
        <v>46199.999999999993</v>
      </c>
      <c r="E53" s="28">
        <v>19799.64</v>
      </c>
      <c r="F53" s="28">
        <v>5399.9999999999991</v>
      </c>
      <c r="G53" s="28">
        <v>18900</v>
      </c>
      <c r="H53" s="28">
        <v>3636.3600000000065</v>
      </c>
      <c r="I53" s="28">
        <v>9000</v>
      </c>
      <c r="J53" s="28">
        <v>45000</v>
      </c>
      <c r="K53" s="28">
        <v>18000</v>
      </c>
      <c r="L53" s="28">
        <v>3599.9999999999995</v>
      </c>
      <c r="M53" s="28">
        <v>15600</v>
      </c>
      <c r="N53" s="28">
        <v>9600</v>
      </c>
      <c r="O53" s="28">
        <v>12600</v>
      </c>
      <c r="P53" s="28">
        <v>44100</v>
      </c>
      <c r="Q53" s="28">
        <v>18900</v>
      </c>
      <c r="R53" s="28">
        <v>4500</v>
      </c>
      <c r="S53" s="28">
        <v>19500</v>
      </c>
      <c r="T53" s="28">
        <v>12000</v>
      </c>
      <c r="U53" s="28">
        <v>11400</v>
      </c>
      <c r="V53" s="28">
        <v>39900</v>
      </c>
      <c r="W53" s="28">
        <v>9493.633507853403</v>
      </c>
      <c r="X53" s="28">
        <v>4950</v>
      </c>
      <c r="Y53" s="28">
        <v>23099.999999999996</v>
      </c>
      <c r="Z53" s="28">
        <v>6412.366492146597</v>
      </c>
      <c r="AA53" s="28">
        <v>13200</v>
      </c>
      <c r="AB53" s="28">
        <v>46199.999999999993</v>
      </c>
      <c r="AC53" s="28">
        <v>2180.3294117647079</v>
      </c>
      <c r="AD53" s="28">
        <v>4050</v>
      </c>
      <c r="AE53" s="28">
        <v>17550</v>
      </c>
      <c r="AF53" s="28">
        <v>1189.2705882352957</v>
      </c>
      <c r="AG53" s="28">
        <v>12600</v>
      </c>
      <c r="AH53" s="28">
        <v>26447.399999999998</v>
      </c>
      <c r="AI53" s="28">
        <v>0</v>
      </c>
      <c r="AJ53" s="28">
        <v>4050</v>
      </c>
      <c r="AK53" s="28">
        <v>11334.599999999999</v>
      </c>
      <c r="AL53" s="28">
        <v>0</v>
      </c>
      <c r="AM53" s="28">
        <v>16500</v>
      </c>
      <c r="AN53" s="28">
        <v>32823.600000000006</v>
      </c>
      <c r="AO53" s="28">
        <v>0</v>
      </c>
      <c r="AP53" s="28">
        <v>4050</v>
      </c>
      <c r="AQ53" s="28">
        <v>2872.7999999999915</v>
      </c>
      <c r="AR53" s="28">
        <v>0</v>
      </c>
      <c r="AS53" s="28">
        <v>13200</v>
      </c>
      <c r="AT53" s="28">
        <v>38996.399999999994</v>
      </c>
      <c r="AU53" s="28">
        <v>0</v>
      </c>
      <c r="AV53" s="28">
        <v>4050</v>
      </c>
      <c r="AW53" s="28">
        <v>0</v>
      </c>
      <c r="AX53" s="28">
        <v>0</v>
      </c>
      <c r="AY53" s="28">
        <v>15000</v>
      </c>
      <c r="AZ53" s="28">
        <v>36000</v>
      </c>
      <c r="BA53" s="28">
        <v>4230.545454545455</v>
      </c>
      <c r="BB53" s="28">
        <v>4500</v>
      </c>
      <c r="BC53" s="28">
        <v>19500</v>
      </c>
      <c r="BD53" s="28">
        <v>2417.4545454545455</v>
      </c>
      <c r="BE53" s="28">
        <v>9900</v>
      </c>
      <c r="BF53" s="28">
        <v>46199.999999999993</v>
      </c>
      <c r="BG53" s="28">
        <v>16169.509380530968</v>
      </c>
      <c r="BH53" s="28">
        <v>4050</v>
      </c>
      <c r="BI53" s="28">
        <v>17550</v>
      </c>
      <c r="BJ53" s="28">
        <v>4561.6906194690237</v>
      </c>
      <c r="BK53" s="28">
        <v>6300</v>
      </c>
      <c r="BL53" s="28">
        <v>47250</v>
      </c>
      <c r="BM53" s="28">
        <v>22050</v>
      </c>
      <c r="BN53" s="28">
        <v>4050</v>
      </c>
      <c r="BO53" s="28">
        <v>17550</v>
      </c>
      <c r="BP53" s="28">
        <v>10799.999999999998</v>
      </c>
      <c r="BQ53" s="28">
        <v>10200</v>
      </c>
      <c r="BR53" s="28">
        <v>35699.999999999993</v>
      </c>
      <c r="BS53" s="28">
        <v>15299.999999999998</v>
      </c>
      <c r="BT53" s="28">
        <v>8400</v>
      </c>
      <c r="BU53" s="28">
        <v>27300</v>
      </c>
      <c r="BV53" s="28">
        <v>14700</v>
      </c>
    </row>
    <row r="54" spans="1:74" x14ac:dyDescent="0.3">
      <c r="A54" s="29" t="s">
        <v>10</v>
      </c>
      <c r="B54" s="29" t="s">
        <v>95</v>
      </c>
      <c r="C54" s="28">
        <v>17600</v>
      </c>
      <c r="D54" s="28">
        <v>4760.4495999999381</v>
      </c>
      <c r="E54" s="28">
        <v>0</v>
      </c>
      <c r="F54" s="28">
        <v>7200</v>
      </c>
      <c r="G54" s="28">
        <v>0</v>
      </c>
      <c r="H54" s="28">
        <v>0</v>
      </c>
      <c r="I54" s="28">
        <v>12000</v>
      </c>
      <c r="J54" s="28">
        <v>60000</v>
      </c>
      <c r="K54" s="28">
        <v>0</v>
      </c>
      <c r="L54" s="28">
        <v>4800.0000000000009</v>
      </c>
      <c r="M54" s="28">
        <v>0</v>
      </c>
      <c r="N54" s="28">
        <v>0</v>
      </c>
      <c r="O54" s="28">
        <v>16800</v>
      </c>
      <c r="P54" s="28">
        <v>0</v>
      </c>
      <c r="Q54" s="28">
        <v>0</v>
      </c>
      <c r="R54" s="28">
        <v>6000</v>
      </c>
      <c r="S54" s="28">
        <v>0</v>
      </c>
      <c r="T54" s="28">
        <v>0</v>
      </c>
      <c r="U54" s="28">
        <v>15200.000000000002</v>
      </c>
      <c r="V54" s="28">
        <v>38713.640000000036</v>
      </c>
      <c r="W54" s="28">
        <v>0</v>
      </c>
      <c r="X54" s="28">
        <v>6600.0000000000009</v>
      </c>
      <c r="Y54" s="28">
        <v>7459.7599999999884</v>
      </c>
      <c r="Z54" s="28">
        <v>0</v>
      </c>
      <c r="AA54" s="28">
        <v>17600</v>
      </c>
      <c r="AB54" s="28">
        <v>10467.364675764476</v>
      </c>
      <c r="AC54" s="28">
        <v>0</v>
      </c>
      <c r="AD54" s="28">
        <v>5400</v>
      </c>
      <c r="AE54" s="28">
        <v>3976.2391787806619</v>
      </c>
      <c r="AF54" s="28">
        <v>0</v>
      </c>
      <c r="AG54" s="28">
        <v>16800</v>
      </c>
      <c r="AH54" s="28">
        <v>36939.000000000022</v>
      </c>
      <c r="AI54" s="28">
        <v>0</v>
      </c>
      <c r="AJ54" s="28">
        <v>5400</v>
      </c>
      <c r="AK54" s="28">
        <v>15831.000000000011</v>
      </c>
      <c r="AL54" s="28">
        <v>0</v>
      </c>
      <c r="AM54" s="28">
        <v>11717.078715328509</v>
      </c>
      <c r="AN54" s="28">
        <v>0</v>
      </c>
      <c r="AO54" s="28">
        <v>0</v>
      </c>
      <c r="AP54" s="28">
        <v>791.61023012610053</v>
      </c>
      <c r="AQ54" s="28">
        <v>0</v>
      </c>
      <c r="AR54" s="28">
        <v>0</v>
      </c>
      <c r="AS54" s="28">
        <v>17600</v>
      </c>
      <c r="AT54" s="28">
        <v>25010.400000000147</v>
      </c>
      <c r="AU54" s="28">
        <v>0</v>
      </c>
      <c r="AV54" s="28">
        <v>0</v>
      </c>
      <c r="AW54" s="28">
        <v>0</v>
      </c>
      <c r="AX54" s="28">
        <v>0</v>
      </c>
      <c r="AY54" s="28">
        <v>20000</v>
      </c>
      <c r="AZ54" s="28">
        <v>0</v>
      </c>
      <c r="BA54" s="28">
        <v>0</v>
      </c>
      <c r="BB54" s="28">
        <v>6000</v>
      </c>
      <c r="BC54" s="28">
        <v>0</v>
      </c>
      <c r="BD54" s="28">
        <v>0</v>
      </c>
      <c r="BE54" s="28">
        <v>13200.000000000002</v>
      </c>
      <c r="BF54" s="28">
        <v>0</v>
      </c>
      <c r="BG54" s="28">
        <v>0</v>
      </c>
      <c r="BH54" s="28">
        <v>5400</v>
      </c>
      <c r="BI54" s="28">
        <v>0</v>
      </c>
      <c r="BJ54" s="28">
        <v>0</v>
      </c>
      <c r="BK54" s="28">
        <v>8400</v>
      </c>
      <c r="BL54" s="28">
        <v>63000</v>
      </c>
      <c r="BM54" s="28">
        <v>0</v>
      </c>
      <c r="BN54" s="28">
        <v>4897.8000000000138</v>
      </c>
      <c r="BO54" s="28">
        <v>0</v>
      </c>
      <c r="BP54" s="28">
        <v>0</v>
      </c>
      <c r="BQ54" s="28">
        <v>13600.000000000002</v>
      </c>
      <c r="BR54" s="28">
        <v>47600</v>
      </c>
      <c r="BS54" s="28">
        <v>0</v>
      </c>
      <c r="BT54" s="28">
        <v>11200.000000000002</v>
      </c>
      <c r="BU54" s="28">
        <v>8014.5391999999929</v>
      </c>
      <c r="BV54" s="28">
        <v>0</v>
      </c>
    </row>
    <row r="55" spans="1:74" x14ac:dyDescent="0.3">
      <c r="A55" s="29" t="s">
        <v>10</v>
      </c>
      <c r="B55" s="29" t="s">
        <v>96</v>
      </c>
      <c r="C55" s="28">
        <v>17600</v>
      </c>
      <c r="D55" s="28">
        <v>0</v>
      </c>
      <c r="E55" s="28">
        <v>0</v>
      </c>
      <c r="F55" s="28">
        <v>2829.6000000000017</v>
      </c>
      <c r="G55" s="28">
        <v>0</v>
      </c>
      <c r="H55" s="28">
        <v>0</v>
      </c>
      <c r="I55" s="28">
        <v>12000</v>
      </c>
      <c r="J55" s="28">
        <v>32581.644945454591</v>
      </c>
      <c r="K55" s="28">
        <v>0</v>
      </c>
      <c r="L55" s="28">
        <v>3287.9999999999964</v>
      </c>
      <c r="M55" s="28">
        <v>0</v>
      </c>
      <c r="N55" s="28">
        <v>0</v>
      </c>
      <c r="O55" s="28">
        <v>8761.1999999999716</v>
      </c>
      <c r="P55" s="28">
        <v>0</v>
      </c>
      <c r="Q55" s="28">
        <v>0</v>
      </c>
      <c r="R55" s="28">
        <v>530.99999999999477</v>
      </c>
      <c r="S55" s="28">
        <v>0</v>
      </c>
      <c r="T55" s="28">
        <v>0</v>
      </c>
      <c r="U55" s="28">
        <v>10130.800000000036</v>
      </c>
      <c r="V55" s="28">
        <v>0</v>
      </c>
      <c r="W55" s="28">
        <v>0</v>
      </c>
      <c r="X55" s="28">
        <v>4065.6000000000008</v>
      </c>
      <c r="Y55" s="28">
        <v>0</v>
      </c>
      <c r="Z55" s="28">
        <v>0</v>
      </c>
      <c r="AA55" s="28">
        <v>16244.800000000012</v>
      </c>
      <c r="AB55" s="28">
        <v>0</v>
      </c>
      <c r="AC55" s="28">
        <v>0</v>
      </c>
      <c r="AD55" s="28">
        <v>4984.2000000000044</v>
      </c>
      <c r="AE55" s="28">
        <v>0</v>
      </c>
      <c r="AF55" s="28">
        <v>0</v>
      </c>
      <c r="AG55" s="28">
        <v>15296.400000000056</v>
      </c>
      <c r="AH55" s="28">
        <v>0</v>
      </c>
      <c r="AI55" s="28">
        <v>0</v>
      </c>
      <c r="AJ55" s="28">
        <v>4916.7000000000171</v>
      </c>
      <c r="AK55" s="28">
        <v>0</v>
      </c>
      <c r="AL55" s="28">
        <v>0</v>
      </c>
      <c r="AM55" s="28">
        <v>17520.921284671458</v>
      </c>
      <c r="AN55" s="28">
        <v>0</v>
      </c>
      <c r="AO55" s="28">
        <v>0</v>
      </c>
      <c r="AP55" s="28">
        <v>4300.5897698739036</v>
      </c>
      <c r="AQ55" s="28">
        <v>0</v>
      </c>
      <c r="AR55" s="28">
        <v>0</v>
      </c>
      <c r="AS55" s="28">
        <v>14027.200000000004</v>
      </c>
      <c r="AT55" s="28">
        <v>0</v>
      </c>
      <c r="AU55" s="28">
        <v>0</v>
      </c>
      <c r="AV55" s="28">
        <v>1466.1000000000183</v>
      </c>
      <c r="AW55" s="28">
        <v>0</v>
      </c>
      <c r="AX55" s="28">
        <v>0</v>
      </c>
      <c r="AY55" s="28">
        <v>8489.99999999996</v>
      </c>
      <c r="AZ55" s="28">
        <v>0</v>
      </c>
      <c r="BA55" s="28">
        <v>0</v>
      </c>
      <c r="BB55" s="28">
        <v>2016.0000000000027</v>
      </c>
      <c r="BC55" s="28">
        <v>0</v>
      </c>
      <c r="BD55" s="28">
        <v>0</v>
      </c>
      <c r="BE55" s="28">
        <v>8137.7999999999865</v>
      </c>
      <c r="BF55" s="28">
        <v>0</v>
      </c>
      <c r="BG55" s="28">
        <v>0</v>
      </c>
      <c r="BH55" s="28">
        <v>3329.0999999999945</v>
      </c>
      <c r="BI55" s="28">
        <v>0</v>
      </c>
      <c r="BJ55" s="28">
        <v>0</v>
      </c>
      <c r="BK55" s="28">
        <v>8400</v>
      </c>
      <c r="BL55" s="28">
        <v>7244.9999999999718</v>
      </c>
      <c r="BM55" s="28">
        <v>0</v>
      </c>
      <c r="BN55" s="28">
        <v>5400</v>
      </c>
      <c r="BO55" s="28">
        <v>0</v>
      </c>
      <c r="BP55" s="28">
        <v>0</v>
      </c>
      <c r="BQ55" s="28">
        <v>0</v>
      </c>
      <c r="BR55" s="28">
        <v>0</v>
      </c>
      <c r="BS55" s="28">
        <v>0</v>
      </c>
      <c r="BT55" s="28">
        <v>0</v>
      </c>
      <c r="BU55" s="28">
        <v>0</v>
      </c>
      <c r="BV55" s="28">
        <v>0</v>
      </c>
    </row>
    <row r="56" spans="1:74" x14ac:dyDescent="0.3">
      <c r="A56" s="29" t="s">
        <v>10</v>
      </c>
      <c r="B56" s="29" t="s">
        <v>97</v>
      </c>
      <c r="C56" s="28">
        <v>17600</v>
      </c>
      <c r="D56" s="28">
        <v>61600</v>
      </c>
      <c r="E56" s="28">
        <v>0</v>
      </c>
      <c r="F56" s="28">
        <v>7200</v>
      </c>
      <c r="G56" s="28">
        <v>11067.840000000047</v>
      </c>
      <c r="H56" s="28">
        <v>0</v>
      </c>
      <c r="I56" s="28">
        <v>12000</v>
      </c>
      <c r="J56" s="28">
        <v>60000</v>
      </c>
      <c r="K56" s="28">
        <v>24000</v>
      </c>
      <c r="L56" s="28">
        <v>4800.0000000000009</v>
      </c>
      <c r="M56" s="28">
        <v>20800</v>
      </c>
      <c r="N56" s="28">
        <v>12800</v>
      </c>
      <c r="O56" s="28">
        <v>16800</v>
      </c>
      <c r="P56" s="28">
        <v>58800.000000000007</v>
      </c>
      <c r="Q56" s="28">
        <v>25200.000000000004</v>
      </c>
      <c r="R56" s="28">
        <v>6000</v>
      </c>
      <c r="S56" s="28">
        <v>26000</v>
      </c>
      <c r="T56" s="28">
        <v>16000</v>
      </c>
      <c r="U56" s="28">
        <v>15200.000000000002</v>
      </c>
      <c r="V56" s="28">
        <v>53200</v>
      </c>
      <c r="W56" s="28">
        <v>0</v>
      </c>
      <c r="X56" s="28">
        <v>6600.0000000000009</v>
      </c>
      <c r="Y56" s="28">
        <v>30800</v>
      </c>
      <c r="Z56" s="28">
        <v>0</v>
      </c>
      <c r="AA56" s="28">
        <v>17600</v>
      </c>
      <c r="AB56" s="28">
        <v>61600</v>
      </c>
      <c r="AC56" s="28">
        <v>11435.268376470218</v>
      </c>
      <c r="AD56" s="28">
        <v>5400</v>
      </c>
      <c r="AE56" s="28">
        <v>23400.000000000004</v>
      </c>
      <c r="AF56" s="28">
        <v>3404.939114438313</v>
      </c>
      <c r="AG56" s="28">
        <v>16800</v>
      </c>
      <c r="AH56" s="28">
        <v>58800.000000000007</v>
      </c>
      <c r="AI56" s="28">
        <v>10475.640000000005</v>
      </c>
      <c r="AJ56" s="28">
        <v>5400</v>
      </c>
      <c r="AK56" s="28">
        <v>25200.000000000004</v>
      </c>
      <c r="AL56" s="28">
        <v>3801.4199999999969</v>
      </c>
      <c r="AM56" s="28">
        <v>22000</v>
      </c>
      <c r="AN56" s="28">
        <v>52800.000000000007</v>
      </c>
      <c r="AO56" s="28">
        <v>13417.677419354901</v>
      </c>
      <c r="AP56" s="28">
        <v>5400</v>
      </c>
      <c r="AQ56" s="28">
        <v>25200.000000000004</v>
      </c>
      <c r="AR56" s="28">
        <v>5489.0498533724594</v>
      </c>
      <c r="AS56" s="28">
        <v>17600</v>
      </c>
      <c r="AT56" s="28">
        <v>57200</v>
      </c>
      <c r="AU56" s="28">
        <v>0</v>
      </c>
      <c r="AV56" s="28">
        <v>5400</v>
      </c>
      <c r="AW56" s="28">
        <v>25200.000000000004</v>
      </c>
      <c r="AX56" s="28">
        <v>0</v>
      </c>
      <c r="AY56" s="28">
        <v>20000</v>
      </c>
      <c r="AZ56" s="28">
        <v>48000</v>
      </c>
      <c r="BA56" s="28">
        <v>0</v>
      </c>
      <c r="BB56" s="28">
        <v>6000</v>
      </c>
      <c r="BC56" s="28">
        <v>26000</v>
      </c>
      <c r="BD56" s="28">
        <v>0</v>
      </c>
      <c r="BE56" s="28">
        <v>13200.000000000002</v>
      </c>
      <c r="BF56" s="28">
        <v>61600</v>
      </c>
      <c r="BG56" s="28">
        <v>0</v>
      </c>
      <c r="BH56" s="28">
        <v>5400</v>
      </c>
      <c r="BI56" s="28">
        <v>23400.000000000004</v>
      </c>
      <c r="BJ56" s="28">
        <v>0</v>
      </c>
      <c r="BK56" s="28">
        <v>8400</v>
      </c>
      <c r="BL56" s="28">
        <v>63000</v>
      </c>
      <c r="BM56" s="28">
        <v>29400.000000000004</v>
      </c>
      <c r="BN56" s="28">
        <v>5400</v>
      </c>
      <c r="BO56" s="28">
        <v>23400.000000000004</v>
      </c>
      <c r="BP56" s="28">
        <v>4397.3454545453969</v>
      </c>
      <c r="BQ56" s="28">
        <v>13600.000000000002</v>
      </c>
      <c r="BR56" s="28">
        <v>47600</v>
      </c>
      <c r="BS56" s="28">
        <v>20400.000000000004</v>
      </c>
      <c r="BT56" s="28">
        <v>11200.000000000002</v>
      </c>
      <c r="BU56" s="28">
        <v>36400</v>
      </c>
      <c r="BV56" s="28">
        <v>19600</v>
      </c>
    </row>
    <row r="57" spans="1:74" x14ac:dyDescent="0.3">
      <c r="A57" s="29" t="s">
        <v>10</v>
      </c>
      <c r="B57" s="29" t="s">
        <v>28</v>
      </c>
      <c r="C57" s="28">
        <v>17600</v>
      </c>
      <c r="D57" s="28">
        <v>61600</v>
      </c>
      <c r="E57" s="28">
        <v>26400.000000000004</v>
      </c>
      <c r="F57" s="28">
        <v>7200</v>
      </c>
      <c r="G57" s="28">
        <v>25200.000000000004</v>
      </c>
      <c r="H57" s="28">
        <v>10800</v>
      </c>
      <c r="I57" s="28">
        <v>12000</v>
      </c>
      <c r="J57" s="28">
        <v>60000</v>
      </c>
      <c r="K57" s="28">
        <v>24000</v>
      </c>
      <c r="L57" s="28">
        <v>4800.0000000000009</v>
      </c>
      <c r="M57" s="28">
        <v>20800</v>
      </c>
      <c r="N57" s="28">
        <v>12800</v>
      </c>
      <c r="O57" s="28">
        <v>16800</v>
      </c>
      <c r="P57" s="28">
        <v>58800.000000000007</v>
      </c>
      <c r="Q57" s="28">
        <v>25200.000000000004</v>
      </c>
      <c r="R57" s="28">
        <v>6000</v>
      </c>
      <c r="S57" s="28">
        <v>26000</v>
      </c>
      <c r="T57" s="28">
        <v>16000</v>
      </c>
      <c r="U57" s="28">
        <v>15200.000000000002</v>
      </c>
      <c r="V57" s="28">
        <v>53200</v>
      </c>
      <c r="W57" s="28">
        <v>22800</v>
      </c>
      <c r="X57" s="28">
        <v>6600.0000000000009</v>
      </c>
      <c r="Y57" s="28">
        <v>30800</v>
      </c>
      <c r="Z57" s="28">
        <v>15400</v>
      </c>
      <c r="AA57" s="28">
        <v>17600</v>
      </c>
      <c r="AB57" s="28">
        <v>61600</v>
      </c>
      <c r="AC57" s="28">
        <v>26400.000000000004</v>
      </c>
      <c r="AD57" s="28">
        <v>5400</v>
      </c>
      <c r="AE57" s="28">
        <v>23400.000000000004</v>
      </c>
      <c r="AF57" s="28">
        <v>14400</v>
      </c>
      <c r="AG57" s="28">
        <v>16800</v>
      </c>
      <c r="AH57" s="28">
        <v>58800.000000000007</v>
      </c>
      <c r="AI57" s="28">
        <v>25200.000000000004</v>
      </c>
      <c r="AJ57" s="28">
        <v>5400</v>
      </c>
      <c r="AK57" s="28">
        <v>25200.000000000004</v>
      </c>
      <c r="AL57" s="28">
        <v>12600.000000000002</v>
      </c>
      <c r="AM57" s="28">
        <v>22000</v>
      </c>
      <c r="AN57" s="28">
        <v>52800.000000000007</v>
      </c>
      <c r="AO57" s="28">
        <v>30800</v>
      </c>
      <c r="AP57" s="28">
        <v>5400</v>
      </c>
      <c r="AQ57" s="28">
        <v>25200.000000000004</v>
      </c>
      <c r="AR57" s="28">
        <v>12600.000000000002</v>
      </c>
      <c r="AS57" s="28">
        <v>17600</v>
      </c>
      <c r="AT57" s="28">
        <v>57200</v>
      </c>
      <c r="AU57" s="28">
        <v>30800</v>
      </c>
      <c r="AV57" s="28">
        <v>5400</v>
      </c>
      <c r="AW57" s="28">
        <v>25200.000000000004</v>
      </c>
      <c r="AX57" s="28">
        <v>12600.000000000002</v>
      </c>
      <c r="AY57" s="28">
        <v>20000</v>
      </c>
      <c r="AZ57" s="28">
        <v>48000</v>
      </c>
      <c r="BA57" s="28">
        <v>28000</v>
      </c>
      <c r="BB57" s="28">
        <v>6000</v>
      </c>
      <c r="BC57" s="28">
        <v>26000</v>
      </c>
      <c r="BD57" s="28">
        <v>16000</v>
      </c>
      <c r="BE57" s="28">
        <v>13200.000000000002</v>
      </c>
      <c r="BF57" s="28">
        <v>61600</v>
      </c>
      <c r="BG57" s="28">
        <v>30800</v>
      </c>
      <c r="BH57" s="28">
        <v>5400</v>
      </c>
      <c r="BI57" s="28">
        <v>23400.000000000004</v>
      </c>
      <c r="BJ57" s="28">
        <v>14400</v>
      </c>
      <c r="BK57" s="28">
        <v>8400</v>
      </c>
      <c r="BL57" s="28">
        <v>63000</v>
      </c>
      <c r="BM57" s="28">
        <v>29400.000000000004</v>
      </c>
      <c r="BN57" s="28">
        <v>5400</v>
      </c>
      <c r="BO57" s="28">
        <v>23400.000000000004</v>
      </c>
      <c r="BP57" s="28">
        <v>14400</v>
      </c>
      <c r="BQ57" s="28">
        <v>13600.000000000002</v>
      </c>
      <c r="BR57" s="28">
        <v>47600</v>
      </c>
      <c r="BS57" s="28">
        <v>20400.000000000004</v>
      </c>
      <c r="BT57" s="28">
        <v>11200.000000000002</v>
      </c>
      <c r="BU57" s="28">
        <v>36400</v>
      </c>
      <c r="BV57" s="28">
        <v>19600</v>
      </c>
    </row>
  </sheetData>
  <phoneticPr fontId="1" type="noConversion"/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">
    <tabColor indexed="47"/>
  </sheetPr>
  <dimension ref="A1:N10"/>
  <sheetViews>
    <sheetView showRowColHeaders="0" workbookViewId="0">
      <pane xSplit="2" ySplit="1" topLeftCell="C2" activePane="bottomRight" state="frozen"/>
      <selection pane="topRight"/>
      <selection pane="bottomLeft"/>
      <selection pane="bottomRight" activeCell="C2" sqref="C2"/>
    </sheetView>
  </sheetViews>
  <sheetFormatPr baseColWidth="10" defaultColWidth="11.44140625" defaultRowHeight="13.8" x14ac:dyDescent="0.3"/>
  <cols>
    <col min="1" max="1" width="4.5546875" style="29" bestFit="1" customWidth="1"/>
    <col min="2" max="2" width="15.33203125" style="29" bestFit="1" customWidth="1"/>
    <col min="3" max="14" width="4" style="6" bestFit="1" customWidth="1"/>
    <col min="15" max="16384" width="11.44140625" style="6"/>
  </cols>
  <sheetData>
    <row r="1" spans="1:14" s="27" customFormat="1" x14ac:dyDescent="0.3">
      <c r="A1" s="25" t="s">
        <v>117</v>
      </c>
      <c r="B1" s="25" t="s">
        <v>119</v>
      </c>
      <c r="C1" s="30" t="s">
        <v>21</v>
      </c>
      <c r="D1" s="30" t="s">
        <v>29</v>
      </c>
      <c r="E1" s="30" t="s">
        <v>30</v>
      </c>
      <c r="F1" s="27" t="s">
        <v>31</v>
      </c>
      <c r="G1" s="27" t="s">
        <v>32</v>
      </c>
      <c r="H1" s="27" t="s">
        <v>33</v>
      </c>
      <c r="I1" s="27" t="s">
        <v>34</v>
      </c>
      <c r="J1" s="27" t="s">
        <v>35</v>
      </c>
      <c r="K1" s="27" t="s">
        <v>36</v>
      </c>
      <c r="L1" s="27" t="s">
        <v>37</v>
      </c>
      <c r="M1" s="27" t="s">
        <v>38</v>
      </c>
      <c r="N1" s="27" t="s">
        <v>22</v>
      </c>
    </row>
    <row r="2" spans="1:14" x14ac:dyDescent="0.3">
      <c r="A2" s="25" t="s">
        <v>8</v>
      </c>
      <c r="B2" s="25" t="s">
        <v>98</v>
      </c>
      <c r="C2" s="28">
        <v>493.86996800000014</v>
      </c>
      <c r="D2" s="28">
        <v>498.68992000000003</v>
      </c>
      <c r="E2" s="28">
        <v>600</v>
      </c>
      <c r="F2" s="28">
        <v>600</v>
      </c>
      <c r="G2" s="28">
        <v>549.25923999999964</v>
      </c>
      <c r="H2" s="28">
        <v>563.0181878787871</v>
      </c>
      <c r="I2" s="28">
        <v>487.17421454545371</v>
      </c>
      <c r="J2" s="28">
        <v>348.02762666666666</v>
      </c>
      <c r="K2" s="28">
        <v>299.20415999999994</v>
      </c>
      <c r="L2" s="28">
        <v>200</v>
      </c>
      <c r="M2" s="28">
        <v>234.19276363636376</v>
      </c>
      <c r="N2" s="28">
        <v>500</v>
      </c>
    </row>
    <row r="3" spans="1:14" x14ac:dyDescent="0.3">
      <c r="A3" s="25" t="s">
        <v>8</v>
      </c>
      <c r="B3" s="25" t="s">
        <v>99</v>
      </c>
      <c r="C3" s="28">
        <v>509.03925333333331</v>
      </c>
      <c r="D3" s="28">
        <v>487.3717333333334</v>
      </c>
      <c r="E3" s="28">
        <v>488.2706933333335</v>
      </c>
      <c r="F3" s="28">
        <v>427.00882666666683</v>
      </c>
      <c r="G3" s="28">
        <v>400.70693333333344</v>
      </c>
      <c r="H3" s="28">
        <v>367.33898545454605</v>
      </c>
      <c r="I3" s="28">
        <v>357.40783878787954</v>
      </c>
      <c r="J3" s="28">
        <v>334.22042545454616</v>
      </c>
      <c r="K3" s="28">
        <v>315.01162545454633</v>
      </c>
      <c r="L3" s="28">
        <v>281.67050545454629</v>
      </c>
      <c r="M3" s="28">
        <v>340.65910545454625</v>
      </c>
      <c r="N3" s="28">
        <v>500</v>
      </c>
    </row>
    <row r="4" spans="1:14" x14ac:dyDescent="0.3">
      <c r="A4" s="25" t="s">
        <v>8</v>
      </c>
      <c r="B4" s="25" t="s">
        <v>100</v>
      </c>
      <c r="C4" s="28">
        <v>646.55524412121213</v>
      </c>
      <c r="D4" s="28">
        <v>680.39654545454596</v>
      </c>
      <c r="E4" s="28">
        <v>800</v>
      </c>
      <c r="F4" s="28">
        <v>772.23301818181824</v>
      </c>
      <c r="G4" s="28">
        <v>695.61135151515168</v>
      </c>
      <c r="H4" s="28">
        <v>637.24532242424357</v>
      </c>
      <c r="I4" s="28">
        <v>467.98235272727368</v>
      </c>
      <c r="J4" s="28">
        <v>391.84056969696985</v>
      </c>
      <c r="K4" s="28">
        <v>284.192387878788</v>
      </c>
      <c r="L4" s="28">
        <v>200</v>
      </c>
      <c r="M4" s="28">
        <v>200</v>
      </c>
      <c r="N4" s="28">
        <v>500</v>
      </c>
    </row>
    <row r="5" spans="1:14" x14ac:dyDescent="0.3">
      <c r="A5" s="25" t="s">
        <v>9</v>
      </c>
      <c r="B5" s="25" t="s">
        <v>98</v>
      </c>
      <c r="C5" s="28">
        <v>493.86996800000014</v>
      </c>
      <c r="D5" s="28">
        <v>440.92177466666652</v>
      </c>
      <c r="E5" s="28">
        <v>489.03883066666651</v>
      </c>
      <c r="F5" s="28">
        <v>544.39933733333305</v>
      </c>
      <c r="G5" s="28">
        <v>456.06365066666717</v>
      </c>
      <c r="H5" s="28">
        <v>416.44441066666724</v>
      </c>
      <c r="I5" s="28">
        <v>336.26142933333392</v>
      </c>
      <c r="J5" s="28">
        <v>205.05642666666677</v>
      </c>
      <c r="K5" s="28">
        <v>200</v>
      </c>
      <c r="L5" s="28">
        <v>230.18556800000002</v>
      </c>
      <c r="M5" s="28">
        <v>288.12301866666667</v>
      </c>
      <c r="N5" s="28">
        <v>500</v>
      </c>
    </row>
    <row r="6" spans="1:14" x14ac:dyDescent="0.3">
      <c r="A6" s="25" t="s">
        <v>9</v>
      </c>
      <c r="B6" s="25" t="s">
        <v>99</v>
      </c>
      <c r="C6" s="28">
        <v>509.03925333333331</v>
      </c>
      <c r="D6" s="28">
        <v>483.19861333333336</v>
      </c>
      <c r="E6" s="28">
        <v>476.12933333333348</v>
      </c>
      <c r="F6" s="28">
        <v>450.91360000000003</v>
      </c>
      <c r="G6" s="28">
        <v>410.7010013333321</v>
      </c>
      <c r="H6" s="28">
        <v>419.64340133333212</v>
      </c>
      <c r="I6" s="28">
        <v>406.16337466666556</v>
      </c>
      <c r="J6" s="28">
        <v>372.19648133333214</v>
      </c>
      <c r="K6" s="28">
        <v>384.05488133333216</v>
      </c>
      <c r="L6" s="28">
        <v>387.41404133333225</v>
      </c>
      <c r="M6" s="28">
        <v>428.51824133333224</v>
      </c>
      <c r="N6" s="28">
        <v>500</v>
      </c>
    </row>
    <row r="7" spans="1:14" x14ac:dyDescent="0.3">
      <c r="A7" s="25" t="s">
        <v>9</v>
      </c>
      <c r="B7" s="25" t="s">
        <v>100</v>
      </c>
      <c r="C7" s="28">
        <v>646.55524412121213</v>
      </c>
      <c r="D7" s="28">
        <v>702.96589890909104</v>
      </c>
      <c r="E7" s="28">
        <v>714.35117163636335</v>
      </c>
      <c r="F7" s="28">
        <v>613.82492921212122</v>
      </c>
      <c r="G7" s="28">
        <v>518.85126254545469</v>
      </c>
      <c r="H7" s="28">
        <v>494.54898981818167</v>
      </c>
      <c r="I7" s="28">
        <v>345.61147466666631</v>
      </c>
      <c r="J7" s="28">
        <v>285.07368678787896</v>
      </c>
      <c r="K7" s="28">
        <v>262.94277769696981</v>
      </c>
      <c r="L7" s="28">
        <v>253.16650496969694</v>
      </c>
      <c r="M7" s="28">
        <v>200</v>
      </c>
      <c r="N7" s="28">
        <v>500</v>
      </c>
    </row>
    <row r="8" spans="1:14" x14ac:dyDescent="0.3">
      <c r="A8" s="25" t="s">
        <v>10</v>
      </c>
      <c r="B8" s="25" t="s">
        <v>98</v>
      </c>
      <c r="C8" s="28">
        <v>493.86996800000014</v>
      </c>
      <c r="D8" s="28">
        <v>396.92027200000012</v>
      </c>
      <c r="E8" s="28">
        <v>560.28888000000006</v>
      </c>
      <c r="F8" s="28">
        <v>600</v>
      </c>
      <c r="G8" s="28">
        <v>596.68021115151623</v>
      </c>
      <c r="H8" s="28">
        <v>383.17189115151604</v>
      </c>
      <c r="I8" s="28">
        <v>361.00179733333397</v>
      </c>
      <c r="J8" s="28">
        <v>274.2894826666668</v>
      </c>
      <c r="K8" s="28">
        <v>238.7111360000001</v>
      </c>
      <c r="L8" s="28">
        <v>234.9261600000001</v>
      </c>
      <c r="M8" s="28">
        <v>200</v>
      </c>
      <c r="N8" s="28">
        <v>500</v>
      </c>
    </row>
    <row r="9" spans="1:14" x14ac:dyDescent="0.3">
      <c r="A9" s="25" t="s">
        <v>10</v>
      </c>
      <c r="B9" s="25" t="s">
        <v>99</v>
      </c>
      <c r="C9" s="28">
        <v>509.03925333333331</v>
      </c>
      <c r="D9" s="28">
        <v>372.84324218181803</v>
      </c>
      <c r="E9" s="28">
        <v>386.49138618181809</v>
      </c>
      <c r="F9" s="28">
        <v>355.13677284848467</v>
      </c>
      <c r="G9" s="28">
        <v>346.61945551515129</v>
      </c>
      <c r="H9" s="28">
        <v>295.93493551515104</v>
      </c>
      <c r="I9" s="28">
        <v>243.07029333333315</v>
      </c>
      <c r="J9" s="28">
        <v>224.42384799999977</v>
      </c>
      <c r="K9" s="28">
        <v>211.53952799999988</v>
      </c>
      <c r="L9" s="28">
        <v>213.43895999999989</v>
      </c>
      <c r="M9" s="28">
        <v>275.01439999999997</v>
      </c>
      <c r="N9" s="28">
        <v>500</v>
      </c>
    </row>
    <row r="10" spans="1:14" x14ac:dyDescent="0.3">
      <c r="A10" s="25" t="s">
        <v>10</v>
      </c>
      <c r="B10" s="25" t="s">
        <v>100</v>
      </c>
      <c r="C10" s="28">
        <v>646.55524412121213</v>
      </c>
      <c r="D10" s="28">
        <v>800</v>
      </c>
      <c r="E10" s="28">
        <v>789.73763636363503</v>
      </c>
      <c r="F10" s="28">
        <v>787.94484848484728</v>
      </c>
      <c r="G10" s="28">
        <v>685.1568363636361</v>
      </c>
      <c r="H10" s="28">
        <v>800</v>
      </c>
      <c r="I10" s="28">
        <v>594.76915151515095</v>
      </c>
      <c r="J10" s="28">
        <v>500.24209090909113</v>
      </c>
      <c r="K10" s="28">
        <v>365.56996969696985</v>
      </c>
      <c r="L10" s="28">
        <v>200</v>
      </c>
      <c r="M10" s="28">
        <v>200</v>
      </c>
      <c r="N10" s="28">
        <v>500</v>
      </c>
    </row>
  </sheetData>
  <phoneticPr fontId="1" type="noConversion"/>
  <pageMargins left="0.75" right="0.75" top="1" bottom="1" header="0" footer="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>
    <tabColor indexed="47"/>
  </sheetPr>
  <dimension ref="A1:N10"/>
  <sheetViews>
    <sheetView showRowColHeaders="0" workbookViewId="0">
      <pane xSplit="2" ySplit="1" topLeftCell="C2" activePane="bottomRight" state="frozen"/>
      <selection pane="topRight"/>
      <selection pane="bottomLeft"/>
      <selection pane="bottomRight" activeCell="C2" sqref="C2"/>
    </sheetView>
  </sheetViews>
  <sheetFormatPr baseColWidth="10" defaultColWidth="11.44140625" defaultRowHeight="13.8" x14ac:dyDescent="0.3"/>
  <cols>
    <col min="1" max="1" width="4.5546875" style="29" bestFit="1" customWidth="1"/>
    <col min="2" max="2" width="15.33203125" style="29" bestFit="1" customWidth="1"/>
    <col min="3" max="14" width="4" style="6" bestFit="1" customWidth="1"/>
    <col min="15" max="16384" width="11.44140625" style="6"/>
  </cols>
  <sheetData>
    <row r="1" spans="1:14" s="27" customFormat="1" x14ac:dyDescent="0.3">
      <c r="A1" s="25" t="s">
        <v>117</v>
      </c>
      <c r="B1" s="25" t="s">
        <v>119</v>
      </c>
      <c r="C1" s="27" t="s">
        <v>21</v>
      </c>
      <c r="D1" s="27" t="s">
        <v>29</v>
      </c>
      <c r="E1" s="27" t="s">
        <v>30</v>
      </c>
      <c r="F1" s="27" t="s">
        <v>31</v>
      </c>
      <c r="G1" s="27" t="s">
        <v>32</v>
      </c>
      <c r="H1" s="27" t="s">
        <v>33</v>
      </c>
      <c r="I1" s="27" t="s">
        <v>34</v>
      </c>
      <c r="J1" s="27" t="s">
        <v>35</v>
      </c>
      <c r="K1" s="27" t="s">
        <v>36</v>
      </c>
      <c r="L1" s="27" t="s">
        <v>37</v>
      </c>
      <c r="M1" s="27" t="s">
        <v>38</v>
      </c>
      <c r="N1" s="27" t="s">
        <v>22</v>
      </c>
    </row>
    <row r="2" spans="1:14" x14ac:dyDescent="0.3">
      <c r="A2" s="25" t="s">
        <v>8</v>
      </c>
      <c r="B2" s="25" t="s">
        <v>98</v>
      </c>
      <c r="C2" s="28">
        <v>39.838709677419359</v>
      </c>
      <c r="D2" s="28">
        <v>44.642857142857146</v>
      </c>
      <c r="E2" s="28">
        <v>40.322580645161288</v>
      </c>
      <c r="F2" s="28">
        <v>41.666666666666664</v>
      </c>
      <c r="G2" s="28">
        <v>40.322580645161288</v>
      </c>
      <c r="H2" s="28">
        <v>41.666666666666664</v>
      </c>
      <c r="I2" s="28">
        <v>40.322580645161288</v>
      </c>
      <c r="J2" s="28">
        <v>40.322580645161288</v>
      </c>
      <c r="K2" s="28">
        <v>41.666666666666664</v>
      </c>
      <c r="L2" s="28">
        <v>40.322580645161288</v>
      </c>
      <c r="M2" s="28">
        <v>39.999999999999993</v>
      </c>
      <c r="N2" s="28">
        <v>38.709677419354833</v>
      </c>
    </row>
    <row r="3" spans="1:14" x14ac:dyDescent="0.3">
      <c r="A3" s="25" t="s">
        <v>8</v>
      </c>
      <c r="B3" s="25" t="s">
        <v>99</v>
      </c>
      <c r="C3" s="28">
        <v>40.322580645161295</v>
      </c>
      <c r="D3" s="28">
        <v>44.642857142857146</v>
      </c>
      <c r="E3" s="28">
        <v>40.322580645161288</v>
      </c>
      <c r="F3" s="28">
        <v>41.666666666666664</v>
      </c>
      <c r="G3" s="28">
        <v>40.322580645161288</v>
      </c>
      <c r="H3" s="28">
        <v>41.666666666666664</v>
      </c>
      <c r="I3" s="28">
        <v>40.322580645161288</v>
      </c>
      <c r="J3" s="28">
        <v>40.322580645161288</v>
      </c>
      <c r="K3" s="28">
        <v>41.666666666666664</v>
      </c>
      <c r="L3" s="28">
        <v>40.322580645161288</v>
      </c>
      <c r="M3" s="28">
        <v>41.666666666666664</v>
      </c>
      <c r="N3" s="28">
        <v>40.322580645161288</v>
      </c>
    </row>
    <row r="4" spans="1:14" x14ac:dyDescent="0.3">
      <c r="A4" s="25" t="s">
        <v>8</v>
      </c>
      <c r="B4" s="25" t="s">
        <v>100</v>
      </c>
      <c r="C4" s="28">
        <v>19.677419354838712</v>
      </c>
      <c r="D4" s="28">
        <v>22.321428571428573</v>
      </c>
      <c r="E4" s="28">
        <v>20.161290322580644</v>
      </c>
      <c r="F4" s="28">
        <v>20.833333333333332</v>
      </c>
      <c r="G4" s="28">
        <v>20.161290322580644</v>
      </c>
      <c r="H4" s="28">
        <v>20.833333333333332</v>
      </c>
      <c r="I4" s="28">
        <v>20.161290322580644</v>
      </c>
      <c r="J4" s="28">
        <v>20.161290322580644</v>
      </c>
      <c r="K4" s="28">
        <v>20.833333333333332</v>
      </c>
      <c r="L4" s="28">
        <v>20.161290322580644</v>
      </c>
      <c r="M4" s="28">
        <v>19.999999999999996</v>
      </c>
      <c r="N4" s="28">
        <v>18.548387096774196</v>
      </c>
    </row>
    <row r="5" spans="1:14" x14ac:dyDescent="0.3">
      <c r="A5" s="25" t="s">
        <v>9</v>
      </c>
      <c r="B5" s="25" t="s">
        <v>98</v>
      </c>
      <c r="C5" s="28">
        <v>39.838709677419359</v>
      </c>
      <c r="D5" s="28">
        <v>46.428571428571438</v>
      </c>
      <c r="E5" s="28">
        <v>41.935483870967744</v>
      </c>
      <c r="F5" s="28">
        <v>43.333333333333336</v>
      </c>
      <c r="G5" s="28">
        <v>41.935483870967744</v>
      </c>
      <c r="H5" s="28">
        <v>43.333333333333336</v>
      </c>
      <c r="I5" s="28">
        <v>41.935483870967744</v>
      </c>
      <c r="J5" s="28">
        <v>41.935483870967744</v>
      </c>
      <c r="K5" s="28">
        <v>43.333333333333336</v>
      </c>
      <c r="L5" s="28">
        <v>41.935483870967744</v>
      </c>
      <c r="M5" s="28">
        <v>43.333333333333336</v>
      </c>
      <c r="N5" s="28">
        <v>41.935483870967744</v>
      </c>
    </row>
    <row r="6" spans="1:14" x14ac:dyDescent="0.3">
      <c r="A6" s="25" t="s">
        <v>9</v>
      </c>
      <c r="B6" s="25" t="s">
        <v>99</v>
      </c>
      <c r="C6" s="28">
        <v>40.322580645161295</v>
      </c>
      <c r="D6" s="28">
        <v>46.428571428571438</v>
      </c>
      <c r="E6" s="28">
        <v>41.935483870967744</v>
      </c>
      <c r="F6" s="28">
        <v>43.333333333333336</v>
      </c>
      <c r="G6" s="28">
        <v>41.935483870967744</v>
      </c>
      <c r="H6" s="28">
        <v>43.333333333333336</v>
      </c>
      <c r="I6" s="28">
        <v>41.935483870967744</v>
      </c>
      <c r="J6" s="28">
        <v>41.935483870967744</v>
      </c>
      <c r="K6" s="28">
        <v>43.333333333333336</v>
      </c>
      <c r="L6" s="28">
        <v>41.935483870967744</v>
      </c>
      <c r="M6" s="28">
        <v>43.333333333333336</v>
      </c>
      <c r="N6" s="28">
        <v>41.935483870967744</v>
      </c>
    </row>
    <row r="7" spans="1:14" x14ac:dyDescent="0.3">
      <c r="A7" s="25" t="s">
        <v>9</v>
      </c>
      <c r="B7" s="25" t="s">
        <v>100</v>
      </c>
      <c r="C7" s="28">
        <v>19.677419354838712</v>
      </c>
      <c r="D7" s="28">
        <v>23.214285714285719</v>
      </c>
      <c r="E7" s="28">
        <v>20.967741935483872</v>
      </c>
      <c r="F7" s="28">
        <v>21.666666666666668</v>
      </c>
      <c r="G7" s="28">
        <v>20.967741935483872</v>
      </c>
      <c r="H7" s="28">
        <v>21.666666666666668</v>
      </c>
      <c r="I7" s="28">
        <v>20.967741935483872</v>
      </c>
      <c r="J7" s="28">
        <v>20.967741935483872</v>
      </c>
      <c r="K7" s="28">
        <v>21.666666666666668</v>
      </c>
      <c r="L7" s="28">
        <v>20.967741935483872</v>
      </c>
      <c r="M7" s="28">
        <v>21.666666666666668</v>
      </c>
      <c r="N7" s="28">
        <v>20.967741935483872</v>
      </c>
    </row>
    <row r="8" spans="1:14" x14ac:dyDescent="0.3">
      <c r="A8" s="25" t="s">
        <v>10</v>
      </c>
      <c r="B8" s="25" t="s">
        <v>98</v>
      </c>
      <c r="C8" s="28">
        <v>39.838709677419359</v>
      </c>
      <c r="D8" s="28">
        <v>32.142857142857089</v>
      </c>
      <c r="E8" s="28">
        <v>29.032258064516082</v>
      </c>
      <c r="F8" s="28">
        <v>29.99999999999995</v>
      </c>
      <c r="G8" s="28">
        <v>33.870967741935473</v>
      </c>
      <c r="H8" s="28">
        <v>34.999999999999993</v>
      </c>
      <c r="I8" s="28">
        <v>33.870967741935473</v>
      </c>
      <c r="J8" s="28">
        <v>33.870967741935473</v>
      </c>
      <c r="K8" s="28">
        <v>34.999999999999993</v>
      </c>
      <c r="L8" s="28">
        <v>33.870967741935473</v>
      </c>
      <c r="M8" s="28">
        <v>34.999999999999993</v>
      </c>
      <c r="N8" s="28">
        <v>12.499999999999996</v>
      </c>
    </row>
    <row r="9" spans="1:14" x14ac:dyDescent="0.3">
      <c r="A9" s="25" t="s">
        <v>10</v>
      </c>
      <c r="B9" s="25" t="s">
        <v>99</v>
      </c>
      <c r="C9" s="28">
        <v>40.322580645161295</v>
      </c>
      <c r="D9" s="28">
        <v>37.499999999999986</v>
      </c>
      <c r="E9" s="28">
        <v>33.870967741935473</v>
      </c>
      <c r="F9" s="28">
        <v>34.999999999999986</v>
      </c>
      <c r="G9" s="28">
        <v>33.870967741935473</v>
      </c>
      <c r="H9" s="28">
        <v>34.999999999999986</v>
      </c>
      <c r="I9" s="28">
        <v>33.870967741935473</v>
      </c>
      <c r="J9" s="28">
        <v>33.870967741935473</v>
      </c>
      <c r="K9" s="28">
        <v>34.999999999999986</v>
      </c>
      <c r="L9" s="28">
        <v>33.870967741935473</v>
      </c>
      <c r="M9" s="28">
        <v>34.999999999999986</v>
      </c>
      <c r="N9" s="28">
        <v>33.870967741935473</v>
      </c>
    </row>
    <row r="10" spans="1:14" x14ac:dyDescent="0.3">
      <c r="A10" s="25" t="s">
        <v>10</v>
      </c>
      <c r="B10" s="25" t="s">
        <v>100</v>
      </c>
      <c r="C10" s="28">
        <v>19.677419354838712</v>
      </c>
      <c r="D10" s="28">
        <v>13.392857142857132</v>
      </c>
      <c r="E10" s="28">
        <v>12.096774193548384</v>
      </c>
      <c r="F10" s="28">
        <v>12.499999999999996</v>
      </c>
      <c r="G10" s="28">
        <v>12.096774193548384</v>
      </c>
      <c r="H10" s="28">
        <v>12.499999999999996</v>
      </c>
      <c r="I10" s="28">
        <v>12.499999999999998</v>
      </c>
      <c r="J10" s="28">
        <v>12.499999999999998</v>
      </c>
      <c r="K10" s="28">
        <v>12.916666666666666</v>
      </c>
      <c r="L10" s="28">
        <v>12.499999999999998</v>
      </c>
      <c r="M10" s="28">
        <v>12.499999999999996</v>
      </c>
      <c r="N10" s="28">
        <v>0</v>
      </c>
    </row>
  </sheetData>
  <phoneticPr fontId="1" type="noConversion"/>
  <pageMargins left="0.75" right="0.75" top="1" bottom="1" header="0" footer="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6">
    <tabColor indexed="47"/>
  </sheetPr>
  <dimension ref="A1:BU6"/>
  <sheetViews>
    <sheetView showRowColHeader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11.44140625" defaultRowHeight="13.8" x14ac:dyDescent="0.3"/>
  <cols>
    <col min="1" max="1" width="4.5546875" style="29" bestFit="1" customWidth="1"/>
    <col min="2" max="73" width="8.33203125" style="6" bestFit="1" customWidth="1"/>
    <col min="74" max="16384" width="11.44140625" style="6"/>
  </cols>
  <sheetData>
    <row r="1" spans="1:73" s="27" customFormat="1" x14ac:dyDescent="0.3">
      <c r="A1" s="25" t="s">
        <v>117</v>
      </c>
      <c r="B1" s="26" t="s">
        <v>21</v>
      </c>
      <c r="C1" s="27" t="s">
        <v>21</v>
      </c>
      <c r="D1" s="27" t="s">
        <v>21</v>
      </c>
      <c r="E1" s="27" t="s">
        <v>21</v>
      </c>
      <c r="F1" s="27" t="s">
        <v>21</v>
      </c>
      <c r="G1" s="27" t="s">
        <v>21</v>
      </c>
      <c r="H1" s="27" t="s">
        <v>29</v>
      </c>
      <c r="I1" s="27" t="s">
        <v>29</v>
      </c>
      <c r="J1" s="27" t="s">
        <v>29</v>
      </c>
      <c r="K1" s="27" t="s">
        <v>29</v>
      </c>
      <c r="L1" s="27" t="s">
        <v>29</v>
      </c>
      <c r="M1" s="27" t="s">
        <v>29</v>
      </c>
      <c r="N1" s="27" t="s">
        <v>30</v>
      </c>
      <c r="O1" s="27" t="s">
        <v>30</v>
      </c>
      <c r="P1" s="27" t="s">
        <v>30</v>
      </c>
      <c r="Q1" s="27" t="s">
        <v>30</v>
      </c>
      <c r="R1" s="27" t="s">
        <v>30</v>
      </c>
      <c r="S1" s="27" t="s">
        <v>30</v>
      </c>
      <c r="T1" s="27" t="s">
        <v>31</v>
      </c>
      <c r="U1" s="27" t="s">
        <v>31</v>
      </c>
      <c r="V1" s="27" t="s">
        <v>31</v>
      </c>
      <c r="W1" s="27" t="s">
        <v>31</v>
      </c>
      <c r="X1" s="27" t="s">
        <v>31</v>
      </c>
      <c r="Y1" s="27" t="s">
        <v>31</v>
      </c>
      <c r="Z1" s="27" t="s">
        <v>32</v>
      </c>
      <c r="AA1" s="27" t="s">
        <v>32</v>
      </c>
      <c r="AB1" s="27" t="s">
        <v>32</v>
      </c>
      <c r="AC1" s="27" t="s">
        <v>32</v>
      </c>
      <c r="AD1" s="27" t="s">
        <v>32</v>
      </c>
      <c r="AE1" s="27" t="s">
        <v>32</v>
      </c>
      <c r="AF1" s="27" t="s">
        <v>33</v>
      </c>
      <c r="AG1" s="27" t="s">
        <v>33</v>
      </c>
      <c r="AH1" s="27" t="s">
        <v>33</v>
      </c>
      <c r="AI1" s="27" t="s">
        <v>33</v>
      </c>
      <c r="AJ1" s="27" t="s">
        <v>33</v>
      </c>
      <c r="AK1" s="27" t="s">
        <v>33</v>
      </c>
      <c r="AL1" s="27" t="s">
        <v>34</v>
      </c>
      <c r="AM1" s="27" t="s">
        <v>34</v>
      </c>
      <c r="AN1" s="27" t="s">
        <v>34</v>
      </c>
      <c r="AO1" s="27" t="s">
        <v>34</v>
      </c>
      <c r="AP1" s="27" t="s">
        <v>34</v>
      </c>
      <c r="AQ1" s="27" t="s">
        <v>34</v>
      </c>
      <c r="AR1" s="27" t="s">
        <v>35</v>
      </c>
      <c r="AS1" s="27" t="s">
        <v>35</v>
      </c>
      <c r="AT1" s="27" t="s">
        <v>35</v>
      </c>
      <c r="AU1" s="27" t="s">
        <v>35</v>
      </c>
      <c r="AV1" s="27" t="s">
        <v>35</v>
      </c>
      <c r="AW1" s="27" t="s">
        <v>35</v>
      </c>
      <c r="AX1" s="27" t="s">
        <v>36</v>
      </c>
      <c r="AY1" s="27" t="s">
        <v>36</v>
      </c>
      <c r="AZ1" s="27" t="s">
        <v>36</v>
      </c>
      <c r="BA1" s="27" t="s">
        <v>36</v>
      </c>
      <c r="BB1" s="27" t="s">
        <v>36</v>
      </c>
      <c r="BC1" s="27" t="s">
        <v>36</v>
      </c>
      <c r="BD1" s="27" t="s">
        <v>37</v>
      </c>
      <c r="BE1" s="27" t="s">
        <v>37</v>
      </c>
      <c r="BF1" s="27" t="s">
        <v>37</v>
      </c>
      <c r="BG1" s="27" t="s">
        <v>37</v>
      </c>
      <c r="BH1" s="27" t="s">
        <v>37</v>
      </c>
      <c r="BI1" s="27" t="s">
        <v>37</v>
      </c>
      <c r="BJ1" s="27" t="s">
        <v>38</v>
      </c>
      <c r="BK1" s="27" t="s">
        <v>38</v>
      </c>
      <c r="BL1" s="27" t="s">
        <v>38</v>
      </c>
      <c r="BM1" s="27" t="s">
        <v>38</v>
      </c>
      <c r="BN1" s="27" t="s">
        <v>38</v>
      </c>
      <c r="BO1" s="27" t="s">
        <v>38</v>
      </c>
      <c r="BP1" s="27" t="s">
        <v>22</v>
      </c>
      <c r="BQ1" s="27" t="s">
        <v>22</v>
      </c>
      <c r="BR1" s="27" t="s">
        <v>22</v>
      </c>
      <c r="BS1" s="27" t="s">
        <v>22</v>
      </c>
      <c r="BT1" s="27" t="s">
        <v>22</v>
      </c>
      <c r="BU1" s="27" t="s">
        <v>22</v>
      </c>
    </row>
    <row r="2" spans="1:73" s="27" customFormat="1" x14ac:dyDescent="0.3">
      <c r="A2" s="25"/>
      <c r="B2" s="26" t="s">
        <v>104</v>
      </c>
      <c r="C2" s="27" t="s">
        <v>104</v>
      </c>
      <c r="D2" s="27" t="s">
        <v>104</v>
      </c>
      <c r="E2" s="27" t="s">
        <v>39</v>
      </c>
      <c r="F2" s="27" t="s">
        <v>39</v>
      </c>
      <c r="G2" s="27" t="s">
        <v>39</v>
      </c>
      <c r="H2" s="27" t="s">
        <v>104</v>
      </c>
      <c r="I2" s="27" t="s">
        <v>104</v>
      </c>
      <c r="J2" s="27" t="s">
        <v>104</v>
      </c>
      <c r="K2" s="27" t="s">
        <v>39</v>
      </c>
      <c r="L2" s="27" t="s">
        <v>39</v>
      </c>
      <c r="M2" s="27" t="s">
        <v>39</v>
      </c>
      <c r="N2" s="27" t="s">
        <v>104</v>
      </c>
      <c r="O2" s="27" t="s">
        <v>104</v>
      </c>
      <c r="P2" s="27" t="s">
        <v>104</v>
      </c>
      <c r="Q2" s="27" t="s">
        <v>39</v>
      </c>
      <c r="R2" s="27" t="s">
        <v>39</v>
      </c>
      <c r="S2" s="27" t="s">
        <v>39</v>
      </c>
      <c r="T2" s="27" t="s">
        <v>104</v>
      </c>
      <c r="U2" s="27" t="s">
        <v>104</v>
      </c>
      <c r="V2" s="27" t="s">
        <v>104</v>
      </c>
      <c r="W2" s="27" t="s">
        <v>39</v>
      </c>
      <c r="X2" s="27" t="s">
        <v>39</v>
      </c>
      <c r="Y2" s="27" t="s">
        <v>39</v>
      </c>
      <c r="Z2" s="27" t="s">
        <v>104</v>
      </c>
      <c r="AA2" s="27" t="s">
        <v>104</v>
      </c>
      <c r="AB2" s="27" t="s">
        <v>104</v>
      </c>
      <c r="AC2" s="27" t="s">
        <v>39</v>
      </c>
      <c r="AD2" s="27" t="s">
        <v>39</v>
      </c>
      <c r="AE2" s="27" t="s">
        <v>39</v>
      </c>
      <c r="AF2" s="27" t="s">
        <v>104</v>
      </c>
      <c r="AG2" s="27" t="s">
        <v>104</v>
      </c>
      <c r="AH2" s="27" t="s">
        <v>104</v>
      </c>
      <c r="AI2" s="27" t="s">
        <v>39</v>
      </c>
      <c r="AJ2" s="27" t="s">
        <v>39</v>
      </c>
      <c r="AK2" s="27" t="s">
        <v>39</v>
      </c>
      <c r="AL2" s="27" t="s">
        <v>104</v>
      </c>
      <c r="AM2" s="27" t="s">
        <v>104</v>
      </c>
      <c r="AN2" s="27" t="s">
        <v>104</v>
      </c>
      <c r="AO2" s="27" t="s">
        <v>39</v>
      </c>
      <c r="AP2" s="27" t="s">
        <v>39</v>
      </c>
      <c r="AQ2" s="27" t="s">
        <v>39</v>
      </c>
      <c r="AR2" s="27" t="s">
        <v>104</v>
      </c>
      <c r="AS2" s="27" t="s">
        <v>104</v>
      </c>
      <c r="AT2" s="27" t="s">
        <v>104</v>
      </c>
      <c r="AU2" s="27" t="s">
        <v>39</v>
      </c>
      <c r="AV2" s="27" t="s">
        <v>39</v>
      </c>
      <c r="AW2" s="27" t="s">
        <v>39</v>
      </c>
      <c r="AX2" s="27" t="s">
        <v>104</v>
      </c>
      <c r="AY2" s="27" t="s">
        <v>104</v>
      </c>
      <c r="AZ2" s="27" t="s">
        <v>104</v>
      </c>
      <c r="BA2" s="27" t="s">
        <v>39</v>
      </c>
      <c r="BB2" s="27" t="s">
        <v>39</v>
      </c>
      <c r="BC2" s="27" t="s">
        <v>39</v>
      </c>
      <c r="BD2" s="27" t="s">
        <v>104</v>
      </c>
      <c r="BE2" s="27" t="s">
        <v>104</v>
      </c>
      <c r="BF2" s="27" t="s">
        <v>104</v>
      </c>
      <c r="BG2" s="27" t="s">
        <v>39</v>
      </c>
      <c r="BH2" s="27" t="s">
        <v>39</v>
      </c>
      <c r="BI2" s="27" t="s">
        <v>39</v>
      </c>
      <c r="BJ2" s="27" t="s">
        <v>104</v>
      </c>
      <c r="BK2" s="27" t="s">
        <v>104</v>
      </c>
      <c r="BL2" s="27" t="s">
        <v>104</v>
      </c>
      <c r="BM2" s="27" t="s">
        <v>39</v>
      </c>
      <c r="BN2" s="27" t="s">
        <v>39</v>
      </c>
      <c r="BO2" s="27" t="s">
        <v>39</v>
      </c>
      <c r="BP2" s="27" t="s">
        <v>104</v>
      </c>
      <c r="BQ2" s="27" t="s">
        <v>104</v>
      </c>
      <c r="BR2" s="27" t="s">
        <v>104</v>
      </c>
      <c r="BS2" s="27" t="s">
        <v>39</v>
      </c>
      <c r="BT2" s="27" t="s">
        <v>39</v>
      </c>
      <c r="BU2" s="27" t="s">
        <v>39</v>
      </c>
    </row>
    <row r="3" spans="1:73" s="27" customFormat="1" x14ac:dyDescent="0.3">
      <c r="A3" s="25"/>
      <c r="B3" s="26" t="s">
        <v>26</v>
      </c>
      <c r="C3" s="27" t="s">
        <v>56</v>
      </c>
      <c r="D3" s="27" t="s">
        <v>57</v>
      </c>
      <c r="E3" s="27" t="s">
        <v>26</v>
      </c>
      <c r="F3" s="27" t="s">
        <v>56</v>
      </c>
      <c r="G3" s="27" t="s">
        <v>57</v>
      </c>
      <c r="H3" s="27" t="s">
        <v>26</v>
      </c>
      <c r="I3" s="27" t="s">
        <v>56</v>
      </c>
      <c r="J3" s="27" t="s">
        <v>57</v>
      </c>
      <c r="K3" s="27" t="s">
        <v>26</v>
      </c>
      <c r="L3" s="27" t="s">
        <v>56</v>
      </c>
      <c r="M3" s="27" t="s">
        <v>57</v>
      </c>
      <c r="N3" s="27" t="s">
        <v>26</v>
      </c>
      <c r="O3" s="27" t="s">
        <v>56</v>
      </c>
      <c r="P3" s="27" t="s">
        <v>57</v>
      </c>
      <c r="Q3" s="27" t="s">
        <v>26</v>
      </c>
      <c r="R3" s="27" t="s">
        <v>56</v>
      </c>
      <c r="S3" s="27" t="s">
        <v>57</v>
      </c>
      <c r="T3" s="27" t="s">
        <v>26</v>
      </c>
      <c r="U3" s="27" t="s">
        <v>56</v>
      </c>
      <c r="V3" s="27" t="s">
        <v>57</v>
      </c>
      <c r="W3" s="27" t="s">
        <v>26</v>
      </c>
      <c r="X3" s="27" t="s">
        <v>56</v>
      </c>
      <c r="Y3" s="27" t="s">
        <v>57</v>
      </c>
      <c r="Z3" s="27" t="s">
        <v>26</v>
      </c>
      <c r="AA3" s="27" t="s">
        <v>56</v>
      </c>
      <c r="AB3" s="27" t="s">
        <v>57</v>
      </c>
      <c r="AC3" s="27" t="s">
        <v>26</v>
      </c>
      <c r="AD3" s="27" t="s">
        <v>56</v>
      </c>
      <c r="AE3" s="27" t="s">
        <v>57</v>
      </c>
      <c r="AF3" s="27" t="s">
        <v>26</v>
      </c>
      <c r="AG3" s="27" t="s">
        <v>56</v>
      </c>
      <c r="AH3" s="27" t="s">
        <v>57</v>
      </c>
      <c r="AI3" s="27" t="s">
        <v>26</v>
      </c>
      <c r="AJ3" s="27" t="s">
        <v>56</v>
      </c>
      <c r="AK3" s="27" t="s">
        <v>57</v>
      </c>
      <c r="AL3" s="27" t="s">
        <v>26</v>
      </c>
      <c r="AM3" s="27" t="s">
        <v>56</v>
      </c>
      <c r="AN3" s="27" t="s">
        <v>57</v>
      </c>
      <c r="AO3" s="27" t="s">
        <v>26</v>
      </c>
      <c r="AP3" s="27" t="s">
        <v>56</v>
      </c>
      <c r="AQ3" s="27" t="s">
        <v>57</v>
      </c>
      <c r="AR3" s="27" t="s">
        <v>26</v>
      </c>
      <c r="AS3" s="27" t="s">
        <v>56</v>
      </c>
      <c r="AT3" s="27" t="s">
        <v>57</v>
      </c>
      <c r="AU3" s="27" t="s">
        <v>26</v>
      </c>
      <c r="AV3" s="27" t="s">
        <v>56</v>
      </c>
      <c r="AW3" s="27" t="s">
        <v>57</v>
      </c>
      <c r="AX3" s="27" t="s">
        <v>26</v>
      </c>
      <c r="AY3" s="27" t="s">
        <v>56</v>
      </c>
      <c r="AZ3" s="27" t="s">
        <v>57</v>
      </c>
      <c r="BA3" s="27" t="s">
        <v>26</v>
      </c>
      <c r="BB3" s="27" t="s">
        <v>56</v>
      </c>
      <c r="BC3" s="27" t="s">
        <v>57</v>
      </c>
      <c r="BD3" s="27" t="s">
        <v>26</v>
      </c>
      <c r="BE3" s="27" t="s">
        <v>56</v>
      </c>
      <c r="BF3" s="27" t="s">
        <v>57</v>
      </c>
      <c r="BG3" s="27" t="s">
        <v>26</v>
      </c>
      <c r="BH3" s="27" t="s">
        <v>56</v>
      </c>
      <c r="BI3" s="27" t="s">
        <v>57</v>
      </c>
      <c r="BJ3" s="27" t="s">
        <v>26</v>
      </c>
      <c r="BK3" s="27" t="s">
        <v>56</v>
      </c>
      <c r="BL3" s="27" t="s">
        <v>57</v>
      </c>
      <c r="BM3" s="27" t="s">
        <v>26</v>
      </c>
      <c r="BN3" s="27" t="s">
        <v>56</v>
      </c>
      <c r="BO3" s="27" t="s">
        <v>57</v>
      </c>
      <c r="BP3" s="27" t="s">
        <v>26</v>
      </c>
      <c r="BQ3" s="27" t="s">
        <v>56</v>
      </c>
      <c r="BR3" s="27" t="s">
        <v>57</v>
      </c>
      <c r="BS3" s="27" t="s">
        <v>26</v>
      </c>
      <c r="BT3" s="27" t="s">
        <v>56</v>
      </c>
      <c r="BU3" s="27" t="s">
        <v>57</v>
      </c>
    </row>
    <row r="4" spans="1:73" x14ac:dyDescent="0.3">
      <c r="A4" s="25" t="s">
        <v>8</v>
      </c>
      <c r="B4" s="28">
        <v>52.000000000000007</v>
      </c>
      <c r="C4" s="28">
        <v>50</v>
      </c>
      <c r="D4" s="28">
        <v>30.999999999999996</v>
      </c>
      <c r="E4" s="28">
        <v>51.20000000000001</v>
      </c>
      <c r="F4" s="28">
        <v>48.800000000000004</v>
      </c>
      <c r="G4" s="28">
        <v>30.999999999999996</v>
      </c>
      <c r="H4" s="28">
        <v>50</v>
      </c>
      <c r="I4" s="28">
        <v>50</v>
      </c>
      <c r="J4" s="28">
        <v>30.999999999999996</v>
      </c>
      <c r="K4" s="28">
        <v>49.999999999999993</v>
      </c>
      <c r="L4" s="28">
        <v>49.999999999999993</v>
      </c>
      <c r="M4" s="28">
        <v>31</v>
      </c>
      <c r="N4" s="28">
        <v>50</v>
      </c>
      <c r="O4" s="28">
        <v>50</v>
      </c>
      <c r="P4" s="28">
        <v>31</v>
      </c>
      <c r="Q4" s="28">
        <v>50</v>
      </c>
      <c r="R4" s="28">
        <v>50</v>
      </c>
      <c r="S4" s="28">
        <v>31.000000000000007</v>
      </c>
      <c r="T4" s="28">
        <v>50</v>
      </c>
      <c r="U4" s="28">
        <v>50</v>
      </c>
      <c r="V4" s="28">
        <v>30.000000000000004</v>
      </c>
      <c r="W4" s="28">
        <v>50</v>
      </c>
      <c r="X4" s="28">
        <v>50.000000000000007</v>
      </c>
      <c r="Y4" s="28">
        <v>30.000000000000004</v>
      </c>
      <c r="Z4" s="28">
        <v>50</v>
      </c>
      <c r="AA4" s="28">
        <v>50</v>
      </c>
      <c r="AB4" s="28">
        <v>30.999999999999996</v>
      </c>
      <c r="AC4" s="28">
        <v>50</v>
      </c>
      <c r="AD4" s="28">
        <v>50</v>
      </c>
      <c r="AE4" s="28">
        <v>84.833333333333343</v>
      </c>
      <c r="AF4" s="28">
        <v>50</v>
      </c>
      <c r="AG4" s="28">
        <v>50</v>
      </c>
      <c r="AH4" s="28">
        <v>31</v>
      </c>
      <c r="AI4" s="28">
        <v>50</v>
      </c>
      <c r="AJ4" s="28">
        <v>50</v>
      </c>
      <c r="AK4" s="28">
        <v>31</v>
      </c>
      <c r="AL4" s="28">
        <v>50</v>
      </c>
      <c r="AM4" s="28">
        <v>50</v>
      </c>
      <c r="AN4" s="28">
        <v>31</v>
      </c>
      <c r="AO4" s="28">
        <v>50</v>
      </c>
      <c r="AP4" s="28">
        <v>49.999999999999993</v>
      </c>
      <c r="AQ4" s="28">
        <v>31</v>
      </c>
      <c r="AR4" s="28">
        <v>50</v>
      </c>
      <c r="AS4" s="28">
        <v>50</v>
      </c>
      <c r="AT4" s="28">
        <v>0</v>
      </c>
      <c r="AU4" s="28">
        <v>50</v>
      </c>
      <c r="AV4" s="28">
        <v>50</v>
      </c>
      <c r="AW4" s="28">
        <v>106.77777777777777</v>
      </c>
      <c r="AX4" s="28">
        <v>50.000000000000007</v>
      </c>
      <c r="AY4" s="28">
        <v>50</v>
      </c>
      <c r="AZ4" s="28">
        <v>0</v>
      </c>
      <c r="BA4" s="28">
        <v>50</v>
      </c>
      <c r="BB4" s="28">
        <v>50</v>
      </c>
      <c r="BC4" s="28">
        <v>85.25</v>
      </c>
      <c r="BD4" s="28">
        <v>52.000000000000007</v>
      </c>
      <c r="BE4" s="28">
        <v>50.000000000000007</v>
      </c>
      <c r="BF4" s="28">
        <v>30.000000000000004</v>
      </c>
      <c r="BG4" s="28">
        <v>50</v>
      </c>
      <c r="BH4" s="28">
        <v>50</v>
      </c>
      <c r="BI4" s="28">
        <v>30.000000000000004</v>
      </c>
      <c r="BJ4" s="28">
        <v>52.000000000000007</v>
      </c>
      <c r="BK4" s="28">
        <v>47.999999999999993</v>
      </c>
      <c r="BL4" s="28">
        <v>31.000000000000004</v>
      </c>
      <c r="BM4" s="28">
        <v>52.000000000000007</v>
      </c>
      <c r="BN4" s="28">
        <v>47.999999999999993</v>
      </c>
      <c r="BO4" s="28">
        <v>31.000000000000011</v>
      </c>
      <c r="BP4" s="28">
        <v>54</v>
      </c>
      <c r="BQ4" s="28">
        <v>50</v>
      </c>
      <c r="BR4" s="28">
        <v>31</v>
      </c>
      <c r="BS4" s="28">
        <v>54</v>
      </c>
      <c r="BT4" s="28">
        <v>46</v>
      </c>
      <c r="BU4" s="28">
        <v>30</v>
      </c>
    </row>
    <row r="5" spans="1:73" x14ac:dyDescent="0.3">
      <c r="A5" s="25" t="s">
        <v>9</v>
      </c>
      <c r="B5" s="28">
        <v>52.000000000000007</v>
      </c>
      <c r="C5" s="28">
        <v>50</v>
      </c>
      <c r="D5" s="28">
        <v>30.999999999999996</v>
      </c>
      <c r="E5" s="28">
        <v>51.20000000000001</v>
      </c>
      <c r="F5" s="28">
        <v>48.800000000000004</v>
      </c>
      <c r="G5" s="28">
        <v>30.999999999999996</v>
      </c>
      <c r="H5" s="28">
        <v>50.000000000000007</v>
      </c>
      <c r="I5" s="28">
        <v>49.999999999999993</v>
      </c>
      <c r="J5" s="28">
        <v>30.999999999999996</v>
      </c>
      <c r="K5" s="28">
        <v>57.000000000000007</v>
      </c>
      <c r="L5" s="28">
        <v>57.769230769230809</v>
      </c>
      <c r="M5" s="28">
        <v>31.000000000000004</v>
      </c>
      <c r="N5" s="28">
        <v>52.000000000000014</v>
      </c>
      <c r="O5" s="28">
        <v>52.000000000000014</v>
      </c>
      <c r="P5" s="28">
        <v>31.000000000000004</v>
      </c>
      <c r="Q5" s="28">
        <v>52.000000000000007</v>
      </c>
      <c r="R5" s="28">
        <v>52.000000000000014</v>
      </c>
      <c r="S5" s="28">
        <v>31.000000000000007</v>
      </c>
      <c r="T5" s="28">
        <v>52.000000000000014</v>
      </c>
      <c r="U5" s="28">
        <v>52.000000000000007</v>
      </c>
      <c r="V5" s="28">
        <v>0</v>
      </c>
      <c r="W5" s="28">
        <v>52.000000000000007</v>
      </c>
      <c r="X5" s="28">
        <v>30.999999999999996</v>
      </c>
      <c r="Y5" s="28">
        <v>76.896103896103895</v>
      </c>
      <c r="Z5" s="28">
        <v>50.000000000000007</v>
      </c>
      <c r="AA5" s="28">
        <v>49.999999999999993</v>
      </c>
      <c r="AB5" s="28">
        <v>30.999999999999996</v>
      </c>
      <c r="AC5" s="28">
        <v>58.518518518518533</v>
      </c>
      <c r="AD5" s="28">
        <v>57.264957264957332</v>
      </c>
      <c r="AE5" s="28">
        <v>90.500000000000028</v>
      </c>
      <c r="AF5" s="28">
        <v>52.000000000000014</v>
      </c>
      <c r="AG5" s="28">
        <v>52.000000000000014</v>
      </c>
      <c r="AH5" s="28">
        <v>31.000000000000004</v>
      </c>
      <c r="AI5" s="28">
        <v>52.000000000000021</v>
      </c>
      <c r="AJ5" s="28">
        <v>52.000000000000014</v>
      </c>
      <c r="AK5" s="28">
        <v>31.000000000000004</v>
      </c>
      <c r="AL5" s="28">
        <v>52.000000000000014</v>
      </c>
      <c r="AM5" s="28">
        <v>52</v>
      </c>
      <c r="AN5" s="28">
        <v>30.999999999999996</v>
      </c>
      <c r="AO5" s="28">
        <v>52.000000000000021</v>
      </c>
      <c r="AP5" s="28">
        <v>52</v>
      </c>
      <c r="AQ5" s="28">
        <v>31.000000000000004</v>
      </c>
      <c r="AR5" s="28">
        <v>52.000000000000007</v>
      </c>
      <c r="AS5" s="28">
        <v>52.000000000000007</v>
      </c>
      <c r="AT5" s="28">
        <v>0</v>
      </c>
      <c r="AU5" s="28">
        <v>52.000000000000021</v>
      </c>
      <c r="AV5" s="28">
        <v>52.000000000000014</v>
      </c>
      <c r="AW5" s="28">
        <v>106.77777777777779</v>
      </c>
      <c r="AX5" s="28">
        <v>52</v>
      </c>
      <c r="AY5" s="28">
        <v>52.000000000000007</v>
      </c>
      <c r="AZ5" s="28">
        <v>30.999999999999996</v>
      </c>
      <c r="BA5" s="28">
        <v>52.000000000000007</v>
      </c>
      <c r="BB5" s="28">
        <v>49.999999999999993</v>
      </c>
      <c r="BC5" s="28">
        <v>30.999999999999996</v>
      </c>
      <c r="BD5" s="28">
        <v>52.000000000000007</v>
      </c>
      <c r="BE5" s="28">
        <v>49.999999999999993</v>
      </c>
      <c r="BF5" s="28">
        <v>30.999999999999996</v>
      </c>
      <c r="BG5" s="28">
        <v>52.000000000000021</v>
      </c>
      <c r="BH5" s="28">
        <v>31.000000000000004</v>
      </c>
      <c r="BI5" s="28">
        <v>31.000000000000004</v>
      </c>
      <c r="BJ5" s="28">
        <v>52.000000000000014</v>
      </c>
      <c r="BK5" s="28">
        <v>52.000000000000014</v>
      </c>
      <c r="BL5" s="28">
        <v>31.000000000000004</v>
      </c>
      <c r="BM5" s="28">
        <v>52.000000000000021</v>
      </c>
      <c r="BN5" s="28">
        <v>52.000000000000014</v>
      </c>
      <c r="BO5" s="28">
        <v>31.000000000000004</v>
      </c>
      <c r="BP5" s="28">
        <v>52.000000000000014</v>
      </c>
      <c r="BQ5" s="28">
        <v>52.000000000000014</v>
      </c>
      <c r="BR5" s="28">
        <v>31.000000000000004</v>
      </c>
      <c r="BS5" s="28">
        <v>52.000000000000014</v>
      </c>
      <c r="BT5" s="28">
        <v>49.999999999999993</v>
      </c>
      <c r="BU5" s="28">
        <v>31.000000000000004</v>
      </c>
    </row>
    <row r="6" spans="1:73" x14ac:dyDescent="0.3">
      <c r="A6" s="25" t="s">
        <v>10</v>
      </c>
      <c r="B6" s="28">
        <v>52.000000000000007</v>
      </c>
      <c r="C6" s="28">
        <v>50</v>
      </c>
      <c r="D6" s="28">
        <v>30.999999999999996</v>
      </c>
      <c r="E6" s="28">
        <v>51.20000000000001</v>
      </c>
      <c r="F6" s="28">
        <v>48.800000000000004</v>
      </c>
      <c r="G6" s="28">
        <v>30.999999999999996</v>
      </c>
      <c r="H6" s="28">
        <v>54</v>
      </c>
      <c r="I6" s="28">
        <v>53.999999999999993</v>
      </c>
      <c r="J6" s="28">
        <v>30</v>
      </c>
      <c r="K6" s="28">
        <v>53.999999999999993</v>
      </c>
      <c r="L6" s="28">
        <v>31.000000000000004</v>
      </c>
      <c r="M6" s="28">
        <v>30</v>
      </c>
      <c r="N6" s="28">
        <v>53.999999999999972</v>
      </c>
      <c r="O6" s="28">
        <v>34</v>
      </c>
      <c r="P6" s="28">
        <v>30</v>
      </c>
      <c r="Q6" s="28">
        <v>53.999999999999986</v>
      </c>
      <c r="R6" s="28">
        <v>31.000000000000004</v>
      </c>
      <c r="S6" s="28">
        <v>30</v>
      </c>
      <c r="T6" s="28">
        <v>53.999999999999986</v>
      </c>
      <c r="U6" s="28">
        <v>41.999999999999901</v>
      </c>
      <c r="V6" s="28">
        <v>29.999999999999996</v>
      </c>
      <c r="W6" s="28">
        <v>53.999999999999972</v>
      </c>
      <c r="X6" s="28">
        <v>41.999999999999901</v>
      </c>
      <c r="Y6" s="28">
        <v>29.999999999999996</v>
      </c>
      <c r="Z6" s="28">
        <v>50.000000000000007</v>
      </c>
      <c r="AA6" s="28">
        <v>49.999999999999993</v>
      </c>
      <c r="AB6" s="28">
        <v>30</v>
      </c>
      <c r="AC6" s="28">
        <v>67.03703703703691</v>
      </c>
      <c r="AD6" s="28">
        <v>64.529914529914521</v>
      </c>
      <c r="AE6" s="28">
        <v>29.999999999999996</v>
      </c>
      <c r="AF6" s="28">
        <v>52.000000000000007</v>
      </c>
      <c r="AG6" s="28">
        <v>52.000000000000007</v>
      </c>
      <c r="AH6" s="28">
        <v>30</v>
      </c>
      <c r="AI6" s="28">
        <v>60.222222222222079</v>
      </c>
      <c r="AJ6" s="28">
        <v>58.666666666666636</v>
      </c>
      <c r="AK6" s="28">
        <v>30</v>
      </c>
      <c r="AL6" s="28">
        <v>53</v>
      </c>
      <c r="AM6" s="28">
        <v>50.000000000000007</v>
      </c>
      <c r="AN6" s="28">
        <v>30.999999999999996</v>
      </c>
      <c r="AO6" s="28">
        <v>53</v>
      </c>
      <c r="AP6" s="28">
        <v>50.000000000000007</v>
      </c>
      <c r="AQ6" s="28">
        <v>31.000000000000004</v>
      </c>
      <c r="AR6" s="28">
        <v>52.999999999999964</v>
      </c>
      <c r="AS6" s="28">
        <v>52.999999999999979</v>
      </c>
      <c r="AT6" s="28">
        <v>0</v>
      </c>
      <c r="AU6" s="28">
        <v>52.999999999999979</v>
      </c>
      <c r="AV6" s="28">
        <v>31.000000000000004</v>
      </c>
      <c r="AW6" s="28">
        <v>106.77777777777779</v>
      </c>
      <c r="AX6" s="28">
        <v>52.999999999999979</v>
      </c>
      <c r="AY6" s="28">
        <v>34</v>
      </c>
      <c r="AZ6" s="28">
        <v>0</v>
      </c>
      <c r="BA6" s="28">
        <v>52.999999999999972</v>
      </c>
      <c r="BB6" s="28">
        <v>31.000000000000004</v>
      </c>
      <c r="BC6" s="28">
        <v>85.249999999999986</v>
      </c>
      <c r="BD6" s="28">
        <v>52.000000000000007</v>
      </c>
      <c r="BE6" s="28">
        <v>52.000000000000007</v>
      </c>
      <c r="BF6" s="28">
        <v>29.999999999999996</v>
      </c>
      <c r="BG6" s="28">
        <v>55.444444444444315</v>
      </c>
      <c r="BH6" s="28">
        <v>50.000000000000007</v>
      </c>
      <c r="BI6" s="28">
        <v>30</v>
      </c>
      <c r="BJ6" s="28">
        <v>54</v>
      </c>
      <c r="BK6" s="28">
        <v>53.999999999999972</v>
      </c>
      <c r="BL6" s="28">
        <v>30</v>
      </c>
      <c r="BM6" s="28">
        <v>53.999999999999993</v>
      </c>
      <c r="BN6" s="28">
        <v>52.000000000000014</v>
      </c>
      <c r="BO6" s="28">
        <v>30</v>
      </c>
      <c r="BP6" s="28">
        <v>54</v>
      </c>
      <c r="BQ6" s="28">
        <v>50.000000000000007</v>
      </c>
      <c r="BR6" s="28">
        <v>31.000000000000004</v>
      </c>
      <c r="BS6" s="28">
        <v>54</v>
      </c>
      <c r="BT6" s="28">
        <v>30.999999999999993</v>
      </c>
      <c r="BU6" s="28">
        <v>29.999999999999996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12</vt:i4>
      </vt:variant>
      <vt:variant>
        <vt:lpstr>Gráficos</vt:lpstr>
      </vt:variant>
      <vt:variant>
        <vt:i4>6</vt:i4>
      </vt:variant>
      <vt:variant>
        <vt:lpstr>Rangos con nombre</vt:lpstr>
      </vt:variant>
      <vt:variant>
        <vt:i4>10</vt:i4>
      </vt:variant>
    </vt:vector>
  </HeadingPairs>
  <TitlesOfParts>
    <vt:vector size="28" baseType="lpstr">
      <vt:lpstr>Menu</vt:lpstr>
      <vt:lpstr>Indices</vt:lpstr>
      <vt:lpstr>Parameters</vt:lpstr>
      <vt:lpstr>DemandDuration</vt:lpstr>
      <vt:lpstr>Generation</vt:lpstr>
      <vt:lpstr>Inflows</vt:lpstr>
      <vt:lpstr>UC</vt:lpstr>
      <vt:lpstr>Output</vt:lpstr>
      <vt:lpstr>Energy</vt:lpstr>
      <vt:lpstr>WtrReserve</vt:lpstr>
      <vt:lpstr>WtrValue</vt:lpstr>
      <vt:lpstr>SRMC</vt:lpstr>
      <vt:lpstr>GrUC</vt:lpstr>
      <vt:lpstr>GrOutput</vt:lpstr>
      <vt:lpstr>GrEnergy</vt:lpstr>
      <vt:lpstr>GrWtrReserve</vt:lpstr>
      <vt:lpstr>GrWtrValue</vt:lpstr>
      <vt:lpstr>GrSRMC</vt:lpstr>
      <vt:lpstr>demand</vt:lpstr>
      <vt:lpstr>duration</vt:lpstr>
      <vt:lpstr>hydrogen</vt:lpstr>
      <vt:lpstr>indices</vt:lpstr>
      <vt:lpstr>inflows</vt:lpstr>
      <vt:lpstr>oprres</vt:lpstr>
      <vt:lpstr>param</vt:lpstr>
      <vt:lpstr>reservoir</vt:lpstr>
      <vt:lpstr>thermalgen</vt:lpstr>
      <vt:lpstr>tree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Ramos</dc:creator>
  <cp:lastModifiedBy>Andrés Ramos Galán</cp:lastModifiedBy>
  <dcterms:created xsi:type="dcterms:W3CDTF">2008-11-06T19:34:38Z</dcterms:created>
  <dcterms:modified xsi:type="dcterms:W3CDTF">2023-01-25T17:21:16Z</dcterms:modified>
</cp:coreProperties>
</file>